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ombola\Documents\"/>
    </mc:Choice>
  </mc:AlternateContent>
  <xr:revisionPtr revIDLastSave="0" documentId="8_{466012B7-77C5-48BB-BA5E-66F36524D9C4}" xr6:coauthVersionLast="47" xr6:coauthVersionMax="47" xr10:uidLastSave="{00000000-0000-0000-0000-000000000000}"/>
  <bookViews>
    <workbookView xWindow="-110" yWindow="-110" windowWidth="19420" windowHeight="10300" tabRatio="737" firstSheet="1" activeTab="18" xr2:uid="{00000000-000D-0000-FFFF-FFFF00000000}"/>
  </bookViews>
  <sheets>
    <sheet name="Panel BOT" sheetId="33" r:id="rId1"/>
    <sheet name="Datos descriptivos" sheetId="24" r:id="rId2"/>
    <sheet name="ACTIVO" sheetId="2" r:id="rId3"/>
    <sheet name="SIAP" sheetId="9" state="hidden" r:id="rId4"/>
    <sheet name="PASIVO" sheetId="3" r:id="rId5"/>
    <sheet name="PATRIMONIO" sheetId="6" r:id="rId6"/>
    <sheet name="RESULTADOS" sheetId="5" r:id="rId7"/>
    <sheet name="Rtdo contable s.fuente" sheetId="25" r:id="rId8"/>
    <sheet name="Fuente extranjera" sheetId="27" state="hidden" r:id="rId9"/>
    <sheet name="Pagos a cuenta =&gt;" sheetId="16" r:id="rId10"/>
    <sheet name="IDyC DJ" sheetId="14" r:id="rId11"/>
    <sheet name="IDyC Anticipos" sheetId="15" r:id="rId12"/>
    <sheet name="RETEN. y PERC." sheetId="10" r:id="rId13"/>
    <sheet name="RETEN. Y PERC. SIMPLIFICADO" sheetId="38" r:id="rId14"/>
    <sheet name="PERC NC Calculo de anticipos" sheetId="21" r:id="rId15"/>
    <sheet name="OTROS" sheetId="17" r:id="rId16"/>
    <sheet name="Saldo Previo al Cómputo del Imp" sheetId="37" r:id="rId17"/>
    <sheet name="TAX=&gt;" sheetId="13" r:id="rId18"/>
    <sheet name="Ajustes Fuente Argentina" sheetId="11" r:id="rId19"/>
    <sheet name="Ajustes Fuente Extranjera" sheetId="12" r:id="rId20"/>
    <sheet name="Resultado Socios" sheetId="34" r:id="rId21"/>
    <sheet name="Formulario Op Internacionales" sheetId="35" r:id="rId22"/>
    <sheet name="Quebrantos F.A." sheetId="18" r:id="rId23"/>
    <sheet name="Quebrantos F.E." sheetId="20" r:id="rId24"/>
  </sheets>
  <definedNames>
    <definedName name="Percepcion">SIAP!$T$41:$T$54</definedName>
    <definedName name="_xlnm.Print_Area" localSheetId="2">ACTIVO!$A$1:$T$458</definedName>
    <definedName name="_xlnm.Print_Area" localSheetId="18">'Ajustes Fuente Argentina'!$A$1:$G$145</definedName>
    <definedName name="_xlnm.Print_Area" localSheetId="19">'Ajustes Fuente Extranjera'!$A$1:$E$84</definedName>
    <definedName name="_xlnm.Print_Area" localSheetId="21">'Formulario Op Internacionales'!$A$1:$K$79</definedName>
    <definedName name="_xlnm.Print_Area" localSheetId="15">OTROS!$A$1:$E$27</definedName>
    <definedName name="_xlnm.Print_Area" localSheetId="4">PASIVO!$A$1:$H$182</definedName>
    <definedName name="_xlnm.Print_Area" localSheetId="5">PATRIMONIO!$A$1:$G$62</definedName>
    <definedName name="_xlnm.Print_Area" localSheetId="20">'Resultado Socios'!$A$1:$N$57</definedName>
    <definedName name="_xlnm.Print_Area" localSheetId="6">RESULTADOS!$A$1:$S$125</definedName>
    <definedName name="_xlnm.Print_Area" localSheetId="16">'Saldo Previo al Cómputo del Imp'!$A$1:$G$23</definedName>
    <definedName name="Retencion">SIAP!$T$61:$T$138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4" l="1"/>
  <c r="F21" i="6"/>
  <c r="G205" i="2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F418" i="38"/>
  <c r="F419" i="38"/>
  <c r="F420" i="38"/>
  <c r="F421" i="38"/>
  <c r="F422" i="38"/>
  <c r="F423" i="38"/>
  <c r="F424" i="38"/>
  <c r="F425" i="38"/>
  <c r="F426" i="38"/>
  <c r="F427" i="38"/>
  <c r="F428" i="38"/>
  <c r="F429" i="38"/>
  <c r="F430" i="38"/>
  <c r="F431" i="38"/>
  <c r="F432" i="38"/>
  <c r="F433" i="38"/>
  <c r="F434" i="38"/>
  <c r="F435" i="38"/>
  <c r="F436" i="38"/>
  <c r="F437" i="38"/>
  <c r="F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D122" i="38"/>
  <c r="D123" i="38"/>
  <c r="D124" i="38"/>
  <c r="D125" i="38"/>
  <c r="D126" i="38"/>
  <c r="D127" i="38"/>
  <c r="D128" i="38"/>
  <c r="D129" i="38"/>
  <c r="D130" i="38"/>
  <c r="D131" i="38"/>
  <c r="D132" i="38"/>
  <c r="D133" i="38"/>
  <c r="D134" i="38"/>
  <c r="D135" i="38"/>
  <c r="D136" i="38"/>
  <c r="D137" i="38"/>
  <c r="D138" i="38"/>
  <c r="D139" i="38"/>
  <c r="D140" i="38"/>
  <c r="D141" i="38"/>
  <c r="D142" i="38"/>
  <c r="D143" i="38"/>
  <c r="D144" i="38"/>
  <c r="D145" i="38"/>
  <c r="D146" i="38"/>
  <c r="D147" i="38"/>
  <c r="D148" i="38"/>
  <c r="D149" i="38"/>
  <c r="D150" i="38"/>
  <c r="D151" i="38"/>
  <c r="D152" i="38"/>
  <c r="D153" i="38"/>
  <c r="D154" i="38"/>
  <c r="D155" i="38"/>
  <c r="D156" i="38"/>
  <c r="D157" i="38"/>
  <c r="D158" i="38"/>
  <c r="D159" i="38"/>
  <c r="D160" i="38"/>
  <c r="D161" i="38"/>
  <c r="D162" i="38"/>
  <c r="D163" i="38"/>
  <c r="D164" i="38"/>
  <c r="D165" i="38"/>
  <c r="D166" i="38"/>
  <c r="D167" i="38"/>
  <c r="D168" i="38"/>
  <c r="D169" i="38"/>
  <c r="D170" i="38"/>
  <c r="D171" i="38"/>
  <c r="D172" i="38"/>
  <c r="D173" i="38"/>
  <c r="D174" i="38"/>
  <c r="D175" i="38"/>
  <c r="D176" i="38"/>
  <c r="D177" i="38"/>
  <c r="D178" i="38"/>
  <c r="D179" i="38"/>
  <c r="D180" i="38"/>
  <c r="D181" i="38"/>
  <c r="D182" i="38"/>
  <c r="D183" i="38"/>
  <c r="D184" i="38"/>
  <c r="D185" i="38"/>
  <c r="D186" i="38"/>
  <c r="D187" i="38"/>
  <c r="D188" i="38"/>
  <c r="D189" i="38"/>
  <c r="D190" i="38"/>
  <c r="D191" i="38"/>
  <c r="D192" i="38"/>
  <c r="D193" i="38"/>
  <c r="D194" i="38"/>
  <c r="D195" i="38"/>
  <c r="D196" i="38"/>
  <c r="D197" i="38"/>
  <c r="D198" i="38"/>
  <c r="D199" i="38"/>
  <c r="D200" i="38"/>
  <c r="D201" i="38"/>
  <c r="D202" i="38"/>
  <c r="D203" i="38"/>
  <c r="D204" i="38"/>
  <c r="D205" i="38"/>
  <c r="D206" i="38"/>
  <c r="D207" i="38"/>
  <c r="D208" i="38"/>
  <c r="D209" i="38"/>
  <c r="D210" i="38"/>
  <c r="D211" i="38"/>
  <c r="D212" i="38"/>
  <c r="D213" i="38"/>
  <c r="D214" i="38"/>
  <c r="D215" i="38"/>
  <c r="D216" i="38"/>
  <c r="D217" i="38"/>
  <c r="D218" i="38"/>
  <c r="D219" i="38"/>
  <c r="D220" i="38"/>
  <c r="D221" i="38"/>
  <c r="D222" i="38"/>
  <c r="D223" i="38"/>
  <c r="D224" i="38"/>
  <c r="D225" i="38"/>
  <c r="D226" i="38"/>
  <c r="D227" i="38"/>
  <c r="D228" i="38"/>
  <c r="D229" i="38"/>
  <c r="D230" i="38"/>
  <c r="D231" i="38"/>
  <c r="D232" i="38"/>
  <c r="D233" i="38"/>
  <c r="D234" i="38"/>
  <c r="D235" i="38"/>
  <c r="D236" i="38"/>
  <c r="D237" i="38"/>
  <c r="D238" i="38"/>
  <c r="D239" i="38"/>
  <c r="D240" i="38"/>
  <c r="D241" i="38"/>
  <c r="D242" i="38"/>
  <c r="D243" i="38"/>
  <c r="D244" i="38"/>
  <c r="D245" i="38"/>
  <c r="D246" i="38"/>
  <c r="D247" i="38"/>
  <c r="D248" i="38"/>
  <c r="D249" i="38"/>
  <c r="D250" i="38"/>
  <c r="D251" i="38"/>
  <c r="D252" i="38"/>
  <c r="D253" i="38"/>
  <c r="D254" i="38"/>
  <c r="D255" i="38"/>
  <c r="D256" i="38"/>
  <c r="D257" i="38"/>
  <c r="D258" i="38"/>
  <c r="D259" i="38"/>
  <c r="D260" i="38"/>
  <c r="D261" i="38"/>
  <c r="D262" i="38"/>
  <c r="D263" i="38"/>
  <c r="D264" i="38"/>
  <c r="D265" i="38"/>
  <c r="D266" i="38"/>
  <c r="D267" i="38"/>
  <c r="D268" i="38"/>
  <c r="D269" i="38"/>
  <c r="D270" i="38"/>
  <c r="D271" i="38"/>
  <c r="D272" i="38"/>
  <c r="D273" i="38"/>
  <c r="D274" i="38"/>
  <c r="D275" i="38"/>
  <c r="D276" i="38"/>
  <c r="D277" i="38"/>
  <c r="D278" i="38"/>
  <c r="D279" i="38"/>
  <c r="D280" i="38"/>
  <c r="D281" i="38"/>
  <c r="D282" i="38"/>
  <c r="D283" i="38"/>
  <c r="D284" i="38"/>
  <c r="D285" i="38"/>
  <c r="D286" i="38"/>
  <c r="D287" i="38"/>
  <c r="D288" i="38"/>
  <c r="D289" i="38"/>
  <c r="D290" i="38"/>
  <c r="D291" i="38"/>
  <c r="D292" i="38"/>
  <c r="D293" i="38"/>
  <c r="D294" i="38"/>
  <c r="D295" i="38"/>
  <c r="D296" i="38"/>
  <c r="D297" i="38"/>
  <c r="D298" i="38"/>
  <c r="D299" i="38"/>
  <c r="D300" i="38"/>
  <c r="D301" i="38"/>
  <c r="D302" i="38"/>
  <c r="D303" i="38"/>
  <c r="D304" i="38"/>
  <c r="D305" i="38"/>
  <c r="D306" i="38"/>
  <c r="D307" i="38"/>
  <c r="D308" i="38"/>
  <c r="D309" i="38"/>
  <c r="D310" i="38"/>
  <c r="D311" i="38"/>
  <c r="D312" i="38"/>
  <c r="D313" i="38"/>
  <c r="D314" i="38"/>
  <c r="D315" i="38"/>
  <c r="D316" i="38"/>
  <c r="D317" i="38"/>
  <c r="D318" i="38"/>
  <c r="D319" i="38"/>
  <c r="D320" i="38"/>
  <c r="D321" i="38"/>
  <c r="D322" i="38"/>
  <c r="D323" i="38"/>
  <c r="D324" i="38"/>
  <c r="D325" i="38"/>
  <c r="D326" i="38"/>
  <c r="D327" i="38"/>
  <c r="D328" i="38"/>
  <c r="D329" i="38"/>
  <c r="D330" i="38"/>
  <c r="D331" i="38"/>
  <c r="D332" i="38"/>
  <c r="D333" i="38"/>
  <c r="D334" i="38"/>
  <c r="D335" i="38"/>
  <c r="D336" i="38"/>
  <c r="D337" i="38"/>
  <c r="D338" i="38"/>
  <c r="D339" i="38"/>
  <c r="D340" i="38"/>
  <c r="D341" i="38"/>
  <c r="D342" i="38"/>
  <c r="D343" i="38"/>
  <c r="D344" i="38"/>
  <c r="D345" i="38"/>
  <c r="D346" i="38"/>
  <c r="D347" i="38"/>
  <c r="D348" i="38"/>
  <c r="D349" i="38"/>
  <c r="D350" i="38"/>
  <c r="D351" i="38"/>
  <c r="D352" i="38"/>
  <c r="D353" i="38"/>
  <c r="D354" i="38"/>
  <c r="D355" i="38"/>
  <c r="D356" i="38"/>
  <c r="D357" i="38"/>
  <c r="D358" i="38"/>
  <c r="D359" i="38"/>
  <c r="D360" i="38"/>
  <c r="D361" i="38"/>
  <c r="D362" i="38"/>
  <c r="D363" i="38"/>
  <c r="D364" i="38"/>
  <c r="D365" i="38"/>
  <c r="D366" i="38"/>
  <c r="D367" i="38"/>
  <c r="D368" i="38"/>
  <c r="D369" i="38"/>
  <c r="D370" i="38"/>
  <c r="D371" i="38"/>
  <c r="D372" i="38"/>
  <c r="D373" i="38"/>
  <c r="D374" i="38"/>
  <c r="D375" i="38"/>
  <c r="D376" i="38"/>
  <c r="D377" i="38"/>
  <c r="D378" i="38"/>
  <c r="D379" i="38"/>
  <c r="D380" i="38"/>
  <c r="D381" i="38"/>
  <c r="D382" i="38"/>
  <c r="D383" i="38"/>
  <c r="D384" i="38"/>
  <c r="D385" i="38"/>
  <c r="D386" i="38"/>
  <c r="D387" i="38"/>
  <c r="D388" i="38"/>
  <c r="D389" i="38"/>
  <c r="D390" i="38"/>
  <c r="D391" i="38"/>
  <c r="D392" i="38"/>
  <c r="D393" i="38"/>
  <c r="D394" i="38"/>
  <c r="D395" i="38"/>
  <c r="D396" i="38"/>
  <c r="D397" i="38"/>
  <c r="D398" i="38"/>
  <c r="D399" i="38"/>
  <c r="D400" i="38"/>
  <c r="D401" i="38"/>
  <c r="D402" i="38"/>
  <c r="D403" i="38"/>
  <c r="D404" i="38"/>
  <c r="D405" i="38"/>
  <c r="D406" i="38"/>
  <c r="D407" i="38"/>
  <c r="D408" i="38"/>
  <c r="D409" i="38"/>
  <c r="D410" i="38"/>
  <c r="D411" i="38"/>
  <c r="D412" i="38"/>
  <c r="D413" i="38"/>
  <c r="D414" i="38"/>
  <c r="D415" i="38"/>
  <c r="D416" i="38"/>
  <c r="D417" i="38"/>
  <c r="D418" i="38"/>
  <c r="D419" i="38"/>
  <c r="D420" i="38"/>
  <c r="D421" i="38"/>
  <c r="D422" i="38"/>
  <c r="D423" i="38"/>
  <c r="D424" i="38"/>
  <c r="D425" i="38"/>
  <c r="D426" i="38"/>
  <c r="D427" i="38"/>
  <c r="D428" i="38"/>
  <c r="D429" i="38"/>
  <c r="D430" i="38"/>
  <c r="D431" i="38"/>
  <c r="D432" i="38"/>
  <c r="D433" i="38"/>
  <c r="D434" i="38"/>
  <c r="D435" i="38"/>
  <c r="D436" i="38"/>
  <c r="D437" i="38"/>
  <c r="D2" i="38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C218" i="38"/>
  <c r="C219" i="38"/>
  <c r="C220" i="38"/>
  <c r="C221" i="38"/>
  <c r="C222" i="38"/>
  <c r="C223" i="38"/>
  <c r="C224" i="38"/>
  <c r="C225" i="38"/>
  <c r="C226" i="38"/>
  <c r="C227" i="38"/>
  <c r="C228" i="38"/>
  <c r="C229" i="38"/>
  <c r="C230" i="38"/>
  <c r="C231" i="38"/>
  <c r="C232" i="38"/>
  <c r="C233" i="38"/>
  <c r="C234" i="38"/>
  <c r="C235" i="38"/>
  <c r="C236" i="38"/>
  <c r="C237" i="38"/>
  <c r="C238" i="38"/>
  <c r="C239" i="38"/>
  <c r="C240" i="38"/>
  <c r="C241" i="38"/>
  <c r="C242" i="38"/>
  <c r="C243" i="38"/>
  <c r="C244" i="38"/>
  <c r="C245" i="38"/>
  <c r="C246" i="38"/>
  <c r="C247" i="38"/>
  <c r="C248" i="38"/>
  <c r="C249" i="38"/>
  <c r="C250" i="38"/>
  <c r="C251" i="38"/>
  <c r="C252" i="38"/>
  <c r="C253" i="38"/>
  <c r="C254" i="38"/>
  <c r="C255" i="38"/>
  <c r="C256" i="38"/>
  <c r="C257" i="38"/>
  <c r="C258" i="38"/>
  <c r="C259" i="38"/>
  <c r="C260" i="38"/>
  <c r="C261" i="38"/>
  <c r="C262" i="38"/>
  <c r="C263" i="38"/>
  <c r="C264" i="38"/>
  <c r="C265" i="38"/>
  <c r="C266" i="38"/>
  <c r="C267" i="38"/>
  <c r="C268" i="38"/>
  <c r="C269" i="38"/>
  <c r="C270" i="38"/>
  <c r="C271" i="38"/>
  <c r="C272" i="38"/>
  <c r="C273" i="38"/>
  <c r="C274" i="38"/>
  <c r="C275" i="38"/>
  <c r="C276" i="38"/>
  <c r="C277" i="38"/>
  <c r="C278" i="38"/>
  <c r="C279" i="38"/>
  <c r="C280" i="38"/>
  <c r="C281" i="38"/>
  <c r="C282" i="38"/>
  <c r="C283" i="38"/>
  <c r="C284" i="38"/>
  <c r="C285" i="38"/>
  <c r="C286" i="38"/>
  <c r="C287" i="38"/>
  <c r="C288" i="38"/>
  <c r="C289" i="38"/>
  <c r="C290" i="38"/>
  <c r="C291" i="38"/>
  <c r="C292" i="38"/>
  <c r="C293" i="38"/>
  <c r="C294" i="38"/>
  <c r="C295" i="38"/>
  <c r="C296" i="38"/>
  <c r="C297" i="38"/>
  <c r="C298" i="38"/>
  <c r="C299" i="38"/>
  <c r="C300" i="38"/>
  <c r="C301" i="38"/>
  <c r="C302" i="38"/>
  <c r="C303" i="38"/>
  <c r="C304" i="38"/>
  <c r="C305" i="38"/>
  <c r="C306" i="38"/>
  <c r="C307" i="38"/>
  <c r="C308" i="38"/>
  <c r="C309" i="38"/>
  <c r="C310" i="38"/>
  <c r="C311" i="38"/>
  <c r="C312" i="38"/>
  <c r="C313" i="38"/>
  <c r="C314" i="38"/>
  <c r="C315" i="38"/>
  <c r="C316" i="38"/>
  <c r="C317" i="38"/>
  <c r="C318" i="38"/>
  <c r="C319" i="38"/>
  <c r="C320" i="38"/>
  <c r="C321" i="38"/>
  <c r="C322" i="38"/>
  <c r="C323" i="38"/>
  <c r="C324" i="38"/>
  <c r="C325" i="38"/>
  <c r="C326" i="38"/>
  <c r="C327" i="38"/>
  <c r="C328" i="38"/>
  <c r="C329" i="38"/>
  <c r="C330" i="38"/>
  <c r="C331" i="38"/>
  <c r="C332" i="38"/>
  <c r="C333" i="38"/>
  <c r="C334" i="38"/>
  <c r="C335" i="38"/>
  <c r="C336" i="38"/>
  <c r="C337" i="38"/>
  <c r="C338" i="38"/>
  <c r="C339" i="38"/>
  <c r="C340" i="38"/>
  <c r="C341" i="38"/>
  <c r="C342" i="38"/>
  <c r="C343" i="38"/>
  <c r="C344" i="38"/>
  <c r="C345" i="38"/>
  <c r="C346" i="38"/>
  <c r="C347" i="38"/>
  <c r="C348" i="38"/>
  <c r="C349" i="38"/>
  <c r="C350" i="38"/>
  <c r="C351" i="38"/>
  <c r="C352" i="38"/>
  <c r="C353" i="38"/>
  <c r="C354" i="38"/>
  <c r="C355" i="38"/>
  <c r="C356" i="38"/>
  <c r="C357" i="38"/>
  <c r="C358" i="38"/>
  <c r="C359" i="38"/>
  <c r="C360" i="38"/>
  <c r="C361" i="38"/>
  <c r="C362" i="38"/>
  <c r="C363" i="38"/>
  <c r="C364" i="38"/>
  <c r="C365" i="38"/>
  <c r="C366" i="38"/>
  <c r="C367" i="38"/>
  <c r="C368" i="38"/>
  <c r="C369" i="38"/>
  <c r="C370" i="38"/>
  <c r="C371" i="38"/>
  <c r="C372" i="38"/>
  <c r="C373" i="38"/>
  <c r="C374" i="38"/>
  <c r="C375" i="38"/>
  <c r="C376" i="38"/>
  <c r="C377" i="38"/>
  <c r="C378" i="38"/>
  <c r="C379" i="38"/>
  <c r="C380" i="38"/>
  <c r="C381" i="38"/>
  <c r="C382" i="38"/>
  <c r="C383" i="38"/>
  <c r="C384" i="38"/>
  <c r="C385" i="38"/>
  <c r="C386" i="38"/>
  <c r="C387" i="38"/>
  <c r="C388" i="38"/>
  <c r="C389" i="38"/>
  <c r="C390" i="38"/>
  <c r="C391" i="38"/>
  <c r="C392" i="38"/>
  <c r="C393" i="38"/>
  <c r="C394" i="38"/>
  <c r="C395" i="38"/>
  <c r="C396" i="38"/>
  <c r="C397" i="38"/>
  <c r="C398" i="38"/>
  <c r="C399" i="38"/>
  <c r="C400" i="38"/>
  <c r="C401" i="38"/>
  <c r="C402" i="38"/>
  <c r="C403" i="38"/>
  <c r="C404" i="38"/>
  <c r="C405" i="38"/>
  <c r="C406" i="38"/>
  <c r="C407" i="38"/>
  <c r="C408" i="38"/>
  <c r="C409" i="38"/>
  <c r="C410" i="38"/>
  <c r="C411" i="38"/>
  <c r="C412" i="38"/>
  <c r="C413" i="38"/>
  <c r="C414" i="38"/>
  <c r="C415" i="38"/>
  <c r="C416" i="38"/>
  <c r="C417" i="38"/>
  <c r="C418" i="38"/>
  <c r="C419" i="38"/>
  <c r="C420" i="38"/>
  <c r="C421" i="38"/>
  <c r="C422" i="38"/>
  <c r="C423" i="38"/>
  <c r="C424" i="38"/>
  <c r="C425" i="38"/>
  <c r="C426" i="38"/>
  <c r="C427" i="38"/>
  <c r="C428" i="38"/>
  <c r="C429" i="38"/>
  <c r="C430" i="38"/>
  <c r="C431" i="38"/>
  <c r="C432" i="38"/>
  <c r="C433" i="38"/>
  <c r="C434" i="38"/>
  <c r="C435" i="38"/>
  <c r="C436" i="38"/>
  <c r="C437" i="38"/>
  <c r="C2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B105" i="38"/>
  <c r="B106" i="38"/>
  <c r="B107" i="38"/>
  <c r="B108" i="38"/>
  <c r="B109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B172" i="38"/>
  <c r="B173" i="38"/>
  <c r="B174" i="38"/>
  <c r="B175" i="38"/>
  <c r="B176" i="38"/>
  <c r="B177" i="38"/>
  <c r="B178" i="38"/>
  <c r="B179" i="38"/>
  <c r="B180" i="38"/>
  <c r="B181" i="38"/>
  <c r="B182" i="38"/>
  <c r="B183" i="38"/>
  <c r="B184" i="38"/>
  <c r="B185" i="38"/>
  <c r="B186" i="38"/>
  <c r="B187" i="38"/>
  <c r="B188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206" i="38"/>
  <c r="B207" i="38"/>
  <c r="B208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43" i="38"/>
  <c r="B244" i="38"/>
  <c r="B245" i="38"/>
  <c r="B246" i="38"/>
  <c r="B247" i="38"/>
  <c r="B248" i="38"/>
  <c r="B249" i="38"/>
  <c r="B250" i="38"/>
  <c r="B251" i="38"/>
  <c r="B252" i="38"/>
  <c r="B253" i="38"/>
  <c r="B254" i="38"/>
  <c r="B255" i="38"/>
  <c r="B256" i="38"/>
  <c r="B257" i="38"/>
  <c r="B258" i="38"/>
  <c r="B259" i="38"/>
  <c r="B260" i="38"/>
  <c r="B261" i="38"/>
  <c r="B262" i="38"/>
  <c r="B263" i="38"/>
  <c r="B264" i="38"/>
  <c r="B265" i="38"/>
  <c r="B266" i="38"/>
  <c r="B267" i="38"/>
  <c r="B268" i="38"/>
  <c r="B269" i="38"/>
  <c r="B270" i="38"/>
  <c r="B271" i="38"/>
  <c r="B272" i="38"/>
  <c r="B273" i="38"/>
  <c r="B274" i="38"/>
  <c r="B275" i="38"/>
  <c r="B276" i="38"/>
  <c r="B277" i="38"/>
  <c r="B278" i="38"/>
  <c r="B279" i="38"/>
  <c r="B280" i="38"/>
  <c r="B281" i="38"/>
  <c r="B282" i="38"/>
  <c r="B283" i="38"/>
  <c r="B284" i="38"/>
  <c r="B285" i="38"/>
  <c r="B286" i="38"/>
  <c r="B287" i="38"/>
  <c r="B288" i="38"/>
  <c r="B289" i="38"/>
  <c r="B290" i="38"/>
  <c r="B291" i="38"/>
  <c r="B292" i="38"/>
  <c r="B293" i="38"/>
  <c r="B294" i="38"/>
  <c r="B295" i="38"/>
  <c r="B296" i="38"/>
  <c r="B297" i="38"/>
  <c r="B298" i="38"/>
  <c r="B299" i="38"/>
  <c r="B300" i="38"/>
  <c r="B301" i="38"/>
  <c r="B302" i="38"/>
  <c r="B303" i="38"/>
  <c r="B304" i="38"/>
  <c r="B305" i="38"/>
  <c r="B306" i="38"/>
  <c r="B307" i="38"/>
  <c r="B308" i="38"/>
  <c r="B309" i="38"/>
  <c r="B310" i="38"/>
  <c r="B311" i="38"/>
  <c r="B312" i="38"/>
  <c r="B313" i="38"/>
  <c r="B314" i="38"/>
  <c r="B315" i="38"/>
  <c r="B316" i="38"/>
  <c r="B317" i="38"/>
  <c r="B318" i="38"/>
  <c r="B319" i="38"/>
  <c r="B320" i="38"/>
  <c r="B321" i="38"/>
  <c r="B322" i="38"/>
  <c r="B323" i="38"/>
  <c r="B324" i="38"/>
  <c r="B325" i="38"/>
  <c r="B326" i="38"/>
  <c r="B327" i="38"/>
  <c r="B328" i="38"/>
  <c r="B329" i="38"/>
  <c r="B330" i="38"/>
  <c r="B331" i="38"/>
  <c r="B332" i="38"/>
  <c r="B333" i="38"/>
  <c r="B334" i="38"/>
  <c r="B335" i="38"/>
  <c r="B336" i="38"/>
  <c r="B337" i="38"/>
  <c r="B338" i="38"/>
  <c r="B339" i="38"/>
  <c r="B340" i="38"/>
  <c r="B341" i="38"/>
  <c r="B342" i="38"/>
  <c r="B343" i="38"/>
  <c r="B344" i="38"/>
  <c r="B345" i="38"/>
  <c r="B346" i="38"/>
  <c r="B347" i="38"/>
  <c r="B348" i="38"/>
  <c r="B349" i="38"/>
  <c r="B350" i="38"/>
  <c r="B351" i="38"/>
  <c r="B352" i="38"/>
  <c r="B353" i="38"/>
  <c r="B354" i="38"/>
  <c r="B355" i="38"/>
  <c r="B356" i="38"/>
  <c r="B357" i="38"/>
  <c r="B358" i="38"/>
  <c r="B359" i="38"/>
  <c r="B360" i="38"/>
  <c r="B361" i="38"/>
  <c r="B362" i="38"/>
  <c r="B363" i="38"/>
  <c r="B364" i="38"/>
  <c r="B365" i="38"/>
  <c r="B366" i="38"/>
  <c r="B367" i="38"/>
  <c r="B368" i="38"/>
  <c r="B369" i="38"/>
  <c r="B370" i="38"/>
  <c r="B371" i="38"/>
  <c r="B372" i="38"/>
  <c r="B373" i="38"/>
  <c r="B374" i="38"/>
  <c r="B375" i="38"/>
  <c r="B376" i="38"/>
  <c r="B377" i="38"/>
  <c r="B378" i="38"/>
  <c r="B379" i="38"/>
  <c r="B380" i="38"/>
  <c r="B381" i="38"/>
  <c r="B382" i="38"/>
  <c r="B383" i="38"/>
  <c r="B384" i="38"/>
  <c r="B385" i="38"/>
  <c r="B386" i="38"/>
  <c r="B387" i="38"/>
  <c r="B388" i="38"/>
  <c r="B389" i="38"/>
  <c r="B390" i="38"/>
  <c r="B391" i="38"/>
  <c r="B392" i="38"/>
  <c r="B393" i="38"/>
  <c r="B394" i="38"/>
  <c r="B395" i="38"/>
  <c r="B396" i="38"/>
  <c r="B397" i="38"/>
  <c r="B398" i="38"/>
  <c r="B399" i="38"/>
  <c r="B400" i="38"/>
  <c r="B401" i="38"/>
  <c r="B402" i="38"/>
  <c r="B403" i="38"/>
  <c r="B404" i="38"/>
  <c r="B405" i="38"/>
  <c r="B406" i="38"/>
  <c r="B407" i="38"/>
  <c r="B408" i="38"/>
  <c r="B409" i="38"/>
  <c r="B410" i="38"/>
  <c r="B411" i="38"/>
  <c r="B412" i="38"/>
  <c r="B413" i="38"/>
  <c r="B414" i="38"/>
  <c r="B415" i="38"/>
  <c r="B416" i="38"/>
  <c r="B417" i="38"/>
  <c r="B418" i="38"/>
  <c r="B419" i="38"/>
  <c r="B420" i="38"/>
  <c r="B421" i="38"/>
  <c r="B422" i="38"/>
  <c r="B423" i="38"/>
  <c r="B424" i="38"/>
  <c r="B425" i="38"/>
  <c r="B426" i="38"/>
  <c r="B427" i="38"/>
  <c r="B428" i="38"/>
  <c r="B429" i="38"/>
  <c r="B430" i="38"/>
  <c r="B431" i="38"/>
  <c r="B432" i="38"/>
  <c r="B433" i="38"/>
  <c r="B434" i="38"/>
  <c r="B435" i="38"/>
  <c r="B436" i="38"/>
  <c r="B437" i="38"/>
  <c r="B2" i="38"/>
  <c r="A3" i="38"/>
  <c r="A4" i="38"/>
  <c r="A5" i="38"/>
  <c r="A6" i="38"/>
  <c r="A7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A73" i="38"/>
  <c r="A74" i="38"/>
  <c r="A75" i="38"/>
  <c r="A76" i="38"/>
  <c r="A77" i="38"/>
  <c r="A78" i="38"/>
  <c r="A79" i="38"/>
  <c r="A80" i="38"/>
  <c r="A81" i="38"/>
  <c r="A82" i="38"/>
  <c r="A83" i="38"/>
  <c r="A84" i="38"/>
  <c r="A85" i="38"/>
  <c r="A86" i="38"/>
  <c r="A87" i="38"/>
  <c r="A88" i="38"/>
  <c r="A89" i="38"/>
  <c r="A90" i="38"/>
  <c r="A91" i="38"/>
  <c r="A92" i="38"/>
  <c r="A93" i="38"/>
  <c r="A94" i="38"/>
  <c r="A95" i="38"/>
  <c r="A96" i="38"/>
  <c r="A97" i="38"/>
  <c r="A98" i="38"/>
  <c r="A99" i="38"/>
  <c r="A100" i="38"/>
  <c r="A101" i="38"/>
  <c r="A102" i="38"/>
  <c r="A103" i="38"/>
  <c r="A104" i="38"/>
  <c r="A105" i="38"/>
  <c r="A106" i="38"/>
  <c r="A107" i="38"/>
  <c r="A108" i="38"/>
  <c r="A109" i="38"/>
  <c r="A110" i="38"/>
  <c r="A111" i="38"/>
  <c r="A112" i="38"/>
  <c r="A113" i="38"/>
  <c r="A114" i="38"/>
  <c r="A115" i="38"/>
  <c r="A116" i="38"/>
  <c r="A117" i="38"/>
  <c r="A118" i="38"/>
  <c r="A119" i="38"/>
  <c r="A120" i="38"/>
  <c r="A121" i="38"/>
  <c r="A122" i="38"/>
  <c r="A123" i="38"/>
  <c r="A124" i="38"/>
  <c r="A125" i="38"/>
  <c r="A126" i="38"/>
  <c r="A127" i="38"/>
  <c r="A128" i="38"/>
  <c r="A129" i="38"/>
  <c r="A130" i="38"/>
  <c r="A131" i="38"/>
  <c r="A132" i="38"/>
  <c r="A133" i="38"/>
  <c r="A134" i="38"/>
  <c r="A135" i="38"/>
  <c r="A136" i="38"/>
  <c r="A137" i="38"/>
  <c r="A138" i="38"/>
  <c r="A139" i="38"/>
  <c r="A140" i="38"/>
  <c r="A141" i="38"/>
  <c r="A142" i="38"/>
  <c r="A143" i="38"/>
  <c r="A144" i="38"/>
  <c r="A145" i="38"/>
  <c r="A146" i="38"/>
  <c r="A147" i="38"/>
  <c r="A148" i="38"/>
  <c r="A149" i="38"/>
  <c r="A150" i="38"/>
  <c r="A151" i="38"/>
  <c r="A152" i="38"/>
  <c r="A153" i="38"/>
  <c r="A154" i="38"/>
  <c r="A155" i="38"/>
  <c r="A156" i="38"/>
  <c r="A157" i="38"/>
  <c r="A158" i="38"/>
  <c r="A159" i="38"/>
  <c r="A160" i="38"/>
  <c r="A161" i="38"/>
  <c r="A162" i="38"/>
  <c r="A163" i="38"/>
  <c r="A164" i="38"/>
  <c r="A165" i="38"/>
  <c r="A166" i="38"/>
  <c r="A167" i="38"/>
  <c r="A168" i="38"/>
  <c r="A169" i="38"/>
  <c r="A170" i="38"/>
  <c r="A171" i="38"/>
  <c r="A172" i="38"/>
  <c r="A173" i="38"/>
  <c r="A174" i="38"/>
  <c r="A175" i="38"/>
  <c r="A176" i="38"/>
  <c r="A177" i="38"/>
  <c r="A178" i="38"/>
  <c r="A179" i="38"/>
  <c r="A180" i="38"/>
  <c r="A181" i="38"/>
  <c r="A182" i="38"/>
  <c r="A183" i="38"/>
  <c r="A184" i="38"/>
  <c r="A185" i="38"/>
  <c r="A186" i="38"/>
  <c r="A187" i="38"/>
  <c r="A188" i="38"/>
  <c r="A189" i="38"/>
  <c r="A190" i="38"/>
  <c r="A191" i="38"/>
  <c r="A192" i="38"/>
  <c r="A193" i="38"/>
  <c r="A194" i="38"/>
  <c r="A195" i="38"/>
  <c r="A196" i="38"/>
  <c r="A197" i="38"/>
  <c r="A198" i="38"/>
  <c r="A199" i="38"/>
  <c r="A200" i="38"/>
  <c r="A201" i="38"/>
  <c r="A202" i="38"/>
  <c r="A203" i="38"/>
  <c r="A204" i="38"/>
  <c r="A205" i="38"/>
  <c r="A206" i="38"/>
  <c r="A207" i="38"/>
  <c r="A208" i="38"/>
  <c r="A209" i="38"/>
  <c r="A210" i="38"/>
  <c r="A211" i="38"/>
  <c r="A212" i="38"/>
  <c r="A213" i="38"/>
  <c r="A214" i="38"/>
  <c r="A215" i="38"/>
  <c r="A216" i="38"/>
  <c r="A217" i="38"/>
  <c r="A218" i="38"/>
  <c r="A219" i="38"/>
  <c r="A220" i="38"/>
  <c r="A221" i="38"/>
  <c r="A222" i="38"/>
  <c r="A223" i="38"/>
  <c r="A224" i="38"/>
  <c r="A225" i="38"/>
  <c r="A226" i="38"/>
  <c r="A227" i="38"/>
  <c r="A228" i="38"/>
  <c r="A229" i="38"/>
  <c r="A230" i="38"/>
  <c r="A231" i="38"/>
  <c r="A232" i="38"/>
  <c r="A233" i="38"/>
  <c r="A234" i="38"/>
  <c r="A235" i="38"/>
  <c r="A236" i="38"/>
  <c r="A237" i="38"/>
  <c r="A238" i="38"/>
  <c r="A239" i="38"/>
  <c r="A240" i="38"/>
  <c r="A241" i="38"/>
  <c r="A242" i="38"/>
  <c r="A243" i="38"/>
  <c r="A244" i="38"/>
  <c r="A245" i="38"/>
  <c r="A246" i="38"/>
  <c r="A247" i="38"/>
  <c r="A248" i="38"/>
  <c r="A249" i="38"/>
  <c r="A250" i="38"/>
  <c r="A251" i="38"/>
  <c r="A252" i="38"/>
  <c r="A253" i="38"/>
  <c r="A254" i="38"/>
  <c r="A255" i="38"/>
  <c r="A256" i="38"/>
  <c r="A257" i="38"/>
  <c r="A258" i="38"/>
  <c r="A259" i="38"/>
  <c r="A260" i="38"/>
  <c r="A261" i="38"/>
  <c r="A262" i="38"/>
  <c r="A263" i="38"/>
  <c r="A264" i="38"/>
  <c r="A265" i="38"/>
  <c r="A266" i="38"/>
  <c r="A267" i="38"/>
  <c r="A268" i="38"/>
  <c r="A269" i="38"/>
  <c r="A270" i="38"/>
  <c r="A271" i="38"/>
  <c r="A272" i="38"/>
  <c r="A273" i="38"/>
  <c r="A274" i="38"/>
  <c r="A275" i="38"/>
  <c r="A276" i="38"/>
  <c r="A277" i="38"/>
  <c r="A278" i="38"/>
  <c r="A279" i="38"/>
  <c r="A280" i="38"/>
  <c r="A281" i="38"/>
  <c r="A282" i="38"/>
  <c r="A283" i="38"/>
  <c r="A284" i="38"/>
  <c r="A285" i="38"/>
  <c r="A286" i="38"/>
  <c r="A287" i="38"/>
  <c r="A288" i="38"/>
  <c r="A289" i="38"/>
  <c r="A290" i="38"/>
  <c r="A291" i="38"/>
  <c r="A292" i="38"/>
  <c r="A293" i="38"/>
  <c r="A294" i="38"/>
  <c r="A295" i="38"/>
  <c r="A296" i="38"/>
  <c r="A297" i="38"/>
  <c r="A298" i="38"/>
  <c r="A299" i="38"/>
  <c r="A300" i="38"/>
  <c r="A301" i="38"/>
  <c r="A302" i="38"/>
  <c r="A303" i="38"/>
  <c r="A304" i="38"/>
  <c r="A305" i="38"/>
  <c r="A306" i="38"/>
  <c r="A307" i="38"/>
  <c r="A308" i="38"/>
  <c r="A309" i="38"/>
  <c r="A310" i="38"/>
  <c r="A311" i="38"/>
  <c r="A312" i="38"/>
  <c r="A313" i="38"/>
  <c r="A314" i="38"/>
  <c r="A315" i="38"/>
  <c r="A316" i="38"/>
  <c r="A317" i="38"/>
  <c r="A318" i="38"/>
  <c r="A319" i="38"/>
  <c r="A320" i="38"/>
  <c r="A321" i="38"/>
  <c r="A322" i="38"/>
  <c r="A323" i="38"/>
  <c r="A324" i="38"/>
  <c r="A325" i="38"/>
  <c r="A326" i="38"/>
  <c r="A327" i="38"/>
  <c r="A328" i="38"/>
  <c r="A329" i="38"/>
  <c r="A330" i="38"/>
  <c r="A331" i="38"/>
  <c r="A332" i="38"/>
  <c r="A333" i="38"/>
  <c r="A334" i="38"/>
  <c r="A335" i="38"/>
  <c r="A336" i="38"/>
  <c r="A337" i="38"/>
  <c r="A338" i="38"/>
  <c r="A339" i="38"/>
  <c r="A340" i="38"/>
  <c r="A341" i="38"/>
  <c r="A342" i="38"/>
  <c r="A343" i="38"/>
  <c r="A344" i="38"/>
  <c r="A345" i="38"/>
  <c r="A346" i="38"/>
  <c r="A347" i="38"/>
  <c r="A348" i="38"/>
  <c r="A349" i="38"/>
  <c r="A350" i="38"/>
  <c r="A351" i="38"/>
  <c r="A352" i="38"/>
  <c r="A353" i="38"/>
  <c r="A354" i="38"/>
  <c r="A355" i="38"/>
  <c r="A356" i="38"/>
  <c r="A357" i="38"/>
  <c r="A358" i="38"/>
  <c r="A359" i="38"/>
  <c r="A360" i="38"/>
  <c r="A361" i="38"/>
  <c r="A362" i="38"/>
  <c r="A363" i="38"/>
  <c r="A364" i="38"/>
  <c r="A365" i="38"/>
  <c r="A366" i="38"/>
  <c r="A367" i="38"/>
  <c r="A368" i="38"/>
  <c r="A369" i="38"/>
  <c r="A370" i="38"/>
  <c r="A371" i="38"/>
  <c r="A372" i="38"/>
  <c r="A373" i="38"/>
  <c r="A374" i="38"/>
  <c r="A375" i="38"/>
  <c r="A376" i="38"/>
  <c r="A377" i="38"/>
  <c r="A378" i="38"/>
  <c r="A379" i="38"/>
  <c r="A380" i="38"/>
  <c r="A381" i="38"/>
  <c r="A382" i="38"/>
  <c r="A383" i="38"/>
  <c r="A384" i="38"/>
  <c r="A385" i="38"/>
  <c r="A386" i="38"/>
  <c r="A387" i="38"/>
  <c r="A388" i="38"/>
  <c r="A389" i="38"/>
  <c r="A390" i="38"/>
  <c r="A391" i="38"/>
  <c r="A392" i="38"/>
  <c r="A393" i="38"/>
  <c r="A394" i="38"/>
  <c r="A395" i="38"/>
  <c r="A396" i="38"/>
  <c r="A397" i="38"/>
  <c r="A398" i="38"/>
  <c r="A399" i="38"/>
  <c r="A400" i="38"/>
  <c r="A401" i="38"/>
  <c r="A402" i="38"/>
  <c r="A403" i="38"/>
  <c r="A404" i="38"/>
  <c r="A405" i="38"/>
  <c r="A406" i="38"/>
  <c r="A407" i="38"/>
  <c r="A408" i="38"/>
  <c r="A409" i="38"/>
  <c r="A410" i="38"/>
  <c r="A411" i="38"/>
  <c r="A412" i="38"/>
  <c r="A413" i="38"/>
  <c r="A414" i="38"/>
  <c r="A415" i="38"/>
  <c r="A416" i="38"/>
  <c r="A417" i="38"/>
  <c r="A418" i="38"/>
  <c r="A419" i="38"/>
  <c r="A420" i="38"/>
  <c r="A421" i="38"/>
  <c r="A422" i="38"/>
  <c r="A423" i="38"/>
  <c r="A424" i="38"/>
  <c r="A425" i="38"/>
  <c r="A426" i="38"/>
  <c r="A427" i="38"/>
  <c r="A428" i="38"/>
  <c r="A429" i="38"/>
  <c r="A430" i="38"/>
  <c r="A431" i="38"/>
  <c r="A432" i="38"/>
  <c r="A433" i="38"/>
  <c r="A434" i="38"/>
  <c r="A435" i="38"/>
  <c r="A436" i="38"/>
  <c r="A437" i="38"/>
  <c r="A2" i="38"/>
  <c r="G3" i="3"/>
  <c r="F2" i="6"/>
  <c r="E9" i="2" l="1"/>
  <c r="D71" i="11" l="1"/>
  <c r="D62" i="5"/>
  <c r="F42" i="6"/>
  <c r="L163" i="2"/>
  <c r="D8" i="17"/>
  <c r="D19" i="37"/>
  <c r="D12" i="37" s="1"/>
  <c r="D4" i="37"/>
  <c r="G101" i="2"/>
  <c r="G83" i="2" s="1"/>
  <c r="G67" i="2"/>
  <c r="G48" i="2" s="1"/>
  <c r="D46" i="11"/>
  <c r="D100" i="5"/>
  <c r="D110" i="5"/>
  <c r="N4" i="24"/>
  <c r="D83" i="11"/>
  <c r="D6" i="11"/>
  <c r="C59" i="5"/>
  <c r="D51" i="5" s="1"/>
  <c r="E44" i="11"/>
  <c r="D81" i="5"/>
  <c r="D4" i="5"/>
  <c r="G69" i="2"/>
  <c r="D127" i="11" l="1"/>
  <c r="D140" i="11" l="1"/>
  <c r="E38" i="25"/>
  <c r="G9" i="25" s="1"/>
  <c r="D78" i="11" l="1"/>
  <c r="D89" i="11"/>
  <c r="D15" i="17"/>
  <c r="D38" i="11"/>
  <c r="Q124" i="5" l="1"/>
  <c r="F56" i="6"/>
  <c r="F15" i="6" s="1"/>
  <c r="I3" i="6" s="1"/>
  <c r="G409" i="2"/>
  <c r="D116" i="5" l="1"/>
  <c r="D102" i="5"/>
  <c r="F30" i="2" l="1"/>
  <c r="G50" i="2" s="1"/>
  <c r="G193" i="2" l="1"/>
  <c r="F193" i="2"/>
  <c r="G170" i="3" l="1"/>
  <c r="G146" i="3" s="1"/>
  <c r="G143" i="3"/>
  <c r="G119" i="3" s="1"/>
  <c r="D96" i="3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G116" i="3"/>
  <c r="G92" i="3" s="1"/>
  <c r="G90" i="3"/>
  <c r="G66" i="3" s="1"/>
  <c r="N4" i="18" l="1"/>
  <c r="M4" i="18"/>
  <c r="L4" i="18"/>
  <c r="K4" i="18"/>
  <c r="D38" i="5"/>
  <c r="D31" i="5" s="1"/>
  <c r="D389" i="2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F285" i="2"/>
  <c r="G357" i="2" l="1"/>
  <c r="D69" i="12"/>
  <c r="D61" i="12"/>
  <c r="D54" i="12"/>
  <c r="D30" i="12"/>
  <c r="D21" i="12"/>
  <c r="D13" i="12"/>
  <c r="D6" i="12"/>
  <c r="D121" i="11"/>
  <c r="D116" i="11"/>
  <c r="D107" i="11"/>
  <c r="D76" i="11" s="1"/>
  <c r="D30" i="11"/>
  <c r="D21" i="11"/>
  <c r="D13" i="11"/>
  <c r="D24" i="17"/>
  <c r="D17" i="17" s="1"/>
  <c r="D23" i="5"/>
  <c r="D2" i="5" s="1"/>
  <c r="G165" i="2"/>
  <c r="G195" i="2"/>
  <c r="G275" i="2"/>
  <c r="G267" i="2" s="1"/>
  <c r="G277" i="2"/>
  <c r="G306" i="2"/>
  <c r="D4" i="11" l="1"/>
  <c r="D52" i="12"/>
  <c r="D4" i="12"/>
  <c r="G333" i="2"/>
  <c r="G385" i="2"/>
  <c r="G439" i="2"/>
  <c r="G447" i="2"/>
  <c r="G383" i="2"/>
  <c r="G265" i="2"/>
  <c r="G258" i="2" s="1"/>
  <c r="G256" i="2"/>
  <c r="G247" i="2" s="1"/>
  <c r="G245" i="2"/>
  <c r="G236" i="2" s="1"/>
  <c r="G234" i="2"/>
  <c r="G223" i="2" s="1"/>
  <c r="G105" i="2"/>
  <c r="G359" i="2" l="1"/>
  <c r="G331" i="2" s="1"/>
  <c r="D2" i="11"/>
  <c r="D2" i="12"/>
  <c r="F39" i="6" l="1"/>
  <c r="F34" i="6" s="1"/>
  <c r="D363" i="2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G435" i="2"/>
  <c r="G411" i="2" s="1"/>
  <c r="G325" i="2" s="1"/>
  <c r="F46" i="2"/>
  <c r="G28" i="2" s="1"/>
  <c r="G26" i="2" s="1"/>
  <c r="F49" i="6"/>
  <c r="F44" i="6" s="1"/>
  <c r="D415" i="2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91" i="5"/>
  <c r="Q66" i="3"/>
  <c r="F32" i="6"/>
  <c r="F27" i="6" s="1"/>
  <c r="E12" i="2" l="1"/>
  <c r="G12" i="2" s="1"/>
  <c r="G64" i="3"/>
  <c r="I9" i="25" l="1"/>
  <c r="I20" i="25" s="1"/>
  <c r="G20" i="2"/>
  <c r="E10" i="2"/>
  <c r="G10" i="2" s="1"/>
  <c r="G9" i="2" l="1"/>
  <c r="G35" i="3" l="1"/>
  <c r="G11" i="3" l="1"/>
  <c r="G61" i="3" l="1"/>
  <c r="G37" i="3" s="1"/>
  <c r="G9" i="3" s="1"/>
  <c r="J3" i="3" s="1"/>
  <c r="G302" i="2"/>
  <c r="G297" i="2" s="1"/>
  <c r="G221" i="2" s="1"/>
  <c r="G137" i="2"/>
  <c r="G103" i="2" s="1"/>
  <c r="G14" i="2" l="1"/>
  <c r="E8" i="2" s="1"/>
  <c r="G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T120" authorId="0" shapeId="0" xr:uid="{D7FC0DC4-FA58-4034-BDEF-7D050DE01280}">
      <text>
        <r>
          <rPr>
            <b/>
            <sz val="9"/>
            <color indexed="81"/>
            <rFont val="Tahoma"/>
            <family val="2"/>
          </rPr>
          <t>Completar este campo en el caso que en la columna "P" la opcion elegida pertenezca a una  por una amortizacion acelerada. Sino omitir el mismo.</t>
        </r>
      </text>
    </comment>
    <comment ref="D152" authorId="0" shapeId="0" xr:uid="{88BC993C-BE18-4A02-AA99-C1EBD79E06D2}">
      <text>
        <r>
          <rPr>
            <b/>
            <sz val="9"/>
            <color indexed="81"/>
            <rFont val="Tahoma"/>
            <family val="2"/>
          </rPr>
          <t>Ingresar solo mes y año.</t>
        </r>
      </text>
    </comment>
    <comment ref="N152" authorId="0" shapeId="0" xr:uid="{213E3671-9404-4D25-B9CC-BC0ABD69212F}">
      <text>
        <r>
          <rPr>
            <b/>
            <sz val="9"/>
            <color indexed="81"/>
            <rFont val="Tahoma"/>
            <family val="2"/>
          </rPr>
          <t>Completar este campo en el caso que en la columna "K" la opcion elegida pertenezca a una  por una amortizacion acelerada. Sino omitir el mismo.</t>
        </r>
      </text>
    </comment>
    <comment ref="E186" authorId="0" shapeId="0" xr:uid="{A0EF1533-A0EC-4B57-811E-288504F9D9E3}">
      <text>
        <r>
          <rPr>
            <b/>
            <sz val="9"/>
            <color indexed="81"/>
            <rFont val="Tahoma"/>
            <family val="2"/>
          </rPr>
          <t>Ingresar mes y año</t>
        </r>
      </text>
    </comment>
    <comment ref="I186" authorId="0" shapeId="0" xr:uid="{DE20A781-ADB9-435C-BFDB-4D46071D81B6}">
      <text>
        <r>
          <rPr>
            <b/>
            <sz val="9"/>
            <color indexed="81"/>
            <rFont val="Tahoma"/>
            <family val="2"/>
          </rPr>
          <t>Completar este campo en el caso que en la columna "G" la opcion elegida pertenezca a una  por una amortizacion acelerada. Sino omitir el mismo.</t>
        </r>
      </text>
    </comment>
    <comment ref="D225" authorId="0" shapeId="0" xr:uid="{3742E57D-A880-4B7D-B438-2726713E0859}">
      <text>
        <r>
          <rPr>
            <sz val="9"/>
            <color indexed="81"/>
            <rFont val="Tahoma"/>
            <family val="2"/>
          </rPr>
          <t>Solo completar este campo en el caso que la opcion de la columna descripcion sea "Carga manual" o si no se encuentra la descripcion deseada.</t>
        </r>
      </text>
    </comment>
    <comment ref="F225" authorId="0" shapeId="0" xr:uid="{DCA43BEF-FCF2-4A3F-9056-0817B747707E}">
      <text>
        <r>
          <rPr>
            <sz val="9"/>
            <color indexed="81"/>
            <rFont val="Tahoma"/>
            <family val="2"/>
          </rPr>
          <t xml:space="preserve">Solo completar este campo en el caso que la opcion de la columna descripcion sea "Carga manual" o si no se encuentra la descripcion deseada.
</t>
        </r>
      </text>
    </comment>
    <comment ref="D238" authorId="0" shapeId="0" xr:uid="{A4B0DE9C-E11D-40D2-97F8-5B545FA885FD}">
      <text>
        <r>
          <rPr>
            <sz val="9"/>
            <color indexed="81"/>
            <rFont val="Tahoma"/>
            <family val="2"/>
          </rPr>
          <t xml:space="preserve">Solo completar este campo en el caso que la opcion de la columna descripcion sea "Carga manual" o si no se encuentra la descripcion deseada.
</t>
        </r>
      </text>
    </comment>
    <comment ref="F238" authorId="0" shapeId="0" xr:uid="{7B2ABC09-F41C-4BA8-BB92-6E58BCCAC349}">
      <text>
        <r>
          <rPr>
            <sz val="9"/>
            <color indexed="81"/>
            <rFont val="Tahoma"/>
            <family val="2"/>
          </rPr>
          <t xml:space="preserve">Solo completar este campo en el caso que la opcion de la columna descripcion sea "Carga manual" o si no se encuentra la descripcion deseada.
</t>
        </r>
      </text>
    </comment>
    <comment ref="D249" authorId="0" shapeId="0" xr:uid="{B6FC067B-5894-477C-9761-DAB1B396BF0C}">
      <text>
        <r>
          <rPr>
            <sz val="9"/>
            <color indexed="81"/>
            <rFont val="Tahoma"/>
            <family val="2"/>
          </rPr>
          <t>Solo completar este campo en el caso que la opcion de la columna descripcion sea "Carga manual" o si no se encuentra la descripcion deseada.</t>
        </r>
      </text>
    </comment>
    <comment ref="F249" authorId="0" shapeId="0" xr:uid="{F82D55DC-A38B-4626-B68C-F09FDF9D5B07}">
      <text>
        <r>
          <rPr>
            <sz val="9"/>
            <color indexed="81"/>
            <rFont val="Tahoma"/>
            <family val="2"/>
          </rPr>
          <t>Solo completar este campo en el caso que la opcion de la columna descripcion sea "Carga manual" o si no se encuentra la descripcion deseada.</t>
        </r>
      </text>
    </comment>
    <comment ref="E260" authorId="0" shapeId="0" xr:uid="{68CC3138-E2F1-49AC-A166-CD2F5A944416}">
      <text>
        <r>
          <rPr>
            <sz val="9"/>
            <color indexed="81"/>
            <rFont val="Tahoma"/>
            <family val="2"/>
          </rPr>
          <t xml:space="preserve">Solo completar este campo en el caso que la opcion de la columna descripcion sea "Carga manual" o si no se encuentra la descripcion deseada.
</t>
        </r>
      </text>
    </comment>
    <comment ref="E269" authorId="0" shapeId="0" xr:uid="{392F276A-8614-47CD-A446-7AA140E89269}">
      <text>
        <r>
          <rPr>
            <sz val="9"/>
            <color indexed="81"/>
            <rFont val="Tahoma"/>
            <family val="2"/>
          </rPr>
          <t xml:space="preserve">Solo completar este campo en el caso que la opcion de la columna descripcion sea "Carga manual" o si no se encuentra la descripcion deseada.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Rombola, Augusto</author>
  </authors>
  <commentList>
    <comment ref="F7" authorId="0" shapeId="0" xr:uid="{1D985F84-3A95-492C-9879-73B4339FA288}">
      <text>
        <r>
          <rPr>
            <sz val="9"/>
            <color indexed="81"/>
            <rFont val="Calibri"/>
            <family val="2"/>
            <scheme val="minor"/>
          </rPr>
          <t>En caso de que en este campo se elija exterior, deberá completar los siguientes campos</t>
        </r>
      </text>
    </comment>
  </commentList>
</comments>
</file>

<file path=xl/sharedStrings.xml><?xml version="1.0" encoding="utf-8"?>
<sst xmlns="http://schemas.openxmlformats.org/spreadsheetml/2006/main" count="4965" uniqueCount="4670">
  <si>
    <t xml:space="preserve">PANEL DE PROCESO </t>
  </si>
  <si>
    <t xml:space="preserve">Nombre Declaracion </t>
  </si>
  <si>
    <t>Procesa (SI/NO)</t>
  </si>
  <si>
    <t>ACTIVO</t>
  </si>
  <si>
    <t>NO</t>
  </si>
  <si>
    <t xml:space="preserve">PASIVO </t>
  </si>
  <si>
    <t xml:space="preserve">PATRIMONIO </t>
  </si>
  <si>
    <t>RESULTADOS</t>
  </si>
  <si>
    <t>Rtdo contable s.fuente</t>
  </si>
  <si>
    <t>IDyC DJ</t>
  </si>
  <si>
    <t>IDyC Anticipos</t>
  </si>
  <si>
    <t>RETEN. Y PERC.</t>
  </si>
  <si>
    <t>PERC. ADUANERO RG3577</t>
  </si>
  <si>
    <t>OTROS</t>
  </si>
  <si>
    <t xml:space="preserve">Ajustes Fuente Argentina </t>
  </si>
  <si>
    <t xml:space="preserve">Ajustes Fuente Extranjera </t>
  </si>
  <si>
    <t>Quebrantos F.A.</t>
  </si>
  <si>
    <t>Quebrantos F.E.</t>
  </si>
  <si>
    <t>Datos Descriptivos - Modificando Declaración Jurada</t>
  </si>
  <si>
    <t>CUADROS CHICOS SON PARA TILDE</t>
  </si>
  <si>
    <t>Datos de la Declaración Jurada</t>
  </si>
  <si>
    <t xml:space="preserve">EMPRESA: </t>
  </si>
  <si>
    <t>Año Fiscal</t>
  </si>
  <si>
    <t>Original/Rect.</t>
  </si>
  <si>
    <t>Cantidad de meses</t>
  </si>
  <si>
    <t>Mes de Cierre</t>
  </si>
  <si>
    <t>Establecimiento</t>
  </si>
  <si>
    <t>Ejercicio Fiscal Irregular</t>
  </si>
  <si>
    <r>
      <t>(</t>
    </r>
    <r>
      <rPr>
        <i/>
        <sz val="11"/>
        <rFont val="Calibri"/>
        <family val="2"/>
      </rPr>
      <t>COMPLETAR CON UNA X SOLO EN CASO QUE CORRESPONDA EJERCICIO IRREGULAR Y COMPLETAR TODOS LOS DATOS DEL RECUADRO)</t>
    </r>
  </si>
  <si>
    <t>Es primer ejercicio?</t>
  </si>
  <si>
    <t>Es irregular por cese de actividad?</t>
  </si>
  <si>
    <t>Es irregular por cambio de cierre?</t>
  </si>
  <si>
    <t>Fecha de Inicio del Período Fiscal que declara</t>
  </si>
  <si>
    <t>Fecha de Finalización del Período Fiscal que declara</t>
  </si>
  <si>
    <r>
      <t>(</t>
    </r>
    <r>
      <rPr>
        <i/>
        <sz val="10"/>
        <rFont val="Calibri"/>
        <family val="2"/>
      </rPr>
      <t>COMPLETAR CON UNA X SOLO EN CASO QUE CORRESPONDA Y COMPLETAR CUIT DEBAJO)</t>
    </r>
  </si>
  <si>
    <t>Zona de Emergencia Agropecuaria</t>
  </si>
  <si>
    <t>Es empresa continuadora?</t>
  </si>
  <si>
    <t>Zona de Desastre Agropecuario</t>
  </si>
  <si>
    <t>CUIT Empresa Antecesora</t>
  </si>
  <si>
    <t>Utiliza Beneficios de amortización Acelerada</t>
  </si>
  <si>
    <t>(COMPLETAR EL PRIMERO O EL SEGUNDO EN CASO DE CORRESPONDER)</t>
  </si>
  <si>
    <t>Entidad exenta</t>
  </si>
  <si>
    <t>Estabilidad Fiscal</t>
  </si>
  <si>
    <t>Norma Estabilidad Fiscal</t>
  </si>
  <si>
    <t>Empresa Promovida</t>
  </si>
  <si>
    <t>Cantidad de Proyectos</t>
  </si>
  <si>
    <t>Sistema de</t>
  </si>
  <si>
    <t>(EN CASO DE MARCAR ESTA OPCION COMPLETAR NORMA)</t>
  </si>
  <si>
    <t>Registración Utilizado</t>
  </si>
  <si>
    <t>Manual</t>
  </si>
  <si>
    <t>CUIT/L del contador</t>
  </si>
  <si>
    <t>Se encuentra encuadrado en el RIGI?</t>
  </si>
  <si>
    <t>Transferencia de Tecnología %</t>
  </si>
  <si>
    <t>Es RIGI primer Ejercicio?</t>
  </si>
  <si>
    <t>Tipo de Vinculación:</t>
  </si>
  <si>
    <t>Vinculación con empresas nacionales</t>
  </si>
  <si>
    <t>Vinculación con empresas internacionales</t>
  </si>
  <si>
    <t>Ninguna</t>
  </si>
  <si>
    <t>Origen de la Renta:</t>
  </si>
  <si>
    <t>Renta de Fuente Argentina</t>
  </si>
  <si>
    <t>Renta de Fuente Extranjera</t>
  </si>
  <si>
    <t>Esta obligado a presentar DJ por haber realizado:</t>
  </si>
  <si>
    <t>Está obligado a presentar DJ por haber realizado:</t>
  </si>
  <si>
    <t>Operaciones internacionales con sujetos vinculados o radicados en países de nula o baja tributación.</t>
  </si>
  <si>
    <t>Operaciones de exportación e importación de Bienes entre Sujetos Independientes a cuyo respecto pueda establecerse el precio internacional de público y notorio conocimiento a través de mercados transparentes, bolsas de comercio o similares.</t>
  </si>
  <si>
    <t>Operaciones de exportación e importación de Bienes entre Sujetos Independientes por un monto anual -en su conjunto- superior a la suma de Pesos Un Millón ($1.000.000.-), a cuyo respecto no pueda establecerse el precio internacional de público y notorio conocimiento, a través de mercados transparentes, bolsas de comercio o similares.</t>
  </si>
  <si>
    <t>No está obligado a presentar declaración jurada por haber realizado:</t>
  </si>
  <si>
    <t>Operaciones de Exportación de Importación de Bienes entre Sujetos Independientes, a cuyo respecto no pueda establecerse el precio internacional de público y notorio conocimiento a través de mercados transparentes, bolsas de comercio o similares por un monto anual en su conjunto inferior a la suma de Pesos Un Millón ($1.000.000.-)</t>
  </si>
  <si>
    <t>Certificado de Residencia:</t>
  </si>
  <si>
    <t>Solicitó Certificado de Residencia?</t>
  </si>
  <si>
    <t xml:space="preserve">Alicuota del impuesto </t>
  </si>
  <si>
    <t>Se abonará el Gravamen empleando la escala correspondiente al Art. 3 de la Ley 27.630.</t>
  </si>
  <si>
    <t>Más datos de la Declaración Jurada</t>
  </si>
  <si>
    <t>¿Aplica Normas NIIF?</t>
  </si>
  <si>
    <t>¿Realizó operaciones amparadas por algún convenio para evitar la doble imposición internacional?</t>
  </si>
  <si>
    <t>¿Percibió rentas exentas y/o no alcanzadas por aplicación de convenios para evitar la Doble Imposición Intenacional?</t>
  </si>
  <si>
    <t>¿Percibió Ingresos por juegos de azar y apuestas?</t>
  </si>
  <si>
    <t>v1.1</t>
  </si>
  <si>
    <t>EMPRESA:</t>
  </si>
  <si>
    <t>CUIT:</t>
  </si>
  <si>
    <t>DTT. TEAMS</t>
  </si>
  <si>
    <t>¿Habilitar Fuente Extranjera?</t>
  </si>
  <si>
    <t>Periodo Fiscal</t>
  </si>
  <si>
    <t xml:space="preserve">Saldo al </t>
  </si>
  <si>
    <t>mazar</t>
  </si>
  <si>
    <t>Secuencia:</t>
  </si>
  <si>
    <t>Original</t>
  </si>
  <si>
    <t>RESUMEN</t>
  </si>
  <si>
    <t>Siap</t>
  </si>
  <si>
    <t>s/ DETALLE</t>
  </si>
  <si>
    <t>s/ BCE.PUBLICAC.</t>
  </si>
  <si>
    <t>DIFERENCIA</t>
  </si>
  <si>
    <t>PASIVO</t>
  </si>
  <si>
    <t>PATRIMONIO</t>
  </si>
  <si>
    <t>RESULTADO</t>
  </si>
  <si>
    <t>TOTAL ACTIVO s/detalle</t>
  </si>
  <si>
    <t>Total del Activo corriente</t>
  </si>
  <si>
    <t>Total del Activo no corriente</t>
  </si>
  <si>
    <t>1,1- Total Disponibilidades</t>
  </si>
  <si>
    <t>1,1,1 Efectivo en moneda nacional</t>
  </si>
  <si>
    <t>1,1,2 Cheque en cartera</t>
  </si>
  <si>
    <t>1,1,3 Bancos</t>
  </si>
  <si>
    <t>1,1,3,1-Bancos en el país</t>
  </si>
  <si>
    <t>Razon Social</t>
  </si>
  <si>
    <t>N° CBU</t>
  </si>
  <si>
    <t xml:space="preserve"> </t>
  </si>
  <si>
    <t>TOTAL BANCOS Y CORRESPONSALES DEL PAIS</t>
  </si>
  <si>
    <t>1,1,3,2-Bancos del exterior</t>
  </si>
  <si>
    <t>Nombre de la Entidad</t>
  </si>
  <si>
    <t>CUIT PAIS</t>
  </si>
  <si>
    <t>N° de Cuenta</t>
  </si>
  <si>
    <t>TOTAL BANCOS Y CORRESPONSALES DEL EXTRANJERO</t>
  </si>
  <si>
    <t>1,1,4 -Efectivo en Moneda Extranjera</t>
  </si>
  <si>
    <t>Tipo de Moneda</t>
  </si>
  <si>
    <t>Cotización</t>
  </si>
  <si>
    <t>Fecha Cotización</t>
  </si>
  <si>
    <t>Cantidad</t>
  </si>
  <si>
    <t>TOTAL EFECTIVO EN MON.EXTRANJERA</t>
  </si>
  <si>
    <t>1,1,5 - Cuentas de Pago PSP</t>
  </si>
  <si>
    <t>CUIT</t>
  </si>
  <si>
    <t>Nombre de la Billetera</t>
  </si>
  <si>
    <t>N° de CVU</t>
  </si>
  <si>
    <t>Saldo al Cierre del Ejercicio</t>
  </si>
  <si>
    <t>TOTAL CUENTAS DE PAGO PSP</t>
  </si>
  <si>
    <t xml:space="preserve">1,2- Bienes de Uso </t>
  </si>
  <si>
    <t>1,2,1 Inmuebles</t>
  </si>
  <si>
    <t>Inmuebles al Inicio Netos de Amortizaciones Acumuladas</t>
  </si>
  <si>
    <t>Ajuste</t>
  </si>
  <si>
    <t xml:space="preserve">Altas de Ejercicio </t>
  </si>
  <si>
    <t xml:space="preserve">Bajas de Ejercicio </t>
  </si>
  <si>
    <t>Amortizacion Inmueble</t>
  </si>
  <si>
    <t>1,2,1,2 Detalle de inmuebles</t>
  </si>
  <si>
    <t>Mes y año de Adquisicion (MM-AAAA)</t>
  </si>
  <si>
    <t>Porcentaje de participacion</t>
  </si>
  <si>
    <t>Tipo</t>
  </si>
  <si>
    <t xml:space="preserve">Destino </t>
  </si>
  <si>
    <t>Calle</t>
  </si>
  <si>
    <t>Número</t>
  </si>
  <si>
    <t>Piso</t>
  </si>
  <si>
    <t>Dpto/Of.</t>
  </si>
  <si>
    <t>Localidad</t>
  </si>
  <si>
    <t>Codigo postal</t>
  </si>
  <si>
    <t>Provincia</t>
  </si>
  <si>
    <t>Catastro</t>
  </si>
  <si>
    <t>Amortizacion Acelerada Segun Ley Nro</t>
  </si>
  <si>
    <t>Amortización del periodo</t>
  </si>
  <si>
    <t>Valuacion Fiscal</t>
  </si>
  <si>
    <t>Valuacion S/ Impuesto a las Ganancias</t>
  </si>
  <si>
    <t>Importe Amortización Acelerada del Periodo</t>
  </si>
  <si>
    <t>1,2,2 Rodados</t>
  </si>
  <si>
    <t>Rodados al inicio neros de amortizaciones acumuladas</t>
  </si>
  <si>
    <t>Amortizaciones Rodados</t>
  </si>
  <si>
    <t>1,2,2,1 Detalle de Rodados al Cierre</t>
  </si>
  <si>
    <t>Patente</t>
  </si>
  <si>
    <t>Marca</t>
  </si>
  <si>
    <t>Modelo</t>
  </si>
  <si>
    <t xml:space="preserve">Fabrica </t>
  </si>
  <si>
    <t xml:space="preserve">Año de Fabricacion </t>
  </si>
  <si>
    <t>Amortizacion Acelerada segun Ley Nro</t>
  </si>
  <si>
    <t>Importe Amortizacion del Periodo</t>
  </si>
  <si>
    <t>Valuacion Segun Impuesto a las Ganancias</t>
  </si>
  <si>
    <t>1,2,3 Total de Instalaciones</t>
  </si>
  <si>
    <t>Instalaciones al Inicio neto de amortizaciones acumuldas</t>
  </si>
  <si>
    <t>Amortización Instalaciones</t>
  </si>
  <si>
    <t xml:space="preserve">1,2,3,1 Detalle de Instalaciones </t>
  </si>
  <si>
    <t>Descripción del bien</t>
  </si>
  <si>
    <t>Fecha de incorporación al patrimonio (MM/AAAA)</t>
  </si>
  <si>
    <t>Amortizacion Acelerada según Ley Nro.</t>
  </si>
  <si>
    <t>Importe Amortizacion del periodo</t>
  </si>
  <si>
    <t>1,2,4 Otros Bienes de Uso</t>
  </si>
  <si>
    <t>Otros Bienes de Uso al inicio neto de amortizaciones acumuladas</t>
  </si>
  <si>
    <t>Amortizacion otros bienes de uso</t>
  </si>
  <si>
    <t>1,2,4,1 Detalle otros bienes de uso</t>
  </si>
  <si>
    <t>Fecha de incorporación al patrimonio (DD/MM/AAAA)</t>
  </si>
  <si>
    <t>Importe amortizacion del periodo</t>
  </si>
  <si>
    <t>1,3 - Inversiones</t>
  </si>
  <si>
    <t>1,3,1 Acciones</t>
  </si>
  <si>
    <t>Descripcion</t>
  </si>
  <si>
    <t>Denominación</t>
  </si>
  <si>
    <t>Clase</t>
  </si>
  <si>
    <t>Valor</t>
  </si>
  <si>
    <t>Total</t>
  </si>
  <si>
    <t>1,3,2 Titulos Públicos</t>
  </si>
  <si>
    <t>1,3,3 Total de Obligaciones</t>
  </si>
  <si>
    <t>1,3,4 Total de Cupones</t>
  </si>
  <si>
    <t>1,3,5 Total de Fondos Comunes</t>
  </si>
  <si>
    <t xml:space="preserve">1,3,6 Total de Otras Inversiones </t>
  </si>
  <si>
    <t>Descripción</t>
  </si>
  <si>
    <t>1,3,7 Inmuebles</t>
  </si>
  <si>
    <t>1,3,8 Forestales</t>
  </si>
  <si>
    <t>1,3,9 Agrícola Ganadera</t>
  </si>
  <si>
    <t>1,3,10 Otros</t>
  </si>
  <si>
    <t>1,3,11 Previsiones</t>
  </si>
  <si>
    <t>1,3,12 Detalle de Inversiones Sociedad controlada, controlante y vinculadas</t>
  </si>
  <si>
    <t>Nombre y Apellido, Denominación o Razón Social</t>
  </si>
  <si>
    <t>N° C.U.I.T.</t>
  </si>
  <si>
    <t>Saldo al cierre</t>
  </si>
  <si>
    <t>TOTAL INV.SOC. CONTROLADA, CONTROLANTE Y/O VINCULADA</t>
  </si>
  <si>
    <t>1,4 - Bienes Intangibles</t>
  </si>
  <si>
    <t>Intangibles amortizables al Inicio Netos de Amortizaciones Acumuladas</t>
  </si>
  <si>
    <t>Amortización intangibles amortizables</t>
  </si>
  <si>
    <t>Amortización amortización acelerada</t>
  </si>
  <si>
    <t>Amortización amortización acelerada según Ley N°</t>
  </si>
  <si>
    <t>Intangibles no amortizables</t>
  </si>
  <si>
    <t>1,5 - Créditos</t>
  </si>
  <si>
    <t>1,5,1 Otros</t>
  </si>
  <si>
    <t>1,5,2 Previsiones</t>
  </si>
  <si>
    <t>1,5,3 Deudores por ventas o servicios</t>
  </si>
  <si>
    <t>1,5,3,1 Deudores por ventas o servicios locales</t>
  </si>
  <si>
    <t>SALDO AL CIERRE</t>
  </si>
  <si>
    <t>TOTAL DEUDORES POR VENTAS O SERVICIOS LOCALES</t>
  </si>
  <si>
    <t>1,5,3,2- Deudores por ventas o servicios Exterior</t>
  </si>
  <si>
    <t>TOTAL DEUDORES POR VENTAS O SERVICIOS DEL EXTERIOR</t>
  </si>
  <si>
    <t>1,5,4 Sociedad controlada, controlante y/o vinculada</t>
  </si>
  <si>
    <t>TOTAL SOCIEDAD CONTROLADA, CONTROLANTE Y/O VINCULADA</t>
  </si>
  <si>
    <t xml:space="preserve">                              </t>
  </si>
  <si>
    <t>1,5,5 - Cuentas particulares de los socios</t>
  </si>
  <si>
    <t>TOTAL CUENTAS PARTICULARES DE SOCIOS</t>
  </si>
  <si>
    <t>1,6 - Obras en curso</t>
  </si>
  <si>
    <t>Obras en curso al inicio</t>
  </si>
  <si>
    <t>Altas del ejercicio</t>
  </si>
  <si>
    <t>Bajas del ejercicio</t>
  </si>
  <si>
    <t>1,7 - Bienes de cambio</t>
  </si>
  <si>
    <t>1,7,1- Mercaderías</t>
  </si>
  <si>
    <t>1,7,2- Materias Primas</t>
  </si>
  <si>
    <t>1,7,3- Otros</t>
  </si>
  <si>
    <t>1,7,4- Productos en proceso</t>
  </si>
  <si>
    <t>1,7,5- Productos Terminados</t>
  </si>
  <si>
    <t>BANCOS</t>
  </si>
  <si>
    <t>IDYC</t>
  </si>
  <si>
    <t>tipo de moneda</t>
  </si>
  <si>
    <t>Acciones</t>
  </si>
  <si>
    <t>TITULOS PUBLICOS</t>
  </si>
  <si>
    <t>OBLIGACIONES</t>
  </si>
  <si>
    <t>CUPONES</t>
  </si>
  <si>
    <t>fci</t>
  </si>
  <si>
    <t>AMORT ACELERADA</t>
  </si>
  <si>
    <t>REGIMEN</t>
  </si>
  <si>
    <t>ACONCAGUA COOP.LTDO.</t>
  </si>
  <si>
    <t>AFGANISTAN</t>
  </si>
  <si>
    <t>CBU</t>
  </si>
  <si>
    <t>Percepción bancaria sobre los Créditos y Débitos</t>
  </si>
  <si>
    <t>Percepción bancaria o Ingreso propio</t>
  </si>
  <si>
    <t>Afgani afgano</t>
  </si>
  <si>
    <t>AGROMETAL S.A.I.  //  ordinarias escriturales (1 voto)</t>
  </si>
  <si>
    <t>BONO ACONCAGUA - PCIA.MENDOZA   //  2007</t>
  </si>
  <si>
    <t>ACTUAL S.A.  //  SERIE II</t>
  </si>
  <si>
    <t>BONOS EXTERNOS 1992 - CUPON DÓLAR U$S</t>
  </si>
  <si>
    <t>1810 AHORRO</t>
  </si>
  <si>
    <t>Ninguna Ley de amortización acelerada</t>
  </si>
  <si>
    <t>531 Import. def. bs. para venta - art. 40 1er párrafo</t>
  </si>
  <si>
    <t>AGENCIA DE CAMBIO GOMEZ S.R.L.</t>
  </si>
  <si>
    <t>ALEMANIA, REP. FED.</t>
  </si>
  <si>
    <t>CVU</t>
  </si>
  <si>
    <t>DDJJ</t>
  </si>
  <si>
    <t>Baht tailandes</t>
  </si>
  <si>
    <t>ALPARGATAS S.A.I. y C.  //  ordinarias escriturales (1 voto) u$s cable</t>
  </si>
  <si>
    <t>BONO ACONCAGUA - PCIA.MENDOZA  //  2007 - dólar (u$s)</t>
  </si>
  <si>
    <t>ACTUAL S.A.  //  SERIE V</t>
  </si>
  <si>
    <t>PRO2 CUPON IMPAGO VTO. 02.01.02</t>
  </si>
  <si>
    <t>1810 MAS AHORRO</t>
  </si>
  <si>
    <t>Nº 24.196 Inversiones Mineras</t>
  </si>
  <si>
    <t>080 Importación definitiva de bienes con C.V.D.I.</t>
  </si>
  <si>
    <t>ALAS COOP.LTDO.</t>
  </si>
  <si>
    <t>ANGUILA (Territorio no autónomo del Reino Unido)</t>
  </si>
  <si>
    <t>Balboa panameña</t>
  </si>
  <si>
    <t>ALPARGATAS S.A.I. y C.  //  ordinarias escriturales (1 voto)</t>
  </si>
  <si>
    <t>BONO ACONCAGUA - PCIA.MENDOZA  //  2007 - u$s cable</t>
  </si>
  <si>
    <t>AEROPUERTOS ARGENTINA 2000 S.A.  //  GARANTIZADAS     AERAO</t>
  </si>
  <si>
    <t>PRO1 CUPON IMPAGO VTO. 02.01.02</t>
  </si>
  <si>
    <t>1810 RENTA FIJA ARGENTINA</t>
  </si>
  <si>
    <t xml:space="preserve">Nº 25.080 Ley de Inversiones para bosques cultivados </t>
  </si>
  <si>
    <t>081 Importación definitiva de bienes para uso de importador con C.V.D.I.</t>
  </si>
  <si>
    <t>ALHEC  TOURS S.A. CAMBIO BOLSA Y TURISMO</t>
  </si>
  <si>
    <t>ANTIGUA Y BARBUDA (Estado independiente)</t>
  </si>
  <si>
    <t>Impuesto</t>
  </si>
  <si>
    <t>Birr etiope</t>
  </si>
  <si>
    <t>ALTO PALERMO SHOPPING ARGENTINO S.A.  //  ordinarias escriturales (1 voto) u$s cable</t>
  </si>
  <si>
    <t xml:space="preserve">BONO DE CANC.DE DEUDAS (PROVINCIA DE FORMOSA) LEY 1184  //  primera serie </t>
  </si>
  <si>
    <t>AEROPUERTOS ARGENTINA 2000 S.A.  //  GARANTIZADAS     OAEY1</t>
  </si>
  <si>
    <t>PRE4 CUPON IMPAGO VTO. 02.01.02</t>
  </si>
  <si>
    <t>1810 RENTA VARIABLE ARGENTINA</t>
  </si>
  <si>
    <t>Nº 25.922 Ley de Promoción de la Industria del Software</t>
  </si>
  <si>
    <t>082 Importación definitiva de bienes para uso de importador sin C.V.D.I.</t>
  </si>
  <si>
    <t>ALIANZA ROSARIO COOP.LTDO.</t>
  </si>
  <si>
    <t>ANTILLAS HOLANDESAS (Territorio de Países Bajos)</t>
  </si>
  <si>
    <t>Ganancias Personas Jurídicas</t>
  </si>
  <si>
    <t>Bolivar venezolano</t>
  </si>
  <si>
    <t>ALTO PALERMO SHOPPING ARGENTINO S.A.  //  ordinarias escriturales (1 voto)</t>
  </si>
  <si>
    <t>BONO DE CANC.DE DEUDAS (PROVINCIA DE FORMOSA) LEY 1184  //  primera serie dólar (u$s)</t>
  </si>
  <si>
    <t>AEROPUERTOS ARGENTINA 2000 S.A.  //  GARANTIZADAS U$S CABLE</t>
  </si>
  <si>
    <t>PRE3 CUPON IMPAGO VTO. 02.01.02</t>
  </si>
  <si>
    <t>1822 RAICES AHORRO PESOS</t>
  </si>
  <si>
    <t>Nº 25.924 Inversiones en Bienes de Capital nuevos y obras de infraestructura</t>
  </si>
  <si>
    <t>083 Importación definitiva de bienes sin C.V.D.I.</t>
  </si>
  <si>
    <t>AMERICAN EXPRESS BANK LTD. S.A.</t>
  </si>
  <si>
    <t>ARABIA SAUDITA</t>
  </si>
  <si>
    <t>Ganancias Personas Físicas</t>
  </si>
  <si>
    <t>Boliviano</t>
  </si>
  <si>
    <t>ALUAR ALUMINIO ARGENTINO S.A.I. y C.  //  ordinarias escrit (1 voto) u$s cable</t>
  </si>
  <si>
    <t>BONO DE CANC.DE DEUDAS (PROVINCIA DE FORMOSA) LEY 1184  //  primera serie u$s cable</t>
  </si>
  <si>
    <t>AEROPUERTOS ARGENTINA 2000 S.A.  //  OBLIGACIONES NEGOCIABLES CLASE A</t>
  </si>
  <si>
    <t>PRO3 CUPON IMPAGO VTO. 28.12.02</t>
  </si>
  <si>
    <t>1822 RAICES DOLARES PLUS CLASE A</t>
  </si>
  <si>
    <t>Nº 26.093 Régimen de Regulación y Promoción para la Producción y Uso Sustentables de Biocombustibles</t>
  </si>
  <si>
    <t>864 Operaciones de exportación definitiva para consumo</t>
  </si>
  <si>
    <t>ANDINA INTERNACIONAL CAMBIO Y TURISMO S.</t>
  </si>
  <si>
    <t>ARCHIPIELAGO DE SVBALBARD</t>
  </si>
  <si>
    <t>Ganancia Mínima Presunta</t>
  </si>
  <si>
    <t>Bosnia-Herzegovina</t>
  </si>
  <si>
    <t>ALUAR ALUMINIO ARGENTINO S.A.I. y C.  //  ordinarias escrit (1 voto)</t>
  </si>
  <si>
    <t>BONO DE LA NACION ARGENTINA EN DOLARES ESTADOUNIDENSES  //  5,75% VENC.2025  AA25</t>
  </si>
  <si>
    <t>AES ARGENTINA GENERACIÓN S.A.  //  CLASE A</t>
  </si>
  <si>
    <t>PRO4 CUPON IMPAGO VTO. 28.12.01</t>
  </si>
  <si>
    <t>1822 RAICES DOLARES PLUS CLASE B</t>
  </si>
  <si>
    <t>Nº 26.123 Promoción del Hidrógeno</t>
  </si>
  <si>
    <t>588 Ganancias. Percepcion Aduanera Metales Preciosos. RG 5815</t>
  </si>
  <si>
    <t>ANTONIO DI GIORGIO S.A., CAMBIOS Y TURIS</t>
  </si>
  <si>
    <t>ARGELIA</t>
  </si>
  <si>
    <t>Cedi ghanés</t>
  </si>
  <si>
    <t>ANDES ENERGIA PLC.  //  ordinarias (1 voto)</t>
  </si>
  <si>
    <t>BONO DE LA NACION ARGENTINA EN DOLARES ESTADOUNIDENSES  //  5,75% VENC.2025  AA25X</t>
  </si>
  <si>
    <t>AGROEMPRESA COLON S.A.  //  SIMPLES</t>
  </si>
  <si>
    <t>PRO5 CUPON IMPAGO VTO. 15.01.02</t>
  </si>
  <si>
    <t>1822 RAICES INVERSION</t>
  </si>
  <si>
    <t xml:space="preserve">Nº 26.154 Regímenes promocionales para la exploración y explotación de hidrocarburos </t>
  </si>
  <si>
    <t>ARG DEL ATLANTICO S.A.</t>
  </si>
  <si>
    <t>ARMENIA</t>
  </si>
  <si>
    <t>Chelin keniata</t>
  </si>
  <si>
    <t>ANGEL ESTRADA Y CIA. S.A.I  //  ordinarias escriturales a (5 votos)</t>
  </si>
  <si>
    <t>BONO DE LA NACION ARGENTINA EN DOLARES ESTADOUNIDENSES  //  5,75% VENC.2025 DÓLAR U$S</t>
  </si>
  <si>
    <t>AGROEMPRESA COLON S.A.  //  SIMPLES DÓLAR U$S</t>
  </si>
  <si>
    <t>PRO6 CUPON IMPAGO VTO. 15.01.02</t>
  </si>
  <si>
    <t>1822 RAICES RENTA EN PESOS</t>
  </si>
  <si>
    <t>Nº 26.190 Régimen de Fomento Nacional para el uso de fuentes renovables de energía destinada a la producción de energía eléctrica</t>
  </si>
  <si>
    <t>ARGECAM S.R.L.</t>
  </si>
  <si>
    <t>ARUBA (Territorio de Países Bajos)</t>
  </si>
  <si>
    <t>Tipo de contrato</t>
  </si>
  <si>
    <t>Chelin somali</t>
  </si>
  <si>
    <t>ANGEL ESTRADA Y CIA. S.A.I  //  ordinarias escriturales b (1 voto)</t>
  </si>
  <si>
    <t>BONO DE LA NACION ARGENTINA EN DOLARES ESTADOUNIDENSES  //  5,75% VENC.2025 U$S CABLE  AA25C</t>
  </si>
  <si>
    <t>AGROFINA S.A.  //  CLASE I SERIE II</t>
  </si>
  <si>
    <t>PRO9 CUPON IMPAGO VTO. 15.01.02</t>
  </si>
  <si>
    <t>1822 RAICES RENTA GLOBAL</t>
  </si>
  <si>
    <t>Nº 26.270 Promoción del desarrollo y producción de la biotecnología moderna</t>
  </si>
  <si>
    <t>AVELLANEDA S.A.</t>
  </si>
  <si>
    <t>ASCENCION</t>
  </si>
  <si>
    <t>FORWARD COMPRADO</t>
  </si>
  <si>
    <t>Chelin tanzano</t>
  </si>
  <si>
    <t>AUTOPISTAS DEL SOL S.A.  //  ordinarias escriturales d 1 voto u$s cable</t>
  </si>
  <si>
    <t>BONO DE LA NACION ARGENTINA EN DOLARES ESTADOUNIDENSES  //  5,75% VENC.2025 U$S CABLE  AA25Z</t>
  </si>
  <si>
    <t>AGROFINA S.A.  //  CLASE II</t>
  </si>
  <si>
    <t>PR10 CUPON IMPAGO VTO. 15.01.02</t>
  </si>
  <si>
    <t>1822 RAICES VALORES FIDUCIARIOS</t>
  </si>
  <si>
    <t>Nº 26.360 Promoción de inversiones en Bienes de Capital y Obras de Infraestructura</t>
  </si>
  <si>
    <t>BACS BANCO DE CREDITO Y SECURITIZACION S.A.</t>
  </si>
  <si>
    <t>AUSTRALIA</t>
  </si>
  <si>
    <t>FORWARD VENDIDO</t>
  </si>
  <si>
    <t>Chelin ugandes</t>
  </si>
  <si>
    <t>AUTOPISTAS DEL SOL S.A.  //  ordinarias escriturales d 1 voto</t>
  </si>
  <si>
    <t>BONO DE LA NACION ARGENTINA EN DOLARES ESTADOUNIDENSES  //  7% 2017 - BONAR X      AA17X</t>
  </si>
  <si>
    <t>AGROFINA S.A.  //  CLASE III</t>
  </si>
  <si>
    <t>BCMR CUPON IMPAGO VTO.1.11.01</t>
  </si>
  <si>
    <t>1822 RAICES VALORES NEGOCIABLES</t>
  </si>
  <si>
    <t>N° 27.541 Ley de Solidaridad Social - Beneficio cumplidores</t>
  </si>
  <si>
    <t>BANCA NAZIONALE DEL LAVORO S.A.</t>
  </si>
  <si>
    <t>AUSTRIA</t>
  </si>
  <si>
    <t>FUTURO COMPRADO</t>
  </si>
  <si>
    <t>Colón costarricense</t>
  </si>
  <si>
    <t>BANCO DE GALICIA Y BS.AS. S.A.  //  ordinarias escriturales a (5 votos)</t>
  </si>
  <si>
    <t>BONO DE LA NACION ARGENTINA EN DOLARES ESTADOUNIDENSES  //  7% 2017 - BONAR X    AA17</t>
  </si>
  <si>
    <t>AGROFINA S.A.  //  CLASE IV</t>
  </si>
  <si>
    <t>BCFD1 CUPON IMPAGO VTO. 03.12.01</t>
  </si>
  <si>
    <t>ADCAP ABIERTO LEY 27260 - CLASE A</t>
  </si>
  <si>
    <t>N° 27.653 Ley de Alivio Fiscal</t>
  </si>
  <si>
    <t>BANCO 1784 S.A.</t>
  </si>
  <si>
    <t>AZERBAIDZHAN</t>
  </si>
  <si>
    <t>FUTURO VENDIDO</t>
  </si>
  <si>
    <t>Colon El Salvador</t>
  </si>
  <si>
    <t>BANCO DE GALICIA Y BS.AS. S.A.  //  ordinarias escriturales b (1 voto) u$s cable</t>
  </si>
  <si>
    <t>BONO DE LA NACION ARGENTINA EN DOLARES ESTADOUNIDENSES  //  7% 2017 - BONAR X DÓLAR (U$S)    AA17Y</t>
  </si>
  <si>
    <t>AGROFINA S.A.  //  CLASE IV DÓLAR U$S</t>
  </si>
  <si>
    <t>SALD1 CUPON IMPAGO VTO. 03.12.01</t>
  </si>
  <si>
    <t>ADCAP ABIERTO LEY 27260 - CLASE B</t>
  </si>
  <si>
    <t>N° 27.686 Ley de Promoción de Inveriones en la Ind. Automotriz y su cadena de valor</t>
  </si>
  <si>
    <t>BANCO ACCION COOP.LTDO.</t>
  </si>
  <si>
    <t>BANGLADESH</t>
  </si>
  <si>
    <t>OPCIÓN LANZADA DE COMPRA</t>
  </si>
  <si>
    <t>Compuesto Unidad Europea (EURCO)</t>
  </si>
  <si>
    <t>BANCO DE GALICIA Y BS.AS. S.A.  //  ordinarias escriturales b (1 voto)</t>
  </si>
  <si>
    <t>BONO DE LA NACION ARGENTINA EN DOLARES ESTADOUNIDENSES  //  7% 2017 - BONAR X DÓLAR (U$S)  AA17D</t>
  </si>
  <si>
    <t>AGROFINA S.A.  //  CLASE IV U$S CABLE</t>
  </si>
  <si>
    <t>BCDF1 CUPON IMPAGO VTO. 03.12.01</t>
  </si>
  <si>
    <t>ADCAP ABIERTO LEY 27260 - CLASE C</t>
  </si>
  <si>
    <t>Otra</t>
  </si>
  <si>
    <t>BANCO ACISO COOPERATIVO LTDO. ROSARIO</t>
  </si>
  <si>
    <t>BARBADOS (Estado independiente)</t>
  </si>
  <si>
    <t>OPCIÓN LANZADA DE VENTA</t>
  </si>
  <si>
    <t>Cordoba nicaraguense</t>
  </si>
  <si>
    <t>BANCO HIPOTECARIO S.A.  //  ords escrit d (3 votos)  cotizables u$s cable</t>
  </si>
  <si>
    <t>BONO DE LA NACION ARGENTINA EN DOLARES ESTADOUNIDENSES  //  7% 2017 - BONAR X U$S CABLE  AA17C</t>
  </si>
  <si>
    <t>AGROFINA S.A.  //  CLASE V</t>
  </si>
  <si>
    <t>SALT1 CUPON IMPAGO VTO. 03.12.01</t>
  </si>
  <si>
    <t>ADCAP ABIERTO LEY 27260 - CLASE D</t>
  </si>
  <si>
    <t>BANCO AGRARIO COM. E IND.DE SAN JUAN S.A.</t>
  </si>
  <si>
    <t>BELGICA</t>
  </si>
  <si>
    <t>OPCIÓN ADQUIRIDA DE COMPRA</t>
  </si>
  <si>
    <t>Corona danesa</t>
  </si>
  <si>
    <t>BANCO HIPOTECARIO S.A.  //  ords escriturales d (3 votos) - cotizables</t>
  </si>
  <si>
    <t>BONO DE LA NACION ARGENTINA EN DOLARES ESTADOUNIDENSES  //  7% 2017 - BONAR X U$S CABLE  AA17Z</t>
  </si>
  <si>
    <t>AGROFINA S.A.  //  CLASE VI</t>
  </si>
  <si>
    <t>BCOR2 CUPON IMPAGO VTO. 02.01.02</t>
  </si>
  <si>
    <t>ADCAP ABIERTO LEY 27260 - CLASE E</t>
  </si>
  <si>
    <t>BANCO ALIANCOOP COOP.LTDO.</t>
  </si>
  <si>
    <t>BELICE (Estado independiente)</t>
  </si>
  <si>
    <t>OPCIÓN ADQUIRIDA DE VENTA</t>
  </si>
  <si>
    <t>Corona eslovaca</t>
  </si>
  <si>
    <t>BANCO MACRO  S.A.  //  ordinarias escriturales a (5 votos)</t>
  </si>
  <si>
    <t>BONO DE LA NACION ARGENTINA EN DOLARES ESTADOUNIDENSES  //  7,625% VENC. 2037  AA37</t>
  </si>
  <si>
    <t>ALBANESI S.A.  //  CLASE I</t>
  </si>
  <si>
    <t>BCOR1 CUPON IMPAGO VTO. 02.01.02</t>
  </si>
  <si>
    <t>ADCAP ABIERTO LEY 27260 - CLASE F</t>
  </si>
  <si>
    <t>MES</t>
  </si>
  <si>
    <t>BANCO ALMAFUERTE COOPERATIVO LIMITADO</t>
  </si>
  <si>
    <t>BENIN</t>
  </si>
  <si>
    <t>STOCK OPTION</t>
  </si>
  <si>
    <t>Corona estonia</t>
  </si>
  <si>
    <t>BANCO MACRO  S.A.  //  ordinarias escriturales b (1 voto) u$s cable</t>
  </si>
  <si>
    <t>BONO DE LA NACION ARGENTINA EN DOLARES ESTADOUNIDENSES  //  7,625% VENC. 2037  AA37X</t>
  </si>
  <si>
    <t>ALBANESI S.A.  //  CLASE II</t>
  </si>
  <si>
    <t>BCFD1 CUPON IMPAGO VTO. 02.01.02</t>
  </si>
  <si>
    <t>ADCAP GLOBAL CLASE A</t>
  </si>
  <si>
    <t>01-</t>
  </si>
  <si>
    <t>BANCO ALVAREZ COOP.LTDO. SANTA FE</t>
  </si>
  <si>
    <t>BERMUDAS (Territorio no autónomo del Reino Unido)</t>
  </si>
  <si>
    <t>Corona noruega</t>
  </si>
  <si>
    <t>BANCO MACRO  S.A.  //  ordinarias escriturales b (1 voto)</t>
  </si>
  <si>
    <t xml:space="preserve">BONO DE LA NACION ARGENTINA EN DOLARES ESTADOUNIDENSES  //  7,625% VENC. 2037 DÓLAR U$S </t>
  </si>
  <si>
    <t>ALGABO S.A.  //  SERIE I CLASE I</t>
  </si>
  <si>
    <t>BOHI1 CUPON IMPAGO VTO.02.01.02</t>
  </si>
  <si>
    <t>ADCAP GLOBAL CLASE B</t>
  </si>
  <si>
    <t>02-</t>
  </si>
  <si>
    <t>BANCO ARGENCOOP COOPERATIVO LIMITADO</t>
  </si>
  <si>
    <t>BIELORUSIA</t>
  </si>
  <si>
    <t>SWAP</t>
  </si>
  <si>
    <t>Corona sueca</t>
  </si>
  <si>
    <t>BANCO PATAGONIA S.A.  //  ordinarias clase b (1 voto) u$s cable</t>
  </si>
  <si>
    <t>BONO DE LA NACION ARGENTINA EN DOLARES ESTADOUNIDENSES  //  7,625% VENC. 2037 U$S CABLE</t>
  </si>
  <si>
    <t>ANGEL ESTRADA Y CIA. S.A.  //  CLASE III</t>
  </si>
  <si>
    <t>BORD1 CUPON IMPAGO VTO. 02.01.02</t>
  </si>
  <si>
    <t>ADCAP GLOBAL CLASE I</t>
  </si>
  <si>
    <t>03-</t>
  </si>
  <si>
    <t>BANCO ARGENFE S.A.</t>
  </si>
  <si>
    <t>BOLIVIA</t>
  </si>
  <si>
    <t>Dalasi gambiano</t>
  </si>
  <si>
    <t>BANCO PATAGONIA S.A.  //  ordinarias clase b (1 voto)</t>
  </si>
  <si>
    <t>BONO DE LA NACION ARGENTINA EN DOLARES ESTADOUNIDENSES  //  8% 2020 (BONAR2020USD)    AO20</t>
  </si>
  <si>
    <t>ARAUCO ARGENTINA S.A.  //  SIMPLES CLASE 1</t>
  </si>
  <si>
    <t>BORN1 CUPON IMPAGO VTO. 02.01.02</t>
  </si>
  <si>
    <t>ADCAP RENTA MIXTA CLASE A</t>
  </si>
  <si>
    <t>04-</t>
  </si>
  <si>
    <t>BANCO ARGENTARIA S.A.</t>
  </si>
  <si>
    <t>BOSNIA HERZEGOVINA</t>
  </si>
  <si>
    <t>Origen/Destino</t>
  </si>
  <si>
    <t>Denar macedonio</t>
  </si>
  <si>
    <t>BANCO SANTANDER RIO S.A.  //  ordinarias escriturales b (1 voto) u$s cable</t>
  </si>
  <si>
    <t>BONO DE LA NACION ARGENTINA EN DOLARES ESTADOUNIDENSES  //  8% 2020 (BONAR2020USD)    AO20X</t>
  </si>
  <si>
    <t>ARCOR S.A.I.C.  //  CLASE 11</t>
  </si>
  <si>
    <t>RC21 CUPON IMPAGO VTO. 02.01.02</t>
  </si>
  <si>
    <t>ADCAP RENTA MIXTA CLASE B</t>
  </si>
  <si>
    <t>05-</t>
  </si>
  <si>
    <t>BANCO ARGENTINO DE INVERSION S.A.</t>
  </si>
  <si>
    <t>BOTSWANA</t>
  </si>
  <si>
    <t>ALTA / BAJA</t>
  </si>
  <si>
    <t>Derechos especiales de giro</t>
  </si>
  <si>
    <t>BANCO SANTANDER RIO S.A.  //  ordinarias escriturales b (1 voto)</t>
  </si>
  <si>
    <t xml:space="preserve">BONO DE LA NACION ARGENTINA EN DOLARES ESTADOUNIDENSES  //  8% 2020 (BONAR2020USD)DÓLAR U$S </t>
  </si>
  <si>
    <t>ARCOR S.A.I.C.  //  CLASE 7</t>
  </si>
  <si>
    <t>BCDF1 CUPON IMPAGO VTO. 02.01.02</t>
  </si>
  <si>
    <t>AL ABIERTO Pymes CLASE A</t>
  </si>
  <si>
    <t>06-</t>
  </si>
  <si>
    <t>BANCO ASFIN S.A.</t>
  </si>
  <si>
    <t>BRASIL</t>
  </si>
  <si>
    <t>ALTA / SIGUE</t>
  </si>
  <si>
    <t>Dinar algerino</t>
  </si>
  <si>
    <t>BANCO SANTANDER RIO S.A.  //  ordinarias escriturales (1 voto) dólar (u$s)</t>
  </si>
  <si>
    <t>BONO DE LA NACION ARGENTINA EN DOLARES ESTADOUNIDENSES  //  8% 2020 (BONAR2020USD)U$S CABLE  AO20C</t>
  </si>
  <si>
    <t>ARCOR S.A.I.C.  //  CLASE 8</t>
  </si>
  <si>
    <t>PRO3 CUPON IMPAGO VTO.28.01.02</t>
  </si>
  <si>
    <t>AL ABIERTO Pymes CLASE B</t>
  </si>
  <si>
    <t>07-</t>
  </si>
  <si>
    <t>BANCO AUSTRAL S.A.</t>
  </si>
  <si>
    <t>BRUNEI DARUSSALAM (Estado independiente)</t>
  </si>
  <si>
    <t>VIENE / SIGUE</t>
  </si>
  <si>
    <t>Dinar bahreini</t>
  </si>
  <si>
    <t>BANCO SANTANDER RIO S.A.  //  ordinarias escriturales (1 voto) u$s cable</t>
  </si>
  <si>
    <t>BONO DE LA NACION ARGENTINA EN DOLARES ESTADOUNIDENSES  //  8% 2020 (BONAR2020USD)U$S CABLE  AO20Z</t>
  </si>
  <si>
    <t>ARCOR S.A.I.C.  //  CLASE 9</t>
  </si>
  <si>
    <t>PRO4 CUPON IMPAGO VTO. 28.01.02</t>
  </si>
  <si>
    <t>AL ABIERTO Pymes CLASE C</t>
  </si>
  <si>
    <t>08-</t>
  </si>
  <si>
    <t>BANCO B.I. CREDITANSTALT S.A.</t>
  </si>
  <si>
    <t>BULGARIA</t>
  </si>
  <si>
    <t>VIENE / BAJA</t>
  </si>
  <si>
    <t>Dinar iraqi</t>
  </si>
  <si>
    <t>BANCO SANTANDER RIO S.A.  //  ordinarias escriturales (1 voto)</t>
  </si>
  <si>
    <t>BONO DE LA NACION ARGENTINA EN DOLARES ESTADOUNIDENSES  //  8,75% 2024 (BONAR 2024)     AY24X</t>
  </si>
  <si>
    <t>ARCOR S.A.I.C.  //  CLASE 9 DÓLAR U$S</t>
  </si>
  <si>
    <t>BCFD1 CUPON IMPAGO VTO. 29.01.02</t>
  </si>
  <si>
    <t>AL AHORRO CLASE A</t>
  </si>
  <si>
    <t>09-</t>
  </si>
  <si>
    <t>BANCO BAIRES S.A.</t>
  </si>
  <si>
    <t>BURKINA FASO</t>
  </si>
  <si>
    <t>Dinar jordano</t>
  </si>
  <si>
    <t>BANCO  SUQUIA S.A.  //  ordinarias escriturales a (5 votos)</t>
  </si>
  <si>
    <t>BONO DE LA NACION ARGENTINA EN DOLARES ESTADOUNIDENSES  //  8,75% 2024 (BONAR 2024)    AY24</t>
  </si>
  <si>
    <t>ARCOR S.A.I.C.  //  CLASE 9 U$S CABLE</t>
  </si>
  <si>
    <t>BCDF1 CUPON IMPAGO VTO. 29.01.02</t>
  </si>
  <si>
    <t>AL AHORRO CLASE B</t>
  </si>
  <si>
    <t>10-</t>
  </si>
  <si>
    <t>BANCO BANEX S.A.</t>
  </si>
  <si>
    <t>BURUNDI</t>
  </si>
  <si>
    <t>Vigencia</t>
  </si>
  <si>
    <t>Dinar Kuwaiti</t>
  </si>
  <si>
    <t>BANCO  SUQUIA S.A.  //  ordinarias escriturales b (1 voto)</t>
  </si>
  <si>
    <t>BONO DE LA NACION ARGENTINA EN DOLARES ESTADOUNIDENSES  //  8,75% 2024 (BONAR 2024) DÓLAR U$S    AY24D</t>
  </si>
  <si>
    <t>AXION ENERGY ARGENTINA S.A.  //  CLASE II</t>
  </si>
  <si>
    <t>SALT1 CUPON IMPAGO VTO. 29.01.02</t>
  </si>
  <si>
    <t>AL AHORRO PLUS CLASE A</t>
  </si>
  <si>
    <t>11-</t>
  </si>
  <si>
    <t>BANCO BANSUD S.A.</t>
  </si>
  <si>
    <t>BUTAN</t>
  </si>
  <si>
    <t>VIGENTE</t>
  </si>
  <si>
    <t>Dinar libio</t>
  </si>
  <si>
    <t>BANCO  SUQUIA S.A.  //  ordinarias escriturales b (1 voto) u$s cable</t>
  </si>
  <si>
    <t>BONO DE LA NACION ARGENTINA EN DOLARES ESTADOUNIDENSES  //  8,75% 2024 (BONAR 2024) DÓLAR U$S    AY24Y</t>
  </si>
  <si>
    <t>AXION ENERGY ARGENTINA S.A.  //  CLASE III</t>
  </si>
  <si>
    <t>BCOR2 CUPON IMPAGO VTO. 30.01.02</t>
  </si>
  <si>
    <t>AL AHORRO PLUS CLASE B</t>
  </si>
  <si>
    <t>12-</t>
  </si>
  <si>
    <t>BANCO BARRANCAS COOP.LTDO.STA FE</t>
  </si>
  <si>
    <t>CAMBOYA (EX KAMPUCHEA)</t>
  </si>
  <si>
    <t>NO VIGENTE</t>
  </si>
  <si>
    <t>Dinar sudanes</t>
  </si>
  <si>
    <t>BBVA  BANCO FRANCES S.A.  //  ordinarias escriturales (1 voto) u$s cable</t>
  </si>
  <si>
    <t>BONO DE LA NACION ARGENTINA EN DOLARES ESTADOUNIDENSES  //  8,75% 2024 (BONAR 2024) U$S CABLE     AY24Z</t>
  </si>
  <si>
    <t>AXION ENERGY ARGENTINA S.A.  //  CLASE IV</t>
  </si>
  <si>
    <t>BCOR1 CUPON IMPAGO VTO. 30.01.02</t>
  </si>
  <si>
    <t>AL AHORRO PLUS CLASE C</t>
  </si>
  <si>
    <t>BANCO BASEL S.A.</t>
  </si>
  <si>
    <t>CAMERUN</t>
  </si>
  <si>
    <t>Dinar tunecino</t>
  </si>
  <si>
    <t>BBVA  BANCO FRANCES S.A.  //  ordinarias escriturales (1 voto)</t>
  </si>
  <si>
    <t>BONO DE LA NACION ARGENTINA EN DOLARES ESTADOUNIDENSES  //  8,75% 2024 (BONAR 2024) U$S CABLE   AY24C</t>
  </si>
  <si>
    <t>AXION ENERGY ARGENTINA S.A.  //  CLASE V</t>
  </si>
  <si>
    <t>BOHI1 CUPON IMPAGO VTO.30.01.02</t>
  </si>
  <si>
    <t>AL DESARROLLO ARGENTINO CLASE A</t>
  </si>
  <si>
    <t>BANCO BIRCO COOP.LTDO. RUFINO STA FE</t>
  </si>
  <si>
    <t>CAMPIONE D@ITALIA</t>
  </si>
  <si>
    <t>Intencion</t>
  </si>
  <si>
    <t>Dinar yugoslavo</t>
  </si>
  <si>
    <t>BODEGAS ESMERALDA S.A.  //  ordinarias escriturales (1 voto)</t>
  </si>
  <si>
    <t>BONO DE LA NACION ARGENTINA EN DOLARES ESTADOUNIDENSES  //  9% 2018                AN18</t>
  </si>
  <si>
    <t>AXION ENERGY ARGENTINA S.A.  //  CLASE VI</t>
  </si>
  <si>
    <t>BORD1 CUPON IMPAGO VTO. 29.01.02</t>
  </si>
  <si>
    <t>AL DESARROLLO ARGENTINO CLASE B</t>
  </si>
  <si>
    <t>Alicuota del impuesto</t>
  </si>
  <si>
    <t>BANCO BISEL SOCIEDAD ANONIMA</t>
  </si>
  <si>
    <t>CANADA</t>
  </si>
  <si>
    <t>Dirham de los Emiratos Arabes Unidos</t>
  </si>
  <si>
    <t>BOLDT GAMING S.A.  //  ordinarias escrit. (1 voto)</t>
  </si>
  <si>
    <t>BONO DE LA NACION ARGENTINA EN DOLARES ESTADOUNIDENSES  //  9% 2018               AN18X</t>
  </si>
  <si>
    <t>AXION ENERGY ARGENTINA S.A.  //  CLASE VII</t>
  </si>
  <si>
    <t>BORN1 CUPON IMPAGO VTO. 29.01.02</t>
  </si>
  <si>
    <t>AL DESARROLLO ARGENTINO CLASE C</t>
  </si>
  <si>
    <t>BANCO BRADESCO ARGENTINA SA</t>
  </si>
  <si>
    <t>CENTRO AFRICANO, REP.</t>
  </si>
  <si>
    <t>COBERTURA</t>
  </si>
  <si>
    <t>Dirham marroqui</t>
  </si>
  <si>
    <t>BOLDT S.A.  //  ordinarias escriturales (1 voto) u$s cable</t>
  </si>
  <si>
    <t>BONO DE LA NACION ARGENTINA EN DOLARES ESTADOUNIDENSES  //  9% 2018 DÓLAR (U$S)     AN18D</t>
  </si>
  <si>
    <t>BACS BANCO DE CREDITO Y SECURITIZACION S.A.  //  CLASE IX</t>
  </si>
  <si>
    <t>PRO2 CUPON IMPAGO VTO. 01.02.02</t>
  </si>
  <si>
    <t>AL DIVERSIFICADO CLASE A</t>
  </si>
  <si>
    <t>BANCO BRAGADO COOP.LTDO.</t>
  </si>
  <si>
    <t>CHAD</t>
  </si>
  <si>
    <t>DISTINTO DE COBERTURA</t>
  </si>
  <si>
    <t>Dobra de Santo Tone y Principe</t>
  </si>
  <si>
    <t>BOLDT S.A.  //  ordinarias escriturales (1 voto)</t>
  </si>
  <si>
    <t>BONO DE LA NACION ARGENTINA EN DOLARES ESTADOUNIDENSES  //  9% 2018 U$S CABLE     AN18C</t>
  </si>
  <si>
    <t>BACS BANCO DE CREDITO Y SECURITIZACION S.A.  //  CLASE VI</t>
  </si>
  <si>
    <t>PRO1 CUPON IMPAGO VTO. 29.01.02</t>
  </si>
  <si>
    <t>AL DIVERSIFICADO CLASE B</t>
  </si>
  <si>
    <t>BANCO CABILDO S.A.</t>
  </si>
  <si>
    <t>CHECA, REPUBLICA</t>
  </si>
  <si>
    <t>Dolar Australiano</t>
  </si>
  <si>
    <t>CAMUZZI GAS PAMPEANA S.A.  //  ordinarias escriturales clase b (1 voto) - cotizables</t>
  </si>
  <si>
    <t>BONO DE LA NACION ARGENTINA EN PESOS  //  A TASA VARIABLE 2017 (BONAC 2017)     AY17</t>
  </si>
  <si>
    <t>BACS BANCO DE CREDITO Y SECURITIZACION S.A.  //  CLASE VIII</t>
  </si>
  <si>
    <t>BPRO1 CUPON IMPAGO VTO. 29.01.02</t>
  </si>
  <si>
    <t>AL PROYECTOS PRODUCT. E INFRAESTRUCTURA CLASE B</t>
  </si>
  <si>
    <t>BANCO CAJA DE AHORRO SOCIEDAD ANONIMA</t>
  </si>
  <si>
    <t>CHILE</t>
  </si>
  <si>
    <t>Fuente</t>
  </si>
  <si>
    <t>Dolar Bahameño</t>
  </si>
  <si>
    <t>CAPEX S.A.  //  ordinarias escriturales a (1 voto) u$s cable</t>
  </si>
  <si>
    <t>BONO DE LA NACION ARGENTINA EN PESOS  //  A TASA VARIABLE 2017 (BONAC 2017)     AY17X</t>
  </si>
  <si>
    <t>BACS BANCO DE CREDITO Y SECURITIZACION S.A.  //  CLASE X</t>
  </si>
  <si>
    <t>PRE4 CUPON IMPAGO VTO. 01.02.02</t>
  </si>
  <si>
    <t>AL RENTA BALANCEADA I CLASE A</t>
  </si>
  <si>
    <t>Percepcion</t>
  </si>
  <si>
    <t>BANCO CARLOS PELLEGRINI COOP.LTDO.</t>
  </si>
  <si>
    <t>CHINA REP.POPULAR</t>
  </si>
  <si>
    <t>FUENTE ARGENTINA</t>
  </si>
  <si>
    <t>Dolar caimano</t>
  </si>
  <si>
    <t>CAPEX S.A.  //  ordinarias escriturales a (1 voto)</t>
  </si>
  <si>
    <t>BONO DE LA NACION ARGENTINA EN PESOS  //  BADLAR PRIVADA + 200 PBS VTO 2017           AM17</t>
  </si>
  <si>
    <t>BACS BANCO DE CREDITO Y SECURITIZACION S.A.  //  CLASE XI</t>
  </si>
  <si>
    <t>PRE3 CUPON IMPAGO VTO. 01.02.02</t>
  </si>
  <si>
    <t>AL RENTA BALANCEADA I CLASE B</t>
  </si>
  <si>
    <t>507 Dec 99/2019 – Art. 13 bis – inciso b) – Demás sujetos</t>
  </si>
  <si>
    <t>BANCO CASA COOP.LTDO.</t>
  </si>
  <si>
    <t>COLOMBIA</t>
  </si>
  <si>
    <t>FUENTE EXTRANJERA</t>
  </si>
  <si>
    <t>Dolar canadiense</t>
  </si>
  <si>
    <t>CAPUTO S.A.  //  ordinarias escriturales (1 voto)</t>
  </si>
  <si>
    <t>BONO DE LA NACION ARGENTINA EN PESOS  //  BADLAR PRIVADA + 200 PBS VTO 2017           AM17X</t>
  </si>
  <si>
    <t>BACS BANCO DE CREDITO Y SECURITIZACION S.A.  //  CLASE XV</t>
  </si>
  <si>
    <t>RC21 CUPON IMPAGO VTO.25.01.02</t>
  </si>
  <si>
    <t xml:space="preserve">AL RENTA BALANCEADA II CLASE A                  </t>
  </si>
  <si>
    <t>592 Ley 27.541 – Art. 35 – Inciso a) – Demás sujetos</t>
  </si>
  <si>
    <t>BANCO CAUDAL S.A.</t>
  </si>
  <si>
    <t>COLONIA DE GIBRALTAR</t>
  </si>
  <si>
    <t>Dolar de Barbados</t>
  </si>
  <si>
    <t>CARBOCLOR S. A.  //  ordinarias escriturales (1 voto) u$s cable</t>
  </si>
  <si>
    <t>BONO DE LA NACION ARGENTINA EN PESOS  //  BADLAR PRIVADA + 200 PBS VTO 2017 U$S CABLE</t>
  </si>
  <si>
    <t>BALANZ CAPITAL VALORES S.A.  //  CLASE 1</t>
  </si>
  <si>
    <t>BCFD1 CUPON IMPAGO VTO. 01.03.02</t>
  </si>
  <si>
    <t>AL RENTA BALANCEADA II CLASE B</t>
  </si>
  <si>
    <t>594 Ley 27.541 – Art. 35 – Inciso b) – Demás sujetos</t>
  </si>
  <si>
    <t>BANCO CES COOPERATIVO LIMITADO</t>
  </si>
  <si>
    <t>COMORAS</t>
  </si>
  <si>
    <t>SI</t>
  </si>
  <si>
    <t>Dolar de Bélice</t>
  </si>
  <si>
    <t>CARBOCLOR S. A.  //  ordinarias escriturales (1 voto)</t>
  </si>
  <si>
    <t>BONO DE LA NACION ARGENTINA EN PESOS  //  BADLAR PRIVADA + 200 PTOS -VTO 2022 AA22</t>
  </si>
  <si>
    <t>BALANZ CAPITAL VALORES S.A.  //  CLASE 2</t>
  </si>
  <si>
    <t>BCDF1 CUPON IMPAGO VTO. 01.03.02</t>
  </si>
  <si>
    <t>AL RENTA BALANCEADA II CLASE C</t>
  </si>
  <si>
    <t>596 Ley 27.541 – Art. 35 – Inciso c) – Demás sujetos</t>
  </si>
  <si>
    <t>BANCO CETELEM ARGENTINA S.A.</t>
  </si>
  <si>
    <t>COMUNIDAD DE LAS BAHAMAS (Estado independiente)</t>
  </si>
  <si>
    <t>Dolar de Bermuda</t>
  </si>
  <si>
    <t>CARLOS CASADO S.A.  //  ordinarias escriturales (1 voto)</t>
  </si>
  <si>
    <t>BONO DE LA NACION ARGENTINA EN PESOS  //  BADLAR PRIVADA + 200 PTOS -VTO 2022 AA22X</t>
  </si>
  <si>
    <t>BALANZ CAPITAL VALORES S.A.  //  CLASE 2 DÓLAR U$S</t>
  </si>
  <si>
    <t>BCOR2 CUPON IMPAGO VTO. 01.03.02</t>
  </si>
  <si>
    <t>AL RENTA DOLARES CLASE A</t>
  </si>
  <si>
    <t>598 Ley 27.541 – Art. 35 – Inciso d) – Demás sujetos</t>
  </si>
  <si>
    <t>BANCO COFIDIS SA</t>
  </si>
  <si>
    <t>CONGO REP.POPULAR</t>
  </si>
  <si>
    <t>Dolar de Brunel</t>
  </si>
  <si>
    <t>CARLOS CASADO S.A.  //  ordinarias escriturales (5 votos)</t>
  </si>
  <si>
    <t>BONO DE LA NACION ARGENTINA EN PESOS  //  BADLAR PRIVADA + 200 PTOS -VTO 2022 DÓLAR U$S AA22D</t>
  </si>
  <si>
    <t>BALANZ CAPITAL VALORES S.A.  //  CLASE 3</t>
  </si>
  <si>
    <t>BCOR1 CUPON IMPAGO VTO. 01.03.02</t>
  </si>
  <si>
    <t>AL RENTA DOLARES CLASE B</t>
  </si>
  <si>
    <t>600 Ley 27.541 – Art. 35 – Inciso e) – Demás sujetos</t>
  </si>
  <si>
    <t>BANCO COINAG COOP.LTDO.CAP.BERMUDEZ</t>
  </si>
  <si>
    <t xml:space="preserve">COREA DEMOCRATICA </t>
  </si>
  <si>
    <t>Tipo Inmueble</t>
  </si>
  <si>
    <t>Dolar de Hong Kong</t>
  </si>
  <si>
    <t>CELULOSA ARGENTINA S.A.  //  ordinarias escriturales (1 voto)</t>
  </si>
  <si>
    <t>BONO DE LA NACION ARGENTINA EN PESOS  //  BADLAR PRIVADA + 200 PTOS -VTO 2022 DÓLAR U$S AA22Y</t>
  </si>
  <si>
    <t>BALANZ CAPITAL VALORES S.A.  //  CLASE 4</t>
  </si>
  <si>
    <t>BOHI 1 CUPON IMPAGO VTO.01.03.02</t>
  </si>
  <si>
    <t>AL RENTA DOLARES CLASE C</t>
  </si>
  <si>
    <t>531 PER GANAN Import. Def. Bs. para venta – Art. 40 1er párrafo</t>
  </si>
  <si>
    <t>BANCO COINAG S.A.</t>
  </si>
  <si>
    <t>COREA REPUBLICANA</t>
  </si>
  <si>
    <t>Casa</t>
  </si>
  <si>
    <t>Dolar de las Islas Salomon</t>
  </si>
  <si>
    <t>CELULOSA ARGENTINA S.A.  //  ordinarias escrituralles a (5 votos)</t>
  </si>
  <si>
    <t>BONO DE LA NACION ARGENTINA EN PESOS  //  BADLAR PRIVADA + 200 PTOS -VTO 2022 U$S CABLE AA22C</t>
  </si>
  <si>
    <t>BALANZ CAPITAL VALORES S.A.  //  CLASE 4  DÓLAR U$S</t>
  </si>
  <si>
    <t>BORD1 CUPON IMPAGO VTO. 01.03.02</t>
  </si>
  <si>
    <t>AL RENTA FIJA CLASE A</t>
  </si>
  <si>
    <t>080 PER GANAN Importación definitiva de bienes con C.V.D.I.</t>
  </si>
  <si>
    <t>BANCO COLUMBIA S.A.</t>
  </si>
  <si>
    <t>COSTA DE MARFIL</t>
  </si>
  <si>
    <t>Departamento</t>
  </si>
  <si>
    <t>Dolar de Sinapur</t>
  </si>
  <si>
    <t>CENTRAL PUERTO S.A.  //  ords escrit b (1 voto) - cotizables</t>
  </si>
  <si>
    <t>BONO DE LA NACION ARGENTINA EN PESOS  //  BADLAR PRIVADA + 200 PTOS -VTO 2022 U$S CABLE AA22Z</t>
  </si>
  <si>
    <t>BALANZ CAPITAL VALORES S.A.  //  CLASE 4  U$S CABLE</t>
  </si>
  <si>
    <t>BORN1 CUPON IMPAGO VTO. 01.03.02</t>
  </si>
  <si>
    <t>AL RENTA FIJA CLASE B</t>
  </si>
  <si>
    <t>081 PER GANAN Importación def. bienes para uso de imp con CVDI</t>
  </si>
  <si>
    <t>BANCO COMAFI S.A.</t>
  </si>
  <si>
    <t>COSTA RICA</t>
  </si>
  <si>
    <t>Departamento con cochera</t>
  </si>
  <si>
    <t>Dolar de Trinidad y Tobago</t>
  </si>
  <si>
    <t>CENTRAL URBANA S.A.  //  ordinarias escriturales (1 voto)</t>
  </si>
  <si>
    <t>BONO DE LA NACION ARGENTINA EN PESOS  //  BADLAR PRIVADA + 250 PBS VTO 2019           AMX9</t>
  </si>
  <si>
    <t>BANCO  DE SERVICIOS Y TRANSACCIONES S.A.   //  CLASE 7</t>
  </si>
  <si>
    <t>PRO2 CUPON IMPAGO VTO. 01.03.02</t>
  </si>
  <si>
    <t>AL RENTA FIJA CLASE C</t>
  </si>
  <si>
    <t>082 PER GANAN Importación def. bienes para uso de imp sin CVDI</t>
  </si>
  <si>
    <t>BANCO COMERCIAL DE TANDIL S.A.</t>
  </si>
  <si>
    <t>CROACIA</t>
  </si>
  <si>
    <t>Cochera</t>
  </si>
  <si>
    <t>Dolar del caribe Oriental</t>
  </si>
  <si>
    <t>CERAMICA SAN LORENZO  IND. Y COM.S.A.  //  ordinarias escriturales b (1 voto)</t>
  </si>
  <si>
    <t>BONO DE LA NACION ARGENTINA EN PESOS  //  BADLAR PRIVADA + 250 PBS VTO 2019           AMX9X</t>
  </si>
  <si>
    <t>BANCO  DE SERVICIOS Y TRANSACCIONES S.A.   //  SUBORDINADAS CLASE 1</t>
  </si>
  <si>
    <t>PRO1 CUPON IMPAGO VTO. 01.03.02</t>
  </si>
  <si>
    <t>AL RENTA MIXTA CLASE A</t>
  </si>
  <si>
    <t>083 PER GANAN Importación definitiva de bienes sin C.V.D.I.</t>
  </si>
  <si>
    <t>BANCO COMERCIAL DE TRES ARROYOS S.A.</t>
  </si>
  <si>
    <t>CUBA</t>
  </si>
  <si>
    <t>Local</t>
  </si>
  <si>
    <t>Dolar estadounidense</t>
  </si>
  <si>
    <t>CERAMICA SAN LORENZO  IND. Y COM.S.A.  //  ordinarias escriturales b (1 voto) u$s cable</t>
  </si>
  <si>
    <t xml:space="preserve">BONO DE LA NACION ARGENTINA EN PESOS  //  BADLAR PRIVADA + 250 PBS VTO 2019 U$S CABLE </t>
  </si>
  <si>
    <t>BANCO CMF S.A.   //  CLASE 6</t>
  </si>
  <si>
    <t>BPRO1 CUPON IMPAGO VTO. 01.03.02</t>
  </si>
  <si>
    <t>AL RENTA MIXTA CLASE B</t>
  </si>
  <si>
    <t>798 Servicios de transporte terrestre, aéreo o por vía acuática de pasajeros con destino fuera del país – Demás sujetos – Operaciones en efectivo</t>
  </si>
  <si>
    <t>BANCO COMERCIAL DEL NORTE</t>
  </si>
  <si>
    <t>DINAMARCA</t>
  </si>
  <si>
    <t>Lote de Terreno</t>
  </si>
  <si>
    <t>Dolar fijiano</t>
  </si>
  <si>
    <t>CIA. INDUSTRIAL CERVECERA S.A.  //  ordinarias escriturales a (5 votos)</t>
  </si>
  <si>
    <t>BONO DE LA NACION ARGENTINA EN PESOS  //  BADLAR PRIVADA + 275 PBS VTO 2018(BONAR 18B+275)  AMX8X</t>
  </si>
  <si>
    <t>BANCO CMF S.A.   //  CLASE 7</t>
  </si>
  <si>
    <t>PRE4 CUPON IMPAGO VTO. 01.03.02</t>
  </si>
  <si>
    <t>AL RENTA MIXTA CLASE C</t>
  </si>
  <si>
    <t>802 Servicios en el exterior contratados a través de agencias de viajes y turismo del país – Demás sujetos – Operaciones en efectivo</t>
  </si>
  <si>
    <t>BANCO COMERCIAL ISRAELITA S.A.</t>
  </si>
  <si>
    <t>DOMINICANA, REPUBLICA</t>
  </si>
  <si>
    <t>Country,quintas,etc.</t>
  </si>
  <si>
    <t>Dolar guyanés</t>
  </si>
  <si>
    <t>CIA. INDUSTRIAL CERVECERA S.A.  //  ordinarias escriturales b (1 voto)</t>
  </si>
  <si>
    <t xml:space="preserve">BONO DE LA NACION ARGENTINA EN PESOS  //  BADLAR PRIVADA + 275 PBS VTO 2018(BONAR 18B+275)  DÓLAR U$S </t>
  </si>
  <si>
    <t>BANCO CMF S.A.   //  CLASE 8</t>
  </si>
  <si>
    <t>PRE3 CUPON IMPAGO VTO. 01.03.02</t>
  </si>
  <si>
    <t>AL RENTA MIXTA II CLASE A</t>
  </si>
  <si>
    <t>818 Ventas de divisas para pagos al exterior</t>
  </si>
  <si>
    <t>BANCO COOP. DEL ESTE ARGENTINO LTDO.PARANA</t>
  </si>
  <si>
    <t>ECUADOR</t>
  </si>
  <si>
    <t>Mejoras Construcción</t>
  </si>
  <si>
    <t>Dolar jamaicano</t>
  </si>
  <si>
    <t>CIA. INTRODUCTORA DE BS.AS. S.A  //  ordinarias escriturales a (5 votos)</t>
  </si>
  <si>
    <t>BONO DE LA NACION ARGENTINA EN PESOS  //  BADLAR PRIVADA + 275 PBS VTO 2018(BONAR 18B+275)  DÓLAR U$S  AMX8</t>
  </si>
  <si>
    <t>BANCO CMF S.A.   //  CLASE 9</t>
  </si>
  <si>
    <t>PRO3 CUPON IMPAGO VTO. 28.02.02</t>
  </si>
  <si>
    <t>AL RENTA MIXTA II CLASE B</t>
  </si>
  <si>
    <t>BANCO COOPERATIVO DE CASEROS LTD.</t>
  </si>
  <si>
    <t>EGIPTO</t>
  </si>
  <si>
    <t>Rurales con vivienda</t>
  </si>
  <si>
    <t>Dolar liberiano</t>
  </si>
  <si>
    <t>CIA. INTRODUCTORA DE BS.AS. S.A  //  ordinarias escriturales b (1 voto)</t>
  </si>
  <si>
    <t>BONO DE LA NACION ARGENTINA EN PESOS  //  BADLAR PRIVADA + 275 PBS VTO 2018(BONAR 18B+275)  U$S CABLE</t>
  </si>
  <si>
    <t>BANCO COMAFI S.A.  //  CLASE 18</t>
  </si>
  <si>
    <t>PRO4 CUPON IMPAGO VTO. 28.02.02</t>
  </si>
  <si>
    <t>AL RENTA MIXTA II CLASE C</t>
  </si>
  <si>
    <t>Tipo de operación - Reten y Perc</t>
  </si>
  <si>
    <t>BANCO COOPERATIVO DE LA PLATA LTDO.</t>
  </si>
  <si>
    <t>EL COMMONWEALTH DE DOMINICA (Estado Asociado)</t>
  </si>
  <si>
    <t>Rurales sin vivienda</t>
  </si>
  <si>
    <t>Dolar namibio</t>
  </si>
  <si>
    <t>CIA.TRANSP.E.E. ALTA TENSION TRANSENER S.A.  //  ordinarias escriturales b (1 voto) u$s cable</t>
  </si>
  <si>
    <t>BONO DE LA NACION ARGENTINA EN PESOS  //  BADLAR PRIVADA + 300 PBS VTO 2017  AO17</t>
  </si>
  <si>
    <t>BANCO COMAFI S.A.  //  CLASE 9</t>
  </si>
  <si>
    <t>RC21 CUPON IMPAGO VTO.28.02.02</t>
  </si>
  <si>
    <t>AL RENTA VARIABLE CLASE A</t>
  </si>
  <si>
    <t>Retención</t>
  </si>
  <si>
    <t>BANCO COOPERATIVO NICOLAS LEVALLE LTDO.</t>
  </si>
  <si>
    <t>EL SALVADOR</t>
  </si>
  <si>
    <t>Otros Inmuebles</t>
  </si>
  <si>
    <t>Dolar neozelandes</t>
  </si>
  <si>
    <t>CIA.TRANSP.E.E. ALTA TENSION TRANSENER S.A.  //  ordinarias escriturales b (1 voto)</t>
  </si>
  <si>
    <t>BONO DE LA NACION ARGENTINA EN PESOS  //  BADLAR PRIVADA + 300 PBS. VTO. 2017  AO17X</t>
  </si>
  <si>
    <t>BANCO DE GALICIA Y BS.AS. S.A.  //  CLASE III  BYC3O</t>
  </si>
  <si>
    <t>BX92 CUPON IMPAGO VTO. 15.03.02</t>
  </si>
  <si>
    <t>AL RENTA VARIABLE CLASE B</t>
  </si>
  <si>
    <t>Percepción</t>
  </si>
  <si>
    <t>BANCO COOPESUR COOP.LTDO.</t>
  </si>
  <si>
    <t>EMIRATOS ARABES UNIDOS (Estado independiente)</t>
  </si>
  <si>
    <t>Dolar taiwanes</t>
  </si>
  <si>
    <t>COLORIN IND. DE MAT.SINT. S.A.  //  ordinarias escriturales (1 voto)</t>
  </si>
  <si>
    <t>BONO DE LA NACION ARGENTINA EN PESOS  //  BADLAR PRIVADA + 300 PBS. VTO. 2017 U$S CABLE</t>
  </si>
  <si>
    <t>BANCO DE GALICIA Y BS.AS. S.A.  //  CLASE III  BYC3X</t>
  </si>
  <si>
    <t>BCOR1 CUPON IMPAGO VTO. 01.11.01</t>
  </si>
  <si>
    <t>ALIANZA DE CAPITALES</t>
  </si>
  <si>
    <t>BANCO COSCREA COOP.LTDO.</t>
  </si>
  <si>
    <t>ERITREA</t>
  </si>
  <si>
    <t>Destino Inmueble</t>
  </si>
  <si>
    <t>Dolar zimbabuense</t>
  </si>
  <si>
    <t>CONSULTATIO S.A.  //  ordinarias escriturales (1 voto)</t>
  </si>
  <si>
    <t>BONO DE LA NACION ARGENTINA EN PESOS  //  BADLAR PRIVADA + 325 PBS VTO 2020(BONAR 20B+325)           AM20</t>
  </si>
  <si>
    <t>BANCO DE GALICIA Y BS.AS. S.A.  //  CLASE IV</t>
  </si>
  <si>
    <t>BCOR1 CUPON IMPAGO VTO. 01.12.01</t>
  </si>
  <si>
    <t>ALLARIA DOLARES PLUS CLASE A</t>
  </si>
  <si>
    <t>Retencion</t>
  </si>
  <si>
    <t>BANCO CREDICOOP COOPERATIVO LIMITADO</t>
  </si>
  <si>
    <t>ESLOVACA, REPUBLICA</t>
  </si>
  <si>
    <t>Alquiler</t>
  </si>
  <si>
    <t>Dong vietnamita</t>
  </si>
  <si>
    <t>CONTINENTAL URBANA SOCIEDAD ANONIMA INVERSORA  //  ordinarias escriturales 1 voto dólar (u$s)</t>
  </si>
  <si>
    <t>BONO DE LA NACION ARGENTINA EN PESOS  //  BADLAR PRIVADA + 325 PBS VTO 2020(BONAR 20B+325)           AM20X</t>
  </si>
  <si>
    <t>BANCO DE GALICIA Y BS.AS. S.A.  //  O.N. CLASE 1</t>
  </si>
  <si>
    <t>CUPON 4 LETRA EN EURO VTO. 28.5.16</t>
  </si>
  <si>
    <t>ALLARIA DOLARES PLUS CLASE B</t>
  </si>
  <si>
    <t>019 RET GANAN INTERESES OPERAC. REALIZADAS EN ENTIDADES FINANCIERAS</t>
  </si>
  <si>
    <t>BANCO CREDITO DE CUYO S.A.</t>
  </si>
  <si>
    <t>ESLOVENIA</t>
  </si>
  <si>
    <t>Afectado a la explotación</t>
  </si>
  <si>
    <t>DRACHMA griega</t>
  </si>
  <si>
    <t>CONTINENTAL URBANA SOCIEDAD ANONIMA INVERSORA  //  ordinarias escriturales 1 voto u$s cable</t>
  </si>
  <si>
    <t>BONO DE LA NACION ARGENTINA EN PESOS  //  BADLAR PRIVADA + 325 PBS VTO 2020(BONAR 20B+325)   DÓLAR U$S AM20D</t>
  </si>
  <si>
    <t>BANCO DE GALICIA Y BS.AS. S.A.  //  SUBORDINADAS CLASE II</t>
  </si>
  <si>
    <t>CUPON 5 L.EN EURO VTO. 28.5.2021</t>
  </si>
  <si>
    <t>ALLARIA ESTRATEGICO CLASE A</t>
  </si>
  <si>
    <t>021 RET GANANCIAS INTERESES POR OTRO TIPO DE OPERACIONES</t>
  </si>
  <si>
    <t>BANCO CREDITO PROVINCIAL S.A.</t>
  </si>
  <si>
    <t>ESPAÑA</t>
  </si>
  <si>
    <t>Inversión</t>
  </si>
  <si>
    <t>Dram Armenio</t>
  </si>
  <si>
    <t>CONTINENTAL URBANA SOCIEDAD ANONIMA INVERSORA  //  ordinarias escriturales 1 voto</t>
  </si>
  <si>
    <t>BONO DE LA NACION ARGENTINA EN PESOS  //  BADLAR PRIVADA + 325 PBS VTO 2020(BONAR 20B+325)   DÓLAR U$S AM20Y</t>
  </si>
  <si>
    <t>BANCO DE GALICIA Y BS.AS. S.A.  //  SUBORDINADAS CLASE II DÓLAR U$S</t>
  </si>
  <si>
    <t>CUPON FIJO LETRA EXTERNA VTO.28.5.26</t>
  </si>
  <si>
    <t>ALLARIA ESTRATEGICO CLASE B</t>
  </si>
  <si>
    <t>022 COMPRA VENTA DE GRANOS Y LEGUMBRES SECAS - ART. 10 INC. A) APARTADO 2 - OPERACIONES PRIMARIAS</t>
  </si>
  <si>
    <t>BANCO DE BALCARCE COOPERATIVO LIMITADO</t>
  </si>
  <si>
    <t>ESTADO ASOCIADO DE GRANADA (Estado independiente)</t>
  </si>
  <si>
    <t>Recreo o Veraneo</t>
  </si>
  <si>
    <t>ECU</t>
  </si>
  <si>
    <t>CRESUD S.A.C.I.F.  y A.  //  ordinarias escriturales (1 voto) u$s cable</t>
  </si>
  <si>
    <t>BONO DE LA NACION ARGENTINA EN PESOS  //  BADLAR PRIVADA + 325 PBS VTO 2020(BONAR 20B+325)   U$S CABLE  AM20C</t>
  </si>
  <si>
    <t>BANCO DE GALICIA Y BS.AS. S.A.  //  SUBORDINADAS CLASE II U$S CABLE</t>
  </si>
  <si>
    <t>CUPON IMPAGO VEY4 S.74 VTO.11.07.03</t>
  </si>
  <si>
    <t>ALLARIA RENTA DÓLAR LEY 27260 CLASE A</t>
  </si>
  <si>
    <t>023 COMPRA VENTA DE GRANOS Y LEGUMBRES SECAS ART. 10 INC. B)</t>
  </si>
  <si>
    <t>BANCO DE BERISSO COOP.LTDO.</t>
  </si>
  <si>
    <t>ESTADO DE BAHREIN (Estado independiente)</t>
  </si>
  <si>
    <t>Otros</t>
  </si>
  <si>
    <t>Escudo caboverdiano</t>
  </si>
  <si>
    <t>CRESUD S.A.C.I.F.  y A.  //  ordinarias escriturales (1 voto) dólar (u$s)</t>
  </si>
  <si>
    <t>BONO DE LA NACION ARGENTINA EN PESOS  //  BADLAR PRIVADA + 325 PBS VTO 2020(BONAR 20B+325)   U$S CABLE  AM20Z</t>
  </si>
  <si>
    <t>BANCO DE INVERSIÓN Y COMERCIO EXTERIOR S.A.  //  CLASE 2</t>
  </si>
  <si>
    <t>CUPON IMPAGO VEY4 VTO.11.08.03</t>
  </si>
  <si>
    <t>ALLARIA RENTA DÓLAR LEY 27260 CLASE B</t>
  </si>
  <si>
    <t>024 COMPRA VENTA DE GRANOS Y LEGUMBRES SECAS ART. 10 INC. C)</t>
  </si>
  <si>
    <t>BANCO DE CASEROS S.A.</t>
  </si>
  <si>
    <t>ESTADO DE KUWAIT (Estado independiente)</t>
  </si>
  <si>
    <t>Escudo de Timor</t>
  </si>
  <si>
    <t>CRESUD S.A.C.I.F.  y A.  //  ordinarias escriturales (1 voto)</t>
  </si>
  <si>
    <t>BONO DE LA NACION ARGENTINA VINCULADO AL DÓLAR  //  0,75%VTO. JUNIO 2017   AJ17</t>
  </si>
  <si>
    <t>BANCO DE INVERSIÓN Y COMERCIO EXTERIOR S.A.  //  CLASE 4</t>
  </si>
  <si>
    <t>CUPON AMORT. VEY4 VTO.11.05.04</t>
  </si>
  <si>
    <t>ALLARIA RENTA DÓLAR LEY 27260 CLASE C</t>
  </si>
  <si>
    <t>025 RET GAN COMISIONES RETRIBUCIONES DERIVADAS DE ACTIVIDAD DE COMISIONISTAS, REMATADORES Y CONSIGNATARIOS</t>
  </si>
  <si>
    <t>BANCO DE CATAMARCA</t>
  </si>
  <si>
    <t>ESTADO DE QATAR (Estado independiente)</t>
  </si>
  <si>
    <t>PROVINCIAS</t>
  </si>
  <si>
    <t>Escudo portuges</t>
  </si>
  <si>
    <t>DISTRIBUIDORA DE GAS CUYANA S.A.  //  ords escrit b (1 voto) - cotizables u$s cable</t>
  </si>
  <si>
    <t>BONO DE LA NACION ARGENTINA VINCULADO AL DÓLAR  //  0,75%VTO. JUNIO 2017   AJ17X</t>
  </si>
  <si>
    <t>BANCO DE SERVICIOS FINANCIEROS S.A.  //  CLASE 15</t>
  </si>
  <si>
    <t>CUPON IMPAGO VEY4 S.74 VTO.11.05.02</t>
  </si>
  <si>
    <t>ALLARIA SINCERAM.FISCAL LEY 27260 CLASE B</t>
  </si>
  <si>
    <t>026 COMPRA VENTA DE GRANOS Y LEGUMBRES SECAS - ART. 10 INC. D) APARTADO 2 - COMISIONES</t>
  </si>
  <si>
    <t>BANCO DE COMERCIO</t>
  </si>
  <si>
    <t>ESTADO LIBRE ASOCIADO DE PUERTO RICO (Estado asoc. a EEUU)</t>
  </si>
  <si>
    <t>Buenos Aires</t>
  </si>
  <si>
    <t>EURO</t>
  </si>
  <si>
    <t>DISTRIBUIDORA DE GAS CUYANA S.A.  //  ords escrit b (1 voto) - cotizables</t>
  </si>
  <si>
    <t>BONO DE LA NACION ARGENTINA VINCULADO AL DÓLAR  //  0,75%VTO. JUNIO 2017  DÓLAR U$S</t>
  </si>
  <si>
    <t>BANCO DE SERVICIOS FINANCIEROS S.A.  //  CLASE 16</t>
  </si>
  <si>
    <t>CUPON IMPAGO VBY4 T.7 S.75 VTO.11.5.03</t>
  </si>
  <si>
    <t>ALLARIA SINCERAM.FISCAL LEY 27260 CLASE C</t>
  </si>
  <si>
    <t>028 COMPRA VENTA DE GRANOS Y LEGUMBRES SECAS - ART. 10 INC. A) APARTADO 2 - OPERACIONES SECUNDARIAS Y OTRAS</t>
  </si>
  <si>
    <t>BANCO DE CORONEL DORREGO Y T.LAUQUEN</t>
  </si>
  <si>
    <t>ESTADOS UNIDOS</t>
  </si>
  <si>
    <t>Catamarca</t>
  </si>
  <si>
    <t>Florín arubeño</t>
  </si>
  <si>
    <t>DOMEC CIA. ARTEF.DOMEST.S.A.I.C. y  F.  //  ords nominativas no endosables (1 voto)</t>
  </si>
  <si>
    <t>BONO DE LA NACION ARGENTINA VINCULADO AL DÓLAR  //  0,75%VTO. JUNIO 2017  U$S CABLE</t>
  </si>
  <si>
    <t>BANCO DE SERVICIOS FINANCIEROS S.A.  //  CLASE 17</t>
  </si>
  <si>
    <t>CUPON AMORT. VBY4 T.7 S.75 VTO.11.5.03</t>
  </si>
  <si>
    <t>ALPHA ACCIONES CLASE A</t>
  </si>
  <si>
    <t>030 ALQUILERES O ARRENDAMIENTOS DE BIENES MUEBLES</t>
  </si>
  <si>
    <t>BANCO DE CORONEL PRINGLES S.A.</t>
  </si>
  <si>
    <t>ESTONIA</t>
  </si>
  <si>
    <t>Chaco</t>
  </si>
  <si>
    <t>Florín de las Antillas Holandesas</t>
  </si>
  <si>
    <t>DYCASA S.A.  //  ordinarias escriturales b (1 voto)</t>
  </si>
  <si>
    <t>BONO DE LA NACION ARGENTINA VINCULADO AL DÓLAR  //  0,75%VTO. SEPT 2017(BONAD 0,75%SEPT2017)  AS17</t>
  </si>
  <si>
    <t>BANCO DE SERVICIOS FINANCIEROS S.A.  //  CLASE 18</t>
  </si>
  <si>
    <t>CUPON IMPAGO VBY4 S.75 T.7 V.11.06.03</t>
  </si>
  <si>
    <t>ALPHA ACCIONES CLASE B</t>
  </si>
  <si>
    <t>031 BIENES INMUEBLES URBANOS, INCLUIDOS LOS EFECTUADOS BAJO MODALIDAD DE LEASING - INCLUYE SUBURBANOS</t>
  </si>
  <si>
    <t>BANCO DE CORRIENTES S.A.</t>
  </si>
  <si>
    <t>ETIOPIA</t>
  </si>
  <si>
    <t>Chubut</t>
  </si>
  <si>
    <t>Florin de Surinam</t>
  </si>
  <si>
    <t>ELECTROMAC S.A.I.  y C.  //  ordinarias nominativas no endosables (1 voto)</t>
  </si>
  <si>
    <t>BONO DE LA NACION ARGENTINA VINCULADO AL DÓLAR  //  0,75%VTO. SEPT 2017(BONAD 0,75%SEPT2017)  AS17X</t>
  </si>
  <si>
    <t>BANCO DE SERVICIOS FINANCIEROS S.A.  //  CLASE 19</t>
  </si>
  <si>
    <t>CUPON IMPAGO VEY4 S.74 VTO.11.06.03</t>
  </si>
  <si>
    <t>ALPHA ACCIONES CLASE C</t>
  </si>
  <si>
    <t>032 BIENES INMUEBLES RURALES, INCLUIDOS LOS EFECTUADOS BAJO MODALIDAD DE LEASING - INCLUYE SUBRURALES</t>
  </si>
  <si>
    <t>BANCO DE CREDITO ARGENTINO S.A.</t>
  </si>
  <si>
    <t>FEDERACION DE SAN CRISTOBAL (Islas Saint Kitts and Nevis)</t>
  </si>
  <si>
    <t>Ciudad Autónoma de Buenos Aires</t>
  </si>
  <si>
    <t>Florin holandes</t>
  </si>
  <si>
    <t>EMPRESA DISTRIB. Y COMERCIALIZADORA NORTE S.A. (EDENOR S.A.)  //  ordinarias escriturales b (1 voto) u$s cable</t>
  </si>
  <si>
    <t>BONO DE LA NACION ARGENTINA VINCULADO AL DÓLAR  //  0,75%VTO. SEPT 2017(BONAD 0,75%SEPT2017)  DÓLAR U$S</t>
  </si>
  <si>
    <t>BANCO HIPOTECARIO S.A.  //  CLASE XL       BH40O</t>
  </si>
  <si>
    <t>ALPHA ACCIONES CLASE D</t>
  </si>
  <si>
    <t>035 RET GANANCIAS - REGALIAS</t>
  </si>
  <si>
    <t>BANCO DE CREDITO COMERCIAL</t>
  </si>
  <si>
    <t>FIJI, ISLAS</t>
  </si>
  <si>
    <t>Córdoba</t>
  </si>
  <si>
    <t>Forint hungaro</t>
  </si>
  <si>
    <t>EMPRESA DISTRIB. Y COMERCIALIZADORA NORTE S.A. (EDENOR S.A.)  //  ordinarias escriturales b (1 voto)</t>
  </si>
  <si>
    <t>BONO DE LA NACION ARGENTINA VINCULADO AL DÓLAR  //  0,75%VTO.2017(BONAD 0,75%2017)   AF17X</t>
  </si>
  <si>
    <t>BANCO HIPOTECARIO S.A.  //  CLASE XL       BH40X</t>
  </si>
  <si>
    <t>CUPON AMORT.VEY4 VTO.11.08.03</t>
  </si>
  <si>
    <t>ALPHA ACCIONES CLASE E</t>
  </si>
  <si>
    <t>040 RET GANAN INTERESES DE DEUDAS, INCLUIDAS OBLIGACIONES NEGOCIABLES - ART. 81 INC. A)</t>
  </si>
  <si>
    <t>BANCO DE CREDITO RURAL ARGENTINO S.A.</t>
  </si>
  <si>
    <t>FILIPINAS</t>
  </si>
  <si>
    <t>Corrientes</t>
  </si>
  <si>
    <t>Franco belga</t>
  </si>
  <si>
    <t>EMPRESA DISTRIBUIDORA ELECTRICA REGIONAL S.A. - EMDERSA  //  escriturales (1 voto)</t>
  </si>
  <si>
    <t>BONO DE LA NACION ARGENTINA VINCULADO AL DÓLAR  //  0,75%VTO.2017(BONAD 0,75%2017)  AF17</t>
  </si>
  <si>
    <t>BANCO HIPOTECARIO S.A.  //  CLASE XLI</t>
  </si>
  <si>
    <t>CUPON IMPAGO VEY4 S.74 VTO.11.10.03</t>
  </si>
  <si>
    <t>ALPHA ACCIONES CLASE I</t>
  </si>
  <si>
    <t>043 RET GANAN INTERESES ACCIONARIOS, EXCEDENTES Y RETORNOS DISTRIBUIDOS ENTRE ASOCIADOS</t>
  </si>
  <si>
    <t>BANCO DE ENTRE RIOS S.A.</t>
  </si>
  <si>
    <t>FINLANDIA</t>
  </si>
  <si>
    <t>Entre Rios</t>
  </si>
  <si>
    <t>Franco burundés</t>
  </si>
  <si>
    <t>ENDESA COSTANERA S. A.  //  ordinarias ecriturales de 1 voto u$s cable</t>
  </si>
  <si>
    <t>BONO DE LA NACION ARGENTINA VINCULADO AL DÓLAR  //  0,75%VTO.2017(BONAD 0,75%2017) U$S CABLE</t>
  </si>
  <si>
    <t>BANCO HIPOTECARIO S.A.  //  CLASE XLII</t>
  </si>
  <si>
    <t>CUPON IMPAGO VEY4 VTO. 11.11.03</t>
  </si>
  <si>
    <t>ALPHA AHORRO CLASE A</t>
  </si>
  <si>
    <t>051 RET GANAN OBLIGACIONES DE HACER O POR NO EJERCER UNA ACTIVIDAD</t>
  </si>
  <si>
    <t>BANCO DE FORMOSA S.A.</t>
  </si>
  <si>
    <t>FRANCIA</t>
  </si>
  <si>
    <t>Formosa</t>
  </si>
  <si>
    <t>Franco CFA</t>
  </si>
  <si>
    <t>ENDESA COSTANERA S. A.  //  ordinarias ecriturales de 1 voto</t>
  </si>
  <si>
    <t>BONO DE LA NACION ARGENTINA VINCULADO AL DÓLAR  //  0,75%VTO.2017(BONAD 0,75%2017)DÓLAR U$S</t>
  </si>
  <si>
    <t>BANCO HIPOTECARIO S.A.  //  CLASE XLIII</t>
  </si>
  <si>
    <t>CUPON AMORT.VEY4 VTO.11.11.03</t>
  </si>
  <si>
    <t>ALPHA AHORRO CLASE B</t>
  </si>
  <si>
    <t>053 RET GAN OPERACIONES REALIZADAS A TRAVES DE MERCADOS DE CEREALES A TERMINO</t>
  </si>
  <si>
    <t>BANCO DE GALICIA Y BUENOS AIRES S.A.</t>
  </si>
  <si>
    <t>GABON</t>
  </si>
  <si>
    <t>Jujuy</t>
  </si>
  <si>
    <t>EUROMAYOR S.A. DE INVERSIONES  //  ordinarias escriturales b (1 voto)</t>
  </si>
  <si>
    <t>BONO DE LA NACION ARGENTINA VINCULADO AL DÓLAR  //  2,40%VTO 2018(BONAD 2,40% 2018)   AM18</t>
  </si>
  <si>
    <t>BANCO HIPOTECARIO S.A.  //  CLASE XLVI</t>
  </si>
  <si>
    <t>CUPON IMPAGO VEY4 VTO.11.12.03</t>
  </si>
  <si>
    <t>ALPHA AHORRO CLASE C</t>
  </si>
  <si>
    <t>055 RET GAN DISTRIBUCION DE PELICULAS CINEMATOGRAFICAS Y TRANSMISION DE PROGRAMAS DE TELEVISION VIA SATELITAL</t>
  </si>
  <si>
    <t>BANCO DE INVERSION Y COMERCIO EXTERIOR S.A.</t>
  </si>
  <si>
    <t>GAMBIA</t>
  </si>
  <si>
    <t>La Pampa</t>
  </si>
  <si>
    <t>Franco CFP</t>
  </si>
  <si>
    <t>FERRUM  S.A. DE CERAMICA Y METALURGIA  //  ordinarias escriturales a (5 votos)</t>
  </si>
  <si>
    <t>BONO DE LA NACION ARGENTINA VINCULADO AL DÓLAR  //  2,40%VTO 2018(BONAD 2,40% 2018)  AM18X</t>
  </si>
  <si>
    <t>BANCO HIPOTECARIO S.A.  //  CLASE XXIX</t>
  </si>
  <si>
    <t>CUPON IMPAGO VEY4 VTO.12.01.04</t>
  </si>
  <si>
    <t>ALPHA MEGA CLASE A</t>
  </si>
  <si>
    <t>056 RETENCION - GANANCIAS - ACTORES</t>
  </si>
  <si>
    <t>BANCO DE ITALIA Y RIO DE LA PLATA</t>
  </si>
  <si>
    <t>GAZA</t>
  </si>
  <si>
    <t>La Rioja</t>
  </si>
  <si>
    <t>Franco comoriano</t>
  </si>
  <si>
    <t>FERRUM  S.A. DE CERAMICA Y METALURGIA  //  ordinarias escriturales b (1 voto)</t>
  </si>
  <si>
    <t>BONO DE LA NACION ARGENTINA VINCULADO AL DÓLAR  //  2,40%VTO 2018(BONAD 2,40% 2018)  U$S CABLE AM18C</t>
  </si>
  <si>
    <t>BANCO HIPOTECARIO S.A.  //  CLASE XXIX DÓLAR U$S</t>
  </si>
  <si>
    <t>CUPON IMPAGO VEY4 VTO. 11.02.04</t>
  </si>
  <si>
    <t>ALPHA MEGA CLASE B</t>
  </si>
  <si>
    <t>060 DIVIDENDOS Y UTILIDADES ASIMILABLES ART. 90.3 DE LA LEY - ALICUOTA 7%</t>
  </si>
  <si>
    <t>BANCO DE JUJUY S.A.</t>
  </si>
  <si>
    <t>GEORGIA</t>
  </si>
  <si>
    <t>Mendoza</t>
  </si>
  <si>
    <t>Franco congoleño</t>
  </si>
  <si>
    <t>FIPLASTO S.A.  //  ordinarias escriturales a (5 votos)</t>
  </si>
  <si>
    <t>BONO DE LA NACION ARGENTINA VINCULADO AL DÓLAR  //  2,40%VTO 2018(BONAD 2,40% 2018)  U$S CABLE AM18Z</t>
  </si>
  <si>
    <t>BANCO HIPOTECARIO S.A.  //  CLASE XXIX U$S CABLE</t>
  </si>
  <si>
    <t>CUPON AMORT.VEY4 VTO.11.02.04</t>
  </si>
  <si>
    <t>ALPHA MEGA CLASE C</t>
  </si>
  <si>
    <t>061 DIVIDENDOS Y UTILIDADES ASIMILABLES ART. 90.3 DE LA LEY - ALICUOTA 13%</t>
  </si>
  <si>
    <t>BANCO DE JUNIN S.A.</t>
  </si>
  <si>
    <t>GHANA</t>
  </si>
  <si>
    <t>Misiones</t>
  </si>
  <si>
    <t>Franco de Luxemburgo</t>
  </si>
  <si>
    <t>FIPLASTO S.A.   //  ordinarias escriturales b (1 voto)</t>
  </si>
  <si>
    <t>BONO DE LA NACION ARGENTINA VINCULADO AL DÓLAR  //  2,40%VTO 2018(BONAD 2,40% 2018)DÓLAR U$S  AM18D</t>
  </si>
  <si>
    <t xml:space="preserve">BANCO HIPOTECARIO S.A.  //  CLASE XXX </t>
  </si>
  <si>
    <t>CUPON IMPAGO VEY4 VTO.11.03.04</t>
  </si>
  <si>
    <t>ALPHA MEGA CLASE D</t>
  </si>
  <si>
    <t>078 RET GAN ENAJENACION DE BIENES MUEBLES Y BIENES DE CAMBIO</t>
  </si>
  <si>
    <t>BANCO DE LA CIUDAD DE BUENOS AIRES</t>
  </si>
  <si>
    <t>GRAN DUCADO DE LUXEMBURGO</t>
  </si>
  <si>
    <t>Neuquén</t>
  </si>
  <si>
    <t>Franco de Madagascar</t>
  </si>
  <si>
    <t>GARCIA REGUERA S.A.C.I.F. e  I.  //  ordinarias escriturales (1 voto)</t>
  </si>
  <si>
    <t>BONO DE LA NACION ARGENTINA VINCULADO AL DÓLAR  //  2,40%VTO 2018(BONAD 2,40% 2018)DÓLAR U$S  AM18Y</t>
  </si>
  <si>
    <t xml:space="preserve">BANCO HIPOTECARIO S.A.  //  CLASE XXXI </t>
  </si>
  <si>
    <t>CUPON IMPAGO VEY4 VTO. 13.04.04</t>
  </si>
  <si>
    <t>ALPHA MEGA CLASE E</t>
  </si>
  <si>
    <t>086 RET GAN TRANSFERENCIA DE DERECHOS, LLAVES, MARCAS, PATENTES, INVENCIONES Y OTROS</t>
  </si>
  <si>
    <t>BANCO DE LA EDIFICADORA DE OLAVARRIA S.A.</t>
  </si>
  <si>
    <t>GRECIA</t>
  </si>
  <si>
    <t>Rio Negro</t>
  </si>
  <si>
    <t>Franco de oro</t>
  </si>
  <si>
    <t>GAROVAGLIO  Y ZORRAQUIN S.A.   //  ordinarias  escrit. (1 voto) u$s cable</t>
  </si>
  <si>
    <t xml:space="preserve">BONO DE SANEAMIENTO GARANTIZADO -PROV. DE CHACO  //  serie 1 </t>
  </si>
  <si>
    <t>BANCO HIPOTECARIO S.A.  //  CLASE XXXII</t>
  </si>
  <si>
    <t>CUPON IMPAGO VEY4 S.74 VTO.11.04.03</t>
  </si>
  <si>
    <t>ALPHA MEGA CLASE I</t>
  </si>
  <si>
    <t>094 RET GAN LOCACION DE OBRAS Y/O SERVICIOS NO EJECUTADOS EN RELACION DE DEPENDENCIA</t>
  </si>
  <si>
    <t>BANCO DE LA EMPRESA COOP.LTDO.</t>
  </si>
  <si>
    <t>GROENLANDIA</t>
  </si>
  <si>
    <t>Salta</t>
  </si>
  <si>
    <t>Franco francés</t>
  </si>
  <si>
    <t>GAROVAGLIO  Y ZORRAQUIN S.A.   //  ordinarias  escrit. (1 voto)</t>
  </si>
  <si>
    <t xml:space="preserve">BONO DEL TESORO DE LA PROVINCIA DE TUCUMAN "INDEPENDENCIA"  //  2da. serie </t>
  </si>
  <si>
    <t>BANCO HIPOTECARIO S.A.  //  CLASE XXXIV</t>
  </si>
  <si>
    <t>CUPON IMPAGO VEY4 S.74 VTO.11.12.02</t>
  </si>
  <si>
    <t>ALPHA MERCOSUR CLASE A</t>
  </si>
  <si>
    <t>095 RET GAN TRANSPORTE DE CARGA ENTRE ARGENTINA Y PAISES EXTRANJEROS</t>
  </si>
  <si>
    <t>BANCO DE LA NACION ARGENTINA</t>
  </si>
  <si>
    <t>GUAM (Territorio no autónomo de los EEUU)</t>
  </si>
  <si>
    <t>San Juan</t>
  </si>
  <si>
    <t>Franco guineano</t>
  </si>
  <si>
    <t>GAROVAGLIO  Y ZORRAQUIN S.A.   //  ordinarias escrit.  (5 votos)</t>
  </si>
  <si>
    <t>BONO PARA EL DESARROLLO E INFRAESTRUCTURA DEL CHUBUT  //  CLASE 2</t>
  </si>
  <si>
    <t>BANCO HIPOTECARIO S.A.  //  CLASE XXXIX</t>
  </si>
  <si>
    <t>CUPON IMPAGO VEY4 S.74 VTO.11.10.02</t>
  </si>
  <si>
    <t>ALPHA MERCOSUR CLASE B</t>
  </si>
  <si>
    <t>099 RET GAN FACTURA M - EMISION DE COMPROBANTES CON DISCRIMINACION DEL GRAVAMEN</t>
  </si>
  <si>
    <t>BANCO DE LA PAMPA SOCIEDAD DE ECONOMIA MIXTA</t>
  </si>
  <si>
    <t>GUATEMALA</t>
  </si>
  <si>
    <t>San Luis</t>
  </si>
  <si>
    <t>Franco ruandes</t>
  </si>
  <si>
    <t>GAS NATURAL BAN S.A.  //  ordinarias escriturales b (1 voto) u$s cable</t>
  </si>
  <si>
    <t>BONO PARA EL DESARROLLO E INFRAESTRUCTURA DEL CHUBUT  //  CLASE 2  U$S CABLE</t>
  </si>
  <si>
    <t>BANCO HIPOTECARIO S.A.  //  CLASE XXXV</t>
  </si>
  <si>
    <t>CUPON IMPAGO VEY4 S.74 VTO.11.11.02</t>
  </si>
  <si>
    <t>ALPHA MERCOSUR CLASE C</t>
  </si>
  <si>
    <t>110 RET GAN EXPLOTACION DE DERECHOS DE AUTOR LEY 11.723</t>
  </si>
  <si>
    <t>BANCO DE LA PROVINCIA DE BUENOS AIRES</t>
  </si>
  <si>
    <t>GUINEA</t>
  </si>
  <si>
    <t>Santa Cruz</t>
  </si>
  <si>
    <t>Franco UIC</t>
  </si>
  <si>
    <t>GAS NATURAL BAN S.A.  //  ordinarias escriturales b (1 voto)</t>
  </si>
  <si>
    <t>BONO PARA EL DESARROLLO E INFRAESTRUCTURA DEL CHUBUT  //  CLASE I</t>
  </si>
  <si>
    <t>BANCO HIPOTECARIO S.A.  //  CLASE XXXVI</t>
  </si>
  <si>
    <t>CUPON IMPAGO VEY4 S.74 VTO.11.06.02</t>
  </si>
  <si>
    <t>ALPHA MERCOSUR CLASE D</t>
  </si>
  <si>
    <t>111 RET GAN CUALQUIER OTRA CESION O LOCACION DE DERECHOS</t>
  </si>
  <si>
    <t>BANCO DE LA PROVINCIA DE CORDOBA S.A.</t>
  </si>
  <si>
    <t>GUINEA BISSAU</t>
  </si>
  <si>
    <t>Santa Fe</t>
  </si>
  <si>
    <t>Franco yibutiano</t>
  </si>
  <si>
    <t>GOFFRE, CARBONE Y CIA. S.A.   //  ordinarias escriturales (1 voto)</t>
  </si>
  <si>
    <t xml:space="preserve">BONO PARA EL DESARROLLO E INFRAESTRUCTURA DEL CHUBUT  //  CLASE I  DÓLAR U$S </t>
  </si>
  <si>
    <t>BANCO HIPOTECARIO S.A.  //  SERIE XII</t>
  </si>
  <si>
    <t>CUPON IMPAGO VEY4 S.74 VTO.11.01.03</t>
  </si>
  <si>
    <t>ALPHA MERCOSUR CLASE I</t>
  </si>
  <si>
    <t>112 RET GAN PLANES DE RETIRO PRIVADO NO ORIGINADOS EN TRABAJO PERSONAL</t>
  </si>
  <si>
    <t>BANCO DE LA PROVINCIA DE FORMOSA</t>
  </si>
  <si>
    <t>GUINEA ECUATORIAL</t>
  </si>
  <si>
    <t>Santiago del Estero</t>
  </si>
  <si>
    <t>Gourde haitiano</t>
  </si>
  <si>
    <t>GRAFEX  S.A. GRAFICA C.I.  y  F.  //  ordinarias escriturales (1 voto)</t>
  </si>
  <si>
    <t>BONO PARA EL DESARROLLO E INFRAESTRUCTURA DEL CHUBUT  //  CLASE I  U$S CABLE</t>
  </si>
  <si>
    <t>BANCO ITAÚ ARGENTINA S.A.  //  CLASE 16</t>
  </si>
  <si>
    <t>CUPON IMPAGO VEY4 VTO. 11.09.03</t>
  </si>
  <si>
    <t>ALPHA PESOS CLASE A</t>
  </si>
  <si>
    <t>113 RET GAN RESCATES O DESISTIMIENTOS DE PLANES DE SEGUROS DE RETIRO INC. O)</t>
  </si>
  <si>
    <t>BANCO DE LA PROVINCIA DE JUJUY</t>
  </si>
  <si>
    <t>HAITI</t>
  </si>
  <si>
    <t>Tierra del Fuego</t>
  </si>
  <si>
    <t>Guarani paraguayo</t>
  </si>
  <si>
    <t>GRIMOLDI S.A.  //  ordinarias escriturales a (5 votos)</t>
  </si>
  <si>
    <t>BONOS AL 10% PCIA. DE BUENOS AIRES  //  con vto. el 5 de julio de 2004 - serie n° 10</t>
  </si>
  <si>
    <t>BANCO ITAÚ ARGENTINA S.A.  //  CLASE 17</t>
  </si>
  <si>
    <t>Carga manual</t>
  </si>
  <si>
    <t>ALPHA PESOS CLASE B</t>
  </si>
  <si>
    <t>116 RET GAN PROFESIONES LIBERALES, SINDICO, DIRECTOR DE S.A., ETC.</t>
  </si>
  <si>
    <t>BANCO DE LA PROVINCIA DE LA RIOJA</t>
  </si>
  <si>
    <t>HONDURAS</t>
  </si>
  <si>
    <t>Tucumán</t>
  </si>
  <si>
    <t>Hryvnia ucraniana</t>
  </si>
  <si>
    <t>GRIMOLDI S.A.  //  ordinarias escriturales b (1 voto)</t>
  </si>
  <si>
    <t>BONOS AL 10,75% PCIA. DE BUENOS AIRES  //  CON VENCIMIENTO 2005 CEDEL</t>
  </si>
  <si>
    <t>BANCO ITAÚ ARGENTINA S.A.  //  CLASE 18</t>
  </si>
  <si>
    <t>ALPHA PESOS PLUS CLASE A</t>
  </si>
  <si>
    <t>117 IMPUESTO A LAS GANANCIAS - REGIMEN DE RETENCION 2% FUTBOLISTAS</t>
  </si>
  <si>
    <t>BANCO DE LA PROVINCIA DE MISIONES</t>
  </si>
  <si>
    <t>HONK KONG (Territorio de China)</t>
  </si>
  <si>
    <t>Kina de Papua Nueva Guinea</t>
  </si>
  <si>
    <t>GRUPO CLARIN S.A.  //  ordinarias clase b (1 voto) u$s cable</t>
  </si>
  <si>
    <t>BONOS AL 10,75% PCIA. DE BUENOS AIRES  //  CON VENCIMIENTO 2005 EUROCLEAR</t>
  </si>
  <si>
    <t>BANCO ITAÚ ARGENTINA S.A.  //  CLASE 19</t>
  </si>
  <si>
    <t>ALPHA PESOS PLUS CLASE B</t>
  </si>
  <si>
    <t>118 IMPUESTO A LAS GANANCIAS - REGIMEN DE RETENCION 28% FUTBOLISTAS</t>
  </si>
  <si>
    <t>BANCO DE LA PROVINCIA DE RIO NEGRO</t>
  </si>
  <si>
    <t>HUNGRIA</t>
  </si>
  <si>
    <t>OTROS EGRESOS</t>
  </si>
  <si>
    <t>Kip lao</t>
  </si>
  <si>
    <t>GRUPO CLARIN S.A.  //  ordinarias clase b (1 voto)</t>
  </si>
  <si>
    <t>BONOS AL 12,5% PCIA. DE BUENOS AIRES  //  vto. el 15 de marzo de 2002 - serie 2  u$s cable</t>
  </si>
  <si>
    <t>BANCO MACRO S.A.  //  CLASE 2  OROY2</t>
  </si>
  <si>
    <t>ALPHA PLANEAMIENTO CONSERVADOR CLASE A</t>
  </si>
  <si>
    <t>119 RET GAN PROFESIONES LIBERALES Y OFICIOS</t>
  </si>
  <si>
    <t>BANCO DE LA PROVINCIA DE SAN LUIS</t>
  </si>
  <si>
    <t>INDETERMINADO (AFRICA)</t>
  </si>
  <si>
    <t>Servicios Públicos - Energía Electrica</t>
  </si>
  <si>
    <t>Koruna checo</t>
  </si>
  <si>
    <t>GRUPO CONCESIONARIO DEL OESTE S.A.  //  ordinarias escriturales b (1 voto)</t>
  </si>
  <si>
    <t>BONOS AL 12,50% PCIA. DE BUENOS AIRES  //  vto el 15 de marzo de 2002 -  serie n° 2</t>
  </si>
  <si>
    <t>BANCO MACRO S.A.  //  CLASE 2  OROY5</t>
  </si>
  <si>
    <t>ALPHA PLANEAMIENTO CONSERVADOR CLASE B</t>
  </si>
  <si>
    <t>124 RET GANANCIAS CORREDORES, VIAJANTES Y DESPACHANTES DE ADUANA</t>
  </si>
  <si>
    <t>BANCO DE LA PROVINCIA DE STGO.DEL ESTERO</t>
  </si>
  <si>
    <t>INDETERMINADO (AMERICA)</t>
  </si>
  <si>
    <t>Servicios Públicos - Gas</t>
  </si>
  <si>
    <t>Krona islandesa</t>
  </si>
  <si>
    <t>GRUPO FINANCIERO GALICIA S.A.    //  ordinarias escriturales b (1 voto) dólar (u$s)</t>
  </si>
  <si>
    <t>BONOS AL 12,75% PCIA. DE BUENOS AIRES  //  vto el 1  de agosto de 2003 - serie 13</t>
  </si>
  <si>
    <t>BANCO MACRO S.A.  //  CLASE 2  U$S CABLE</t>
  </si>
  <si>
    <t>ALPHA PLANEAMIENTO CONSERVADOR CLASE C</t>
  </si>
  <si>
    <t>160 RENTAS DEL TRABAJO PERSONAL BAJO RELACION DE DEPENDENCIA Y OTROS</t>
  </si>
  <si>
    <t>BANCO DE LA PROVINCIA DEL CHACO</t>
  </si>
  <si>
    <t>INDETERMINADO (ASIA)</t>
  </si>
  <si>
    <t>Servicios Públicos - Agua</t>
  </si>
  <si>
    <t>Kuna croata</t>
  </si>
  <si>
    <t>GRUPO FINANCIERO GALICIA S.A.    //  ordinarias escriturales b (1 voto) u$s cable</t>
  </si>
  <si>
    <t>BONOS AL 13,25% PCIA. DE BUENOS AIRES  //  vto el 29 de marzo de 2010 - serie 7 u$s cable</t>
  </si>
  <si>
    <t>BANCO MACRO S.A.  //  CLASE B</t>
  </si>
  <si>
    <t>ALPHA PLANEAMIENTO CONSERVADOR CLASE D</t>
  </si>
  <si>
    <t>191 RET GAN TRANSFERENCIA DE INMUEBLES - OPERACIONES GRAVADAS EN GANANCIAS</t>
  </si>
  <si>
    <t>BANCO DE LA REP. ORIENTAL DEL URUGUAY</t>
  </si>
  <si>
    <t>INDETERMINADO (EUROPA)</t>
  </si>
  <si>
    <t>Servicios Públicos - Telefonía</t>
  </si>
  <si>
    <t>Kwacha malawiano</t>
  </si>
  <si>
    <t>GRUPO FINANCIERO GALICIA S.A.    //  ordinarias escriturales b (1 voto)</t>
  </si>
  <si>
    <t>BONOS AL 13,25% PCIA. DE BUENOS AIRES  //  vto el 29 de marzo de 2010 - serie n° 7</t>
  </si>
  <si>
    <t>BANCO MACRO S.A.  //  SUBORDINADAS CLASE A</t>
  </si>
  <si>
    <t>ALPHA PLANEAMIENTO CONSERVADOR CLASE I</t>
  </si>
  <si>
    <t>192 RET GAN TRANSFERENCIA DE INMUEBLES - OPERACIONES CON GANANCIA REDUCIDA AL 50%</t>
  </si>
  <si>
    <t>BANCO DE LA RIBERA COOP.LTDO. SAN NICOLAS</t>
  </si>
  <si>
    <t>INDETERMINADO (OCEANIA)</t>
  </si>
  <si>
    <t>Seguros</t>
  </si>
  <si>
    <t>Kwacha zambiano</t>
  </si>
  <si>
    <t>HULYTEGO S.A.I.C.  //  ordinarias nominativas no endosables (1 voto)</t>
  </si>
  <si>
    <t>BONOS AL 13,25% PCIA. DE BUENOS AIRES  //  vto el 29 de marzo de 2010 - serie n° 7 c.ext.</t>
  </si>
  <si>
    <t>BANCO MACRO S.A.  //  SUBORDINADAS CLASE A DÓLAR U$S</t>
  </si>
  <si>
    <t>ALPHA PLANEAMIENTO DINAMICO CLASE A</t>
  </si>
  <si>
    <t>193 RET GAN TRANSFERENCIA DE INMUEBLES - BENEFICIARIOS DEL EXTERIOR</t>
  </si>
  <si>
    <t>BANCO DE LABOULAYE COOP.LTDO.CORDOBA</t>
  </si>
  <si>
    <t>INDIA</t>
  </si>
  <si>
    <t>Gastos de Combustible</t>
  </si>
  <si>
    <t>Kwanza angoleño</t>
  </si>
  <si>
    <t>INSTITUTO ROSENBUSCH S.A. DE BIOLOGIA E.  y  A.  //  ords nominativas no endosables a (5 votos)</t>
  </si>
  <si>
    <t xml:space="preserve">BONOS AL 13,75% PCIA. DE BUENOS AIRES  //  VTO EL 5 DE SETIEMBRE DE 2007 - SERIE 14 </t>
  </si>
  <si>
    <t>BANCO PATAGONIA S.A.   //  CLASE III</t>
  </si>
  <si>
    <t>ALPHA PLANEAMIENTO DINAMICO CLASE B</t>
  </si>
  <si>
    <t>196 RET GAN TRANSFERENCIA DE CUOTAS Y PARTICIPACIONES SOCIALES RG 3026</t>
  </si>
  <si>
    <t>BANCO DE LAS COMUNIDADES COOP.LTDO.</t>
  </si>
  <si>
    <t>INDONESIA</t>
  </si>
  <si>
    <t>Propaganda, Publicidad y Merchandising</t>
  </si>
  <si>
    <t>Kyat myanmaro</t>
  </si>
  <si>
    <t>INSTITUTO ROSENBUSCH S.A. DE BIOLOGIA E.  y  A.  //  ords nominativas no endosables b (1 voto)</t>
  </si>
  <si>
    <t xml:space="preserve">BONOS CHAQUEÑOS DE CONSOLIDACION II LEY 4385 EN DOL.ESTADOUN.  //  1RA SERIE </t>
  </si>
  <si>
    <t>BANCO SAENZ S.A.  //  SERIE IX</t>
  </si>
  <si>
    <t>ALPHA PLANEAMIENTO DINAMICO CLASE C</t>
  </si>
  <si>
    <t>200 RET GAN COMPRAVENTA DE ACCIONES POR PERSONAS FISICAS Y SUCESIONES INDIVISAS RESIDENTES EN EL PAIS</t>
  </si>
  <si>
    <t>BANCO DE LOS ARROYOS COOP.LTDO.</t>
  </si>
  <si>
    <t>IRAK</t>
  </si>
  <si>
    <t>Viáticos, refrigerio y transporte</t>
  </si>
  <si>
    <t>Lari georgiano</t>
  </si>
  <si>
    <t>INSUMOS AGROQUIMICOS S.A.  //  ordinarias escriturales b (1 voto)</t>
  </si>
  <si>
    <t>BONOS CHAQUEÑOS DE CONSOLIDACION II LEY 4385 EN DOL.ESTADOUN.  //  1RA SERIE  DÓLAR (U$S)</t>
  </si>
  <si>
    <t>BANCO SAENZ S.A.  //  SERIE VIII</t>
  </si>
  <si>
    <t>ALPHA PLANEAMIENTO DINAMICO CLASE D</t>
  </si>
  <si>
    <t>235 RET GAN NOMINATIVIDAD DE TITULOS VALORES - SALDOS IMPAGOS</t>
  </si>
  <si>
    <t>BANCO DE MENDOZA S.A.</t>
  </si>
  <si>
    <t>IRAN</t>
  </si>
  <si>
    <t>Gastos médicos y análisis preocupacionales</t>
  </si>
  <si>
    <t>Lat leton</t>
  </si>
  <si>
    <t>INTA IND. TEXTIL ARG. S.A.   //  ordinarias escriturales a (3 votos)</t>
  </si>
  <si>
    <t>BONOS CHAQUEÑOS DE CONSOLIDACION II LEY 4385 EN DOL.ESTADOUN.  //  2DA SERIE</t>
  </si>
  <si>
    <t>BANCO SANTANDER RÍO S.A.  //  CLASE IX</t>
  </si>
  <si>
    <t xml:space="preserve">ALPHA PLANEAMIENTO DINAMICO CLASE I </t>
  </si>
  <si>
    <t>237 MUTUOS HIPOTECARIOS</t>
  </si>
  <si>
    <t>BANCO DE MISIONES S.A.</t>
  </si>
  <si>
    <t>IRLANDA (EIRE)</t>
  </si>
  <si>
    <t>Sistemas de seguridad y transporte de caudales</t>
  </si>
  <si>
    <t>Lek albano</t>
  </si>
  <si>
    <t>INTA IND. TEXTIL ARG. S.A.   //  ordinarias escriturales b (1 voto)</t>
  </si>
  <si>
    <t>BONOS CHAQUEÑOS DE CONSOLIDACION II LEY 4385 EN DOL.ESTADOUN.  //  2DA SERIE DÓLAR (U$S)</t>
  </si>
  <si>
    <t>BANCO SANTANDER RÍO S.A.  //  CLASE VII</t>
  </si>
  <si>
    <t>ALPHA PLANEAMIENTO EQUILIBRADO CLASE A</t>
  </si>
  <si>
    <t>240 RET GAN NOMINATIVIDAD DE TITULOS VALORES - SALDOS PAGOS</t>
  </si>
  <si>
    <t>BANCO DE OLAVARRIA S.A.</t>
  </si>
  <si>
    <t>ISLA CHRISTMAS</t>
  </si>
  <si>
    <t>Alquiler de inmuebles, maquinarias y equipos (incluye Leasing)</t>
  </si>
  <si>
    <t>Lempira hondureño</t>
  </si>
  <si>
    <t>INVERSORA JURAMENTO S.A.  //  ordinarias escrit. clase b (1 voto)</t>
  </si>
  <si>
    <t>BONOS CHAQUEÑOS DE CONSOLIDACION II LEY 4385 EN DOL.ESTADOUN.  //  2DA SERIE U$S CABLE</t>
  </si>
  <si>
    <t>BANCO SANTANDER RÍO S.A.  //  CLASE VIII</t>
  </si>
  <si>
    <t>ALPHA PLANEAMIENTO EQUILIBRADO CLASE B</t>
  </si>
  <si>
    <t>428 COMPRA VENTA DE GRANOS Y LEGUMBRES SECAS - ART. 10 INC. A) APARTADO 3 - OPERACIONES PRIMARIAS</t>
  </si>
  <si>
    <t>BANCO DE PARANA</t>
  </si>
  <si>
    <t>ISLA DE COCOS O KEELING</t>
  </si>
  <si>
    <t>Leone de Sierra Leona</t>
  </si>
  <si>
    <t>IRSA INVERSIONES Y REPRESENTACIONES S.A.  //  ordinarias escriturales (1 voto) u$s cable</t>
  </si>
  <si>
    <t>BONOS CHAQUEÑOS DE CONSOLIDACION II LEY 4385 EN DOL.ESTADOUN.  //  3RA SERIE</t>
  </si>
  <si>
    <t>BANCO SANTANDER RÍO S.A.  //  CLASE XI</t>
  </si>
  <si>
    <t>ALPHA PLANEAMIENTO EQUILIBRADO CLASE C</t>
  </si>
  <si>
    <t>429 COMPRA VENTA DE GRANOS Y LEGUMBRES SECAS - ART. 10 INC. D) APARTADO 3 - COMISIONES</t>
  </si>
  <si>
    <t>BANCO DE PREVISION SOCIAL S.A.</t>
  </si>
  <si>
    <t>ISLA DE MAN (Territorio del Reino Unido)</t>
  </si>
  <si>
    <t>Leu de Rumania</t>
  </si>
  <si>
    <t>IRSA INVERSIONES Y REPRESENTACIONES S.A.  //  ordinarias escriturales (1 voto)</t>
  </si>
  <si>
    <t>BONOS CHAQUEÑOS DE CONSOLIDACION II LEY 4385 EN DOL.ESTADOUN.  //  3RA SERIE DÓLAR (U$S)</t>
  </si>
  <si>
    <t>BANCO SANTANDER RÍO S.A.  //  CLASE XII</t>
  </si>
  <si>
    <t>ALPHA PLANEAMIENTO EQUILIBRADO CLASE D</t>
  </si>
  <si>
    <t>430 COMPRA VENTA DE GRANOS Y LEGUMBRES SECAS - ART. 10 INC. A) APARTADO 3 - OPERACIONES SECUNDARIAS Y OTRAS</t>
  </si>
  <si>
    <t>BANCO DE RIO TERCERO COOP.LTDO.</t>
  </si>
  <si>
    <t>ISLA DE NORFOLK</t>
  </si>
  <si>
    <t>Quebranto</t>
  </si>
  <si>
    <t>Leu moldavo</t>
  </si>
  <si>
    <t>JUAN  MINETTI S.A.  //  ordinarias escriturales (1 voto) u$s cable</t>
  </si>
  <si>
    <t>BONOS CHAQUEÑOS DE CONSOLIDACION II LEY 4385 EN DOL.ESTADOUN.  //  3RA SERIE U$S CABLE</t>
  </si>
  <si>
    <t>BANCO SANTANDER RÍO S.A.  //  CLASE XIII</t>
  </si>
  <si>
    <t>ALPHA PLANEAMIENTO EQUILIBRADO CLASE I</t>
  </si>
  <si>
    <t>446 PROVEEDORES DE EMPRESAS MINERAS INSCRIPTOS EN EL REGISTRO</t>
  </si>
  <si>
    <t>BANCO DE SALTA S.A.</t>
  </si>
  <si>
    <t>ISLA DE SAN PEDRO Y MIGUELON</t>
  </si>
  <si>
    <t>Act. No Promovida</t>
  </si>
  <si>
    <t>LEV</t>
  </si>
  <si>
    <t>JUAN  MINETTI S.A.  //  ordinarias escriturales (1 voto)</t>
  </si>
  <si>
    <t>BONOS DE AMORTIZACION - PROVINCIA DE MENDOZA  //  AL 5,5% CON VENCIMIENTO EN 2018  DÓLAR U$S</t>
  </si>
  <si>
    <t>BANCO SANTANDER RÍO S.A.  //  CLASE XIV</t>
  </si>
  <si>
    <t>ALPHA RECURSOS NATURALES CLASE A</t>
  </si>
  <si>
    <t>447 PROVEEDORES DE EMPRESAS MINERAS NO INSCRIPTOS EN EL REGISTRO - ENAJENACION DE BIENES Y/O PRESTACION DE SERVICIOS Y/O LOCACION DE BIENES MUEBLES Y/O INMUEBLES</t>
  </si>
  <si>
    <t>BANCO DE SAN JUAN S.A.</t>
  </si>
  <si>
    <t>ISLA QESHM</t>
  </si>
  <si>
    <t>Act. Promovida</t>
  </si>
  <si>
    <t>Lev b=FAlgaro</t>
  </si>
  <si>
    <t>LEDESMA S.A.A.I.  //  ords nomin no endosables (1 voto) u$s cable</t>
  </si>
  <si>
    <t>BONOS DE AMORTIZACION - PROVINCIA DE MENDOZA  //  AL 5,5% CON VENCIMIENTO EN 2018 EUROCLEAR  BARX1</t>
  </si>
  <si>
    <t>BANCO SANTANDER RÍO S.A.  //  CLASE XV</t>
  </si>
  <si>
    <t>ALPHA RECURSOS NATURALES CLASE B</t>
  </si>
  <si>
    <t>448 PROVEEDORES DE EMPRESAS MINERAS NO INSCRIPTOS EN EL REGISTRO - RESTO DE OPERACIONES</t>
  </si>
  <si>
    <t>BANCO DE SANTA CRUZ S.A.</t>
  </si>
  <si>
    <t>ISLANDIA</t>
  </si>
  <si>
    <t>Libra chipriota</t>
  </si>
  <si>
    <t>LEDESMA S.A.A.I.  //  ords nominativas no endosables (1 voto)</t>
  </si>
  <si>
    <t>BONOS DE AMORTIZACION - PROVINCIA DE MENDOZA  //  AL 5,5% CON VENCIMIENTO EN 2018 EUROCLEAR  BARY1</t>
  </si>
  <si>
    <t>BANCO SANTANDER RÍO S.A.  //  CLASE XVI</t>
  </si>
  <si>
    <t>ALPHA RECURSOS NATURALES CLASE C</t>
  </si>
  <si>
    <t>449 PROVEEDORES - SUJETOS NO INSCRIPTOS EN EL IMPUESTO A LAS GANANCIAS</t>
  </si>
  <si>
    <t>BANCO DE SANTA FE SOCIEDAD ANONIMA</t>
  </si>
  <si>
    <t>ISLAS AZORES</t>
  </si>
  <si>
    <t>Libra de Gibraltar</t>
  </si>
  <si>
    <t>LEYDEN S.A.I.C. y  F.   //  ordinarias nominativas no endosables b (1 voto)</t>
  </si>
  <si>
    <t>BONOS DE AMORTIZACION - PROVINCIA DE MENDOZA  //  AL 5,5% CON VENCIMIENTO EN 2018 U$S CABLE BARXC</t>
  </si>
  <si>
    <t>BANCO SANTANDER RÍO S.A.  //  CLASE XVII</t>
  </si>
  <si>
    <t>ALPHA RECURSOS NATURALES CLASE D</t>
  </si>
  <si>
    <t>500 PROVEEDORES - SUJETOS ADHERIDOS AL REGIMEN SIMPLIFICADO (RS) EXCEDIDOS DEL MONTO MAXIMO</t>
  </si>
  <si>
    <t>BANCO DE SANTIAGO DEL ESTERO S.A.</t>
  </si>
  <si>
    <t>ISLAS CAIMAN (Territorio no autónomo del Reino Unido)</t>
  </si>
  <si>
    <t>Libra de Santa Helena</t>
  </si>
  <si>
    <t>LONGVIE  S.A.  //  ordinarias escriturales a (5 votos)</t>
  </si>
  <si>
    <t>BONOS DE AMORTIZACION - PROVINCIA DE MENDOZA  //  AL 5,5% CON VENCIMIENTO EN 2018 U$S CABLE C.EXT. EUROCLEAR    BARYC</t>
  </si>
  <si>
    <t>BANCO SUPERVIELLE S.A.  //  CLASE A</t>
  </si>
  <si>
    <t>ALPHA RECURSOS NATURALES CLASE I</t>
  </si>
  <si>
    <t>526 RIGI - OTRAS GANANCIAS NO PREVISTAS - ART. 185 TERCER PARRAFO LEY 27.742</t>
  </si>
  <si>
    <t>BANCO DE SERVICIOS FINANCIEROS S.A.</t>
  </si>
  <si>
    <t>ISLAS DE COOK (Territorio autónomo asociado a Nueva Zelanda)</t>
  </si>
  <si>
    <t>Libra egipcia</t>
  </si>
  <si>
    <t>LONGVIE  S.A.   //  ordinarias escriturales b (1 voto) u$s cable</t>
  </si>
  <si>
    <t xml:space="preserve">BONOS DE CONSOLIDAC.DE DEUDA DE MUNIC.DE RESISTENCIA-CHACO  //  </t>
  </si>
  <si>
    <t>BANCO SUPERVIELLE S.A.  //  CLASE III</t>
  </si>
  <si>
    <t>ALPHA RENTA BALANCEADA GLOBAL CLASE A</t>
  </si>
  <si>
    <t>527 RIGI - TRANSFERENCIA DE TECNOLOGIA INCISO A) PUNTO 1 ART. 104 LIG - MARCAS Y PATENTES Y DEMAS PRESTACIONES</t>
  </si>
  <si>
    <t>BANCO DE SERVICIOS Y TRANSACCIONES S.A.</t>
  </si>
  <si>
    <t>ISLAS DEL CANAL:Guernesey,Jersey,Alderney,G.Stark,L.Sark,etc</t>
  </si>
  <si>
    <t>Libra esterlina</t>
  </si>
  <si>
    <t>LONGVIE S.A.  //  ordinarias escriturales b (1 voto)</t>
  </si>
  <si>
    <t>BONOS DE CONSOLIDACION   //  OCTAVA SERIE    PR15</t>
  </si>
  <si>
    <t>BANCO SUPERVIELLE S.A.  //  CLASE IV</t>
  </si>
  <si>
    <t>ALPHA RENTA BALANCEADA GLOBAL CLASE B</t>
  </si>
  <si>
    <t>528 RIGI - INTERESES POR PRESTAMOS OBTENIDOS EN EL EXTERIOR - ART. 104 INCISO C) PUNTO 2 LIG</t>
  </si>
  <si>
    <t>BANCO DE VALORES S.A.</t>
  </si>
  <si>
    <t>ISLAS MARIANAS</t>
  </si>
  <si>
    <t>Libra irlandesa</t>
  </si>
  <si>
    <t>MERCADO DE VALORES DE BS.AS. S.A.  //  ordinarias escriturales (1 voto) dólar (u$s)</t>
  </si>
  <si>
    <t>BONOS DE CONSOLIDACION   //  OCTAVA SERIE    PR15X</t>
  </si>
  <si>
    <t>BANCO SUPERVIELLE S.A.  //  CLASE V</t>
  </si>
  <si>
    <t>ALPHA RENTA BALANCEADA GLOBAL CLASE C</t>
  </si>
  <si>
    <t>529 RIGI - LOCACION DE COSAS MUEBLES DEL PAIS EFECTUADAS POR LOCADORES DEL EXTERIOR - ART. 185 LEY 27.742</t>
  </si>
  <si>
    <t>BANCO DEL BUEN AYRE S.A.</t>
  </si>
  <si>
    <t>ISLAS PACIFICO</t>
  </si>
  <si>
    <t>Libra libanesa</t>
  </si>
  <si>
    <t>MERCADO DE VALORES DE BS.AS. S.A.  //  ordinarias escriturales (1 voto) u$s cable</t>
  </si>
  <si>
    <t>BONOS DE CONSOLIDACION   //  SEXTA SERIE     PR13</t>
  </si>
  <si>
    <t>BANCO SUPERVIELLE S.A.  //  CLASE VI</t>
  </si>
  <si>
    <t>ALPHA RENTA BALANCEADA GLOBAL CLASE D</t>
  </si>
  <si>
    <t>530 RIGI - TRANSFERENCIA DE TECNOLOGIA - ASISTENCIA TECNICA, SERVICIOS DE INGENIERIA O CONSULTORIA</t>
  </si>
  <si>
    <t>BANCO DEL CENTRO COOP.LTDO.CORDOBA</t>
  </si>
  <si>
    <t>ISLAS SALOMON</t>
  </si>
  <si>
    <t>Libra malvinense</t>
  </si>
  <si>
    <t>MERCADO DE VALORES DE BS.AS. S.A.  //  ordinarias escriturales (1 voto)</t>
  </si>
  <si>
    <t>BONOS DE CONSOLIDACION   //  SEXTA SERIE     PR13X</t>
  </si>
  <si>
    <t>BANCO SUPERVIELLE S.A.  //  CLASE VII</t>
  </si>
  <si>
    <t>ALPHA RENTA BALANCEADA GLOBAL CLASE I</t>
  </si>
  <si>
    <t>533 RIGI - TRANSFERENCIA DE TECNOLOGIA - MARCAS Y PATENTES Y DEMAS PRESENTACIONES</t>
  </si>
  <si>
    <t>BANCO DEL CHUBUT S.A.</t>
  </si>
  <si>
    <t>ISLAS TURKAS Y CAICOS (Territorio no autónomo del R. Unido)</t>
  </si>
  <si>
    <t>Libra siria</t>
  </si>
  <si>
    <t>METROGAS S.A.   //  ordinarias escriturales b (1 voto) u$s cable</t>
  </si>
  <si>
    <t>BONOS DE CONSOLIDACION   //  SEXTA SERIE   DÓLAR U$S</t>
  </si>
  <si>
    <t>BANCO SUPERVIELLE S.A.  //  SUBORDINADAS A TASA FIJA</t>
  </si>
  <si>
    <t>ALPHA RENTA CAPITAL CLASE A</t>
  </si>
  <si>
    <t>534 RIGI - USO DE PROGRAMAS DE SOFTWARE - BENEFICIARIOS DEL EXTERIOR</t>
  </si>
  <si>
    <t>BANCO DEL FUERTE S.A.</t>
  </si>
  <si>
    <t>ISLAS VIRGENES BRITANICAS(Territorio no autónomo de R.UNIDO)</t>
  </si>
  <si>
    <t>Lilangeni suazi</t>
  </si>
  <si>
    <t>METROGAS S.A.   //  ordinarias escriturales b (1 voto)</t>
  </si>
  <si>
    <t>BONOS DE CONSOLIDACION   //  sexta serie u$s cable</t>
  </si>
  <si>
    <t>BBVA  BANCO FRANCES S.A.  //  CLASE 11</t>
  </si>
  <si>
    <t>ALPHA RENTA CAPITAL CLASE B</t>
  </si>
  <si>
    <t>691 RET SISTEMA VALES DE ALMUERZO Y/O ALIMENTACION - CANASTA FAMILIAR</t>
  </si>
  <si>
    <t>BANCO DEL IBERA S.A.</t>
  </si>
  <si>
    <t>ISLAS VIRGENES DE ESTADOS UNIDOS DE AMERICA</t>
  </si>
  <si>
    <t>Lira maltesa</t>
  </si>
  <si>
    <t>METROVIAS S.A.   //  ordinarias b (1 voto)</t>
  </si>
  <si>
    <t>BONOS DE CONSOLIDACION DE DEUDAS - PROV. DE MENDOZA  //  2015</t>
  </si>
  <si>
    <t>BBVA  BANCO FRANCES S.A.  //  CLASE 13</t>
  </si>
  <si>
    <t>ALPHA RENTA CAPITAL CLASE C</t>
  </si>
  <si>
    <t>712 COMPRAVENTA DE CONTRATOS DE FUTURO SOBRE MONEDA EXTRANJERA - SUJETOS INSCRIPTOS EN GANANCIAS</t>
  </si>
  <si>
    <t>BANCO DEL IGUAZU S.A.</t>
  </si>
  <si>
    <t>ISRAEL</t>
  </si>
  <si>
    <t>Lira turca</t>
  </si>
  <si>
    <t>MIRGOR  S.A.C.I.F.I.A.  //  ordinarias escriturales c (1 voto) u$s cable</t>
  </si>
  <si>
    <t>BONOS DE CONSOLIDACION DE DEUDAS PREV. EN MON.NACIONAL  //  2da serie</t>
  </si>
  <si>
    <t>BBVA  BANCO FRANCES S.A.  //  CLASE 16</t>
  </si>
  <si>
    <t>ALPHA RENTA CAPITAL CLASE D</t>
  </si>
  <si>
    <t>730 MATERIALES A RECICLAR - SUJETOS INSCRIPTOS EN GANANCIAS Y EN EL REGISTRO</t>
  </si>
  <si>
    <t>BANCO DEL NOROESTE COOP.LTDO. SALTA</t>
  </si>
  <si>
    <t>ITALIA</t>
  </si>
  <si>
    <t>Litas lituano</t>
  </si>
  <si>
    <t>MIRGOR  S.A.C.I.F.I.A.  //  ordinarias escriturales c (1 voto)</t>
  </si>
  <si>
    <t>BONOS DE CONSOLIDACION DE DEUDAS PREV. EN MON.NACIONAL  //  2da serie  dólar (u$s)</t>
  </si>
  <si>
    <t>BBVA  BANCO FRANCES S.A.  //  CLASE 17</t>
  </si>
  <si>
    <t>ALPHA RENTA CAPITAL CLASE I</t>
  </si>
  <si>
    <t>731 MATERIALES A RECICLAR - SUJETOS INSCRIPTOS EN GANANCIAS Y NO EN EL REGISTRO</t>
  </si>
  <si>
    <t>BANCO DEL OESTE S.A.</t>
  </si>
  <si>
    <t>JAMAICA</t>
  </si>
  <si>
    <t>Loti lesothense</t>
  </si>
  <si>
    <t>MOLINOS JUAN SEMINO S.A.  //  ordinarias escriturales (1 voto)</t>
  </si>
  <si>
    <t>BONOS DE CONSOLIDACION DE DEUDAS PREV. U$S  //  2da serie dólar (u$s)</t>
  </si>
  <si>
    <t>BBVA  BANCO FRANCES S.A.  //  CLASE 18</t>
  </si>
  <si>
    <t>ALPHA RENTA CAPITAL PESOS CLASE A</t>
  </si>
  <si>
    <t>732 MATERIALES A RECICLAR - SUJETOS NO INSCRIPTOS EN GANANCIAS</t>
  </si>
  <si>
    <t>BANCO DEL SOL S.A.</t>
  </si>
  <si>
    <t>JAPON</t>
  </si>
  <si>
    <t>Manat azerbaiyano</t>
  </si>
  <si>
    <t>MOLINOS RIO DE LA PLATA S.A.  //  ordinarias escriturales a (5 votos)</t>
  </si>
  <si>
    <t>BONOS DE CONSOLIDACION DE DEUDAS PREV. U$S  //  2da serie u$s cable</t>
  </si>
  <si>
    <t>BBVA  BANCO FRANCES S.A.  //  CLASE 19</t>
  </si>
  <si>
    <t>ALPHA RENTA CAPITAL PESOS CLASE B</t>
  </si>
  <si>
    <t>775 GANANCIAS - REGIMEN DE RETENCION A MONOTRIBUTISTAS</t>
  </si>
  <si>
    <t>BANCO DEL TUCUMAN S.A.</t>
  </si>
  <si>
    <t>KAZAJSTAN</t>
  </si>
  <si>
    <t>Manat turcomano</t>
  </si>
  <si>
    <t>MOLINOS RIO DE LA PLATA S.A.  //  ordinarias escriturales b (1 voto) u$s cable</t>
  </si>
  <si>
    <t>BONOS DE CONSOLIDACION DE DEUDAS PREV. U$S  //  2da. serie</t>
  </si>
  <si>
    <t>BBVA  BANCO FRANCES S.A.  //  CLASE 20</t>
  </si>
  <si>
    <t>ALPHA RENTA COBERTURA CLASE A</t>
  </si>
  <si>
    <t>779 SUBSIDIOS ABONADOS POR ESTADO NACIONAL, PROVINCIAL, MUNICIPAL O CABA POR ENAJENACION DE BIENES</t>
  </si>
  <si>
    <t>BANCO DENARIO S.A</t>
  </si>
  <si>
    <t>KENIA</t>
  </si>
  <si>
    <t>MARKKA finlandés</t>
  </si>
  <si>
    <t>MOLINOS RIO DE LA PLATA S.A.  //  ordinarias escriturales b (1 voto)</t>
  </si>
  <si>
    <t>BONOS DE CONSOLIDACION DE DEUDAS PREV. U$S  //  3ra serie</t>
  </si>
  <si>
    <t>BBVA  BANCO FRANCES S.A.  //  CLASE 22</t>
  </si>
  <si>
    <t>ALPHA RENTA COBERTURA CLASE B</t>
  </si>
  <si>
    <t>780 SUBSIDIOS ABONADOS POR ESTADO NACIONAL, PROVINCIAL, MUNICIPAL O CABA POR LOCACION DE OBRAS Y/O SERVICIOS</t>
  </si>
  <si>
    <t>BANCO DI NAPOLI</t>
  </si>
  <si>
    <t>KIRGUISTAN</t>
  </si>
  <si>
    <t>Metical mozambiqueño</t>
  </si>
  <si>
    <t>MORIXE  HERMANOS S.A.C. e  I.  //  ordinarias escriturales (1 voto)</t>
  </si>
  <si>
    <t xml:space="preserve">BONOS DE CONSOLIDACION DE REGALIAS DE HIDROCARBUROS  //  </t>
  </si>
  <si>
    <t>BBVA  BANCO FRANCES S.A.  //  CLASE 9</t>
  </si>
  <si>
    <t>ALPHA RENTA COBERTURA CLASE C</t>
  </si>
  <si>
    <t>843 RETENCION RG 3411 - SUJETO INSCRIPTO EN GANANCIAS Y EN EL REGISTRO DE HABITUALISTAS - ALICUOTA 2%</t>
  </si>
  <si>
    <t>BANCO DO BRASIL S.A.</t>
  </si>
  <si>
    <t>KIRIBATI</t>
  </si>
  <si>
    <t>Mvdol boliviano</t>
  </si>
  <si>
    <t>MORIXE  HERMANOS S.A.C. e  I.  //  ordinarias escriturales (5 votos)</t>
  </si>
  <si>
    <t>BONOS DE CONSOLIDACION EN MONEDA NACIONAL   //  2da serie</t>
  </si>
  <si>
    <t>BE ENTERPRISES S.A.  //  SERIE I</t>
  </si>
  <si>
    <t>ALPHA RENTA COBERTURA CLASE D</t>
  </si>
  <si>
    <t>844 RETENCION RG 3411 - SUJETO INSCRIPTO EN GANANCIAS Y NO INCLUIDO EN EL REGISTRO - ALICUOTA 28%</t>
  </si>
  <si>
    <t>BANCO DO ESTADO DE SAO PAULO S.A.</t>
  </si>
  <si>
    <t>LABUAN</t>
  </si>
  <si>
    <t>Nafka eritreo</t>
  </si>
  <si>
    <t>PAMPA ENERGIA S.A  //  ordinarias escriturales (1 voto) u$s cable</t>
  </si>
  <si>
    <t>BONOS DE CONSOLIDACION EN MONEDA NACIONAL   //  3ra serie</t>
  </si>
  <si>
    <t>BENITO ROGGIO E HIJOS S.A.  //  CLASE 3</t>
  </si>
  <si>
    <t>ALPHA RENTA COBERTURA CLASE I</t>
  </si>
  <si>
    <t>845 RETENCION RG 3411 - MONOTRIBUTISTA INCLUIDO EN EL REGISTRO - ALICUOTA 28%</t>
  </si>
  <si>
    <t>BANCO EDIFICADOR DE TRENQUE LAUQUEN</t>
  </si>
  <si>
    <t>LAOS</t>
  </si>
  <si>
    <t>Naira nigeriana</t>
  </si>
  <si>
    <t>PAMPA ENERGIA S.A  //  ordinarias escriturales (1 voto)</t>
  </si>
  <si>
    <t>BONOS DE CONSOLIDACION EN MONEDA NACIONAL   //  3ra serie dólar (u$s)</t>
  </si>
  <si>
    <t>BENITO ROGGIO E HIJOS S.A.  //  CLASE 4</t>
  </si>
  <si>
    <t>ALPHA RENTA CRECIMIENTO CLASE A</t>
  </si>
  <si>
    <t>846 RETENCION RG 3411 - MONOTRIBUTISTA NO INCLUIDO EN EL REGISTRO - ALICUOTA 35%</t>
  </si>
  <si>
    <t>BANCO EMPRESARIO DE TUCUMAN COOP.LTDO.</t>
  </si>
  <si>
    <t>LESOTHO</t>
  </si>
  <si>
    <t>Ngultrum de Bután</t>
  </si>
  <si>
    <t>PAPEL PRENSA S.A.I.C.F. y  M.   //  ordinarias escriturales (1 voto)</t>
  </si>
  <si>
    <t>BONOS DE CONSOLIDACION EN MONEDA NACIONAL   //  3ra serie u$s cable</t>
  </si>
  <si>
    <t>BF ARGENTINA S.A.  //  O.N. SIMPLES</t>
  </si>
  <si>
    <t>ALPHA RENTA CRECIMIENTO CLASE B</t>
  </si>
  <si>
    <t>847 RETENCION RG 3411 - SUJETO NO CATEGORIZADO NO INCLUIDO EN EL REGISTRO - ALICUOTA 35%</t>
  </si>
  <si>
    <t>BANCO ESPAÑOL DEL RIO DE LA PLATA</t>
  </si>
  <si>
    <t>LETONIA</t>
  </si>
  <si>
    <t>Nuevo Shequel israeli</t>
  </si>
  <si>
    <t>PATRICIOS  S.A.  //  ordinarias nominativas no endosables (1 voto)</t>
  </si>
  <si>
    <t xml:space="preserve">BONOS DE CONSOLIDACION EN MONEDA NACIONAL   //  5ta serie </t>
  </si>
  <si>
    <t>CABLEVISION S.A.  //  CLASE A</t>
  </si>
  <si>
    <t>ALPHA RENTA CRECIMIENTO CLASE C</t>
  </si>
  <si>
    <t>854 INVERSORES Y/O JUGADORES TENEDORES DE DERECHOS ECONOMICOS</t>
  </si>
  <si>
    <t>BANCO EUROPEO PARA AMERICA LATINA (BEAL) S.A.</t>
  </si>
  <si>
    <t>LIBANO</t>
  </si>
  <si>
    <t>Nuevo sol peruano</t>
  </si>
  <si>
    <t>PERTRAK S.A.  //  ordinarias escriturales (1 voto)</t>
  </si>
  <si>
    <t xml:space="preserve">BONOS DE CONSOLIDACION EN MONEDA NACIONAL  //  1ra serie </t>
  </si>
  <si>
    <t>CAPEX S.A.  //  CLASE 2</t>
  </si>
  <si>
    <t>ALPHA RENTA CRECIMIENTO CLASE D</t>
  </si>
  <si>
    <t>862 COMPRAVENTA, CAMBIO, PERMUTA DE ACCIONES, CUOTAS, PARTICIPACIONES SOCIALES, TITULOS Y DEMAS VALORES - PERSONAS JURIDICAS</t>
  </si>
  <si>
    <t>BANCO EXTERIOR DE AMERICA S.A.</t>
  </si>
  <si>
    <t>LIBIA</t>
  </si>
  <si>
    <t>Onza de oro</t>
  </si>
  <si>
    <t>PERTRAK S.A.  //  ordinarias escriturales (5 votos)</t>
  </si>
  <si>
    <t>BONOS DE CONSOLIDACION EN MONEDA NACIONAL  //  1ra serie dólar (u$s)</t>
  </si>
  <si>
    <t>CAPEX S.A.  //  CLASE 2 DÓLAR U$S</t>
  </si>
  <si>
    <t>ALPHA RENTA CRECIMIENTO CLASE I</t>
  </si>
  <si>
    <t>872 OPERACIONES DE COMPRA A TITULARES DE DERECHOS DE EXPLORACION O CATEO INSCRIPTOS EN GANANCIAS Y EN EL REGISTRO</t>
  </si>
  <si>
    <t>BANCO EXTRADER S.A.</t>
  </si>
  <si>
    <t>LITUANIA</t>
  </si>
  <si>
    <t>Onza de paladio</t>
  </si>
  <si>
    <t>PETROBRAS ARGENTINA S.A.  //  ordinarias escriturales b (1 voto) u$s cable</t>
  </si>
  <si>
    <t>BONOS DE CONSOLIDACION EN MONEDA NACIONAL  //  1ra serie u$s cable</t>
  </si>
  <si>
    <t>CAPEX S.A.  //  CLASE 2 U$S CABLE</t>
  </si>
  <si>
    <t>ALPHA RENTA FIJA GLOBAL - CLASE A</t>
  </si>
  <si>
    <t>873 OPERACIONES DE COMPRA A TITULARES DE DERECHOS DE EXPLORACION O CATEO INSCRIPTOS EN GANANCIAS Y NO EN EL REGISTRO</t>
  </si>
  <si>
    <t>BANCO FEDERAL ARGENTINO S.A.</t>
  </si>
  <si>
    <t>MACAO</t>
  </si>
  <si>
    <t>Onza de plata</t>
  </si>
  <si>
    <t>PETROBRAS ARGENTINA S.A.  //  ordinarias escriturales b (1 voto)</t>
  </si>
  <si>
    <t xml:space="preserve">BONOS DE CONSOLIDACION EN MONEDA NACIONAL - FORMOSA  //  1RA SERIE   </t>
  </si>
  <si>
    <t>CAPEX S.A.  //  CLASE I</t>
  </si>
  <si>
    <t>ALPHA RENTA FIJA GLOBAL - CLASE B</t>
  </si>
  <si>
    <t>874 OPERACIONES DE COMPRA A TITULARES DE DERECHOS DE EXPLORACION O CATEO NO INSCRIPTOS EN GANANCIAS</t>
  </si>
  <si>
    <t>BANCO FEIGIN S.A.</t>
  </si>
  <si>
    <t>MACEDONIA</t>
  </si>
  <si>
    <t>Onza de platino</t>
  </si>
  <si>
    <t>PETROLEO BRASILEIRO S.A. - PETROBRAS  //  ordinarias (1 voto) dólar (u$s)</t>
  </si>
  <si>
    <t>BONOS DE CONSOLIDACION EN U$S  //  1ra serie</t>
  </si>
  <si>
    <t>CAPEX S.A.  //  CLASE I  U$S CABLE</t>
  </si>
  <si>
    <t>ALPHA RENTA FIJA GLOBAL - CLASE I</t>
  </si>
  <si>
    <t>875 OPERACIONES DE COMPRA A TITULARES DE DERECHOS DE EXPLORACION O CATEO ADHERIDOS AL REGIMEN SIMPLIFICADO EXCEDIDOS</t>
  </si>
  <si>
    <t>BANCO FINANCIERO ARGENTINO S.A.</t>
  </si>
  <si>
    <t>MADAGASCAR</t>
  </si>
  <si>
    <t>Otras</t>
  </si>
  <si>
    <t>PETROLEO BRASILEIRO S.A. - PETROBRAS  //  ordinarias (1 voto) u$s cable</t>
  </si>
  <si>
    <t>BONOS DE CONSOLIDACION EN U$S  //  1ra serie dólar (u$s)</t>
  </si>
  <si>
    <t>CARBOCLOR S.A.  //  CLASE 1</t>
  </si>
  <si>
    <t>ALPHA RENTA FIJA SERIE 1 CLASE A</t>
  </si>
  <si>
    <t>965 FACTURA A CON LEYENDA OPERACION SUJETA A RETENCION GANANCIAS - EMISION DE COMPROBANTES CON DISCRIMINACION DEL GRAVAMEN</t>
  </si>
  <si>
    <t>BANCO FINANSUR S.A.</t>
  </si>
  <si>
    <t>MADEIRA (Territorio de Portugal)</t>
  </si>
  <si>
    <t>Ouguiya mauritana</t>
  </si>
  <si>
    <t>PETROLEO BRASILEIRO S.A. - PETROBRAS  //  ordinarias (1 voto)</t>
  </si>
  <si>
    <t>BONOS DE CONSOLIDACION EN U$S  //  1ra serie u$s cable</t>
  </si>
  <si>
    <t>CARSA S.A.  //  SERIE VI</t>
  </si>
  <si>
    <t>ALPHA RENTA FIJA SERIE 1 CLASE B</t>
  </si>
  <si>
    <t>BANCO FLORENCIA S.A</t>
  </si>
  <si>
    <t>MALASIA</t>
  </si>
  <si>
    <t>Pa anga tongano</t>
  </si>
  <si>
    <t>PETROLERA DEL CONOSUR S.A.  //  ordinarias (1 voto)</t>
  </si>
  <si>
    <t>BONOS DE CONSOLIDACION EN U$S  //  2da serie</t>
  </si>
  <si>
    <t>CARSA S.A.  //  SERIE VIII</t>
  </si>
  <si>
    <t>ALPHA RENTA FIJA SERIE 4 CLASE A</t>
  </si>
  <si>
    <t>BANCO GANADERO ARGENTINO S.A.</t>
  </si>
  <si>
    <t>MALAWI</t>
  </si>
  <si>
    <t>Pataca de Macao</t>
  </si>
  <si>
    <t>POLLEDO  S.A.I.C. y  F.  //  ordinarias escriturales (1 voto)</t>
  </si>
  <si>
    <t>BONOS DE CONSOLIDACION EN U$S  //  2da serie dólar (u$s)</t>
  </si>
  <si>
    <t>CATERPILLAR FINANCIAL SERVICES ARGENTINA S.A.  //  GARANTIZADAS CLASE 2</t>
  </si>
  <si>
    <t>ALPHA RENTA FIJA SERIE 4 CLASE B</t>
  </si>
  <si>
    <t>BANCO GENERAL DE NEGOCIOS S.A.</t>
  </si>
  <si>
    <t>MALI</t>
  </si>
  <si>
    <t>Peseta Andorra</t>
  </si>
  <si>
    <t>POLLEDO  S.A.I.C. y  F.  //  ordinarias escriturales (1 voto) u$s cable</t>
  </si>
  <si>
    <t>BONOS DE CONSOLIDACION EN U$S  //  2da. serie u$s cable</t>
  </si>
  <si>
    <t>CELULOSA ARGENTINA S.A.  //  CLASE 10</t>
  </si>
  <si>
    <t>ALPHA RENTA FIJA SERIE 6 CLASE A</t>
  </si>
  <si>
    <t>BANCO HIPOTECARIO SA</t>
  </si>
  <si>
    <t>MARRUECOS</t>
  </si>
  <si>
    <t>Peso chileno</t>
  </si>
  <si>
    <t>QUICKFOOD S.A.   //  ordinarias escrit.(1 voto)</t>
  </si>
  <si>
    <t>BONOS DE CONSOLIDACION EN U$S  //  3ra serie</t>
  </si>
  <si>
    <t>CELULOSA ARGENTINA S.A.  //  CLASE 10  DÓLAR U$S</t>
  </si>
  <si>
    <t>ALPHA RENTA FIJA SERIE 6 CLASE B</t>
  </si>
  <si>
    <t>BANCO HORIZONTE COOP.LTDO. EL TREBOL</t>
  </si>
  <si>
    <t>MAURITANIA</t>
  </si>
  <si>
    <t>Peso Colombiano</t>
  </si>
  <si>
    <t>REPSOL YPF GAS S.A.   //  ordinarias escriturales (1 voto) dólar (u$s)</t>
  </si>
  <si>
    <t>BONOS DE CONSOLIDACION EN U$S  //  3ra serie dólar (u$s)</t>
  </si>
  <si>
    <t>CELULOSA ARGENTINA S.A.  //  CLASE 10  U$S CABLE</t>
  </si>
  <si>
    <t>ALPHA RENTA FIJA SERIE 7 CLASE A</t>
  </si>
  <si>
    <t>BANCO INDEPENDENCIA COOP.LTDO.</t>
  </si>
  <si>
    <t>MEXICO</t>
  </si>
  <si>
    <t>Peso cubano</t>
  </si>
  <si>
    <t>REPSOL YPF GAS S.A.   //  ordinarias escriturales (1 voto) u$s cable</t>
  </si>
  <si>
    <t>BONOS DE CONSOLIDACION EN U$S  //  3ra.serie u$s cable</t>
  </si>
  <si>
    <t>CELULOSA ARGENTINA S.A.  //  CLASE 3</t>
  </si>
  <si>
    <t>ALPHA RENTA FIJA SERIE 7 CLASE B</t>
  </si>
  <si>
    <t>BANCO INDUSTRIAL S.A.</t>
  </si>
  <si>
    <t>MICRONESIA ESTADOS FEDERADOS</t>
  </si>
  <si>
    <t>Peso de GUINEA_BISSAU</t>
  </si>
  <si>
    <t>REPSOL YPF GAS S.A.   //  ordinarias escriturales (1 voto)</t>
  </si>
  <si>
    <t xml:space="preserve">BONOS DE CONSOLIDACION EN U$S  //  4ta serie </t>
  </si>
  <si>
    <t>CELULOSA ARGENTINA S.A.  //  CLASE 4</t>
  </si>
  <si>
    <t>ALPHA RENTA PLUS CLASE A</t>
  </si>
  <si>
    <t>BANCO INSTITUCIONAL COOP.LTDO.</t>
  </si>
  <si>
    <t>MOLDOVA</t>
  </si>
  <si>
    <t>Peso dominicano</t>
  </si>
  <si>
    <t>RIGOLLEAU S.A.   //  ordinarias escriturales a (5 votos)</t>
  </si>
  <si>
    <t>BONOS DE CONSOLIDACION EN U$S  //  5ta serie</t>
  </si>
  <si>
    <t>CELULOSA ARGENTINA S.A.  //  CLASE 6</t>
  </si>
  <si>
    <t>ALPHA RENTA PLUS CLASE B</t>
  </si>
  <si>
    <t>BANCO INTEGRADO DEPARTAMENTAL</t>
  </si>
  <si>
    <t>MONGOLIA</t>
  </si>
  <si>
    <t>Peso filipino</t>
  </si>
  <si>
    <t>RIGOLLEAU S.A.   //  ordinarias escriturales b (1 voto)</t>
  </si>
  <si>
    <t>BONOS DE CONSOLIDACION EN U$S  //  5ta serie dólar (u$s)</t>
  </si>
  <si>
    <t>CELULOSA ARGENTINA S.A.  //  CLASE 9</t>
  </si>
  <si>
    <t>ALPHA RETORNO TOTAL CLASE A</t>
  </si>
  <si>
    <t>BANCO INTERFINANZAS S.A.</t>
  </si>
  <si>
    <t>MONTSERRAT (Territorio no autónomo del Reino Unido)</t>
  </si>
  <si>
    <t>Peso mexicano</t>
  </si>
  <si>
    <t>S.A. CIA. ARG. COM. RIVADAVIA EXPLOT.DE PETROLEO   //  ordinarias escriturales (1 voto)</t>
  </si>
  <si>
    <t>BONOS DE CONSOLIDACION EN U$S - FORMOSA  //  1 serie</t>
  </si>
  <si>
    <t>CENTRAL TÉRMICA GÜEMES S.A.  //  CLASE 7</t>
  </si>
  <si>
    <t>ALPHA RETORNO TOTAL CLASE B</t>
  </si>
  <si>
    <t>BANCO ISRAELITA DE CORDOBA S.A.</t>
  </si>
  <si>
    <t>MOZAMBIQUE</t>
  </si>
  <si>
    <t>Peso uruguayo</t>
  </si>
  <si>
    <t>S.A. IMP.Y EXP. DE LA PATAGONIA  //  ordinarias escriturales a (5 votos)</t>
  </si>
  <si>
    <t>BONOS DE DEUDA MUNICIPALIDAD DE LA CDAD. DE CORDOBA  //  2013 SERIE I</t>
  </si>
  <si>
    <t>CENTRAL TERMICA LOMA DE LA LATA S.A.  //  CLASE 3</t>
  </si>
  <si>
    <t>ALPHA RETORNO TOTAL CLASE C</t>
  </si>
  <si>
    <t>BANCO ITAU ARGENTINA S.A.</t>
  </si>
  <si>
    <t>MYANMAR (EX BIRMANIA)</t>
  </si>
  <si>
    <t>Pula de Botswana</t>
  </si>
  <si>
    <t>S.A. IMP.Y EXP. DE LA PATAGONIA  //  ordinarias escriturales b (1 voto) u$s cable</t>
  </si>
  <si>
    <t>BONOS DE DEUDA MUNICIPALIDAD DE LA CDAD. DE CORDOBA  //  SERIE II</t>
  </si>
  <si>
    <t>CENTRAL TERMICA LOMA DE LA LATA S.A.  //  CLASE 4</t>
  </si>
  <si>
    <t>ALPHA RETORNO TOTAL CLASE D</t>
  </si>
  <si>
    <t>BANCO JULIO S.A.</t>
  </si>
  <si>
    <t>NAMIBIA</t>
  </si>
  <si>
    <t>Quetzal guatemalteco</t>
  </si>
  <si>
    <t>S.A. IMP.Y EXP. DE LA PATAGONIA  //  ordinarias escriturales b (1 voto)</t>
  </si>
  <si>
    <t>BONOS DE LA MUNICIPALIDAD DE RIO CUARTO  //  SERIE I</t>
  </si>
  <si>
    <t>CENTRAL TERMICA LOMA DE LA LATA S.A.  //  CLASE 4 DÓLAR U$S</t>
  </si>
  <si>
    <t>ALPHA RETORNO TOTAL CLASE I</t>
  </si>
  <si>
    <t>BANCO JUNCAL COOP.LTDO.</t>
  </si>
  <si>
    <t>NEPAL</t>
  </si>
  <si>
    <t>Rand sudafricano</t>
  </si>
  <si>
    <t>S.A.SAN MIGUEL A.G.I.C.I.  y  F.  //  ordinarias escriturales b (1 voto) u$s cable</t>
  </si>
  <si>
    <t>BONOS DE LA PROVINCIA DE RIO NEGRO  //  DE CONSOLIDAC. DE DEUDAS EN U$S-DÓLAR (U$S)</t>
  </si>
  <si>
    <t>CENTRAL TERMICA LOMA DE LA LATA S.A.  //  CLASE A</t>
  </si>
  <si>
    <t>ARGENFUNDS ABIERTO Pymes</t>
  </si>
  <si>
    <t>BANCO LIBERTADOR COOP.LTDO.MENDOZA</t>
  </si>
  <si>
    <t>NICARAGUA</t>
  </si>
  <si>
    <t>Real brasileño</t>
  </si>
  <si>
    <t>S.A.SAN MIGUEL A.G.I.C.I.  y  F.  //  ordinarias escriturales b (1 voto)</t>
  </si>
  <si>
    <t>BONOS DE LA PROVINCIA DE RIO NEGRO  //  DE CONSOLIDAC. DE DEUDAS EN U$S-U$S CABLE</t>
  </si>
  <si>
    <t>CENTRAL TERMICA LOMA DE LA LATA S.A.  //  CLASE E</t>
  </si>
  <si>
    <t>ARGENFUNDS AHORRO PESOS</t>
  </si>
  <si>
    <t>BANCO LITORAL COOP.LTDO.</t>
  </si>
  <si>
    <t>NIGER</t>
  </si>
  <si>
    <t>Rial irani</t>
  </si>
  <si>
    <t>SIDERAR  S.A.  //  ordinarias escriturales a (1 voto) u$s cable</t>
  </si>
  <si>
    <t>BONOS DE LA PROVINCIA DE RIO NEGRO  //  DE CONSOLIDACION DE DEUDAS EN U$S</t>
  </si>
  <si>
    <t>CENTRAL TERMICA ROCA S.A.  //  CLASE II</t>
  </si>
  <si>
    <t>ARGENFUNDS RENTA ARGENTINA</t>
  </si>
  <si>
    <t>BANCO LOCAL COOP.LTDO.</t>
  </si>
  <si>
    <t>NIGERIA</t>
  </si>
  <si>
    <t>Rial omani</t>
  </si>
  <si>
    <t>SIDERAR  S.A.  //  ordinarias escriturales a (1 voto)</t>
  </si>
  <si>
    <t>BONOS DE LA PROVINCIA DE RIO NEGRO  //  DE CONSOLIDACION EN MONEDA NACIONAL</t>
  </si>
  <si>
    <t>CENTRAL TERMICA ROCA S.A.  //  CLASE III</t>
  </si>
  <si>
    <t>ARGENFUNDS RENTA BALANCEADA</t>
  </si>
  <si>
    <t>BANCO LOS PINOS COOP.LTDO.</t>
  </si>
  <si>
    <t>NIUE</t>
  </si>
  <si>
    <t>Rial qatari</t>
  </si>
  <si>
    <t>SOCIEDAD COMERCIAL DEL PLATA S.A.  //  ordinarias escriturales (1 voto) u$s cable</t>
  </si>
  <si>
    <t>BONOS DE LA REPUBLICA ARGENTINA  //  cupon variable con vto 2005</t>
  </si>
  <si>
    <t>CENTRO CARD S.A.  //  SERIE II</t>
  </si>
  <si>
    <t>ARGENFUNDS RENTA CAPITAL CLASE A</t>
  </si>
  <si>
    <t>BANCO LOS TILOS S.A</t>
  </si>
  <si>
    <t>NORUEGA</t>
  </si>
  <si>
    <t>Rial yemeni</t>
  </si>
  <si>
    <t>SOCIEDAD COMERCIAL DEL PLATA S.A.  //  ordinarias escriturales (1 voto)</t>
  </si>
  <si>
    <t>BONOS DE LA REPUBLICA ARGENTINA  //  CUPON VARIABLE CON VTO 2005  DÓLAR U$S</t>
  </si>
  <si>
    <t>CENTRO CARD S.A.  //  SERIE III</t>
  </si>
  <si>
    <t>ARGENFUNDS RENTA CAPITAL CLASE B</t>
  </si>
  <si>
    <t>BANCO MACRO S.A.</t>
  </si>
  <si>
    <t>NUEVA ZELANDA</t>
  </si>
  <si>
    <t>Riel camboyano</t>
  </si>
  <si>
    <t>SOCOTHERM AMERICAS S.A.  //  ords escrit b  (1 voto) - registrab u$s cable</t>
  </si>
  <si>
    <t>BONOS DE LA REPUBLICA ARGENTINA DE MARGEN AJUSTABLE  //  con vto el 30 de noviembre de 2002</t>
  </si>
  <si>
    <t xml:space="preserve">CENTRO CARD S.A.  //  SERIE IV  </t>
  </si>
  <si>
    <t>ARGENFUNDS RENTA CRECIMIENTO CLASE A</t>
  </si>
  <si>
    <t>BANCO MARIVA S.A.</t>
  </si>
  <si>
    <t>PAISES BAJOS</t>
  </si>
  <si>
    <t>Ringgit malayo</t>
  </si>
  <si>
    <t>SOCOTHERM AMERICAS S.A.  //  ords escrit b  (1 voto) - registrables</t>
  </si>
  <si>
    <t>BONOS DE LA REPUBLICA ARGENTINA DE MARGEN AJUSTABLE  //  con vto el 30 de noviembre de 2002 u$s cable</t>
  </si>
  <si>
    <t xml:space="preserve">CFN S.A.  //  SERIE 1 CLASE A </t>
  </si>
  <si>
    <t>ARGENFUNDS RENTA CRECIMIENTO CLASE B</t>
  </si>
  <si>
    <t>BANCO MARPLATENSE COOP.LTDO.</t>
  </si>
  <si>
    <t>PAKISTAN</t>
  </si>
  <si>
    <t>Riyal saudi</t>
  </si>
  <si>
    <t>SOLVAY INDUPA S.A.I.  y  C.  //  ordinarias escriturales (1 voto) dólar (u$s)</t>
  </si>
  <si>
    <t xml:space="preserve">BONOS DE LA REPUBLICA ARGENTINA EN EUROS  //  10% 1999-2004 </t>
  </si>
  <si>
    <t>CGM LEASING ARGENTINA S.A.  //  SERIE IX CLASE B</t>
  </si>
  <si>
    <t xml:space="preserve">ARGENFUNDS RENTA DINAMICA </t>
  </si>
  <si>
    <t>BANCO MAYO COOPERATIVO LIMITADO</t>
  </si>
  <si>
    <t>PALAU</t>
  </si>
  <si>
    <t>Rublo bieloruso</t>
  </si>
  <si>
    <t>SOLVAY INDUPA S.A.I.  y  C.  //  ordinarias escriturales (1 voto) u$s cable</t>
  </si>
  <si>
    <t>BONOS DE LA REPUBLICA ARGENTINA EN EUROS  //  10% 1999-2004 dólar (u$s)</t>
  </si>
  <si>
    <t>CGM LEASING ARGENTINA S.A.  //  SERIE VII CLASE B TASA VARIABLE</t>
  </si>
  <si>
    <t>ARGENFUNDS RENTA FLEXIBLE</t>
  </si>
  <si>
    <t>BANCO MAYORISTA DEL PLATA S.A.</t>
  </si>
  <si>
    <t>PAPUA, ISLAS</t>
  </si>
  <si>
    <t>Rublo ruso</t>
  </si>
  <si>
    <t>SOLVAY INDUPA S.A.I.  y  C.  //  ordinarias escriturales (1 voto)</t>
  </si>
  <si>
    <t>BONOS DEL BANCO DE LA CIUDAD DE BUENOS AIRES  //  CLASE IV</t>
  </si>
  <si>
    <t>CGM LEASING ARGENTINA S.A.  //  SERIE X CLASE B</t>
  </si>
  <si>
    <t>ARGENFUNDS RENTA GLOBAL</t>
  </si>
  <si>
    <t>BANCO MEDEFIN UNB S.A.</t>
  </si>
  <si>
    <t>PARA PERSONAS FISICAS DE INDETERMINADO (CONTINENTE)</t>
  </si>
  <si>
    <t>TELECOM ARG. S.A.  //  ords escrit b (1 voto) - cotizables u$s cable</t>
  </si>
  <si>
    <t>BONOS DEL BANCO DE LA CIUDAD DE BUENOS AIRES  //  CLASE IX</t>
  </si>
  <si>
    <t>CGM LEASING ARGENTINA S.A.  //  SERIE XI</t>
  </si>
  <si>
    <t xml:space="preserve">ARGENFUNDS RENTA MIXTA </t>
  </si>
  <si>
    <t>BANCO MENDOZA S.A.</t>
  </si>
  <si>
    <t>PARA PERSONAS FISICAS DE OTROS PAISES</t>
  </si>
  <si>
    <t>Rufiyaa maldiva</t>
  </si>
  <si>
    <t>TELECOM ARG. S.A.  //  ords escrit b (1 voto) - cotizables dólar (u$s)</t>
  </si>
  <si>
    <t>BONOS DEL BANCO DE LA CIUDAD DE BUENOS AIRES  //  CLASE VI</t>
  </si>
  <si>
    <t>CGM LEASING ARGENTINA S.A.  //  SERIE XII CLASE A</t>
  </si>
  <si>
    <t>ARGENFUNDS RENTA PESOS</t>
  </si>
  <si>
    <t>BANCO MERCURIO S.A.</t>
  </si>
  <si>
    <t>PARAGUAY</t>
  </si>
  <si>
    <t>Rupia de Seychelles</t>
  </si>
  <si>
    <t>TELECOM ARG. S.A.  //  ords escriturales b (1 voto) - cotizables</t>
  </si>
  <si>
    <t>BONOS DEL BANCO DE LA CIUDAD DE BUENOS AIRES  //  CLASE VII</t>
  </si>
  <si>
    <t>CIA.TRANSP.E.E. ALTA TENSION TRANSENER S.A.  //  CLASE N° 2</t>
  </si>
  <si>
    <t>ARGENFUNDS RENTA PRIVADA F.C.I.</t>
  </si>
  <si>
    <t>BANCO MERIDIAN S.A.</t>
  </si>
  <si>
    <t>PATAU</t>
  </si>
  <si>
    <t>Rupia de Sri Lanka</t>
  </si>
  <si>
    <t>TELEFONICA HOLDINGS DE ARG. S.A.  //  ordinarias escriturales b (1 voto)</t>
  </si>
  <si>
    <t>BONOS DEL BANCO DE LA CIUDAD DE BUENOS AIRES  //  CLASE X</t>
  </si>
  <si>
    <t xml:space="preserve">CLISA COMPAÑÍA LATINOAM. DE INFRAESTRUCTURA &amp; SERVICIOS  //  VENCIMIENTO 2023 </t>
  </si>
  <si>
    <t>ARGENFUNDS RENTA TOTAL</t>
  </si>
  <si>
    <t>BANCO MERIDIONAL COOP.LTDO. ALTA GRACIA</t>
  </si>
  <si>
    <t>PERU</t>
  </si>
  <si>
    <t>Rupia india</t>
  </si>
  <si>
    <t>TELEFONICA S.A.  //  ordinarias escriturales (1 voto) dólar (u$s)</t>
  </si>
  <si>
    <t>BONOS DEL BANCO DE LA CIUDAD DE BUENOS AIRES  //  CLASE XIII</t>
  </si>
  <si>
    <t>CLISA COMPAÑÍA LATINOAM. DE INFRAESTRUCTURA &amp; SERVICIOS  //  VENCIMIENTO 2023 DÓLAR U$S</t>
  </si>
  <si>
    <t>ARPENTA (ex Mercosur)</t>
  </si>
  <si>
    <t>BANCO MESOPOTAMICO COOP.LTDO.</t>
  </si>
  <si>
    <t>PITCAIRN</t>
  </si>
  <si>
    <t>Rupia mauricia</t>
  </si>
  <si>
    <t>TELEFONICA S.A.  //  ordinarias escriturales (1 voto) u$s cable</t>
  </si>
  <si>
    <t>BONOS DEL BANCO DE LA CIUDAD DE BUENOS AIRES  //  CLASE XIV</t>
  </si>
  <si>
    <t>COLORIN INDUSTRIA DE MATERIALES SINTETICOS S.A.  //  SIMPLES 2DO.TRAMO</t>
  </si>
  <si>
    <t>ARPENTA ACCIONES ARGENTINA</t>
  </si>
  <si>
    <t>BANCO MILDESA S.A.</t>
  </si>
  <si>
    <t>POLINESIA FRANCESA (Territorio de Ultramar de Francia)</t>
  </si>
  <si>
    <t>Rupia nepalesa</t>
  </si>
  <si>
    <t>TELEFONICA S.A.  //  ordinarias escriturales (1 voto)</t>
  </si>
  <si>
    <t>BONOS DEL BANCO DE LA NACION ARGENTINA   //  GARANTIZADOS   NF18X</t>
  </si>
  <si>
    <t>COMPAÑÍA FINANCIERA ARGENTINA S.A.  //  CLASE XVI</t>
  </si>
  <si>
    <t>ARPENTA AHORRO PESOS</t>
  </si>
  <si>
    <t>BANCO MODELO COOP.LTDO.ROSARIO</t>
  </si>
  <si>
    <t>POLONIA</t>
  </si>
  <si>
    <t>Rupia pakistani</t>
  </si>
  <si>
    <t>TENARIS S.A.   //  ordinarias escriturales (1 voto) u$s cable</t>
  </si>
  <si>
    <t>BONOS DEL BANCO DE LA NACION ARGENTINA   //  GARANTIZADOS  NF 18</t>
  </si>
  <si>
    <t>COMPAÑÍA FINANCIERA ARGENTINA S.A.  //  CLASE XVII SERIE II</t>
  </si>
  <si>
    <t>ATLAS (Valor Final de Liquidación)</t>
  </si>
  <si>
    <t>BANCO MONSERRAT LTDO. ROSARIO</t>
  </si>
  <si>
    <t>PORTUGAL</t>
  </si>
  <si>
    <t>Rupiah indonesia</t>
  </si>
  <si>
    <t>TENARIS S.A.  //  ordinarias escriturales (1 voto)</t>
  </si>
  <si>
    <t>BONOS DEL BANCO DE LA NACION ARGENTINA   //  GARANTIZADOS 2020</t>
  </si>
  <si>
    <t>COMPAÑÍA FINANCIERA ARGENTINA S.A.  //  CLASE XX SERIE I</t>
  </si>
  <si>
    <t>ATLAS Div $ U$S y Otras Mon (Valor Final de Liquidación)</t>
  </si>
  <si>
    <t>BANCO MULTICREDITO</t>
  </si>
  <si>
    <t>POS.AUSTRALIANA (OCEANIA)</t>
  </si>
  <si>
    <t>Som kirguis</t>
  </si>
  <si>
    <t>TGLT S.A.  //  ordinarias escrit. (1 voto)</t>
  </si>
  <si>
    <t>BONOS DEL BANCO DE LA NACION ARGENTINA   //  GARANTIZADOS U$S CABLE</t>
  </si>
  <si>
    <t>COMPAÑÍA FINANCIERA ARGENTINA S.A.  //  CLASE XX SERIE II</t>
  </si>
  <si>
    <t>AXIS AHORRO PESOS CLASE A</t>
  </si>
  <si>
    <t>BANCO MUNICIPAL DE LA PLATA</t>
  </si>
  <si>
    <t>POS.BRITANICA (AFRICA)</t>
  </si>
  <si>
    <t>Som uzbeco</t>
  </si>
  <si>
    <t>TRANSPORTADORA DE GAS DEL NORTE  S.A.  //  clase c - cotizables - u$s cable</t>
  </si>
  <si>
    <t>BONOS DEL BANCO DE LA PROVINCIA DE BUENOS AIRES  //  CLASE V DENOM.EN UVA (UNIDAD-DE V.ADQUISITIVO)</t>
  </si>
  <si>
    <t>COMPAÑÍA GENERAL DE COMBUSTIBLES S.A.  //  CLASE 2</t>
  </si>
  <si>
    <t>AXIS AHORRO PESOS CLASE B</t>
  </si>
  <si>
    <t>BANCO MUNICIPAL DE PARANA</t>
  </si>
  <si>
    <t>POS.BRITANICA (AMERICA)</t>
  </si>
  <si>
    <t>Somoni tayik</t>
  </si>
  <si>
    <t>TRANSPORTADORA DE GAS DEL NORTE  S.A.  //  clase c - cotizables</t>
  </si>
  <si>
    <t>BONOS DEL GOBIERNO NACIONAL   //  A TASA FLOTANTE EN DOL. ESTADOUN.    FRB</t>
  </si>
  <si>
    <t>COMPAÑÍA GENERAL DE COMBUSTIBLES S.A.  //  CLASE 4</t>
  </si>
  <si>
    <t>AXIS AHORRO PLUS CLASE A</t>
  </si>
  <si>
    <t>BANCO MUNICIPAL DE ROSARIO</t>
  </si>
  <si>
    <t>POS.BRITANICA (EUROPA)</t>
  </si>
  <si>
    <t>Taka de Bangladesh</t>
  </si>
  <si>
    <t>TRANSPORTADORA DE GAS DEL SUR  S.A.  //  ords. escrit. b (1 voto) - cotizables u$s cable</t>
  </si>
  <si>
    <t>BONOS DEL GOBIERNO NACIONAL   //  A TASA FLOTANTE EN DOL. ESTADOUN.    VBL6</t>
  </si>
  <si>
    <t>COMPAÑÍA GENERAL DE COMBUSTIBLES S.A.  //  CLASE 6</t>
  </si>
  <si>
    <t>AXIS AHORRO PLUS CLASE B</t>
  </si>
  <si>
    <t>BANCO MUNICIPAL DE TUCUMAN</t>
  </si>
  <si>
    <t>POS.BRITANICA (HONG KONG)</t>
  </si>
  <si>
    <t>Tala samoana</t>
  </si>
  <si>
    <t>TRANSPORTADORA DE GAS DEL SUR  S.A.  //  ordinarias escriturales b (1 voto) - cotizables</t>
  </si>
  <si>
    <t>BONOS DEL GOBIERNO NACIONAL   //  A TASA FLOTANTE EN DOL. ESTADOUN.  DÓLAR U$S</t>
  </si>
  <si>
    <t>COMPAÑÍA GENERAL DE COMBUSTIBLES S.A.  //  CLASE 6 U$S CABLE</t>
  </si>
  <si>
    <t>AXIS AHORRO PLUS CLASE C</t>
  </si>
  <si>
    <t>BANCO NACIONAL DE DESARROLLO</t>
  </si>
  <si>
    <t>POS.BRITANICA (OCEANIA)</t>
  </si>
  <si>
    <t>Tenge kazajo</t>
  </si>
  <si>
    <t>YPF S.A.   //  ords escrit d (1 voto) - cotizables u$s cable</t>
  </si>
  <si>
    <t>BONOS DEL GOBIERNO NACIONAL   //  A TASA FLOTANTE EN DOL. ESTADOUN.  U$S CABLE</t>
  </si>
  <si>
    <t>COMPAÑÍA GENERAL DE COMBUSTIBLES S.A.  //  CLASE 7</t>
  </si>
  <si>
    <t>AXIS AHORRO PLUS CLASE D</t>
  </si>
  <si>
    <t>BANCO NOAR COOP.LTDO.TUCUMAN</t>
  </si>
  <si>
    <t>POS.DANESA (AMERICA)</t>
  </si>
  <si>
    <t>Tolar de Eslovenia</t>
  </si>
  <si>
    <t>YPF S.A.  //  ords escriturales d (1 voto) - cotizables</t>
  </si>
  <si>
    <t xml:space="preserve">BONOS DEL GOBIERNO NACIONAL   //  TASA VARIABLE S/T.ENCUESTA 3RA. S. </t>
  </si>
  <si>
    <t>COMPAÑÍA GENERAL DE COMBUSTIBLES S.A.  //  CLASE 8</t>
  </si>
  <si>
    <t>AXIS ARGENTINA FIXED INCOME INDEX</t>
  </si>
  <si>
    <t>BANCO NORDECOP COOP.LTDO.STA FE CTES CHACO</t>
  </si>
  <si>
    <t>POS.E.E.U.U. (AMERICA)</t>
  </si>
  <si>
    <t>Tughrik mongol</t>
  </si>
  <si>
    <t>BANCO SANTANDER  RIO S.A.  //  preferidas s/voto - no rescatables</t>
  </si>
  <si>
    <t>BONOS DEL GOBIERNO NACIONAL   //  TASA VARIABLE S/T.ENCUESTA 3RA. S. U$S CABLE</t>
  </si>
  <si>
    <t>COMPAÑÍA GENERAL DE COMBUSTIBLES S.A.  //  CLASE A</t>
  </si>
  <si>
    <t>AXIS ARGENTINA LOCAL MARKETS CLASE A</t>
  </si>
  <si>
    <t>BANCO NUCLEO COOP.LTDO.</t>
  </si>
  <si>
    <t>POS.E.E.U.U. (OCEANIA)</t>
  </si>
  <si>
    <t>Unidad de Inversión (UDI) mexicana</t>
  </si>
  <si>
    <t>CELULOSA ARGENTINA S.A.  //  preferidas escriturales</t>
  </si>
  <si>
    <t>BONOS DEL GOBIERNO NACIONAL   //  TASA VARIABLE S/T.ENCUESTA 4TA S. U$S CABLE</t>
  </si>
  <si>
    <t>COMPAÑÍA GENERAL DE COMBUSTIBLES S.A.  //  CLASE A  U$S CABLE</t>
  </si>
  <si>
    <t>AXIS ARGENTINA LOCAL MARKETS CLASE B</t>
  </si>
  <si>
    <t>BANCO NUEVA ERA COOP.LTDO.</t>
  </si>
  <si>
    <t>POS.ESPAÑOLA (AFRICA)</t>
  </si>
  <si>
    <t>Unidad Europea de Cuenta 17(EUA-17)</t>
  </si>
  <si>
    <t>GRAFEX  S.A. GRAFICA C.I.  y   F.  //  prefer escrit 1ra. serie 8% acumulativo con participación  adicional</t>
  </si>
  <si>
    <t>BONOS DEL GOBIERNO NACIONAL   //  TASA VARIABLE S/T.ENCUESTA 4TA SERIE</t>
  </si>
  <si>
    <t>COMPAÑÍA GENERAL DE COMBUSTIBLES S.A.  //  CLASE A DÓLAR U$S</t>
  </si>
  <si>
    <t>AXIS ARGENTINA LOCAL MARKETS CLASE C</t>
  </si>
  <si>
    <t>BANCO OCEANICO COOP.LTDO.</t>
  </si>
  <si>
    <t>POS.FRANCESA (AFRICA)</t>
  </si>
  <si>
    <t>Unidad Europea de Cuenta 9(UCE-9)</t>
  </si>
  <si>
    <t>GRAFEX  S.A. GRAFICA C.I.  y   F.  //  prefer escrit 2ra. serie 8% acumulativo con participación  adicional</t>
  </si>
  <si>
    <t>BONOS DEL GOBIERNO NACIONAL   //  TASA VARIABLE S/T.ENCUESTA 6TA SERIE</t>
  </si>
  <si>
    <t>CORDIAL COMPAÑÍA FINANCIERA S.A.  //  CLASE 10</t>
  </si>
  <si>
    <t>AXIS GESTION ACTIVA CLASE B</t>
  </si>
  <si>
    <t>BANCO PALMARES S.A.</t>
  </si>
  <si>
    <t>POS.FRANCESA (AMERICA)</t>
  </si>
  <si>
    <t>Unidad Monetaria Europea (UME-6)</t>
  </si>
  <si>
    <t>GRAFEX  S.A. GRAFICA C.I.  y   F.  //  prefer escrit 3ra. serie 8% acumulativo con participación  adicional</t>
  </si>
  <si>
    <t>BONOS DEL GOBIERNO NACIONAL  //  DE LA R.A. A LA PAR EN $ REGIDOS POR LEY ARG. (AJUST.POR CER)</t>
  </si>
  <si>
    <t>CORDIAL COMPAÑÍA FINANCIERA S.A.  //  CLASE 11</t>
  </si>
  <si>
    <t>AXIS GESTION ACTIVA CLASE C</t>
  </si>
  <si>
    <t>BANCO PATAGONIA S.A.</t>
  </si>
  <si>
    <t>POS.FRANCESA (OCEANIA)</t>
  </si>
  <si>
    <t>Unidades de fomento chilenas</t>
  </si>
  <si>
    <t>NORTEL INVERSORA S.A.  //  preferidas escriturales b s/voto</t>
  </si>
  <si>
    <t>BONOS DEL GOBIERNO NACIONAL  //  DE LA R.A. A LA PAR EN DOL.ESTAD. REGIDOS POR LA LEY ARG.</t>
  </si>
  <si>
    <t>CORDIAL COMPAÑÍA FINANCIERA S.A.  //  CLASE 13</t>
  </si>
  <si>
    <t>AXIS RENTA FIJA CLASE A</t>
  </si>
  <si>
    <t>BANCO PATRICIOS SOCIEDAD ANONIMA</t>
  </si>
  <si>
    <t>POS.JAPONESA (ASIA)</t>
  </si>
  <si>
    <t>Vatu vanuatense</t>
  </si>
  <si>
    <t>PETROLEO BRASILEIRO S.A. - PETROBRAS (SOC DE ECON MIXTA)  //  preferidas sin derecho a voto u$s cable</t>
  </si>
  <si>
    <t>BONOS DEL GOBIERNO NACIONAL  //  DE LA R.A. A LA PAR EN DOL.ESTAD. REGIDOS POR LA LEY ARG. DÓLAR U$S</t>
  </si>
  <si>
    <t>CORDIAL COMPAÑÍA FINANCIERA S.A.  //  CLASE 14</t>
  </si>
  <si>
    <t>AXIS RENTA FIJA CLASE B</t>
  </si>
  <si>
    <t>BANCO PEÑA</t>
  </si>
  <si>
    <t>POS.NEOCELANDESA (OCEANIA)</t>
  </si>
  <si>
    <t>Won norcoreano</t>
  </si>
  <si>
    <t>PETROLEO BRASILEIRO S.A. - PETROBRAS (SOC DE ECON MIXTA)  //  preferidas sin derecho a voto</t>
  </si>
  <si>
    <t>BONOS DEL GOBIERNO NACIONAL  //  DE LA R.A. A LA PAR EN DOL.ESTAD. REGIDOS POR LA LEY ARG. U$S CABLE</t>
  </si>
  <si>
    <t>CORDIAL COMPAÑÍA FINANCIERA S.A.  //  CLASE 15</t>
  </si>
  <si>
    <t>AXIS RENTA FIJA CLASE C</t>
  </si>
  <si>
    <t>BANCO PIANO S.A.</t>
  </si>
  <si>
    <t>POS.PAISES BAJOS (AMERICA)</t>
  </si>
  <si>
    <t>Won surcoreano</t>
  </si>
  <si>
    <t>RIGOLLEAU S.A.  //  preferidas escriturales 6%</t>
  </si>
  <si>
    <t>BONOS DEL GOBIERNO NACIONAL  //  DE LA R.A. DISCOUNT EN $ REGIDOS POR LEY ARG.(AJUST.POR CER)</t>
  </si>
  <si>
    <t>CORDIAL COMPAÑÍA FINANCIERA S.A.  //  CLASE 9</t>
  </si>
  <si>
    <t>AXIS RENTA FIJA CLASE D</t>
  </si>
  <si>
    <t>BANCO PLATENSE S.A.</t>
  </si>
  <si>
    <t>POS.PORTUGUESA (AFRICA)</t>
  </si>
  <si>
    <t>YEN</t>
  </si>
  <si>
    <t>BONOS DEL GOBIERNO NACIONAL  //  DE LA R.A. DISCOUNT EN $ REGIDOS POR LEY ARG.(AJUST.POR CER) U$S CABLE</t>
  </si>
  <si>
    <t>CREDITO DIRECTO S.A.  //  CLASE VI</t>
  </si>
  <si>
    <t>AXIS RENTA FIJA COBERTURA CLASE A</t>
  </si>
  <si>
    <t>BANCO POPULAR ARGENTINO S.A.</t>
  </si>
  <si>
    <t>PRINCIPADO DE LIECHTENSTEIN (Estado independiente)</t>
  </si>
  <si>
    <t>Yuan Renminbi de China</t>
  </si>
  <si>
    <t>BONOS DEL GOBIERNO NACIONAL  //  DE LA R.A. DISCOUNT EN DOL.ESTAD. REGIDOS POR LEY ARG  DÓLAR U$S</t>
  </si>
  <si>
    <t>CREDITO DIRECTO S.A.  //  CLASE VIII</t>
  </si>
  <si>
    <t>AXIS RENTA FIJA COBERTURA CLASE B</t>
  </si>
  <si>
    <t>BANCO POPULAR DE ROSARIO</t>
  </si>
  <si>
    <t>PRINCIPADO DE MONACO</t>
  </si>
  <si>
    <t>Zloty polaco</t>
  </si>
  <si>
    <t>BONOS DEL GOBIERNO NACIONAL  //  DE LA R.A. DISCOUNT EN DOL.ESTAD. REGIDOS POR LEY ARG U$S CABLE</t>
  </si>
  <si>
    <t>CRESUD S.A.C.I.F. y A.  //  DECIMA PRIMERA SERIE CLASE XXI</t>
  </si>
  <si>
    <t>AXIS RENTA PLUS CLASE A</t>
  </si>
  <si>
    <t>BANCO POPULAR FINANCIERO S.A. RIO CUARTO</t>
  </si>
  <si>
    <t>PRINCIPADO DEL VALLE DE ANDORRA</t>
  </si>
  <si>
    <t>BONOS DEL GOBIERNO NACIONAL  //  DE LA R.A. DISCOUNT EN DOL.ESTAD. REGIDOS POR LEY ARG.</t>
  </si>
  <si>
    <t>CRESUD S.A.C.I.F. y A.  //  DECIMA PRIMERA SERIE CLASE XXII</t>
  </si>
  <si>
    <t>AXIS RENTA PLUS CLASE B</t>
  </si>
  <si>
    <t>BANCO PRIVADO DE INVERSIONES S.A.</t>
  </si>
  <si>
    <t>REGIMEN APLICABLE A LAS SA FINANCIERAS(ley 11.073 de la ROU)</t>
  </si>
  <si>
    <t>BONOS DEL GOBIERNO NACIONAL  //  FERROBONOS</t>
  </si>
  <si>
    <t>CRESUD S.A.C.I.F. y A.  //  OCTAVA SERIE - CLASE XVI</t>
  </si>
  <si>
    <t>AXIS RENTA PLUS CLASE C</t>
  </si>
  <si>
    <t>BANCO PROVENCOR S.A.</t>
  </si>
  <si>
    <t>REINO DE SWAZILANDIA (Estado independiente)</t>
  </si>
  <si>
    <t>Rectificativa 1</t>
  </si>
  <si>
    <t>BONOS DEL TESORO  //  bontes 11,25% 2004</t>
  </si>
  <si>
    <t>CRESUD S.A.C.I.F. y A.  //  OCTAVA SERIE - CLASE XVI  U$S CABLE</t>
  </si>
  <si>
    <t>AXIS RENTA PLUS CLASE D</t>
  </si>
  <si>
    <t>BANCO PROVINCIA DE TIERRA DEL FUEGO</t>
  </si>
  <si>
    <t>REINO DE TONGA (Estado independiente)</t>
  </si>
  <si>
    <t>Rectificativa 2</t>
  </si>
  <si>
    <t>BONOS DEL TESORO  //  bontes 11,25% 2004 dólar (u$s)</t>
  </si>
  <si>
    <t>CRESUD S.A.C.I.F. y A.  //  SEPTIMA SERIE - CLASE XIV</t>
  </si>
  <si>
    <t>AXIS RENTA VARIABLE CLASE A</t>
  </si>
  <si>
    <t>BANCO PROVINCIA DEL NEUQUEN S.A.</t>
  </si>
  <si>
    <t>REINO HACHEMITA DE JORDANIA</t>
  </si>
  <si>
    <t>Rectificativa 3</t>
  </si>
  <si>
    <t>BONOS DEL TESORO  //  bontes 11,25% 2004 u$s cable</t>
  </si>
  <si>
    <t>CRESUD S.A.C.I.F. y A.  //  SERIE 10 CLASE XX</t>
  </si>
  <si>
    <t>AXIS RENTA VARIABLE CLASE B</t>
  </si>
  <si>
    <t>BANCO PROVINCIAL DE SALTA</t>
  </si>
  <si>
    <t>REINO UNIDO</t>
  </si>
  <si>
    <t>Rectificativa 4</t>
  </si>
  <si>
    <t>BONOS DEL TESORO  //  bontes 11,75% 2003</t>
  </si>
  <si>
    <t>CRESUD S.A.C.I.F. y A.  //  SERIE 9 CLASE XVIII</t>
  </si>
  <si>
    <t>BALANZ CAPITAL ABIERTO Pymes FCI - CLASE A</t>
  </si>
  <si>
    <t>BANCO REAL DE ARGENTINA S.A.</t>
  </si>
  <si>
    <t>REPUBLICA COOPERATIVA DE GUYANA (Estado independiente)</t>
  </si>
  <si>
    <t>Rectificativa 5</t>
  </si>
  <si>
    <t>BONOS DEL TESORO  //  bontes 11,75% 2003 dólar (u$s)</t>
  </si>
  <si>
    <t>DECREDITOS S.A.  //  SERIE IV</t>
  </si>
  <si>
    <t>BALANZ CAPITAL ABIERTO Pymes FCI - CLASE B</t>
  </si>
  <si>
    <t>BANCO REGIONAL DE CORDOBA COOP.LTDA.</t>
  </si>
  <si>
    <t>REPUBLICA DE ALBANIA</t>
  </si>
  <si>
    <t>Rectificativa 6</t>
  </si>
  <si>
    <t>BONOS DEL TESORO  //  bontes 11,75% 2003 u$s cable</t>
  </si>
  <si>
    <t>DECREDITOS S.A.  //  SERIE V</t>
  </si>
  <si>
    <t>BALANZ CAPITAL ACCIONES ARGENTINA - CLASE A</t>
  </si>
  <si>
    <t>BANCO REGIONAL DE CUYO S.A.</t>
  </si>
  <si>
    <t>REPUBLICA DE ANGOLA</t>
  </si>
  <si>
    <t>Rectificativa 7</t>
  </si>
  <si>
    <t>BONOS DEL TESORO  //  bontes 11,75% 2006</t>
  </si>
  <si>
    <t xml:space="preserve">DIETRICH S.A   //  CLASE I SERIE I </t>
  </si>
  <si>
    <t>BALANZ CAPITAL ACCIONES ARGENTINA - CLASE B</t>
  </si>
  <si>
    <t>BANCO REPUBLICA S.A.</t>
  </si>
  <si>
    <t>REPUBLICA DE CABO VERDE (Estado independiente)</t>
  </si>
  <si>
    <t>Rectificativa 8</t>
  </si>
  <si>
    <t xml:space="preserve">BONOS DEL TESORO  //  bontes 11,75% 2006 dólar (u$s) </t>
  </si>
  <si>
    <t>DISAL S.A.  //  SERIE II CLASE C</t>
  </si>
  <si>
    <t>BALANZ CAPITAL AHORRO CLASE A</t>
  </si>
  <si>
    <t>BANCO ROCA COOP.LTDO.HURLINGHAM</t>
  </si>
  <si>
    <t>REPUBLICA DE CHIPRE (Estado independiente)</t>
  </si>
  <si>
    <t>Rectificativa 9</t>
  </si>
  <si>
    <t>BONOS DEL TESORO  //  bontes 11,75% 2006 u$s cable</t>
  </si>
  <si>
    <t>DULCOR S.A.  //  SERIE I</t>
  </si>
  <si>
    <t>BALANZ CAPITAL AHORRO CLASE B</t>
  </si>
  <si>
    <t>BANCO ROELA S.A.</t>
  </si>
  <si>
    <t>REPUBLICA DE DJIBUTI (Estado independiente)</t>
  </si>
  <si>
    <t>BONOS DEL TESORO  //  bontes 12,125% 2005</t>
  </si>
  <si>
    <t>EBUCAR S.A.  //  SERIE III</t>
  </si>
  <si>
    <t>BALANZ CAPITAL AHORRO CLASE C</t>
  </si>
  <si>
    <t>BANCO RURAL SUNCHALES COOP.LTDO.</t>
  </si>
  <si>
    <t>REPUBLICA DE LAS ISLAS MARSHALL (Estado independiente)</t>
  </si>
  <si>
    <t>BONOS DEL TESORO  //  bontes 12,125% 2005 dólar (u$s)</t>
  </si>
  <si>
    <t>EBUCAR S.A.  //  SERIE IV</t>
  </si>
  <si>
    <t>BALANZ CAPITAL AHORRO CLASE D</t>
  </si>
  <si>
    <t>BANCO SAENZ  S.A.</t>
  </si>
  <si>
    <t>REPUBLICA DE LIBERIA (Estado independiente)</t>
  </si>
  <si>
    <t>BONOS DEL TESORO  //  bontes 12,125% 2005 u$s cable</t>
  </si>
  <si>
    <t>ELECTROINGENIERIA S.A.  //  CLASE I</t>
  </si>
  <si>
    <t>BALANZ CAPITAL MULTIMERCADO I CLASE A</t>
  </si>
  <si>
    <t>BANCO SAN JOSE COOP.LTDO. SANTA FE</t>
  </si>
  <si>
    <t>REPUBLICA DE MALDIVAS (Estado independiente)</t>
  </si>
  <si>
    <t>BONOS DEL TESORO  //  bontes 8,75% vto.9/5/2002</t>
  </si>
  <si>
    <t>ELECTRONIC SYSTEM S.A.  //  CLASE II</t>
  </si>
  <si>
    <t>BALANZ CAPITAL MULTIMERCADO I CLASE B</t>
  </si>
  <si>
    <t>BANCO SAN LUIS S.A.</t>
  </si>
  <si>
    <t>REPUBLICA DE MALTA (Estado independiente)</t>
  </si>
  <si>
    <t>BONOS DEL TESORO  //  bontes 8,75% vto.9/5/2002 dólar (u$s)</t>
  </si>
  <si>
    <t>EMPRENDIMIENTO INDUSTRIAL MEDITERRÁNEO S.A.  //  SERIE I</t>
  </si>
  <si>
    <t>BALANZ CAPITAL MULTIMERCADO I CLASE C</t>
  </si>
  <si>
    <t>BANCO SAN MIGUEL COOP.LTDO.</t>
  </si>
  <si>
    <t>REPUBLICA DE MAURICIO</t>
  </si>
  <si>
    <t>BONOS DEL TESORO  //  bontes 8,75% vto.9/5/2002 u$s cable</t>
  </si>
  <si>
    <t>EMPRESA DISTRIB. Y COMERCIALIZADORA NORTE S.A. (EDENOR S.A.)  //  CLASE N 9 CON VENC. 2022</t>
  </si>
  <si>
    <t>BALANZ CAPITAL RENTA FIJA CLASE A</t>
  </si>
  <si>
    <t>BANCO SAN MIGUEL DE TUCUMAN S.A.</t>
  </si>
  <si>
    <t>REPUBLICA DE NAURU (Estado independiente)</t>
  </si>
  <si>
    <t>BONOS DEL TESORO  //  bontes 9,9375%/2027</t>
  </si>
  <si>
    <t>EMPRESA DISTRIB. Y COMERCIALIZADORA NORTE S.A. (EDENOR S.A.)  //  CLASE N 9 CON VENC. 2022  DÓLAR U$S</t>
  </si>
  <si>
    <t>BALANZ CAPITAL RENTA FIJA CLASE B</t>
  </si>
  <si>
    <t>BANCO SANTAFESINO INVER.Y DES. S.A.</t>
  </si>
  <si>
    <t>REPUBLICA DE PANAMA (Estado independiente)</t>
  </si>
  <si>
    <t>BONOS DEL TESORO  //  bontes 9,9375%/2027 u$s cable</t>
  </si>
  <si>
    <t>EMPRESUR S.A.  //  SERIE II</t>
  </si>
  <si>
    <t>BALANZ CAPITAL RENTA FIJA EN DOLARES CLASE A</t>
  </si>
  <si>
    <t>BANCO SANTANDER RIO S.A.</t>
  </si>
  <si>
    <t>REPUBLICA DE SEYCHELLES (Estado independiente)</t>
  </si>
  <si>
    <t xml:space="preserve">BONOS DEL TESORO  //  bontes a tasa variable 2003         </t>
  </si>
  <si>
    <t>EURO S.A.  //  CLASE I</t>
  </si>
  <si>
    <t>BALANZ CAPITAL RENTA FIJA EN DOLARES CLASE B</t>
  </si>
  <si>
    <t>BANCO SANTANDER S.A.</t>
  </si>
  <si>
    <t>REPUBLICA DE TRINIDAD Y TOBAGO</t>
  </si>
  <si>
    <t xml:space="preserve">BONOS DEL TESORO  //  BONTES A TASA VARIABLE 2003  DÓLAR U$S </t>
  </si>
  <si>
    <t>EURO S.A.  //  CLASE II</t>
  </si>
  <si>
    <t>BALANZ CAPITAL RENTA MIXTA - CLASE A</t>
  </si>
  <si>
    <t>BANCO SERRANO COOP.LTDO.</t>
  </si>
  <si>
    <t>REPUBLICA DE VANUATU</t>
  </si>
  <si>
    <t>BONOS DEL TESORO  //  bontes a tasa variable 2003  u$s cable</t>
  </si>
  <si>
    <t xml:space="preserve">EUROMAYOR S.A. DE INVERSIONES  //  SERIE I </t>
  </si>
  <si>
    <t>BALANZ CAPITAL RENTA MIXTA - CLASE B</t>
  </si>
  <si>
    <t>BANCO SHAW S.A.</t>
  </si>
  <si>
    <t>REPUBLICA DEL YEMEN</t>
  </si>
  <si>
    <t>BONOS DEL TESORO NACIONAL EN PESOS  //  A TASA DE POLIT. MONET.VTO. 2020 U$S CABLE TJ20C</t>
  </si>
  <si>
    <t>EUROMAYOR S.A. DE INVERSIONES  //  SERIE I (EN DÓLARES)</t>
  </si>
  <si>
    <t>BALANZ CAPITAL SUDAMERICANO EN DOLARES CLASE A</t>
  </si>
  <si>
    <t>BANCO SOCIAL DE CORDOBA</t>
  </si>
  <si>
    <t>REPUBLICA DEMOCRATICA SOCIALISTA DE SRI LANKA</t>
  </si>
  <si>
    <t>BONOS DEL TESORO NACIONAL EN PESOS  //  A TASA DE POLIT. MONET.VTO. 2020 U$S CABLE TJ20Z</t>
  </si>
  <si>
    <t>EUROMAYOR S.A. DE INVERSIONES  //  SERIE II</t>
  </si>
  <si>
    <t>BALANZ DOLARES LEY 27260 CLASE B</t>
  </si>
  <si>
    <t>BANCO SUDAMERIS ARGENTINA S.A.</t>
  </si>
  <si>
    <t>REPUBLICA TUNECINA</t>
  </si>
  <si>
    <t>BONOS DEL TESORO NACIONAL EN PESOS  //  A TASA DE POLIT.MONET. VTO. 2020 DÓLAR U$S TJ20D</t>
  </si>
  <si>
    <t>FCA COMPAÑÍA FINANCIERA S.A.  //  CLASE XII</t>
  </si>
  <si>
    <t>BALANZ DOLARES LEY 27260 CLASE C</t>
  </si>
  <si>
    <t>BANCO SUDECOR LITORAL SOCIEDAD ANONIMA</t>
  </si>
  <si>
    <t>RUANDA</t>
  </si>
  <si>
    <t>BONOS DEL TESORO NACIONAL EN PESOS  //  A TASA DE POLIT.MONET. VTO. 2020 DÓLAR U$S TJ20Y</t>
  </si>
  <si>
    <t>GENERAC.MEDITERRANEA-CTRAL TERMICA ROCA  //  SIMPLES</t>
  </si>
  <si>
    <t>BALANZ INVERTIR GLOBAL - CLASE A</t>
  </si>
  <si>
    <t>BANCO SUPERVIELLE S.A.</t>
  </si>
  <si>
    <t>RUMANIA</t>
  </si>
  <si>
    <t>BONOS DEL TESORO NACIONAL EN PESOS  //  A TASA DE POLITICA MONETARIA VTO. 2020 TJ20</t>
  </si>
  <si>
    <t>GENERAC.MEDITERRANEA-CTRAL TERMICA ROCA  //  SIMPLES DÓLAR U$S</t>
  </si>
  <si>
    <t>BALANZ INVERTIR GLOBAL - CLASE B</t>
  </si>
  <si>
    <t>BANCO SUQUIA S.A.</t>
  </si>
  <si>
    <t>RUSA, FEDERACION</t>
  </si>
  <si>
    <t>BONOS DEL TESORO NACIONAL EN PESOS  //  A TASA DE POLITICA MONETARIA VTO. 2020 TJ20X</t>
  </si>
  <si>
    <t>GENERAC.MEDITERRANEA-CTRAL TERMICA ROCA  //  SIMPLES U$S CABLE</t>
  </si>
  <si>
    <t>BALANZ SUBSOBERANO CLASE A</t>
  </si>
  <si>
    <t>BANCO TORNQUIST SOCIEDAD ANONIMA</t>
  </si>
  <si>
    <t>SAMOA AMERICANA (Territorio no autónomo de los EEUU)</t>
  </si>
  <si>
    <t>BONOS DEL TESORO NACIONAL EN PESOS  //  A TASA FIJA 2018     TM18</t>
  </si>
  <si>
    <t>GENERACIÓN FRÍAS S.A.  //  CLASE II</t>
  </si>
  <si>
    <t>BALANZ SUBSOBERANO CLASE B</t>
  </si>
  <si>
    <t>BANCO TRANSANDINO S.A.</t>
  </si>
  <si>
    <t>SAMOA OCCIDENTAL</t>
  </si>
  <si>
    <t>BONOS DEL TESORO NACIONAL EN PESOS  //  A TASA FIJA 2018     TM18X</t>
  </si>
  <si>
    <t>GENERACION MEDITERRANEA S.A.  //  CLASE III</t>
  </si>
  <si>
    <t>CHACO ABIERTO AHORRO - CLASE A</t>
  </si>
  <si>
    <t>BANCO UDECOOP COOP.LTDO.ROSARIO</t>
  </si>
  <si>
    <t>SAN VICENTE Y LAS GRANADINAS (Estado independiente)</t>
  </si>
  <si>
    <t>BONOS DEL TESORO NACIONAL EN PESOS  //  A TASA FIJA 2018  U$S CABLE</t>
  </si>
  <si>
    <t>GENERACION MEDITERRANEA S.A.  //  CLASE IV</t>
  </si>
  <si>
    <t>CHACO ABIERTO AHORRO - CLASE B</t>
  </si>
  <si>
    <t>BANCO UNB S.A.</t>
  </si>
  <si>
    <t>SANTA ELENA</t>
  </si>
  <si>
    <t>BONOS DEL TESORO NACIONAL EN PESOS  //  A TASA FIJA VTO. 03/10/2021   TO21X</t>
  </si>
  <si>
    <t>GENERACION MEDITERRANEA S.A.  //  CLASE V</t>
  </si>
  <si>
    <t>CHACO FCI ABIERTO INFRAESTRUCTURA CLASE A</t>
  </si>
  <si>
    <t>BANCO UNICOR COOPERATIVO LTDO.</t>
  </si>
  <si>
    <t>SANTA LUCIA</t>
  </si>
  <si>
    <t>BONOS DEL TESORO NACIONAL EN PESOS  //  A TASA FIJA VTO. 03/10/2021  TO21</t>
  </si>
  <si>
    <t>GENERACION MEDITERRANEA S.A.  //  CLASE VI</t>
  </si>
  <si>
    <t>CHACO FCI ABIERTO INFRAESTRUCTURA CLASE B</t>
  </si>
  <si>
    <t>BANCO UNION COM.E IND.COOP.LTDO.</t>
  </si>
  <si>
    <t>SANTA SEDE (VATICANO)</t>
  </si>
  <si>
    <t>BONOS DEL TESORO NACIONAL EN PESOS  //  A TASA FIJA VTO. 03/10/2021  U$S CABLE  TO21C</t>
  </si>
  <si>
    <t>GENERACION MEDITERRANEA S.A.  //  CLASE VI DÓLAR U$S</t>
  </si>
  <si>
    <t>CHACO FCI ABIERTO PYMES CLASE A</t>
  </si>
  <si>
    <t>BANCO URQUIJO SA</t>
  </si>
  <si>
    <t>SANTO TOME Y PRINCIPE</t>
  </si>
  <si>
    <t>BONOS DEL TESORO NACIONAL EN PESOS  //  A TASA FIJA VTO. 03/10/2021  U$S CABLE  TO21Z</t>
  </si>
  <si>
    <t>GENERACION MEDITERRANEA S.A.  //  CLASE VII</t>
  </si>
  <si>
    <t>CHACO FCI ABIERTO PYMES CLASE B</t>
  </si>
  <si>
    <t>BANCO VAF COOP.LTDO. GDOR.GALVEZ</t>
  </si>
  <si>
    <t>SENEGAL</t>
  </si>
  <si>
    <t>BONOS DEL TESORO NACIONAL EN PESOS  //  A TASA FIJA VTO. 17/10/2023       TO23</t>
  </si>
  <si>
    <t>GENNEIA S.A.  //  CLASE II</t>
  </si>
  <si>
    <t>CHACO FONDOS RENTA FIJA I - CLASE A</t>
  </si>
  <si>
    <t>BANCO VALLEMAR COOP.LTDO.PUNTA ALTA</t>
  </si>
  <si>
    <t>SERENISIMA REPUBLICA DE SAN MARINO (Estado independiente)</t>
  </si>
  <si>
    <t>BONOS DEL TESORO NACIONAL EN PESOS  //  A TASA FIJA VTO. 17/10/2023       TO23X</t>
  </si>
  <si>
    <t>GENNEIA S.A.  //  CLASE III</t>
  </si>
  <si>
    <t>CHACO FONDOS RENTA FIJA I - CLASE B</t>
  </si>
  <si>
    <t>BANCO VELOX S.A.</t>
  </si>
  <si>
    <t>SIERRA LEONA</t>
  </si>
  <si>
    <t>BONOS DEL TESORO NACIONAL EN PESOS  //  A TASA FIJA VTO. 17/10/2023  U$S CABLE</t>
  </si>
  <si>
    <t>GENNEIA S.A.  //  CLASE XIII</t>
  </si>
  <si>
    <t>CIMA ABIERTO Pymes CLASE A</t>
  </si>
  <si>
    <t>BANCO VOII S.A.</t>
  </si>
  <si>
    <t>SINGAPUR</t>
  </si>
  <si>
    <t>BONOS DEL TESORO NACIONAL EN PESOS  //  A TASA FIJA VTO. 17/10/2026    TO26</t>
  </si>
  <si>
    <t>GENNEIA S.A.  //  CLASE XIV</t>
  </si>
  <si>
    <t>CIMA RENTA FIJA ARGENTINA PLUS CLASE A</t>
  </si>
  <si>
    <t>BANCO ZONANOR COOP.LTDO.</t>
  </si>
  <si>
    <t>SIRIA</t>
  </si>
  <si>
    <t>BONOS DEL TESORO NACIONAL EN PESOS  //  A TASA FIJA VTO. 17/10/2026   DÓLAR U$S</t>
  </si>
  <si>
    <t>GENNEIA S.A.  //  CLASE XIX</t>
  </si>
  <si>
    <t>CIMA RENTA FIJA ARGENTINA PLUS CLASE B</t>
  </si>
  <si>
    <t>BANK OF AMERICA</t>
  </si>
  <si>
    <t>SOMALIA</t>
  </si>
  <si>
    <t>BONOS DEL TESORO NACIONAL EN PESOS  //  A TASA FIJA VTO. 17/10/2026   TO26X</t>
  </si>
  <si>
    <t>GENNEIA S.A.  //  CLASE XVII</t>
  </si>
  <si>
    <t>CIMA RENTA FIJA ARGENTINA PLUS CLASE C</t>
  </si>
  <si>
    <t>BANK OF AMERICA NATIONAL ASSOCIATION</t>
  </si>
  <si>
    <t>SUDAFRICA, REP. DE</t>
  </si>
  <si>
    <t>BONOS DEL TESORO NACIONAL EN PESOS  //  A TASA FIJA VTO. 17/10/2026  U$S CABLE</t>
  </si>
  <si>
    <t>GENNEIA S.A.  //  CLASE XVIII</t>
  </si>
  <si>
    <t>CIMA RENTA FIJA CLASE A</t>
  </si>
  <si>
    <t>BANK OF AMERICA S.A.</t>
  </si>
  <si>
    <t>SUDAN</t>
  </si>
  <si>
    <t>BONOS DEL TESORO NACIONAL EN PESOS  //  A TASA FIJA VTO. 19/09/2018    TS18</t>
  </si>
  <si>
    <t xml:space="preserve">GENNEIA S.A.  //  CLASE XX </t>
  </si>
  <si>
    <t>CIMA RENTA FIJA CLASE B</t>
  </si>
  <si>
    <t>BARKLAYS BANK INTERNAT.LTD.</t>
  </si>
  <si>
    <t>SUECIA</t>
  </si>
  <si>
    <t>BONOS DEL TESORO NACIONAL EN PESOS  //  A TASA FIJA VTO. 19/09/2018    TS18X</t>
  </si>
  <si>
    <t>GENNEIA S.A.  //  CLASE XX DÓLAR U$S</t>
  </si>
  <si>
    <t>CIMA RENTA FIJA NACIONAL CLASE A</t>
  </si>
  <si>
    <t>BARUJEL S.A. CASA DE CAMBIO VIAJES INTER</t>
  </si>
  <si>
    <t>SUIZA</t>
  </si>
  <si>
    <t>BONOS DEL TESORO NACIONAL EN PESOS  //  A TASA FIJA VTO. 19/09/2018  DÓLAR U$S</t>
  </si>
  <si>
    <t>GPAT COMPAÑÍA FINANCIERA S.A.  //  SERIE XX</t>
  </si>
  <si>
    <t>CIMA RENTA FIJA NACIONAL CLASE B</t>
  </si>
  <si>
    <t>BBVA BANCO FRANCES S.A.</t>
  </si>
  <si>
    <t>SULTANATO DE OMAN</t>
  </si>
  <si>
    <t>BONOS DEL TESORO NACIONAL EN PESOS  //  A TASA FIJA VTO. 19/09/2018  U$S CABLE</t>
  </si>
  <si>
    <t>GPAT COMPAÑÍA FINANCIERA S.A.  //  SERIE XXI</t>
  </si>
  <si>
    <t>CIMA SINCERAMIENTO FISCAL LEY 27260 CLASE B</t>
  </si>
  <si>
    <t>BCI COOPERATIVO LTDO.ROSARIO</t>
  </si>
  <si>
    <t>SURINAME</t>
  </si>
  <si>
    <t>BONOS DEL TESORO NACIONAL EN PESOS  //  CON AJUSTE POR CER 2,25% VTO. 2020        TC20</t>
  </si>
  <si>
    <t>GPAT COMPAÑÍA FINANCIERA S.A.  //  SERIE XXII</t>
  </si>
  <si>
    <t>CMA ARGENTINA CLASE A</t>
  </si>
  <si>
    <t>BICA CAMBIO Y TURISMO S.A.</t>
  </si>
  <si>
    <t>TAILANDIA</t>
  </si>
  <si>
    <t>BONOS DEL TESORO NACIONAL EN PESOS  //  CON AJUSTE POR CER 2,25% VTO. 2020        TC20X</t>
  </si>
  <si>
    <t>GPAT COMPAÑÍA FINANCIERA S.A.  //  SERIE XXIV</t>
  </si>
  <si>
    <t>CMA ARGENTINA CLASE B</t>
  </si>
  <si>
    <t>BICA S.A.</t>
  </si>
  <si>
    <t>TAIWAN</t>
  </si>
  <si>
    <t>BONOS DEL TESORO NACIONAL EN PESOS  //  CON AJUSTE POR CER 2021 (BONCER 2021)  DÓLAR U$S</t>
  </si>
  <si>
    <t>GPAT COMPAÑÍA FINANCIERA S.A.  //  SERIE XXIX CLASE A</t>
  </si>
  <si>
    <t>CMA CRECIMIENTO CLASE A</t>
  </si>
  <si>
    <t>BNP PARIBAS</t>
  </si>
  <si>
    <t>TANZANIA</t>
  </si>
  <si>
    <t>BONOS DEL TESORO NACIONAL EN PESOS  //  CON AJUSTE POR CER 2021 (BONCER 2021)  TC21</t>
  </si>
  <si>
    <t>GPAT COMPAÑÍA FINANCIERA S.A.  //  SERIE XXV</t>
  </si>
  <si>
    <t>CMA CRECIMIENTO CLASE B</t>
  </si>
  <si>
    <t>BOREAL COOP.LTDO.TUCUMAN</t>
  </si>
  <si>
    <t>TAYIKISTAN</t>
  </si>
  <si>
    <t>BONOS DEL TESORO NACIONAL EN PESOS  //  CON AJUSTE POR CER 2021 (BONCER 2021)  TC21X</t>
  </si>
  <si>
    <t>GRIMOLDI S.A.  //  SERIE VI</t>
  </si>
  <si>
    <t>CMA PERFORMANCE CLASE A</t>
  </si>
  <si>
    <t>BOULOGNE S.A.</t>
  </si>
  <si>
    <t>TERRITORIOS AUTONOMOS PALESTINOS</t>
  </si>
  <si>
    <t>BONOS DEL TESORO NACIONAL EN PESOS  //  CON AJUSTE POR CER 2021 (BONCER 2021)  U$S  CABLE TC21C</t>
  </si>
  <si>
    <t>GRUPO FINANCIERO GALICIA S.A.  //  CLASE VI SERIE II</t>
  </si>
  <si>
    <t>CMA PERFORMANCE CLASE B</t>
  </si>
  <si>
    <t>BUENOS AIRES BUILDING S.A.</t>
  </si>
  <si>
    <t>TOGO</t>
  </si>
  <si>
    <t>BONOS DEL TESORO NACIONAL EN PESOS  //  CON AJUSTE POR CER 2021 (BONCER 2021)  U$S  CABLE TC21Z</t>
  </si>
  <si>
    <t>GRUPO FINANCIERO GALICIA S.A.  //  CLASE VII</t>
  </si>
  <si>
    <t>CMA PROTECCION CLASE A</t>
  </si>
  <si>
    <t>C.A. ARLABOSSE Y CIA. S.A.</t>
  </si>
  <si>
    <t>TOKELAU</t>
  </si>
  <si>
    <t xml:space="preserve">BONOS DESCUENTO EN DOLARES ESTADOUNIDENSES -PCIA. BS.AS.  //  vto. 2017 </t>
  </si>
  <si>
    <t>GRUPO SUPERVIELLE S.A.  //  CLASE XX</t>
  </si>
  <si>
    <t>CMA PROTECCION CLASE B</t>
  </si>
  <si>
    <t>CAJA CRED COOP LA CAPITAL DEL PLATA LTDA</t>
  </si>
  <si>
    <t>TRIESTE (Italia)</t>
  </si>
  <si>
    <t xml:space="preserve">BONOS DESCUENTO EN DOLARES ESTADOUNIDENSES -PCIA. BS.AS.  //  VTO. 2017 DÓLAR U$S </t>
  </si>
  <si>
    <t>HSBC BANK ARGENTINA S.A.  //  CLASE 5</t>
  </si>
  <si>
    <t>CMA RENTA FIJA EN DOLARES CLASE A</t>
  </si>
  <si>
    <t>CAJA DE CREDITO "CUENCA" COOP. LTDA.</t>
  </si>
  <si>
    <t>TRISTAN DA CUNHA</t>
  </si>
  <si>
    <t>BONOS DESCUENTO EN DOLARES ESTADOUNIDENSES -PCIA. BS.AS.  //  vto. 2017 u$s cable</t>
  </si>
  <si>
    <t>IND.MET.PESCARMONA S.A. IMPSA  //  CLASE IX</t>
  </si>
  <si>
    <t>CMA RENTA FIJA EN DOLARES CLASE B</t>
  </si>
  <si>
    <t>TURKMENISTAN</t>
  </si>
  <si>
    <t>BONOS DESCUENTO EN EUROS - PCIA. BUENOS AIRES  //  vto. 2017</t>
  </si>
  <si>
    <t>IND.MET.PESCARMONA S.A. IMPSA  //  CLASE VIII</t>
  </si>
  <si>
    <t>CMA RENTA VARIABLE CLASE A</t>
  </si>
  <si>
    <t>CAJA DE CREDITO COOP. LA CAPITAL DEL PLATA LTDA.</t>
  </si>
  <si>
    <t>TURQUIA</t>
  </si>
  <si>
    <t>BONOS EXTERNOS  //  1992</t>
  </si>
  <si>
    <t>IND.MET.PESCARMONA S.A. IMPSA  //  CLASE X</t>
  </si>
  <si>
    <t>CMA RENTA VARIABLE CLASE B</t>
  </si>
  <si>
    <t>CAJA DE VALORES S.A.</t>
  </si>
  <si>
    <t>TUVALU</t>
  </si>
  <si>
    <t>BONOS EXTERNOS  //  1992 dólar (u$s)</t>
  </si>
  <si>
    <t>IND.MET.PESCARMONA S.A. IMPSA  //  CLASE XI</t>
  </si>
  <si>
    <t>COHEN ABIERTO Pymes CLASE A</t>
  </si>
  <si>
    <t>CAMBIO AMERICA S.A.C. Y T.</t>
  </si>
  <si>
    <t>UCRANIA</t>
  </si>
  <si>
    <t>BONOS EXTERNOS  //  1992 u$s cable</t>
  </si>
  <si>
    <t>IND.MET.PESCARMONA S.A. IMPSA  //  CLASE XII</t>
  </si>
  <si>
    <t>COHEN ABIERTO Pymes CLASE B</t>
  </si>
  <si>
    <t>CAMBIO AVENIDA S.R.L.</t>
  </si>
  <si>
    <t>UGANDA</t>
  </si>
  <si>
    <t xml:space="preserve">BONOS EXTERNOS GLOBALES  //  cupon cero con vto. oct/03 serie e </t>
  </si>
  <si>
    <t>IND.MET.PESCARMONA S.A. IMPSA  //  SERIE 1</t>
  </si>
  <si>
    <t>COHEN COBERTURA CLASE A</t>
  </si>
  <si>
    <t>CAMBIO CERRITO S.A.</t>
  </si>
  <si>
    <t>URUGUAY</t>
  </si>
  <si>
    <t>BONOS EXTERNOS GLOBALES  //  cupon cero con vto. oct/03 serie e u$s cable</t>
  </si>
  <si>
    <t>IND.MET.PESCARMONA S.A. IMPSA  //  SERIE 1 U$S CABLE</t>
  </si>
  <si>
    <t>COHEN COBERTURA CLASE B</t>
  </si>
  <si>
    <t>CAMBIO ESTELAR S.R.L.</t>
  </si>
  <si>
    <t>UZBEKISTAN</t>
  </si>
  <si>
    <t xml:space="preserve">BONOS EXTERNOS GLOBALES  //  cupon cero con vto. oct/04 serie f </t>
  </si>
  <si>
    <t>INTEGRACIÓN ELÉCTRICA  SUR ARGENTINA S.A.  //  CLASE IV</t>
  </si>
  <si>
    <t>COHEN DISP. TRANSITORIAS LEY 27260 - CLASE A</t>
  </si>
  <si>
    <t>CAMBIO EXPRESS S.A.</t>
  </si>
  <si>
    <t>VENEZUELA</t>
  </si>
  <si>
    <t>BONOS EXTERNOS GLOBALES  //  cupon cero con vto. oct/04 serie f u$s cable</t>
  </si>
  <si>
    <t>INVAP S.E. (INVESTIGACIÓN APLICADA SOC. DEL ESTADO)  //  CLASE II SERIE II</t>
  </si>
  <si>
    <t>COHEN DISP. TRANSITORIAS LEY 27260 - CLASE B</t>
  </si>
  <si>
    <t>CAMBIO FRANCISCO VACCARO S.A.</t>
  </si>
  <si>
    <t>VIETNAM</t>
  </si>
  <si>
    <t>BONOS EXTERNOS GLOBALES DE LA REPUBLICA ARGENTINA  //  11%(1998-2005)</t>
  </si>
  <si>
    <t>INVAP S.E. (INVESTIGACIÓN APLICADA SOC. DEL ESTADO)  //  CLASE III</t>
  </si>
  <si>
    <t>COHEN DISP. TRANSITORIAS LEY 27260 - CLASE C</t>
  </si>
  <si>
    <t>CAMBIO GARCIA NAVARRO, RAMAGLIO Y CIA. S</t>
  </si>
  <si>
    <t>YUGOSLAVIA</t>
  </si>
  <si>
    <t>BONOS EXTERNOS GLOBALES DE LA REPUBLICA ARGENTINA  //  11%(1998-2005) dólar (u$s)</t>
  </si>
  <si>
    <t>INVERSORA JURAMENTO S.A.  //  CLASE 3</t>
  </si>
  <si>
    <t>COHEN DISP. TRANSITORIAS LEY 27260 - CLASE D</t>
  </si>
  <si>
    <t>CAMBIO INTERNACIONAL  S.A.</t>
  </si>
  <si>
    <t>ZAIRE</t>
  </si>
  <si>
    <t>BONOS EXTERNOS GLOBALES DE LA REPUBLICA ARGENTINA  //  11%(1998-2005) u$s cable</t>
  </si>
  <si>
    <t>INVERSORA JURAMENTO S.A.  //  CLASE 4</t>
  </si>
  <si>
    <t>COHEN INFRAESTRUCTURA - CLASE B</t>
  </si>
  <si>
    <t>CAMBIO LA MONETA S.A.</t>
  </si>
  <si>
    <t>ZAMBIA</t>
  </si>
  <si>
    <t xml:space="preserve">BONOS EXTERNOS GLOBALES DE LA REPUBLICA ARGENTINA  //  11%-2006 </t>
  </si>
  <si>
    <t>INVERSORA JURAMENTO S.A.  //  CLASE 6</t>
  </si>
  <si>
    <t>COHEN LIQUIDEZ LEY 27260 - CLASE C</t>
  </si>
  <si>
    <t>CAMBIO PERSEO S.A. BOLSA Y TURISMO</t>
  </si>
  <si>
    <t>ZIMBABWE</t>
  </si>
  <si>
    <t xml:space="preserve">BONOS EXTERNOS GLOBALES DE LA REPUBLICA ARGENTINA  //  11%-2006 dólar (u$s) </t>
  </si>
  <si>
    <t>IRSA INVERSIONES Y REPRESENTACIONES S.A.  //  CLASE 2                       - OIRX7 -</t>
  </si>
  <si>
    <t>COHEN RENTA FIJA - CLASE A - MINORISTAS</t>
  </si>
  <si>
    <t>CAMBIO SANTIAGO S.A.</t>
  </si>
  <si>
    <t>ZONA LIBRE DE OSTRAVA (ciudad de la antigua Checoeslovaquia)</t>
  </si>
  <si>
    <t>BONOS EXTERNOS GLOBALES DE LA REPUBLICA ARGENTINA  //  11%-2006 u$s cable</t>
  </si>
  <si>
    <t>IRSA INVERSIONES Y REPRESENTACIONES S.A.  //  CLASE 2                       - OIRY7 -</t>
  </si>
  <si>
    <t>COHEN RENTA FIJA - CLASE B - INSTITUCIONALES</t>
  </si>
  <si>
    <t>CAMBIO TOPAZ S.R.L.</t>
  </si>
  <si>
    <t>BONOS EXTERNOS GLOBALES DE LA REPUBLICA ARGENTINA  //  11,375% 1997-2017</t>
  </si>
  <si>
    <t>IRSA INVERSIONES Y REPRESENTACIONES S.A.  //  CLASE 2  U$S CABLE  CIRX7</t>
  </si>
  <si>
    <t>COHEN RENTA FIJA CLASE C</t>
  </si>
  <si>
    <t>CAMBIO, EXCURSIONES, TURISMO COLUMBUS S.</t>
  </si>
  <si>
    <t>BONOS EXTERNOS GLOBALES DE LA REPUBLICA ARGENTINA  //  11,375% 1997-2017 dólar (u$s)</t>
  </si>
  <si>
    <t>IRSA INVERSIONES Y REPRESENTACIONES S.A.  //  CLASE 2  U$S CABLE  CIRY7</t>
  </si>
  <si>
    <t>COHEN RENTA FIJA CLASE D</t>
  </si>
  <si>
    <t>CAMBIOS LINK S.A.</t>
  </si>
  <si>
    <t>BONOS EXTERNOS GLOBALES DE LA REPUBLICA ARGENTINA  //  11,375% 1997-2017 u$s cable</t>
  </si>
  <si>
    <t>IRSA INVERSIONES Y REPRESENTACIONES S.A.  //  CLASE 2 DÓLAR U$S</t>
  </si>
  <si>
    <t>COHEN RENTA FIJA PLUS CLASE A</t>
  </si>
  <si>
    <t>CAMBIOS NORTE S.A.</t>
  </si>
  <si>
    <t xml:space="preserve">BONOS EXTERNOS GLOBALES DE LA REPUBLICA ARGENTINA  //  11,75% 2000-2015 </t>
  </si>
  <si>
    <t>IRSA INVERSIONES Y REPRESENTACIONES S.A.  //  CLASE VI</t>
  </si>
  <si>
    <t>COHEN RENTA FIJA PLUS CLASE B</t>
  </si>
  <si>
    <t>CAMBIOS TRADE TRAVEL S.A.</t>
  </si>
  <si>
    <t xml:space="preserve">BONOS EXTERNOS GLOBALES DE LA REPUBLICA ARGENTINA  //  11,75% 2000-2015 dólar (u$s) </t>
  </si>
  <si>
    <t>IRSA INVERSIONES Y REPRESENTACIONES S.A.  //  CLASE VII</t>
  </si>
  <si>
    <t>COMPASS AHORRO CLASE A</t>
  </si>
  <si>
    <t>CARBATUR VIAJES S.R.L.</t>
  </si>
  <si>
    <t>BONOS EXTERNOS GLOBALES DE LA REPUBLICA ARGENTINA  //  11,75% 2000-2015 u$s cable</t>
  </si>
  <si>
    <t>IRSA INVERSIONES Y REPRESENTACIONES S.A.  //  CLASE VIII</t>
  </si>
  <si>
    <t>COMPASS AHORRO CLASE B</t>
  </si>
  <si>
    <t>CASA DE CAMBIO MAGUITUR S.A.</t>
  </si>
  <si>
    <t xml:space="preserve">BONOS EXTERNOS GLOBALES DE LA REPUBLICA ARGENTINA  //  12,125% 1999-2019 </t>
  </si>
  <si>
    <t>IRSA INVERSIONES Y REPRESENTACIONES S.A.  //  CLASE VIII DÓLAR U$S</t>
  </si>
  <si>
    <t>COMPASS AHORRO CLASE C</t>
  </si>
  <si>
    <t>CASH S.A.</t>
  </si>
  <si>
    <t>BONOS EXTERNOS GLOBALES DE LA REPUBLICA ARGENTINA  //  12,125% 1999-2019 dólar (u$s)</t>
  </si>
  <si>
    <t>IRSA INVERSIONES Y REPRESENTACIONES S.A.  //  CLASE VIII U$S CABLE</t>
  </si>
  <si>
    <t>COMPASS ARGENTINA ABIERTO PyMEs CLASE A</t>
  </si>
  <si>
    <t>CENTRAL DE LA REPUBLICA ARGENTINA</t>
  </si>
  <si>
    <t>BONOS EXTERNOS GLOBALES DE LA REPUBLICA ARGENTINA  //  12,125% 1999-2019 u$s cable</t>
  </si>
  <si>
    <t>IRSA PROPIEDADES COMERCIALES S.A.  //  CLASE 1</t>
  </si>
  <si>
    <t>COMPASS ARGENTINA ABIERTO PyMEs CLASE B</t>
  </si>
  <si>
    <t>CHEMICAL BANK</t>
  </si>
  <si>
    <t>BONOS EXTERNOS GLOBALES DE LA REPUBLICA ARGENTINA  //  8,375%-2003</t>
  </si>
  <si>
    <t>IRSA PROPIEDADES COMERCIALES S.A.  //  CLASE 2</t>
  </si>
  <si>
    <t>COMPASS CRECIMIENTO CLASE A</t>
  </si>
  <si>
    <t>CITIBANK N.A.</t>
  </si>
  <si>
    <t>BONOS EXTERNOS GLOBALES DE LA REPUBLICA ARGENTINA  //  8,375%-2003 dólar (u$s)</t>
  </si>
  <si>
    <t>IRSA PROPIEDADES COMERCIALES S.A.  //  CLASE 2 DÓLAR U$S</t>
  </si>
  <si>
    <t>COMPASS CRECIMIENTO CLASE B</t>
  </si>
  <si>
    <t>CITICORP BANCO DE INVERSION S.A.</t>
  </si>
  <si>
    <t>BONOS EXTERNOS GLOBALES DE LA REPUBLICA ARGENTINA  //  8,375%-2003 u$s cable</t>
  </si>
  <si>
    <t>IRSA PROPIEDADES COMERCIALES S.A.  //  CLASE 2 U$S CABLE</t>
  </si>
  <si>
    <t>COMPASS CRECIMIENTO CLASE C</t>
  </si>
  <si>
    <t>COFIRENE BANCO DE INVERSION S.A.</t>
  </si>
  <si>
    <t>BONOS EXTERNOS GLOBALES DE LA REPUBLICA ARGENTINA  //  9,75% 1997-2027</t>
  </si>
  <si>
    <t>JOHN DEERE CREDIT CÍA. FINANCIERA S.A.   //  CLASE VI</t>
  </si>
  <si>
    <t>COMPASS CRECIMIENTO II CLASE A</t>
  </si>
  <si>
    <t>COIN VIAJES Y CAMBIOS S.A.</t>
  </si>
  <si>
    <t xml:space="preserve">BONOS EXTERNOS GLOBALES DE LA REPUBLICA ARGENTINA  //  9,75% 1997-2027 dólar (u$s) </t>
  </si>
  <si>
    <t>JOHN DEERE CREDIT CÍA. FINANCIERA S.A.   //  CLASE VII</t>
  </si>
  <si>
    <t>COMPASS CRECIMIENTO II CLASE B</t>
  </si>
  <si>
    <t>COM.HIPOT.Y EDIF.DE CORDOBA S.A.</t>
  </si>
  <si>
    <t>BONOS EXTERNOS GLOBALES DE LA REPUBLICA ARGENTINA  //  9,75% 1997-2027 u$s cable</t>
  </si>
  <si>
    <t>JOHN DEERE CREDIT CÍA. FINANCIERA S.A.   //  CLASE VII  DÓLAR U$S</t>
  </si>
  <si>
    <t>COMPASS LEY 27260 CLASE A</t>
  </si>
  <si>
    <t>COMAGRO COOP.LTDO.</t>
  </si>
  <si>
    <t>BONOS EXTERNOS GLOBALES DE LA REPUBLICA ARGENTINA EN $  //  10% 2001-2004 y 12% 2004-2008 (U$S) CABLE</t>
  </si>
  <si>
    <t>JOHN DEERE CREDIT CÍA. FINANCIERA S.A.   //  CLASE X</t>
  </si>
  <si>
    <t>COMPASS LEY 27260 CLASE B</t>
  </si>
  <si>
    <t>COMERCIAL DE LA PLATA S.A.</t>
  </si>
  <si>
    <t xml:space="preserve">BONOS EXTERNOS GLOBALES DE LA REPUBLICA ARGENTINA U$S  //  10,25% 2000-2030 </t>
  </si>
  <si>
    <t>JOHN DEERE CREDIT CÍA. FINANCIERA S.A.   //  CLASE XIII</t>
  </si>
  <si>
    <t>COMPASS LEY 27260 CLASE C</t>
  </si>
  <si>
    <t>COMERCIAL FINANZAS S.A.</t>
  </si>
  <si>
    <t>BONOS EXTERNOS GLOBALES DE LA REPUBLICA ARGENTINA U$S  //  10,25% 2000-2030 dólar (u$s)</t>
  </si>
  <si>
    <t>JOSE CARTELLONE CONSTRUCCIONES CIVILES S.A.  //  CLASE II SERIE I</t>
  </si>
  <si>
    <t>COMPASS OPPORTUNITY CLASE A</t>
  </si>
  <si>
    <t>COMPAÑIA FINANCIERA ARGENTINA S.A.</t>
  </si>
  <si>
    <t>BONOS EXTERNOS GLOBALES DE LA REPUBLICA ARGENTINA U$S  //  10,25% 2000-2030 u$s cable</t>
  </si>
  <si>
    <t>LABORATORIOS PRETTY S.A.  //  SIMPLES</t>
  </si>
  <si>
    <t>COMPASS OPPORTUNITY CLASE B</t>
  </si>
  <si>
    <t xml:space="preserve">BONOS EXTERNOS GLOBALES DE LA REPUBLICA ARGENTINA U$S  //  11,375% 2000-2010 </t>
  </si>
  <si>
    <t>LABORATORIOS RICHMOND S.A.C.I.F.  //  CLASE I</t>
  </si>
  <si>
    <t>COMPASS OPPORTUNITY CLASE C</t>
  </si>
  <si>
    <t>CONCEPCION COOP.LTDO.</t>
  </si>
  <si>
    <t>BONOS EXTERNOS GLOBALES DE LA REPUBLICA ARGENTINA U$S  //  11,375% 2000-2010 dólar (u$s)</t>
  </si>
  <si>
    <t>LEDESMA S.A.  //  CLASE 2</t>
  </si>
  <si>
    <t>COMPASS RENTA FIJA CLASE A</t>
  </si>
  <si>
    <t>CONTINENTAL S.A.</t>
  </si>
  <si>
    <t>BONOS EXTERNOS GLOBALES DE LA REPUBLICA ARGENTINA U$S  //  11,375% 2000-2010 u$s cable</t>
  </si>
  <si>
    <t>LEDESMA S.A.  //  CLASE 3</t>
  </si>
  <si>
    <t>COMPASS RENTA FIJA CLASE B</t>
  </si>
  <si>
    <t>COOP.AGRARIO ARG.LTDA.</t>
  </si>
  <si>
    <t>BONOS EXTERNOS GLOBALES DE LA REPUBLICA ARGENTINA U$S  //  11,75% 1999-2009</t>
  </si>
  <si>
    <t>LEDESMA S.A.  //  CLASE 5</t>
  </si>
  <si>
    <t>COMPASS RENTA FIJA CLASE C</t>
  </si>
  <si>
    <t>CORDIAL COMPAÑIA FINANCIERA S.A.</t>
  </si>
  <si>
    <t>BONOS EXTERNOS GLOBALES DE LA REPUBLICA ARGENTINA U$S  //  11,75% 1999-2009 dólar (u$s)</t>
  </si>
  <si>
    <t>LEDESMA S.A.  //  CLASE 7</t>
  </si>
  <si>
    <t>COMPASS RENTA FIJA II  CLASE A</t>
  </si>
  <si>
    <t>CORP BANCA S.A.</t>
  </si>
  <si>
    <t>BONOS EXTERNOS GLOBALES DE LA REPUBLICA ARGENTINA U$S  //  11,75% 1999-2009 u$s cable</t>
  </si>
  <si>
    <t>LIAG ARGENTINA S.A.  //  SERIE VI - CLASE II</t>
  </si>
  <si>
    <t>COMPASS RENTA FIJA II  CLASE B</t>
  </si>
  <si>
    <t>CORPORACION METROPOLITANA DE FINANZAS S.A.</t>
  </si>
  <si>
    <t xml:space="preserve">BONOS EXTERNOS GLOBALES DE LA REPUBLICA ARGENTINA U$S  //  12% 2000-2020 </t>
  </si>
  <si>
    <t>LIAG ARGENTINA S.A.  //  SERIE VII - CLASE II</t>
  </si>
  <si>
    <t>COMPASS RENTA FIJA III CLASE A</t>
  </si>
  <si>
    <t>CORREO ARGENTINO S.A.</t>
  </si>
  <si>
    <t>BONOS EXTERNOS GLOBALES DE LA REPUBLICA ARGENTINA U$S  //  12% 2001-2031</t>
  </si>
  <si>
    <t>LIAG ARGENTINA S.A.  //  SERIE VIII CLASE II</t>
  </si>
  <si>
    <t>COMPASS RENTA FIJA III CLASE B</t>
  </si>
  <si>
    <t>CREDILOGROS C.F.S.A.</t>
  </si>
  <si>
    <t>BONOS EXTERNOS GLOBALES DE LA REPUBLICA ARGENTINA U$S  //  12% 2001-2031 dólar (u$s)</t>
  </si>
  <si>
    <t>LIAG ARGENTINA S.A.  //  SERIE VIII CLASE II DÓLAR U$S</t>
  </si>
  <si>
    <t>COMPASS RENTA FIJA IV  CLASE A</t>
  </si>
  <si>
    <t>CREDILOGROS CIA. FINAN. S.A.</t>
  </si>
  <si>
    <t>BONOS EXTERNOS GLOBALES DE LA REPUBLICA ARGENTINA U$S  //  12% 2001-2031 u$s cable</t>
  </si>
  <si>
    <t>LOS GROBO AGROPECUARIA S.A.  //  CLASE VII</t>
  </si>
  <si>
    <t>COMPASS RENTA FIJA IV CLASE B</t>
  </si>
  <si>
    <t>DAIMLERCHRYSLER COMPAÑIA FINANCIERA S.A.</t>
  </si>
  <si>
    <t xml:space="preserve">BONOS EXTERNOS GLOBALES DE LA REPUBLICA ARGENTINA U$S  //  12,25% 2001-2018 </t>
  </si>
  <si>
    <t>LOS GROBO AGROPECUARIA S.A.  //  CLASE VII DÓLAR U$S</t>
  </si>
  <si>
    <t>COMPASS RENTA FIJA IV CLASE C</t>
  </si>
  <si>
    <t>DAMINATO VIAJES Y CAMBIOS S.A.</t>
  </si>
  <si>
    <t>BONOS EXTERNOS GLOBALES DE LA REPUBLICA ARGENTINA U$S  //  12,25% 2001-2018 dólar (u$s)</t>
  </si>
  <si>
    <t>MASTELLONE HNOS. S.A.  //  CLASE F</t>
  </si>
  <si>
    <t>COMPASS RENTA MIXTA CLASE B</t>
  </si>
  <si>
    <t>DAVATUR S.A.</t>
  </si>
  <si>
    <t>BONOS EXTERNOS GLOBALES DE LA REPUBLICA ARGENTINA U$S  //  12,25% 2001-2018 u$s cable</t>
  </si>
  <si>
    <t>MEDANITO S.A.  //  CLASE 10</t>
  </si>
  <si>
    <t>COMPASS RENTA PLUS CLASE B</t>
  </si>
  <si>
    <t>DE CHIVILCOY S.A.</t>
  </si>
  <si>
    <t>BONOS EXTERNOS GLOBALES DE LA REPUBLICA ARGENTINA U$S  //  12,375% 2001-2012</t>
  </si>
  <si>
    <t>MEDANITO S.A.  //  CLASE 10  DÓLAR U$S</t>
  </si>
  <si>
    <t>COMPASS SMALL CAP II CLASE A</t>
  </si>
  <si>
    <t>DE LA CIUDAD DE BS.AS.(SUC.TRIBUN.)</t>
  </si>
  <si>
    <t>BONOS EXTERNOS GLOBALES DE LA REPUBLICA ARGENTINA U$S  //  12,375% 2001-2012 dólar (u$s)</t>
  </si>
  <si>
    <t>MEDANITO S.A.  //  CLASE 10  U$S CABLE</t>
  </si>
  <si>
    <t>COMPASS SMALL CAP II CLASE B</t>
  </si>
  <si>
    <t>DE LA CIUDAD DE BUENOS AIRES</t>
  </si>
  <si>
    <t>BONOS EXTERNOS GLOBALES DE LA REPUBLICA ARGENTINA U$S  //  12,375% 2001-2012 u$s cable</t>
  </si>
  <si>
    <t>MEDANITO S.A.  //  CLASE 4</t>
  </si>
  <si>
    <t>CONSULTATIO  INCOME  FUND CLASE A</t>
  </si>
  <si>
    <t>DE LA NACION ARGENTINA (SUC.IMP.INT.)</t>
  </si>
  <si>
    <t xml:space="preserve">BONOS EXTERNOS GLOBALES DE LA REPUBLICA ARGENTINA U$S  //  7% 2001-2004 y 15,50% 2004-2008 </t>
  </si>
  <si>
    <t>MEDANITO S.A.  //  CLASE 6</t>
  </si>
  <si>
    <t>CONSULTATIO  INCOME  FUND CLASE B</t>
  </si>
  <si>
    <t>DE LOS ANDES S.A.</t>
  </si>
  <si>
    <t>BONOS EXTERNOS GLOBALES DE LA REPUBLICA ARGENTINA U$S  //  7% 2001-2004 y 15,50% 2004-2008 dólar (u$s)</t>
  </si>
  <si>
    <t>MEDANITO S.A.  //  CLASE 7</t>
  </si>
  <si>
    <t>CONSULTATIO ABIERTO Pymes CLASE A</t>
  </si>
  <si>
    <t>DE RIO NEGRO Y NEUQUEN</t>
  </si>
  <si>
    <t>BONOS EXTERNOS GLOBALES DE LA REPUBLICA ARGENTINA U$S  //  7% 2001-2004 y 15,50% 2004-2008 u$s cable</t>
  </si>
  <si>
    <t>MERANOL S.A.C.I.  //  CLASE 2</t>
  </si>
  <si>
    <t>CONSULTATIO ABIERTO Pymes CLASE B</t>
  </si>
  <si>
    <t>DE ULTRAMAR</t>
  </si>
  <si>
    <t>BONOS GARANTIZADOS A TASA FIJA R.A. EN U$S  //  vto 2023</t>
  </si>
  <si>
    <t>MERCEDES BENZ COMPAÑIA FINANCIERA ARGENTINA S.A.  //  CLASE 25</t>
  </si>
  <si>
    <t>CONSULTATIO ACCIONES ARGENTINA CLASE A</t>
  </si>
  <si>
    <t>DEL ACUERDO S.A.</t>
  </si>
  <si>
    <t>BONOS GARANTIZADOS A TASA FIJA R.A. EN U$S  //  vto 2023 u$s cable</t>
  </si>
  <si>
    <t>MERCEDES BENZ COMPAÑIA FINANCIERA ARGENTINA S.A.  //  CLASE 29</t>
  </si>
  <si>
    <t>CONSULTATIO ACCIONES ARGENTINA CLASE B</t>
  </si>
  <si>
    <t>DEL INTERIOR Y BUENOS AIRES</t>
  </si>
  <si>
    <t xml:space="preserve">BONOS GARANTIZADOS A TASA FLOTANTE R.A. EN U$S  //  vto 2023 </t>
  </si>
  <si>
    <t>METROGAS S.A.  //  SERIE A-U ADICIONALES</t>
  </si>
  <si>
    <t>CONSULTATIO ACCIONES ARGENTINA CLASE C</t>
  </si>
  <si>
    <t>DEL NORTE Y DELTA ARGENTINO</t>
  </si>
  <si>
    <t>BONOS GARANTIZADOS DEUDA PUBLICA RIONEGRINA  //  CLASE 2 - SERIE 1 (BOGAR)</t>
  </si>
  <si>
    <t>MICRO LENDING S.A.  //  CLASE II</t>
  </si>
  <si>
    <t>CONSULTATIO AHORRO PLUS ARGENTINA F.C.I.  CLASE A</t>
  </si>
  <si>
    <t>DEUTSCHE BANK S.A.</t>
  </si>
  <si>
    <t>BONOS GARANTIZADOS DEUDA PUBLICA RIONEGRINA  //  clase ii - serie ii (bogar ii-ii)</t>
  </si>
  <si>
    <t>MICRO LENDING S.A.  //  VENCIMIENTO 2017</t>
  </si>
  <si>
    <t>CONSULTATIO AHORRO PLUS ARGENTINA F.C.I.  CLASE B</t>
  </si>
  <si>
    <t>DINAR S.A. CAMBIO BOLSA Y TURISMO</t>
  </si>
  <si>
    <t>BONOS GARANTIZADOS DEUDA PUBLICA RIONEGRINA  //  CLASE II - SERIE III (BOGAR II-III)</t>
  </si>
  <si>
    <t>MILICIC S.A.  //  SERIE III</t>
  </si>
  <si>
    <t>CONSULTATIO AHORRO PLUS ARGENTINA F.C.I.  CLASE C</t>
  </si>
  <si>
    <t>EL DORADO S.A.</t>
  </si>
  <si>
    <t>BONOS INTERNACIONALES DE LA REPUBLICA ARGENTINA  DISCOUNT EN DOL. ESTADOUN. REGIDOS POR LA LEY DE N.Y.  //  CANJEADOS POR TIT. ELEGIBLES PRE-2005, PAR 2005 o CUASIPAR 2005   DIY0</t>
  </si>
  <si>
    <t>MILICIC S.A.  //  SERIE IV</t>
  </si>
  <si>
    <t>CONSULTATIO ARBITRAJE CLASE A</t>
  </si>
  <si>
    <t>EN.CO.TE.SA.</t>
  </si>
  <si>
    <t>BONOS INTERNACIONALES DE LA REPUBLICA ARGENTINA  DISCOUNT EN DOL. ESTADOUN. REGIDOS POR LA LEY DE N.Y.  //  CANJEADOS POR TIT. ELEGIBLES PRE-2005, PAR 2005 o CUASIPAR 2005   DIY0X</t>
  </si>
  <si>
    <t>MOLINOS RÍO DE LA PLATA S.A.  //  CLASE VII</t>
  </si>
  <si>
    <t>CONSULTATIO ARBITRAJE CLASE B</t>
  </si>
  <si>
    <t>EVES S.A.</t>
  </si>
  <si>
    <t>BONOS INTERNACIONALES DE LA REPUBLICA ARGENTINA  DISCOUNT EN DOL. ESTADOUN. REGIDOS POR LA LEY DE N.Y.  //  CANJEADOS POR TIT. ELEGIBLES PRE-2005, PAR 2005 o CUASIPAR 2005   DÓLAR U$S</t>
  </si>
  <si>
    <t>MONTEVER S.A.  //  SERIE I</t>
  </si>
  <si>
    <t>CONSULTATIO ARBITRAJE CLASE C</t>
  </si>
  <si>
    <t>FARO COOP.LTDO.</t>
  </si>
  <si>
    <t>BONOS INTERNACIONALES DE LA REPUBLICA ARGENTINA  DISCOUNT EN DOL. ESTADOUN. REGIDOS POR LA LEY DE N.Y.  //  canjeados por tit. elegibles pre-2005, par 2005 o cuasipar 2005 u$s cable</t>
  </si>
  <si>
    <t>MSU MANAGEMENT DE SERVICIOS URBANOS S.A.  //  SERIE III CLASE A</t>
  </si>
  <si>
    <t>CONSULTATIO BALANCED FUND CLASE A</t>
  </si>
  <si>
    <t>FENIX TOURS S.A.</t>
  </si>
  <si>
    <t>BONOS INTERNACIONALES DE LA REPUBLICA ARGENTINA  DISCOUNT EN EUROS REGIDOS POR LA LEY INGLESA  //  CANJEADOS POR TIT. ELEGIBLES PRE-2005, PAR 2005 o CUASIPAR 2005</t>
  </si>
  <si>
    <t>MSU MANAGEMENT DE SERVICIOS URBANOS S.A.  //  SERIE V CLASE 1</t>
  </si>
  <si>
    <t>CONSULTATIO BALANCED FUND CLASE B</t>
  </si>
  <si>
    <t>FIAT CREDITO CIA. FINAN. S.A.</t>
  </si>
  <si>
    <t>BONOS INTERNACIONALES DE LA REPUBLICA ARGENTINA A LA PAR EN DOL. ESTADOUN. REGIDOS POR LA LEY DE N.Y.  //  canjeados por tit. elegibles pre-2005 o descuento 2005)</t>
  </si>
  <si>
    <t>MSU MANAGEMENT DE SERVICIOS URBANOS S.A.  //  SERIE VI</t>
  </si>
  <si>
    <t>CONSULTATIO CRECIMIENTO CLASE A</t>
  </si>
  <si>
    <t>FIAT CREDITO COMPAÑIA FINANCIERA S.A.</t>
  </si>
  <si>
    <t>BONOS INTERNACIONALES DE LA REPUBLICA ARGENTINA A LA PAR EN DOL. ESTADOUN. REGIDOS POR LA LEY DE N.Y.  //  CANJEADOS POR TIT. ELEGIBLES PRE-2005 o DESCUENTO 2005) DÓLAR(U$S)</t>
  </si>
  <si>
    <t>NEW SAN S.A.   //  CLASE VII</t>
  </si>
  <si>
    <t>CONSULTATIO CRECIMIENTO CLASE B</t>
  </si>
  <si>
    <t>FINANDINO COMPAÑIA FINANCIERA S.A.</t>
  </si>
  <si>
    <t>BONOS INTERNACIONALES DE LA REPUBLICA ARGENTINA A LA PAR EN EUROS REGIDOS POR LA LEY INGLÉS  //  CANJEADOS POR TÍT. ELEGIBLES PRE-2005 O DESCUENTO 2005</t>
  </si>
  <si>
    <t>NEW SAN S.A.   //  CLASE VIII</t>
  </si>
  <si>
    <t>CONSULTATIO CRECIMIENTO CLASE C</t>
  </si>
  <si>
    <t>FORD CREDIT CIA. FINAN. S.A.</t>
  </si>
  <si>
    <t>BONOS INTERNACIONALES DE LA REPUBLICA ARGENTINA EN DOLARES ESTADOUNIDENSES   //  5,625% 2022  A2E2</t>
  </si>
  <si>
    <t>NEXO EMPRENDIMIENTOS S.A.  //  CLASE C</t>
  </si>
  <si>
    <t>CONSULTATIO DEUDA ARGENTINA CLASE A</t>
  </si>
  <si>
    <t>FORD CREDIT COMPAÑIA FINANCIERA S.A.</t>
  </si>
  <si>
    <t>BONOS INTERNACIONALES DE LA REPUBLICA ARGENTINA EN DOLARES ESTADOUNIDENSES   //  5,625% 2022  A2E2X   REGISTRADOS SEC</t>
  </si>
  <si>
    <t>NEXO EMPRENDIMIENTOS S.A.  //  SERIE I</t>
  </si>
  <si>
    <t>CONSULTATIO DEUDA ARGENTINA CLASE B</t>
  </si>
  <si>
    <t>FOREXCAMBIO S.A.</t>
  </si>
  <si>
    <t xml:space="preserve">BONOS INTERNACIONALES DE LA REPUBLICA ARGENTINA EN DOLARES ESTADOUNIDENSES   //  5,625% 2022 DÓLAR U$S </t>
  </si>
  <si>
    <t>OVOPROT INTERNATIONAL S.A.  //  SERIE III</t>
  </si>
  <si>
    <t>CONSULTATIO DEUDA ARGENTINA CLASE C</t>
  </si>
  <si>
    <t>GARCIA NAVARRO Y CIA. S.A.</t>
  </si>
  <si>
    <t>BONOS INTERNACIONALES DE LA REPUBLICA ARGENTINA EN DOLARES ESTADOUNIDENSES   //  5,625% 2022 U$S CABLE</t>
  </si>
  <si>
    <t>PAMPA ENERGÍA S.A.  //  CLASE 1</t>
  </si>
  <si>
    <t>CONSULTATIO ESTRATEGIA CLASE A</t>
  </si>
  <si>
    <t>GE COMPAÑIA FINANCIERA S.A.</t>
  </si>
  <si>
    <t>BONOS INTERNACIONALES DE LA REPUBLICA ARGENTINA EN DOLARES ESTADOUNIDENSES   //  6,25% 2019  AA19</t>
  </si>
  <si>
    <t>PAMPA ENERGÍA S.A.  //  CLASE 1 DÓLAR U$S</t>
  </si>
  <si>
    <t>CONSULTATIO ESTRATEGIA CLASE B</t>
  </si>
  <si>
    <t>GIOVINAZZO S.A.</t>
  </si>
  <si>
    <t>BONOS INTERNACIONALES DE LA REPUBLICA ARGENTINA EN DOLARES ESTADOUNIDENSES   //  6,25% 2019  AA19X    REGISTRADOS SEC</t>
  </si>
  <si>
    <t>PAN AMERICAN ENERGY LLC SUCURSAL ARGENTINA  //  CLASE IV</t>
  </si>
  <si>
    <t>CONSULTATIO ESTRATEGIA CLASE C</t>
  </si>
  <si>
    <t>GLOBAL EXCHANGE S.A.</t>
  </si>
  <si>
    <t xml:space="preserve">BONOS INTERNACIONALES DE LA REPUBLICA ARGENTINA EN DOLARES ESTADOUNIDENSES   //  6,25% 2019 DÓLAR U$S </t>
  </si>
  <si>
    <t>PAN AMERICAN ENERGY LLC SUCURSAL ARGENTINA  //  CLASE N° 1</t>
  </si>
  <si>
    <t>CONSULTATIO LIQUIDEZ LEY 27260 CLASE A</t>
  </si>
  <si>
    <t>GMAC COMPAÑIA FINANCIERA S.A.</t>
  </si>
  <si>
    <t>BONOS INTERNACIONALES DE LA REPUBLICA ARGENTINA EN DOLARES ESTADOUNIDENSES   //  6,25% 2019 U$S CABLE</t>
  </si>
  <si>
    <t>PAN AMERICAN ENERGY LLC SUCURSAL ARGENTINA  //  CLASE N° 1 DÓLAR U$S</t>
  </si>
  <si>
    <t>CONSULTATIO LIQUIDEZ LEY 27260 CLASE B</t>
  </si>
  <si>
    <t>GPAT COMPAÑIA FINANCIERA S.A.</t>
  </si>
  <si>
    <t>BONOS INTERNACIONALES DE LA REPUBLICA ARGENTINA EN DOLARES ESTADOUNIDENSES   //  6,625% 2028</t>
  </si>
  <si>
    <t>PAN AMERICAN ENERGY LLC SUCURSAL ARGENTINA  //  CLASE N° 1 U$S CABLE</t>
  </si>
  <si>
    <t>CONSULTATIO LIQUIDEZ LEY 27260 CLASE C</t>
  </si>
  <si>
    <t>HEXAGON BANK ARGENTINA S.A.</t>
  </si>
  <si>
    <t>BONOS INTERNACIONALES DE LA REPUBLICA ARGENTINA EN DOLARES ESTADOUNIDENSES   //  6,625% 2028 DÓLAR U$S  REGISTRADOS SEC</t>
  </si>
  <si>
    <t>PAN AMERICAN ENERGY LLC SUCURSAL ARGENTINA  //  CLASE VI</t>
  </si>
  <si>
    <t>CONSULTATIO LIQUIDEZ LEY 27260 CLASE D</t>
  </si>
  <si>
    <t>HISPANO CORFIN</t>
  </si>
  <si>
    <t>BONOS INTERNACIONALES DE LA REPUBLICA ARGENTINA EN DOLARES ESTADOUNIDENSES   //  6,625% 2028 U$S CABLE</t>
  </si>
  <si>
    <t>PAN AMERICAN ENERGY LLC SUCURSAL ARGENTINA  //  CLASE VII</t>
  </si>
  <si>
    <t>CONSULTATIO MULTIESTRATEGIA CLASE A</t>
  </si>
  <si>
    <t>HSBC BANK ARGENTINA S.A.</t>
  </si>
  <si>
    <t>BONOS INTERNACIONALES DE LA REPUBLICA ARGENTINA EN DOLARES ESTADOUNIDENSES   //  6,875% 2021        AA21</t>
  </si>
  <si>
    <t>PAN AMERICAN ENERGY LLC SUCURSAL ARGENTINA  //  CLASE VIII</t>
  </si>
  <si>
    <t>CONSULTATIO MULTIESTRATEGIA CLASE B</t>
  </si>
  <si>
    <t>HURLINGHAM S.A.</t>
  </si>
  <si>
    <t>BONOS INTERNACIONALES DE LA REPUBLICA ARGENTINA EN DOLARES ESTADOUNIDENSES   //  6,875% 2021       AA21X</t>
  </si>
  <si>
    <t>PETROBRAS ARGENTINA S.A.  //  SERIE T</t>
  </si>
  <si>
    <t>CONSULTATIO MULTIESTRATEGIA CLASE C</t>
  </si>
  <si>
    <t xml:space="preserve">INDUSTRIAL AND COMMERCIAL BANK OF CHINA (ARGENTINA) S.A. </t>
  </si>
  <si>
    <t>BONOS INTERNACIONALES DE LA REPUBLICA ARGENTINA EN DOLARES ESTADOUNIDENSES   //  6,875% 2021  DÓLAR U$S  AA21D</t>
  </si>
  <si>
    <t>PETROBRAS ARGENTINA S.A.  //  SERIE T DÓLAR U$S</t>
  </si>
  <si>
    <t>CONSULTATIO RENTA BALANCEADA CLASE A</t>
  </si>
  <si>
    <t>ING BANK N.V.</t>
  </si>
  <si>
    <t>BONOS INTERNACIONALES DE LA REPUBLICA ARGENTINA EN DOLARES ESTADOUNIDENSES   //  6,875% 2021  DÓLAR U$S  REGISTRADOS SEC  AA21Y</t>
  </si>
  <si>
    <t>PETROBRAS ARGENTINA S.A.  //  SERIE T U$S CABLE</t>
  </si>
  <si>
    <t>CONSULTATIO RENTA BALANCEADA CLASE B</t>
  </si>
  <si>
    <t>INTEGRADO DEPARTAMENTAL (EX CERES)</t>
  </si>
  <si>
    <t>BONOS INTERNACIONALES DE LA REPUBLICA ARGENTINA EN DOLARES ESTADOUNIDENSES   //  6,875% 2021  U$S CABLE  AA21C</t>
  </si>
  <si>
    <t>PETROLERA PAMPA S.A.  //  CLASE 14</t>
  </si>
  <si>
    <t>CONSULTATIO RENTA BALANCEADA CLASE C</t>
  </si>
  <si>
    <t>INTERCAMBIO REGIONAL S.A.</t>
  </si>
  <si>
    <t>BONOS INTERNACIONALES DE LA REPUBLICA ARGENTINA EN DOLARES ESTADOUNIDENSES   //  6,875% 2021  U$S CABLE  AA21Z</t>
  </si>
  <si>
    <t>PETROLERA PAMPA S.A.  //  CLASE 14 U$S CABLE</t>
  </si>
  <si>
    <t>CONSULTATIO RENTA FIJA ARGENTINA F.C.I. CLASE A</t>
  </si>
  <si>
    <t>INTERCOOP COOP.LTDO.ROSARIO</t>
  </si>
  <si>
    <t xml:space="preserve">BONOS INTERNACIONALES DE LA REPUBLICA ARGENTINA EN DOLARES ESTADOUNIDENSES   //  6,875% 2027  </t>
  </si>
  <si>
    <t>PETROLERA PAMPA S.A.  //  CLASE 2</t>
  </si>
  <si>
    <t>CONSULTATIO RENTA FIJA ARGENTINA F.C.I. CLASE B</t>
  </si>
  <si>
    <t>ITALTUR S.A.</t>
  </si>
  <si>
    <t xml:space="preserve">BONOS INTERNACIONALES DE LA REPUBLICA ARGENTINA EN DOLARES ESTADOUNIDENSES   //  6,875% 2027  DÓLAR U$S </t>
  </si>
  <si>
    <t>PETROLERA PAMPA S.A.  //  CLASE 7</t>
  </si>
  <si>
    <t>CONSULTATIO RENTA LOCAL CLASE A</t>
  </si>
  <si>
    <t>JOHN DEERE CREDIT CIA. FINAN. S.A.</t>
  </si>
  <si>
    <t xml:space="preserve">BONOS INTERNACIONALES DE LA REPUBLICA ARGENTINA EN DOLARES ESTADOUNIDENSES   //  6,875% 2027  REGISTRADOS SEC </t>
  </si>
  <si>
    <t>PETROLERA PAMPA S.A.  //  CLASE 8</t>
  </si>
  <si>
    <t>CONSULTATIO RENTA LOCAL CLASE B</t>
  </si>
  <si>
    <t>JOHN DEERE CREDIT COMPAÑIA FINANCIERA SA</t>
  </si>
  <si>
    <t>BONOS INTERNACIONALES DE LA REPUBLICA ARGENTINA EN DOLARES ESTADOUNIDENSES   //  6,875% 2027  U$S CABLE</t>
  </si>
  <si>
    <t>PETROQUIMICA COMODORO RIVADAVIA S.A.  //  CLASE 3</t>
  </si>
  <si>
    <t>CONSULTATIO RENTA LOCAL CLASE C</t>
  </si>
  <si>
    <t>JP MORGAN CHASE BANK NA (SUCURSAL BUENOS AIRES)</t>
  </si>
  <si>
    <t>BONOS INTERNACIONALES DE LA REPUBLICA ARGENTINA EN DOLARES ESTADOUNIDENSES   //  7,125%  - 2117  AC17</t>
  </si>
  <si>
    <t>PLASTICOS DISE S.A.  //  SERIE III</t>
  </si>
  <si>
    <t>CONSULTATIO RENTA MIXTA CLASE A</t>
  </si>
  <si>
    <t>KOOKMIN BANK</t>
  </si>
  <si>
    <t>BONOS INTERNACIONALES DE LA REPUBLICA ARGENTINA EN DOLARES ESTADOUNIDENSES   //  7,125%  - 2117  AC17X</t>
  </si>
  <si>
    <t>PLURAL COOPERATIVA DE CREDITO,CONSUMO Y VIVIENDA LTDA  //  SERIE I</t>
  </si>
  <si>
    <t>CONSULTATIO RENTA MIXTA CLASE B</t>
  </si>
  <si>
    <t>LATINOAMERICANO S.A.</t>
  </si>
  <si>
    <t>BONOS INTERNACIONALES DE LA REPUBLICA ARGENTINA EN DOLARES ESTADOUNIDENSES   //  7,125%  - 2117 DÓLAR U$S AC17D</t>
  </si>
  <si>
    <t>PRIFAMON S.A.I.C.  //  SERIE I</t>
  </si>
  <si>
    <t>CONSULTATIO RENTA MIXTA CLASE C</t>
  </si>
  <si>
    <t>LIBRES CAMBIO S.A.</t>
  </si>
  <si>
    <t>BONOS INTERNACIONALES DE LA REPUBLICA ARGENTINA EN DOLARES ESTADOUNIDENSES   //  7,125%  - 2117 DÓLAR U$S AC17Y</t>
  </si>
  <si>
    <t>PSA FINANCE ARGENTINA COMPAÑÍA FINANCIERA S.A.  //  CLASE 20</t>
  </si>
  <si>
    <t>CONSULTATIO RENTA NACIONAL CLASE A</t>
  </si>
  <si>
    <t>LLOYDS TSB BANK PLC</t>
  </si>
  <si>
    <t>BONOS INTERNACIONALES DE LA REPUBLICA ARGENTINA EN DOLARES ESTADOUNIDENSES   //  7,125%  - 2117 U$S CABLE</t>
  </si>
  <si>
    <t>PUENTE HNOS. S.A.  //  CLASE 11</t>
  </si>
  <si>
    <t>CONSULTATIO RENTA NACIONAL CLASE B</t>
  </si>
  <si>
    <t>LONGUEIRA Y LONGUEIRA S.A.</t>
  </si>
  <si>
    <t>BONOS INTERNACIONALES DE LA REPUBLICA ARGENTINA EN DOLARES ESTADOUNIDENSES   //  7,125% 2036         AL36X</t>
  </si>
  <si>
    <t>PUENTE HNOS. S.A.  //  CLASE 8</t>
  </si>
  <si>
    <t>CONSULTATIO RENTA NACIONAL CLASE C</t>
  </si>
  <si>
    <t>LOS TILOS S.A.</t>
  </si>
  <si>
    <t>BONOS INTERNACIONALES DE LA REPUBLICA ARGENTINA EN DOLARES ESTADOUNIDENSES   //  7,125% 2036        AL36</t>
  </si>
  <si>
    <t>PUENTE HNOS. S.A.  //  CLASE 9</t>
  </si>
  <si>
    <t>CONSULTATIO RENTA VARIABLE CLASE A</t>
  </si>
  <si>
    <t>LUIS BERNARDO LOPETEGUI S.R.L.</t>
  </si>
  <si>
    <t xml:space="preserve">BONOS INTERNACIONALES DE LA REPUBLICA ARGENTINA EN DOLARES ESTADOUNIDENSES   //  7,125% 2036 DÓLAR U$S </t>
  </si>
  <si>
    <t>QUICKFOOD S.A.  //  CLASE IV</t>
  </si>
  <si>
    <t>CONSULTATIO RENTA VARIABLE CLASE B</t>
  </si>
  <si>
    <t>M.A. CASA DE CAMBIO S.A.</t>
  </si>
  <si>
    <t>BONOS INTERNACIONALES DE LA REPUBLICA ARGENTINA EN DOLARES ESTADOUNIDENSES   //  7,125% 2036 U$S CABLE</t>
  </si>
  <si>
    <t>QUICKFOOD S.A.  //  CLASE IX</t>
  </si>
  <si>
    <t>CONSULTATIO RENTA Y CAPITAL CLASE A</t>
  </si>
  <si>
    <t>MAS VENTAS S.A.</t>
  </si>
  <si>
    <t>BONOS INTERNACIONALES DE LA REPUBLICA ARGENTINA EN DOLARES ESTADOUNIDENSES   //  7,5% 2026  AA26</t>
  </si>
  <si>
    <t>QUICKFOOD S.A.  //  CLASE VI</t>
  </si>
  <si>
    <t>CONSULTATIO RENTA Y CAPITAL CLASE B</t>
  </si>
  <si>
    <t>MAS VENTAS S.A. COMPAÑIA FINANCIERA</t>
  </si>
  <si>
    <t>BONOS INTERNACIONALES DE LA REPUBLICA ARGENTINA EN DOLARES ESTADOUNIDENSES   //  7,5% 2026  AA26X</t>
  </si>
  <si>
    <t>QUICKFOOD S.A.  //  CLASE VII</t>
  </si>
  <si>
    <t>CONSULTATIO RENTA Y CAPITAL CLASE C</t>
  </si>
  <si>
    <t>MASVENTAS S.A. COMPAÑIA FINANCIERA</t>
  </si>
  <si>
    <t xml:space="preserve">BONOS INTERNACIONALES DE LA REPUBLICA ARGENTINA EN DOLARES ESTADOUNIDENSES   //  7,5% 2026  U$S CABLE </t>
  </si>
  <si>
    <t>QUICKFOOD S.A.  //  CLASE VIII</t>
  </si>
  <si>
    <t>CONSULTATIO RETORNO ABSOLUTO CLASE A</t>
  </si>
  <si>
    <t>MAXICAMBIO S.A..</t>
  </si>
  <si>
    <t xml:space="preserve">BONOS INTERNACIONALES DE LA REPUBLICA ARGENTINA EN DOLARES ESTADOUNIDENSES   //  7,5% 2026 DÓLAR U$S </t>
  </si>
  <si>
    <t>RAGHSA S.A.  //  CLASE 2</t>
  </si>
  <si>
    <t>CONSULTATIO RETORNO ABSOLUTO CLASE B</t>
  </si>
  <si>
    <t>MAXINTA S.A.C.T. Y BOLSA</t>
  </si>
  <si>
    <t>BONOS INTERNACIONALES DE LA REPUBLICA ARGENTINA EN DOLARES ESTADOUNIDENSES   //  7,625% 2046           AA46</t>
  </si>
  <si>
    <t>RAGHSA S.A.  //  CLASE 3 SERIE I</t>
  </si>
  <si>
    <t>CONSULTATIO RETORNO ABSOLUTO CLASE C</t>
  </si>
  <si>
    <t>MAZZA HERMANOS S.A.C.</t>
  </si>
  <si>
    <t>BONOS INTERNACIONALES DE LA REPUBLICA ARGENTINA EN DOLARES ESTADOUNIDENSES   //  7,625% 2046          AA46X</t>
  </si>
  <si>
    <t>RAGHSA S.A.  //  CLASE 3 SERIE I  DÓLAR U$S</t>
  </si>
  <si>
    <t>CONSULTATIO TACTICO CLASE A</t>
  </si>
  <si>
    <t>MBA LAZARD BANCO DE INVERSIONES S.A.</t>
  </si>
  <si>
    <t>BONOS INTERNACIONALES DE LA REPUBLICA ARGENTINA EN DOLARES ESTADOUNIDENSES   //  7,625% 2046  U$S CABLE     AA46C</t>
  </si>
  <si>
    <t>RAGHSA S.A.  //  CLASE 3 SERIE I U$S CABLE</t>
  </si>
  <si>
    <t>CONSULTATIO TACTICO CLASE B</t>
  </si>
  <si>
    <t>MERCEDES-BENZ COMPAÑIA FINANCIERA ARGENTINA S.A.</t>
  </si>
  <si>
    <t>BONOS INTERNACIONALES DE LA REPUBLICA ARGENTINA EN DOLARES ESTADOUNIDENSES   //  7,625% 2046  U$S CABLE     AA46Z</t>
  </si>
  <si>
    <t>RDA RENTING S.A.  //  SERIE I</t>
  </si>
  <si>
    <t>CONSULTATIO TACTICO CLASE C</t>
  </si>
  <si>
    <t>MERCOBANK S.A.</t>
  </si>
  <si>
    <t>BONOS INTERNACIONALES DE LA REPUBLICA ARGENTINA EN DOLARES ESTADOUNIDENSES   //  7,625% 2046 DÓLAR U$S  AA46D</t>
  </si>
  <si>
    <t xml:space="preserve">RED SURCOS S.A.  //  SERIE I CLASE </t>
  </si>
  <si>
    <t>CONVEXITY ABIERTO Pymes CLASE A</t>
  </si>
  <si>
    <t>METROPOLIS CASA DE CAMBIO S.A.</t>
  </si>
  <si>
    <t xml:space="preserve">BONOS INTERNACIONALES DE LA REPUBLICA ARGENTINA EN DOLARES ESTADOUNIDENSES   //  7,625% 2046 DÓLAR U$S  REGISTRADOS SEC AA46Y </t>
  </si>
  <si>
    <t>RED SURCOS S.A.  //  SERIE I CLASE  DÓLAR</t>
  </si>
  <si>
    <t>CONVEXITY ABIERTO Pymes CLASE B</t>
  </si>
  <si>
    <t>METROPOLIS COMPAÑIA FINANCIERA S.A.</t>
  </si>
  <si>
    <t>BONOS INTERNACIONALES GLOBALES DE LA REPUBLICA ARGENTINA EN DOLARES ESTADOUNIDENSES  //  8,75% 2017       GJ17</t>
  </si>
  <si>
    <t>RED SURCOS S.A.  //  SERIE I CLASE PESOS</t>
  </si>
  <si>
    <t>CONVEXITY IOL ACCIONES CLASE A</t>
  </si>
  <si>
    <t>MONTEMAR CIA. FINAN. S.A.</t>
  </si>
  <si>
    <t>BONOS INTERNACIONALES GLOBALES DE LA REPUBLICA ARGENTINA EN DOLARES ESTADOUNIDENSES  //  8,75% 2017       GJ17X</t>
  </si>
  <si>
    <t>RIBEIRO SOCIEDAD ANÓNIMA COMERCIAL INDUSTRIAL FINANCIERA  //  CLASE F</t>
  </si>
  <si>
    <t>CONVEXITY IOL ACCIONES CLASE B</t>
  </si>
  <si>
    <t>MONTEMAR COMPAÑIA FINANCIERA S.A.</t>
  </si>
  <si>
    <t xml:space="preserve">BONOS INTERNACIONALES GLOBALES DE LA REPUBLICA ARGENTINA EN DOLARES ESTADOUNIDENSES  //  8,75% 2017 DÓLAR (U$S) </t>
  </si>
  <si>
    <t>RIBEIRO SOCIEDAD ANÓNIMA COMERCIAL INDUSTRIAL FINANCIERA  //  CLASE G</t>
  </si>
  <si>
    <t>CONVEXITY PESOS PLUS CLASE A</t>
  </si>
  <si>
    <t>MONTEVIDEO CAMBIO Y TURISMO S.A.</t>
  </si>
  <si>
    <t>BONOS INTERNACIONALES GLOBALES DE LA REPUBLICA ARGENTINA EN DOLARES ESTADOUNIDENSES  //  8,75% 2017 U$S CABLE      GJ17C</t>
  </si>
  <si>
    <t>RIBEIRO SOCIEDAD ANÓNIMA COMERCIAL INDUSTRIAL FINANCIERA  //  CLASE H SERIE 1</t>
  </si>
  <si>
    <t>CONVEXITY PESOS PLUS CLASE B</t>
  </si>
  <si>
    <t>MULTIFINANZAS C.F.S.A.</t>
  </si>
  <si>
    <t>BONOS INTERNACIONALES GLOBALES DE LA REPUBLICA ARGENTINA EN DOLARES ESTADOUNIDENSES  //  8,75% 2017 U$S CABLE      GJ17Z</t>
  </si>
  <si>
    <t>RIBEIRO SOCIEDAD ANÓNIMA COMERCIAL INDUSTRIAL FINANCIERA  //  CLASE H SERIE II</t>
  </si>
  <si>
    <t>CONVEXITY PESOS PLUS CLASE C</t>
  </si>
  <si>
    <t>MULTIFINANZAS CIA. FINAN. S.A.</t>
  </si>
  <si>
    <t xml:space="preserve">BONOS PAR A LARGO PLAZO EN DOLARES ESTADOUN.PROV.BS.AS.  //  vto. 2035 </t>
  </si>
  <si>
    <t>RIBEIRO SOCIEDAD ANÓNIMA COMERCIAL INDUSTRIAL FINANCIERA  //  CLASE H SERIE II DÓLAR U$S</t>
  </si>
  <si>
    <t>CONVEXITY RENTA FIJA ARGENTINA CLASE A</t>
  </si>
  <si>
    <t>NUEVO BANCO BISEL S.A.</t>
  </si>
  <si>
    <t>BONOS PAR A LARGO PLAZO EN DOLARES ESTADOUN.PROV.BS.AS.  //  VTO. 2035 BLOCK</t>
  </si>
  <si>
    <t>RIBEIRO SOCIEDAD ANÓNIMA COMERCIAL INDUSTRIAL FINANCIERA  //  CLASE K SERIE 2</t>
  </si>
  <si>
    <t>CONVEXITY RENTA FIJA ARGENTINA CLASE B</t>
  </si>
  <si>
    <t>NUEVO BANCO DE AZUL S.A.</t>
  </si>
  <si>
    <t xml:space="preserve">BONOS PAR A LARGO PLAZO EN DOLARES ESTADOUN.PROV.BS.AS.  //  VTO. 2035 DÓLAR U$S </t>
  </si>
  <si>
    <t>RIBEIRO SOCIEDAD ANÓNIMA COMERCIAL INDUSTRIAL FINANCIERA  //  CLASE K SERIE 2  DÓLAR U$S</t>
  </si>
  <si>
    <t>CONVEXITY RENTA PLUS CLASE A</t>
  </si>
  <si>
    <t>NUEVO BANCO DE ENTRE RIOS S.A.</t>
  </si>
  <si>
    <t>BONOS PAR A LARGO PLAZO EN DOLARES ESTADOUN.PROV.BS.AS.  //  vto. 2035 u$s cable</t>
  </si>
  <si>
    <t>RIBEIRO SOCIEDAD ANÓNIMA COMERCIAL INDUSTRIAL FINANCIERA  //  CLASE K SERIE I</t>
  </si>
  <si>
    <t>CONVEXITY RENTA PLUS CLASE B</t>
  </si>
  <si>
    <t>NUEVO BANCO DE LA RIOJA S.A.</t>
  </si>
  <si>
    <t xml:space="preserve">BONOS PAR A LARGO PLAZO EN EUROS PROV.BS.AS.  //  vto 2035 </t>
  </si>
  <si>
    <t>RIBEIRO SOCIEDAD ANÓNIMA COMERCIAL INDUSTRIAL FINANCIERA  //  CLASE K2 SERIE I</t>
  </si>
  <si>
    <t>CONVEXITY RETORNO TOTAL CLASE A</t>
  </si>
  <si>
    <t>NUEVO BANCO DE SANTA FE S.A.</t>
  </si>
  <si>
    <t>BONOS PAR A LARGO PLAZO EN EUROS PROV.BS.AS.  //  VTO 2035 DÓLAR U$S</t>
  </si>
  <si>
    <t>RIBEIRO SOCIEDAD ANÓNIMA COMERCIAL INDUSTRIAL FINANCIERA  //  CLASE K2 SERIE II</t>
  </si>
  <si>
    <t>CONVEXITY RETORNO TOTAL CLASE B</t>
  </si>
  <si>
    <t>NUEVO BANCO DE SGO.DEL ESTERO</t>
  </si>
  <si>
    <t>BONOS PAR A LARGO PLAZO EN EUROS PROV.BS.AS.  //  vto 2035 u$s cable</t>
  </si>
  <si>
    <t>RIBEIRO SOCIEDAD ANÓNIMA COMERCIAL INDUSTRIAL FINANCIERA  //  CLASE K2 SERIE II  DÓLAR U$S</t>
  </si>
  <si>
    <t>DELTA ACCIONES CLASE A</t>
  </si>
  <si>
    <t>NUEVO BANCO DEL CHACO S.A.</t>
  </si>
  <si>
    <t xml:space="preserve">BONOS PAR A MEDIANO PLAZO EN DOL. ESTADOUNIDENSES PROV.BS.AS.  //  vto. 2020 </t>
  </si>
  <si>
    <t>RIBEIRO SOCIEDAD ANÓNIMA COMERCIAL INDUSTRIAL FINANCIERA  //  CLASE L</t>
  </si>
  <si>
    <t>DELTA ACCIONES CLASE B</t>
  </si>
  <si>
    <t>NUEVO BANCO SANTURCE</t>
  </si>
  <si>
    <t>BONOS PAR A MEDIANO PLAZO EN EUROS PROV.BS.AS.  //  vto. 2020</t>
  </si>
  <si>
    <t>RIBEIRO SOCIEDAD ANÓNIMA COMERCIAL INDUSTRIAL FINANCIERA  //  CLASE M</t>
  </si>
  <si>
    <t>DELTA AHORRO CLASE A</t>
  </si>
  <si>
    <t>NUEVO BANCO SUQUIA S.A.</t>
  </si>
  <si>
    <t xml:space="preserve">BONOS PARA LA CONVERSION Y SANEAM. DE EMPRESTITOS PUB.  PROV. DE TUCUMAN  //  SERIE III - CONSADEP III </t>
  </si>
  <si>
    <t>RIBEIRO SOCIEDAD ANÓNIMA COMERCIAL INDUSTRIAL FINANCIERA  //  CLASE N</t>
  </si>
  <si>
    <t>DELTA AHORRO CLASE B</t>
  </si>
  <si>
    <t>OF CREDIT AND COMMERCE</t>
  </si>
  <si>
    <t>BONOS PARA LA CONVERSION Y SANEAM. DE EMPRESTITOS PUB.  PROV. DE TUCUMAN  //  SERIE III - CONSADEP III U$S CABLE</t>
  </si>
  <si>
    <t>RIBEIRO SOCIEDAD ANÓNIMA COMERCIAL INDUSTRIAL FINANCIERA  //  CLASE O</t>
  </si>
  <si>
    <t>DELTA AHORRO PLUS CLASE A</t>
  </si>
  <si>
    <t>OLANO Y CIA. S.A.</t>
  </si>
  <si>
    <t xml:space="preserve">BONOS PARA LA CONVERSION Y SANEAM. DE EMPRESTITOS PUB. PROV. DE TUCUMAN  //  consadep primera emision </t>
  </si>
  <si>
    <t>RIBEIRO SOCIEDAD ANÓNIMA COMERCIAL INDUSTRIAL FINANCIERA  //  CLASE P SERIE 1</t>
  </si>
  <si>
    <t>DELTA AHORRO PLUS CLASE B</t>
  </si>
  <si>
    <t>OSSOLA S.A.</t>
  </si>
  <si>
    <t xml:space="preserve">CERTIFICADO DE CREDITO FISCAL NRO.  11007  //  </t>
  </si>
  <si>
    <t>RIBEIRO SOCIEDAD ANÓNIMA COMERCIAL INDUSTRIAL FINANCIERA  //  CLASE P SERIE 2</t>
  </si>
  <si>
    <t>DELTA CRECIMIENTO INFRAESTRUCTURA CLASE B</t>
  </si>
  <si>
    <t>PARIS CAMBIO AGENCIA DE CAMBIO TURISMO S</t>
  </si>
  <si>
    <t xml:space="preserve">CERTIFICADO DE CREDITO FISCAL NRO.  11010  //  </t>
  </si>
  <si>
    <t>RIBEIRO SOCIEDAD ANÓNIMA COMERCIAL INDUSTRIAL FINANCIERA  //  CLASE P SERIE 2 DÓLAR U$S</t>
  </si>
  <si>
    <t>DELTA EMPRESAS ARGENTINAS PYMES CLASE A</t>
  </si>
  <si>
    <t>PASAMAR S.A.</t>
  </si>
  <si>
    <t xml:space="preserve">CERTIFICADO DE CREDITO FISCAL NRO. 11003  //  </t>
  </si>
  <si>
    <t>RIBEIRO SOCIEDAD ANÓNIMA COMERCIAL INDUSTRIAL FINANCIERA  //  CLASE Q SERIE 1</t>
  </si>
  <si>
    <t>DELTA EMPRESAS ARGENTINAS PYMES CLASE B</t>
  </si>
  <si>
    <t>PATAGONICO S.A.</t>
  </si>
  <si>
    <t xml:space="preserve">CERTIFICADO DE CREDITO FISCAL NRO. 11004  //  </t>
  </si>
  <si>
    <t>RIBEIRO SOCIEDAD ANÓNIMA COMERCIAL INDUSTRIAL FINANCIERA  //  CLASE Q SERIE 2</t>
  </si>
  <si>
    <t>DELTA FEDERAL I CLASE A</t>
  </si>
  <si>
    <t>PROVINCANJE SOCIEDAD ANONIMA</t>
  </si>
  <si>
    <t xml:space="preserve">CERTIFICADO DE CREDITO FISCAL NRO. 11005  //  </t>
  </si>
  <si>
    <t>RIZOBACTER ARGENTINA S.A.  //  SERIE I CLASE I</t>
  </si>
  <si>
    <t>DELTA FEDERAL I CLASE B</t>
  </si>
  <si>
    <t>PSA FINANCE ARGENTINA C.F.S.A</t>
  </si>
  <si>
    <t xml:space="preserve">CERTIFICADO DE CREDITO FISCAL NRO. 11006  //  </t>
  </si>
  <si>
    <t>ROCH S.A.  //  CLASE 2</t>
  </si>
  <si>
    <t>DELTA GESTION I CLASE B</t>
  </si>
  <si>
    <t>PSA FINANCE ARGENTINA CIA. FINAN. S.A.</t>
  </si>
  <si>
    <t xml:space="preserve">CERTIFICADO DE CREDITO FISCAL NRO. 11008  //  </t>
  </si>
  <si>
    <t>ROCH S.A.  //  CLASE 3</t>
  </si>
  <si>
    <t>DELTA GESTION II CLASE B</t>
  </si>
  <si>
    <t>PUENTE HERMANOS TURISMO, PASAJES Y CAMBI</t>
  </si>
  <si>
    <t xml:space="preserve">CERTIFICADO DE CREDITO FISCAL NRO. 11009  //  </t>
  </si>
  <si>
    <t>ROCH S.A.  //  CLASE 3 DÓLAR U$S</t>
  </si>
  <si>
    <t>DELTA GESTION III CLASE B</t>
  </si>
  <si>
    <t>RCI BANQUE S.A.</t>
  </si>
  <si>
    <t xml:space="preserve">CERTIFICADO DE CREDITO FISCAL NRO. 11011  //  </t>
  </si>
  <si>
    <t>ROMBO COMPAÑÍA FINANCIERA S.A.  //  SERIE 27</t>
  </si>
  <si>
    <t>DELTA GESTION IV CLASE A</t>
  </si>
  <si>
    <t>REG DEL NORTE ARG.SALTA</t>
  </si>
  <si>
    <t xml:space="preserve">CERTIFICADO DE CREDITO FISCAL NRO. 11012  //  </t>
  </si>
  <si>
    <t>ROMBO COMPAÑÍA FINANCIERA S.A.  //  SERIE 29</t>
  </si>
  <si>
    <t>DELTA GESTION IV CLASE B</t>
  </si>
  <si>
    <t>REG DEL SALADO S.A.</t>
  </si>
  <si>
    <t xml:space="preserve">CERTIFICADO DE CREDITO FISCAL NRO. 11013  //  </t>
  </si>
  <si>
    <t>ROMBO COMPAÑÍA FINANCIERA S.A.  //  SERIE 30</t>
  </si>
  <si>
    <t>DELTA GESTION V CLASE B</t>
  </si>
  <si>
    <t>REGIONAL SUREÑO S.A. BAHIA BLANCA</t>
  </si>
  <si>
    <t xml:space="preserve">CERTIFICADO DE CREDITO FISCAL NRO. 11014  //  </t>
  </si>
  <si>
    <t xml:space="preserve">ROMBO COMPAÑÍA FINANCIERA S.A.  //  SERIE 31 </t>
  </si>
  <si>
    <t>DELTA GESTION VI CLASE B</t>
  </si>
  <si>
    <t>REPUBLIC NATIONAL BANK OF NEW YORK</t>
  </si>
  <si>
    <t xml:space="preserve">CERTIFICADO DE CREDITO FISCAL NRO. 11015  //  </t>
  </si>
  <si>
    <t>ROMBO COMPAÑÍA FINANCIERA S.A.  //  SERIE 35</t>
  </si>
  <si>
    <t>DELTA GESTION VII CLASE B</t>
  </si>
  <si>
    <t>ROMBO CIA. FINAN. S.A.</t>
  </si>
  <si>
    <t xml:space="preserve">CERTIFICADO DE CREDITO FISCAL NRO. 11016  //  </t>
  </si>
  <si>
    <t>S.A. SAN MIGUEL   //  SERIE I</t>
  </si>
  <si>
    <t>DELTA GESTION VIII CLASE B</t>
  </si>
  <si>
    <t>ROMBO COMPAÑIA FINANCIERA S.A.</t>
  </si>
  <si>
    <t xml:space="preserve">CERTIFICADO DE CREDITO FISCAL NRO. 11017  //  </t>
  </si>
  <si>
    <t>SANTIAGO SAENZ S.A.  //  CLASE V</t>
  </si>
  <si>
    <t>DELTA INTERNACIONAL CLASE A</t>
  </si>
  <si>
    <t>SASEG S.A. CAMBIO BOLSA Y TURISMO</t>
  </si>
  <si>
    <t xml:space="preserve">CERTIFICADO DE CREDITO FISCAL NRO. 11018  //  </t>
  </si>
  <si>
    <t>SAVANT PHARM S.A.  //  SERIE II CLASE D</t>
  </si>
  <si>
    <t>DELTA INTERNACIONAL CLASE B</t>
  </si>
  <si>
    <t>SCOTIABANK QUILMES S.A.</t>
  </si>
  <si>
    <t xml:space="preserve">CERTIFICADO DE CREDITO FISCAL NRO. 11019  //  </t>
  </si>
  <si>
    <t>SAVANT PHARM S.A.  //  SERIE III</t>
  </si>
  <si>
    <t>DELTA LATINOAMERICANA CLASE A</t>
  </si>
  <si>
    <t>SIERRAS COOP.LTDO.GRAL.BELGRANO</t>
  </si>
  <si>
    <t xml:space="preserve">CERTIFICADO DE CREDITO FISCAL NRO. 11020  //  </t>
  </si>
  <si>
    <t>SAVANT PHARM S.A.  //  SERIE III CLASE G</t>
  </si>
  <si>
    <t>DELTA LATINOAMERICANA CLASE B</t>
  </si>
  <si>
    <t>SINDICAL S.A.</t>
  </si>
  <si>
    <t xml:space="preserve">CERTIFICADO DE CREDITO FISCAL NRO. 11023  //  </t>
  </si>
  <si>
    <t>SAVANT PHARM S.A.  //  SERIE IV CLASE I</t>
  </si>
  <si>
    <t>DELTA MONEDA CLASE A</t>
  </si>
  <si>
    <t>STANDARD BANK ARGENTINA S.A.</t>
  </si>
  <si>
    <t xml:space="preserve">CERTIFICADO DE CREDITO FISCAL NRO. 11024  //  </t>
  </si>
  <si>
    <t>SERVIAUT S.A.  //  CLASE 1</t>
  </si>
  <si>
    <t>DELTA MONEDA CLASE B</t>
  </si>
  <si>
    <t xml:space="preserve">CERTIFICADO DE CREDITO FISCAL NRO. 11025  //  </t>
  </si>
  <si>
    <t>SICOM SOCIEDAD ANONIMA  //  CLASE III</t>
  </si>
  <si>
    <t>DELTA MULTIMERCADO I CLASE A</t>
  </si>
  <si>
    <t>SUDAMERICA S.R.L.</t>
  </si>
  <si>
    <t xml:space="preserve">CERTIFICADO DE CREDITO FISCAL NRO. 11026  //  </t>
  </si>
  <si>
    <t>SION S.A.  //  SIMPLES</t>
  </si>
  <si>
    <t>DELTA MULTIMERCADO I CLASE B</t>
  </si>
  <si>
    <t>SYRCOR COOP.LTDO.</t>
  </si>
  <si>
    <t xml:space="preserve">CERTIFICADO DE CREDITO FISCAL NRO. 11027  //  </t>
  </si>
  <si>
    <t>TARJETA NARANJA S.A.  //  CLASE XIII</t>
  </si>
  <si>
    <t>DELTA PERFORMANCE CLASE A</t>
  </si>
  <si>
    <t>THALER AGENCIA DE CAMBIO S.A.</t>
  </si>
  <si>
    <t xml:space="preserve">CERTIFICADO DE CREDITO FISCAL NRO. 11028  //  </t>
  </si>
  <si>
    <t>TARJETA NARANJA S.A.  //  CLASE XIII DÓLAR U$S</t>
  </si>
  <si>
    <t>DELTA PERFORMANCE CLASE B</t>
  </si>
  <si>
    <t>THE BANK OF NEW YORK S.A.</t>
  </si>
  <si>
    <t xml:space="preserve">CERTIFICADO DE CREDITO FISCAL NRO. 11029  //  </t>
  </si>
  <si>
    <t>TARJETA NARANJA S.A.  //  CLASE XXIX</t>
  </si>
  <si>
    <t>DELTA PESOS CLASE A</t>
  </si>
  <si>
    <t>THE BANK OF TOKYO-MITSUBISHI UFJ, LTD.</t>
  </si>
  <si>
    <t xml:space="preserve">CERTIFICADO DE CREDITO FISCAL NRO. 11030  //  </t>
  </si>
  <si>
    <t>TARJETA NARANJA S.A.  //  CLASE XXX</t>
  </si>
  <si>
    <t>DELTA PESOS CLASE B</t>
  </si>
  <si>
    <t>THE CHASE MANHATTAN BANK, SUCURSAL BUENOS AIRES</t>
  </si>
  <si>
    <t xml:space="preserve">CERTIFICADO DE CREDITO FISCAL NRO. 11031  //  </t>
  </si>
  <si>
    <t>TARJETA NARANJA S.A.  //  CLASE XXXI</t>
  </si>
  <si>
    <t>DELTA RECURSOS NATURALES CLASE A</t>
  </si>
  <si>
    <t>THE FIRST NAT.BANK OF CHICAGO</t>
  </si>
  <si>
    <t xml:space="preserve">CERTIFICADO DE CREDITO FISCAL NRO. 11032  //  </t>
  </si>
  <si>
    <t>TARJETA NARANJA S.A.  //  CLASE XXXII</t>
  </si>
  <si>
    <t>DELTA RECURSOS NATURALES CLASE B</t>
  </si>
  <si>
    <t>THE ROYAL BANK OF CANADA</t>
  </si>
  <si>
    <t xml:space="preserve">CERTIFICADO DE CREDITO FISCAL NRO. 11033  //  </t>
  </si>
  <si>
    <t>TARJETA NARANJA S.A.  //  CLASE XXXIII SERIE II</t>
  </si>
  <si>
    <t>DELTA RENTA CLASE A</t>
  </si>
  <si>
    <t>THE ROYAL BANK OF SCOTLAND N.V.</t>
  </si>
  <si>
    <t xml:space="preserve">CERTIFICADO DE CREDITO FISCAL NRO. 11034  //  </t>
  </si>
  <si>
    <t>TARJETA NARANJA S.A.  //  CLASE XXXIV SERIE II</t>
  </si>
  <si>
    <t>DELTA RENTA CLASE B</t>
  </si>
  <si>
    <t>TOURFE S.A.</t>
  </si>
  <si>
    <t xml:space="preserve">CERTIFICADO DE CREDITO FISCAL NRO. 11035  //  </t>
  </si>
  <si>
    <t>TARJETA NARANJA S.A.  //  CLASE XXXV SERIE II</t>
  </si>
  <si>
    <t>DELTA RENTA CLASE E</t>
  </si>
  <si>
    <t>TOYOTA COMPAÑÍA FINANCIERA DE ARGENTINA</t>
  </si>
  <si>
    <t xml:space="preserve">CERTIFICADO DE CREDITO FISCAL NRO. 11036  //  </t>
  </si>
  <si>
    <t>TARJETA NARANJA S.A.  //  CLASE XXXVI SERIE I</t>
  </si>
  <si>
    <t>DELTA RENTA DOLARES CLASE A</t>
  </si>
  <si>
    <t>TOYOTA COMPAÑIA FINANCIERA DE ARGENTINA S.A.</t>
  </si>
  <si>
    <t xml:space="preserve">CERTIFICADO DE CREDITO FISCAL NRO. 11037  //  </t>
  </si>
  <si>
    <t>TARJETA NARANJA S.A.  //  CLASE XXXVI SERIE II</t>
  </si>
  <si>
    <t>DELTA RENTA DOLARES CLASE B</t>
  </si>
  <si>
    <t>TRANSATLANTICA S.A.</t>
  </si>
  <si>
    <t xml:space="preserve">CERTIFICADO DE CREDITO FISCAL NRO. 11038  //  </t>
  </si>
  <si>
    <t>TARJETA NARANJA S.A.  //  CLASE XXXVII</t>
  </si>
  <si>
    <t>DELTA SELECT CLASE A</t>
  </si>
  <si>
    <t>TRANSCAMBIO S.A.</t>
  </si>
  <si>
    <t xml:space="preserve">CERTIFICADO DE CREDITO FISCAL NRO. 11039  //  </t>
  </si>
  <si>
    <t xml:space="preserve">TARJETAS CUYANAS S.A.  //  CLASE XXI </t>
  </si>
  <si>
    <t>DELTA SELECT CLASE B</t>
  </si>
  <si>
    <t>TUTELAR COMPAÑIA FINANCIERA S.A.</t>
  </si>
  <si>
    <t xml:space="preserve">CERTIFICADO DE CREDITO FISCAL NRO. 11040  //  </t>
  </si>
  <si>
    <t xml:space="preserve">TARJETAS CUYANAS S.A.  //  CLASE XXII </t>
  </si>
  <si>
    <t>DELVAL</t>
  </si>
  <si>
    <t>UNICAM S.A.</t>
  </si>
  <si>
    <t xml:space="preserve">CERTIFICADO DE CREDITO FISCAL NRO. 11043  //  </t>
  </si>
  <si>
    <t>TARJETAS CUYANAS S.A.  //  CLASE XXIV SERIE I</t>
  </si>
  <si>
    <t>DESARROLLO ARGENTINO I INFRAESTRUCTURA CLASE A</t>
  </si>
  <si>
    <t>UNIDO DEL LITORAL</t>
  </si>
  <si>
    <t xml:space="preserve">CERTIFICADO DE CREDITO FISCAL NRO. 11044  //  </t>
  </si>
  <si>
    <t>TARJETAS CUYANAS S.A.  //  CLASE XXV SERIE II</t>
  </si>
  <si>
    <t>DESARROLLO ARGENTINO I INFRAESTRUCTURA CLASE B</t>
  </si>
  <si>
    <t>VALUAR S.A. AGENCIA DE CAMBIO</t>
  </si>
  <si>
    <t xml:space="preserve">CERTIFICADO DE CREDITO FISCAL NRO. 11045  //  </t>
  </si>
  <si>
    <t>TARJETAS DEL MAR S.A.  //  CLASE II SERIE I</t>
  </si>
  <si>
    <t>DESARROLLO ARGENTINO II INFRAESTRUCTURA CLASE A</t>
  </si>
  <si>
    <t>VOLKSWAGEN COMPAÑIA FINANCIERA S.A.</t>
  </si>
  <si>
    <t xml:space="preserve">CERTIFICADO DE CREDITO FISCAL NRO. 11046  //  </t>
  </si>
  <si>
    <t>TARSHOP S.A.  //  CLASE I</t>
  </si>
  <si>
    <t>DESARROLLO ARGENTINO II INFRAESTRUCTURA CLASE B</t>
  </si>
  <si>
    <t>VOLKSWAGEN CREDIT COMPAÑIA FINANCIERA S.A.</t>
  </si>
  <si>
    <t xml:space="preserve">CERTIFICADO DE CREDITO FISCAL NRO. 11047  //  </t>
  </si>
  <si>
    <t>TARSHOP S.A.  //  CLASE II</t>
  </si>
  <si>
    <t>DFS RENTA DÓLAR CLASE A</t>
  </si>
  <si>
    <t xml:space="preserve">CERTIFICADO DE CREDITO FISCAL NRO. 11048  //  </t>
  </si>
  <si>
    <t>TARSHOP S.A.  //  CLASE IV</t>
  </si>
  <si>
    <t>DFS RENTA DÓLAR CLASE B</t>
  </si>
  <si>
    <t xml:space="preserve">CERTIFICADO DE CREDITO FISCAL NRO. 11055  //  </t>
  </si>
  <si>
    <t>TARSHOP S.A.  //  CLASE IX</t>
  </si>
  <si>
    <t>DFS RENTA FIJA PESOS CLASE A</t>
  </si>
  <si>
    <t xml:space="preserve">CERTIFICADO DE CREDITO FISCAL NRO. 11056  //  </t>
  </si>
  <si>
    <t>TARSHOP S.A.  //  CLASE VII</t>
  </si>
  <si>
    <t>DFS RENTA FIJA PESOS CLASE B</t>
  </si>
  <si>
    <t xml:space="preserve">CERTIFICADO DE CREDITO FISCAL NRO. 11093  //  </t>
  </si>
  <si>
    <t>TARSHOP S.A.  //  CLASE X</t>
  </si>
  <si>
    <t>DFS RENTA FIJA PESOS CLASE E</t>
  </si>
  <si>
    <t xml:space="preserve">CERTIFICADO DE CREDITO FISCAL NRO. 11094  //  </t>
  </si>
  <si>
    <t xml:space="preserve">TARSHOP S.A.  //  CLASE XIX </t>
  </si>
  <si>
    <t>FBA ACCIONES ARGENTINAS - CLASE A</t>
  </si>
  <si>
    <t xml:space="preserve">CERTIFICADO DE CREDITO FISCAL NRO. 11095  //  </t>
  </si>
  <si>
    <t>TARSHOP S.A.  //  CLASE XXII</t>
  </si>
  <si>
    <t>FBA ACCIONES ARGENTINAS - CLASE B</t>
  </si>
  <si>
    <t xml:space="preserve">CERTIFICADO DE CREDITO FISCAL NRO. 11096  //  </t>
  </si>
  <si>
    <t>TARSHOP S.A.  //  CLASE XXVI</t>
  </si>
  <si>
    <t>FBA ACCIONES LATINOAMERICANAS CLASE A</t>
  </si>
  <si>
    <t xml:space="preserve">CERTIFICADO DE CREDITO FISCAL NRO. 11097  //  </t>
  </si>
  <si>
    <t>TARSHOP S.A.  //  CLASE XXVII</t>
  </si>
  <si>
    <t>FBA ACCIONES LATINOAMERICANAS CLASE B</t>
  </si>
  <si>
    <t xml:space="preserve">CERTIFICADO DE CREDITO FISCAL NRO. 11098  //  </t>
  </si>
  <si>
    <t>TELECOM PERSONAL S.A.  //  SERIE I</t>
  </si>
  <si>
    <t>FBA AHORRO PESOS CLASE A</t>
  </si>
  <si>
    <t xml:space="preserve">CERTIFICADO DE CREDITO FISCAL NRO. 11099  //  </t>
  </si>
  <si>
    <t>TELECOM PERSONAL S.A.  //  SERIE III</t>
  </si>
  <si>
    <t>FBA AHORRO PESOS CLASE B</t>
  </si>
  <si>
    <t xml:space="preserve">CERTIFICADO DE CREDITO FISCAL NRO. 11100  //  </t>
  </si>
  <si>
    <t>TELECOM PERSONAL S.A.  //  SERIE IV</t>
  </si>
  <si>
    <t>FBA BONOS ARGENTINA CLASE A</t>
  </si>
  <si>
    <t xml:space="preserve">CERTIFICADO DE CREDITO FISCAL NRO. 11101  //  </t>
  </si>
  <si>
    <t>TELECOM PERSONAL S.A.  //  SERIE IV  U$S CABLE</t>
  </si>
  <si>
    <t>FBA BONOS ARGENTINA CLASE B</t>
  </si>
  <si>
    <t xml:space="preserve">CERTIFICADO DE CREDITO FISCAL NRO. 11102  //  </t>
  </si>
  <si>
    <t>TELECOM PERSONAL S.A.  //  SERIE IV DÓLAR U$S</t>
  </si>
  <si>
    <t>FBA BONOS GLOBALES - CLASE A</t>
  </si>
  <si>
    <t xml:space="preserve">CERTIFICADO DE CREDITO FISCAL NRO. 11103  //  </t>
  </si>
  <si>
    <t>TGLT S.A.  //  CLASE IX</t>
  </si>
  <si>
    <t>FBA BONOS GLOBALES - CLASE B</t>
  </si>
  <si>
    <t xml:space="preserve">CERTIFICADO DE CREDITO FISCAL NRO. 11104  //  </t>
  </si>
  <si>
    <t>TGLT S.A.  //  CLASE X</t>
  </si>
  <si>
    <t>FBA BONOS LATAM CLASE A</t>
  </si>
  <si>
    <t xml:space="preserve">CERTIFICADO DE CREDITO FISCAL NRO. 11105  //  </t>
  </si>
  <si>
    <t>TGLT S.A.  //  CLASE XII</t>
  </si>
  <si>
    <t>FBA BONOS LATAM CLASE B</t>
  </si>
  <si>
    <t xml:space="preserve">CERTIFICADO DE CREDITO FISCAL NRO. 11106  //  </t>
  </si>
  <si>
    <t>TGLT S.A.  //  SUBORDINADAS CONVERTIBLES EN ACCIONES ORDINARIAS 1 VOTO</t>
  </si>
  <si>
    <t>FBA CALIFICADO CLASE A</t>
  </si>
  <si>
    <t xml:space="preserve">CERTIFICADO DE CREDITO FISCAL NRO. 11107  //  </t>
  </si>
  <si>
    <t>TOYOTA COMPAÑÍA FINANCIERA DE ARGENTINA S.A.  //  CLASE 16</t>
  </si>
  <si>
    <t>FBA CALIFICADO CLASE B</t>
  </si>
  <si>
    <t xml:space="preserve">CERTIFICADO DE CREDITO FISCAL NRO. 11108  //  </t>
  </si>
  <si>
    <t>TOYOTA COMPAÑÍA FINANCIERA DE ARGENTINA S.A.  //  CLASE 17</t>
  </si>
  <si>
    <t>FBA HORIZONTE</t>
  </si>
  <si>
    <t xml:space="preserve">CERTIFICADO DE CREDITO FISCAL NRO. 11109  //  </t>
  </si>
  <si>
    <t>TOYOTA COMPAÑÍA FINANCIERA DE ARGENTINA S.A.  //  CLASE 18</t>
  </si>
  <si>
    <t>FBA HORIZONTE PLUS CLASE A</t>
  </si>
  <si>
    <t xml:space="preserve">CERTIFICADO DE CREDITO FISCAL NRO. 11110  //  </t>
  </si>
  <si>
    <t>TOYOTA COMPAÑÍA FINANCIERA DE ARGENTINA S.A.  //  CLASE 19</t>
  </si>
  <si>
    <t>FBA HORIZONTE PLUS CLASE B</t>
  </si>
  <si>
    <t xml:space="preserve">CERTIFICADO DE CREDITO FISCAL NRO. 11111  //  </t>
  </si>
  <si>
    <t>TOYOTA COMPAÑÍA FINANCIERA DE ARGENTINA S.A.  //  CLASE 20</t>
  </si>
  <si>
    <t>FBA RENTA  PESOS  CLASE A</t>
  </si>
  <si>
    <t xml:space="preserve">CERTIFICADO DE CREDITO FISCAL NRO. 11112  //  </t>
  </si>
  <si>
    <t>TOYOTA COMPAÑÍA FINANCIERA DE ARGENTINA S.A.  //  CLASE 21</t>
  </si>
  <si>
    <t>FBA RENTA  PESOS  CLASE B</t>
  </si>
  <si>
    <t xml:space="preserve">CERTIFICADO DE CREDITO FISCAL NRO. 11113  //  </t>
  </si>
  <si>
    <t>TOYOTA COMPAÑÍA FINANCIERA DE ARGENTINA S.A.  //  CLASE 22</t>
  </si>
  <si>
    <t>FBA RENTA  PESOS  PLUS CLASE B</t>
  </si>
  <si>
    <t xml:space="preserve">CERTIFICADO DE CREDITO FISCAL NRO. 11114  //  </t>
  </si>
  <si>
    <t>TOYOTA COMPAÑÍA FINANCIERA DE ARGENTINA S.A.  //  CLASE V</t>
  </si>
  <si>
    <t>FBA RENTA FIJA DÓLAR CLASE A</t>
  </si>
  <si>
    <t xml:space="preserve">CERTIFICADO DE CREDITO FISCAL NRO. 11115  //  </t>
  </si>
  <si>
    <t>TRANSPORTADORA DE GAS DEL NORTE S.A.  //  SERIE A U$S CABLE</t>
  </si>
  <si>
    <t>FBA RENTA FIJA DÓLAR CLASE B</t>
  </si>
  <si>
    <t xml:space="preserve">CERTIFICADO DE CREDITO FISCAL NRO. 11116  //  </t>
  </si>
  <si>
    <t>TRANSPORTADORA DE GAS DEL NORTE S.A.  //  SERIE B</t>
  </si>
  <si>
    <t>FBA RENTA FIJA DÓLAR PLUS CLASE A</t>
  </si>
  <si>
    <t xml:space="preserve">CERTIFICADO DE CREDITO FISCAL NRO. 11117  //  </t>
  </si>
  <si>
    <t>TRANSPORTADORA DE GAS DEL NORTE S.A.  //  SERIE B U$S CABLE</t>
  </si>
  <si>
    <t>FBA RENTA FIJA DÓLAR PLUS CLASE B</t>
  </si>
  <si>
    <t xml:space="preserve">CERTIFICADO DE CREDITO FISCAL NRO. 11118  //  </t>
  </si>
  <si>
    <t>TRANSPORTADORA DE GAS DEL SUR S.A.  //  CLASE 1</t>
  </si>
  <si>
    <t>FBA RENTA FIJA PLUS CLASE A</t>
  </si>
  <si>
    <t xml:space="preserve">CERTIFICADO DE CREDITO FISCAL NRO. 11119  //  </t>
  </si>
  <si>
    <t>VARCAM S.A.  //  CLASE 1</t>
  </si>
  <si>
    <t>FBA RENTA FIJA PLUS CLASE B</t>
  </si>
  <si>
    <t xml:space="preserve">CERTIFICADO DE CREDITO FISCAL NRO. 11120  //  </t>
  </si>
  <si>
    <t>YPF S.A.  //  CLASE XI</t>
  </si>
  <si>
    <t>FBA RENTA MIXTA CLASE A</t>
  </si>
  <si>
    <t xml:space="preserve">CERTIFICADO DE CREDITO FISCAL NRO. 11121  //  </t>
  </si>
  <si>
    <t>YPF S.A.  //  CLASE XIII</t>
  </si>
  <si>
    <t>FBA RENTA MIXTA CLASE B</t>
  </si>
  <si>
    <t xml:space="preserve">CERTIFICADO DE CREDITO FISCAL NRO. 11122  //  </t>
  </si>
  <si>
    <t>YPF S.A.  //  CLASE XIX</t>
  </si>
  <si>
    <t>FBA RETORNO TOTAL I CLASE A</t>
  </si>
  <si>
    <t xml:space="preserve">CERTIFICADO DE CREDITO FISCAL NRO. 11123  //  </t>
  </si>
  <si>
    <t>YPF S.A.  //  CLASE XIX DÓLAR U$S</t>
  </si>
  <si>
    <t>FBA RETORNO TOTAL I CLASE B</t>
  </si>
  <si>
    <t xml:space="preserve">CERTIFICADO DE CREDITO FISCAL NRO. 11124  //  </t>
  </si>
  <si>
    <t>YPF S.A.  //  CLASE XL</t>
  </si>
  <si>
    <t xml:space="preserve">FBA RETORNO TOTAL II CLASE A </t>
  </si>
  <si>
    <t xml:space="preserve">CERTIFICADO DE CREDITO FISCAL NRO. 11125  //  </t>
  </si>
  <si>
    <t>YPF S.A.  //  CLASE XLI           YCA8O</t>
  </si>
  <si>
    <t>FBA RETORNO TOTAL II CLASE B</t>
  </si>
  <si>
    <t xml:space="preserve">CERTIFICADO DE CREDITO FISCAL NRO. 11126  //  </t>
  </si>
  <si>
    <t>YPF S.A.  //  CLASE XLI           YCA8X</t>
  </si>
  <si>
    <t>FIMA  ACCIONES CLASE A</t>
  </si>
  <si>
    <t xml:space="preserve">CERTIFICADO DE CREDITO FISCAL NRO. 11127  //  </t>
  </si>
  <si>
    <t>YPF S.A.  //  CLASE XLI  DÓLAR U$S</t>
  </si>
  <si>
    <t>FIMA  ACCIONES CLASE B</t>
  </si>
  <si>
    <t xml:space="preserve">CERTIFICADO DE CREDITO FISCAL NRO. 11128  //  </t>
  </si>
  <si>
    <t>YPF S.A.  //  CLASE XLI U$S CABLE</t>
  </si>
  <si>
    <t>FIMA AHORRO PESOS  CLASE A</t>
  </si>
  <si>
    <t xml:space="preserve">CERTIFICADO DE CREDITO FISCAL NRO. 11129  //  </t>
  </si>
  <si>
    <t>YPF S.A.  //  CLASE XLII</t>
  </si>
  <si>
    <t>FIMA AHORRO PESOS  CLASE B</t>
  </si>
  <si>
    <t xml:space="preserve">CERTIFICADO DE CREDITO FISCAL NRO. 11130  //  </t>
  </si>
  <si>
    <t>YPF S.A.  //  CLASE XLIII</t>
  </si>
  <si>
    <t>FIMA AHORRO PESOS  CLASE C</t>
  </si>
  <si>
    <t xml:space="preserve">CERTIFICADO DE CREDITO FISCAL NRO. 11131  //  </t>
  </si>
  <si>
    <t>YPF S.A.  //  CLASE XLIV     YCABO</t>
  </si>
  <si>
    <t>FIMA AHORRO PLUS CLASE A</t>
  </si>
  <si>
    <t xml:space="preserve">CERTIFICADO DE CREDITO FISCAL NRO. 11132  //  </t>
  </si>
  <si>
    <t>YPF S.A.  //  CLASE XLIV     YCABX</t>
  </si>
  <si>
    <t>FIMA AHORRO PLUS CLASE B</t>
  </si>
  <si>
    <t xml:space="preserve">CERTIFICADO DE CREDITO FISCAL NRO. 11133  //  </t>
  </si>
  <si>
    <t>YPF S.A.  //  CLASE XLIX</t>
  </si>
  <si>
    <t>FIMA AHORRO PLUS CLASE C</t>
  </si>
  <si>
    <t xml:space="preserve">CERTIFICADO DE CREDITO FISCAL NRO. 11134  //  </t>
  </si>
  <si>
    <t>YPF S.A.  //  CLASE XLV</t>
  </si>
  <si>
    <t>FIMA CAPITAL PLUS CLASE A</t>
  </si>
  <si>
    <t xml:space="preserve">CERTIFICADO DE CREDITO FISCAL NRO. 11135  //  </t>
  </si>
  <si>
    <t>YPF S.A.  //  CLASE XLVI</t>
  </si>
  <si>
    <t>FIMA CAPITAL PLUS CLASE B</t>
  </si>
  <si>
    <t xml:space="preserve">CERTIFICADO DE CREDITO FISCAL NRO. 11136  //  </t>
  </si>
  <si>
    <t>YPF S.A.  //  CLASE XLVIII</t>
  </si>
  <si>
    <t>FIMA CAPITAL PLUS CLASE C</t>
  </si>
  <si>
    <t xml:space="preserve">CERTIFICADO DE CREDITO FISCAL NRO. 11195  //  </t>
  </si>
  <si>
    <t>YPF S.A.  //  CLASE XVII</t>
  </si>
  <si>
    <t>FIMA FCI ABIERTO Pymes CLASE A</t>
  </si>
  <si>
    <t xml:space="preserve">CERTIFICADO DE CREDITO FISCAL NRO. 11196  //  </t>
  </si>
  <si>
    <t>YPF S.A.  //  CLASE XX</t>
  </si>
  <si>
    <t>FIMA FCI ABIERTO Pymes CLASE B</t>
  </si>
  <si>
    <t xml:space="preserve">CERTIFICADO DE CREDITO FISCAL NRO. 11197  //  </t>
  </si>
  <si>
    <t>YPF S.A.  //  CLASE XXII</t>
  </si>
  <si>
    <t>FIMA FCI ABIERTO Pymes CLASE C</t>
  </si>
  <si>
    <t xml:space="preserve">CERTIFICADO DE CREDITO FISCAL NRO. 11198  //  </t>
  </si>
  <si>
    <t>YPF S.A.  //  CLASE XXIV</t>
  </si>
  <si>
    <t>FIMA MIX I CLASE A</t>
  </si>
  <si>
    <t xml:space="preserve">CERTIFICADO DE CREDITO FISCAL NRO. 11199  //  </t>
  </si>
  <si>
    <t>YPF S.A.  //  CLASE XXIX</t>
  </si>
  <si>
    <t>FIMA MIX I CLASE B</t>
  </si>
  <si>
    <t xml:space="preserve">CERTIFICADO DE CREDITO FISCAL NRO. 11200  //  </t>
  </si>
  <si>
    <t>YPF S.A.  //  CLASE XXVI</t>
  </si>
  <si>
    <t>FIMA MIX I CLASE C</t>
  </si>
  <si>
    <t xml:space="preserve">CERTIFICADO DE CREDITO FISCAL NRO. 11201  //  </t>
  </si>
  <si>
    <t xml:space="preserve">YPF S.A.  //  CLASE XXVI  DÓLAR U$S </t>
  </si>
  <si>
    <t>FIMA PB ACCIONES CLASE A</t>
  </si>
  <si>
    <t xml:space="preserve">CERTIFICADO DE CREDITO FISCAL NRO. 11202  //  </t>
  </si>
  <si>
    <t>YPF S.A.  //  CLASE XXVI  U$S CABLE</t>
  </si>
  <si>
    <t>FIMA PB ACCIONES CLASE B</t>
  </si>
  <si>
    <t xml:space="preserve">CERTIFICADO DE CREDITO FISCAL NRO. 11203  //  </t>
  </si>
  <si>
    <t>YPF S.A.  //  CLASE XXVIII</t>
  </si>
  <si>
    <t>FIMA PREMIUM CLASE A</t>
  </si>
  <si>
    <t xml:space="preserve">CERTIFICADO DE CREDITO FISCAL NRO. 11204  //  </t>
  </si>
  <si>
    <t>YPF S.A.  //  CLASE XXVIII  DÓLAR U$S</t>
  </si>
  <si>
    <t>FIMA PREMIUM CLASE B</t>
  </si>
  <si>
    <t xml:space="preserve">CERTIFICADO DE CREDITO FISCAL NRO. 11205  //  </t>
  </si>
  <si>
    <t>YPF S.A.  //  CLASE XXVIII  U$S CABLE</t>
  </si>
  <si>
    <t>FIMA RENTA DOLARES I CLASE A</t>
  </si>
  <si>
    <t xml:space="preserve">CERTIFICADO DE CREDITO FISCAL NRO. 11206  //  </t>
  </si>
  <si>
    <t>YPF S.A.  //  CLASE XXXIII</t>
  </si>
  <si>
    <t>FIMA RENTA DOLARES I CLASE B</t>
  </si>
  <si>
    <t xml:space="preserve">CERTIFICADO DE CREDITO FISCAL NRO. 11207  //  </t>
  </si>
  <si>
    <t>YPF S.A.  //  CLASE XXXIV</t>
  </si>
  <si>
    <t>FIMA RENTA DOLARES I CLASE C</t>
  </si>
  <si>
    <t xml:space="preserve">CERTIFICADO DE CREDITO FISCAL NRO. 11208  //  </t>
  </si>
  <si>
    <t>YPF S.A.  //  CLASE XXXIX</t>
  </si>
  <si>
    <t>FIMA RENTA DOLARES II CLASE A</t>
  </si>
  <si>
    <t xml:space="preserve">CERTIFICADO DE CREDITO FISCAL NRO. 11209  //  </t>
  </si>
  <si>
    <t>YPF S.A.  //  CLASE XXXIX  DÓLAR U$S</t>
  </si>
  <si>
    <t>FIMA RENTA DOLARES II CLASE B</t>
  </si>
  <si>
    <t xml:space="preserve">CERTIFICADO DE CREDITO FISCAL NRO. 11210  //  </t>
  </si>
  <si>
    <t>YPF S.A.  //  CLASE XXXIX  U$S CABLE</t>
  </si>
  <si>
    <t>FIMA RENTA DOLARES II CLASE C</t>
  </si>
  <si>
    <t xml:space="preserve">CERTIFICADO DE CREDITO FISCAL NRO. 11211  //  </t>
  </si>
  <si>
    <t>YPF S.A.  //  CLASE XXXVI</t>
  </si>
  <si>
    <t>FIMA RENTA PESOS  CLASE C</t>
  </si>
  <si>
    <t xml:space="preserve">CERTIFICADO DE CREDITO FISCAL NRO. 11212  //  </t>
  </si>
  <si>
    <t>YPF S.A.  //  CLASE XXXVII</t>
  </si>
  <si>
    <t>FIMA RENTA PESOS CLASE A</t>
  </si>
  <si>
    <t xml:space="preserve">CERTIFICADO DE CREDITO FISCAL NRO. 11213  //  </t>
  </si>
  <si>
    <t>YPF S.A.  //  CLASE XXXVIII</t>
  </si>
  <si>
    <t>FIMA RENTA PESOS CLASE B</t>
  </si>
  <si>
    <t xml:space="preserve">CERTIFICADO DE CREDITO FISCAL NRO. 11214  //  </t>
  </si>
  <si>
    <t>YPF S.A.  //  CUARTO TRAMO</t>
  </si>
  <si>
    <t>FIMA RENTA PLUS CLASE A</t>
  </si>
  <si>
    <t xml:space="preserve">CERTIFICADO DE CREDITO FISCAL NRO. 11215  //  </t>
  </si>
  <si>
    <t>YPF S.A.  //  OBLIGACIONES NEGOCIABLES CLASE XXXV</t>
  </si>
  <si>
    <t>FIMA RENTA PLUS CLASE B</t>
  </si>
  <si>
    <t xml:space="preserve">CERTIFICADO DE CREDITO FISCAL NRO. 11216  //  </t>
  </si>
  <si>
    <t>FIMA RENTA PLUS CLASE C</t>
  </si>
  <si>
    <t xml:space="preserve">CERTIFICADO DE CREDITO FISCAL NRO. 11217  //  </t>
  </si>
  <si>
    <t>FIRST AHORRO DOLARES LEY 27260 - CLASE A</t>
  </si>
  <si>
    <t xml:space="preserve">CERTIFICADO DE CREDITO FISCAL NRO. 11218  //  </t>
  </si>
  <si>
    <t>FIRST AHORRO DOLARES LEY 27260 - CLASE B</t>
  </si>
  <si>
    <t xml:space="preserve">CERTIFICADO DE CREDITO FISCAL NRO. 11219  //  </t>
  </si>
  <si>
    <t>FIRST AHORRO DOLARES LEY 27260 - CLASE C</t>
  </si>
  <si>
    <t xml:space="preserve">CERTIFICADO DE CREDITO FISCAL NRO. 11220  //  </t>
  </si>
  <si>
    <t>FIRST RENTA DOLARES CLASE A</t>
  </si>
  <si>
    <t xml:space="preserve">CERTIFICADO DE CREDITO FISCAL NRO. 11221  //  </t>
  </si>
  <si>
    <t>FIRST RENTA DOLARES CLASE B</t>
  </si>
  <si>
    <t xml:space="preserve">CERTIFICADO DE CREDITO FISCAL NRO. 11222  //  </t>
  </si>
  <si>
    <t>FIRST RENTA PESOS CLASE A</t>
  </si>
  <si>
    <t xml:space="preserve">CERTIFICADO DE CREDITO FISCAL NRO. 11223  //  </t>
  </si>
  <si>
    <t>FUNDCORP PERFORMANCE CLASE A</t>
  </si>
  <si>
    <t xml:space="preserve">CERTIFICADO DE CREDITO FISCAL NRO. 11224  //  </t>
  </si>
  <si>
    <t>FUNDCORP PERFORMANCE CLASE B</t>
  </si>
  <si>
    <t xml:space="preserve">CERTIFICADO DE CREDITO FISCAL NRO. 11225  //  </t>
  </si>
  <si>
    <t>FUNDCORP PERFORMANCE CLASE C</t>
  </si>
  <si>
    <t xml:space="preserve">CERTIFICADO DE CREDITO FISCAL NRO. 11226  //  </t>
  </si>
  <si>
    <t>FUNDCORP PERFORMANCE PLUS CLASE A</t>
  </si>
  <si>
    <t xml:space="preserve">CERTIFICADO DE CREDITO FISCAL NRO. 11227  //  </t>
  </si>
  <si>
    <t>FUNDCORP PERFORMANCE PLUS CLASE B</t>
  </si>
  <si>
    <t xml:space="preserve">CERTIFICADO DE CREDITO FISCAL NRO. 11228  //  </t>
  </si>
  <si>
    <t>FUNDCORP PERFORMANCE PLUS CLASE C</t>
  </si>
  <si>
    <t xml:space="preserve">CERTIFICADO DE CREDITO FISCAL NRO. 11229  //  </t>
  </si>
  <si>
    <t>GAINVEST BALANCEADO</t>
  </si>
  <si>
    <t xml:space="preserve">CERTIFICADO DE CREDITO FISCAL NRO. 11230  //  </t>
  </si>
  <si>
    <t>GAINVEST CAPITAL CLASE A</t>
  </si>
  <si>
    <t xml:space="preserve">CERTIFICADO DE CREDITO FISCAL NRO. 11231  //  </t>
  </si>
  <si>
    <t>GAINVEST CAPITAL CLASE B</t>
  </si>
  <si>
    <t xml:space="preserve">CERTIFICADO DE CREDITO FISCAL NRO. 11232  //  </t>
  </si>
  <si>
    <t>GAINVEST CAPITAL II CLASE B</t>
  </si>
  <si>
    <t xml:space="preserve">CERTIFICADO DE CREDITO FISCAL NRO. 11233  //  </t>
  </si>
  <si>
    <t>GAINVEST CAPITAL III CLASE B</t>
  </si>
  <si>
    <t xml:space="preserve">CERTIFICADO DE CREDITO FISCAL NRO. 11234  //  </t>
  </si>
  <si>
    <t>GAINVEST CRECIMIENTO CLASE A</t>
  </si>
  <si>
    <t xml:space="preserve">CERTIFICADO DE CREDITO FISCAL NRO. 11235  //  </t>
  </si>
  <si>
    <t>GAINVEST CRECIMIENTO CLASE B</t>
  </si>
  <si>
    <t xml:space="preserve">CERTIFICADO DE CREDITO FISCAL NRO. 11236  //  </t>
  </si>
  <si>
    <t>GAINVEST CRECIMIENTO II CLASE A</t>
  </si>
  <si>
    <t xml:space="preserve">CERTIFICADO DE CREDITO FISCAL NRO. 11237  //  </t>
  </si>
  <si>
    <t>GAINVEST CRECIMIENTO II CLASE B</t>
  </si>
  <si>
    <t xml:space="preserve">CERTIFICADO DE CREDITO FISCAL NRO. 11238  //  </t>
  </si>
  <si>
    <t>GAINVEST CRECIMIENTO III CLASE A</t>
  </si>
  <si>
    <t xml:space="preserve">CERTIFICADO DE CREDITO FISCAL NRO. 11239  //  </t>
  </si>
  <si>
    <t>GAINVEST CRECIMIENTO III CLASE B</t>
  </si>
  <si>
    <t xml:space="preserve">CERTIFICADO DE CREDITO FISCAL NRO. 11240  //  </t>
  </si>
  <si>
    <t>GAINVEST FF CLASE A</t>
  </si>
  <si>
    <t xml:space="preserve">CERTIFICADO DE CREDITO FISCAL NRO. 11241  //  </t>
  </si>
  <si>
    <t>GAINVEST FF CLASE B</t>
  </si>
  <si>
    <t xml:space="preserve">CERTIFICADO DE CREDITO FISCAL NRO. 11242  //  </t>
  </si>
  <si>
    <t>GAINVEST INFRAESTRUCTURA - CLASE A</t>
  </si>
  <si>
    <t xml:space="preserve">CERTIFICADO DE CREDITO FISCAL NRO. 11243  //  </t>
  </si>
  <si>
    <t>GAINVEST PESOS</t>
  </si>
  <si>
    <t xml:space="preserve">CERTIFICADO DE CREDITO FISCAL NRO. 11244  //  </t>
  </si>
  <si>
    <t>GAINVEST PYMEs - CLASE A</t>
  </si>
  <si>
    <t xml:space="preserve">CERTIFICADO DE CREDITO FISCAL NRO. 11245  //  </t>
  </si>
  <si>
    <t>GAINVEST PYMEs - CLASE B</t>
  </si>
  <si>
    <t xml:space="preserve">CERTIFICADO DE CREDITO FISCAL NRO. 11246  //  </t>
  </si>
  <si>
    <t>GAINVEST REGIONAL</t>
  </si>
  <si>
    <t xml:space="preserve">CERTIFICADO DE CREDITO FISCAL NRO. 11247  //  </t>
  </si>
  <si>
    <t>GAINVEST RENTA FIJA</t>
  </si>
  <si>
    <t xml:space="preserve">CERTIFICADO DE CREDITO FISCAL NRO. 11249  //  </t>
  </si>
  <si>
    <t>GAINVEST RENTA FIJA DOLARES CLASE A</t>
  </si>
  <si>
    <t xml:space="preserve">CERTIFICADO DE CREDITO FISCAL NRO. 11250  //  </t>
  </si>
  <si>
    <t>GAINVEST RENTA FIJA DOLARES CLASE B</t>
  </si>
  <si>
    <t xml:space="preserve">CERTIFICADO DE CREDITO FISCAL NRO. 11251  //  </t>
  </si>
  <si>
    <t>GAINVEST RENTA FIJA PLUS</t>
  </si>
  <si>
    <t xml:space="preserve">CERTIFICADO DE CREDITO FISCAL NRO. 11252  //  </t>
  </si>
  <si>
    <t>GAINVEST RENTA FIJA PROTECCION PLUS</t>
  </si>
  <si>
    <t xml:space="preserve">CERTIFICADO DE CREDITO FISCAL NRO. 11253  //  </t>
  </si>
  <si>
    <t>GAINVEST RENTA MIXTA</t>
  </si>
  <si>
    <t xml:space="preserve">CERTIFICADO DE CREDITO FISCAL NRO. 11254  //  </t>
  </si>
  <si>
    <t>GAINVEST RENTA VARIABLE</t>
  </si>
  <si>
    <t xml:space="preserve">CERTIFICADO DE CREDITO FISCAL NRO. 11255  //  </t>
  </si>
  <si>
    <t>GAINVEST RSF LEY 27260 - CLASE A</t>
  </si>
  <si>
    <t xml:space="preserve">CERTIFICADO DE CREDITO FISCAL NRO. 11256  //  </t>
  </si>
  <si>
    <t>GALILEO ACCIONES</t>
  </si>
  <si>
    <t xml:space="preserve">CERTIFICADO DE CREDITO FISCAL NRO. 11257  //  </t>
  </si>
  <si>
    <t>GALILEO AHORRO</t>
  </si>
  <si>
    <t xml:space="preserve">CERTIFICADO DE CREDITO FISCAL NRO. 11258  //  </t>
  </si>
  <si>
    <t>GALILEO ARGENTINA</t>
  </si>
  <si>
    <t xml:space="preserve">CERTIFICADO DE CREDITO FISCAL NRO. 11261  //  </t>
  </si>
  <si>
    <t>GALILEO ESTRATEGIA CLASE A</t>
  </si>
  <si>
    <t xml:space="preserve">CERTIFICADO DE CREDITO FISCAL NRO. 11262  //  </t>
  </si>
  <si>
    <t>GALILEO ESTRATEGIA CLASE B</t>
  </si>
  <si>
    <t xml:space="preserve">CERTIFICADO DE CREDITO FISCAL NRO. 11263  //  </t>
  </si>
  <si>
    <t>GALILEO EVENT DRIVEN CLASE A</t>
  </si>
  <si>
    <t xml:space="preserve">CERTIFICADO DE CREDITO FISCAL NRO. 11264  //  </t>
  </si>
  <si>
    <t>GALILEO EVENT DRIVEN CLASE B</t>
  </si>
  <si>
    <t xml:space="preserve">CERTIFICADO DE CREDITO FISCAL NRO. 11265  //  </t>
  </si>
  <si>
    <t>GALILEO EVENT DRIVEN CLASE C</t>
  </si>
  <si>
    <t xml:space="preserve">CERTIFICADO DE CREDITO FISCAL NRO. 11266  //  </t>
  </si>
  <si>
    <t>GALILEO EVENT DRIVEN CLASE D</t>
  </si>
  <si>
    <t xml:space="preserve">CERTIFICADO DE CREDITO FISCAL NRO. 11267  //  </t>
  </si>
  <si>
    <t>GALILEO FCI ABIERTO PYMEs - CLASE B</t>
  </si>
  <si>
    <t xml:space="preserve">CERTIFICADO DE CREDITO FISCAL NRO. 11268  //  </t>
  </si>
  <si>
    <t>GALILEO GLOBAL</t>
  </si>
  <si>
    <t xml:space="preserve">CERTIFICADO DE CREDITO FISCAL NRO. 11269  //  </t>
  </si>
  <si>
    <t>GALILEO INCOME CLASE A</t>
  </si>
  <si>
    <t xml:space="preserve">CERTIFICADO DE CREDITO FISCAL NRO. 11270  //  </t>
  </si>
  <si>
    <t>GALILEO INCOME CLASE B</t>
  </si>
  <si>
    <t xml:space="preserve">CERTIFICADO DE CREDITO FISCAL NRO. 11271  //  </t>
  </si>
  <si>
    <t>GALILEO PREMIUM CLASE A</t>
  </si>
  <si>
    <t xml:space="preserve">CERTIFICADO DE CREDITO FISCAL NRO. 11272  //  </t>
  </si>
  <si>
    <t>GALILEO PREMIUM CLASE B</t>
  </si>
  <si>
    <t xml:space="preserve">CERTIFICADO DE CREDITO FISCAL NRO. 11273  //  </t>
  </si>
  <si>
    <t>GALILEO RENTA FIJA</t>
  </si>
  <si>
    <t xml:space="preserve">CERTIFICADO DE CREDITO FISCAL NRO. 11274  //  </t>
  </si>
  <si>
    <t>GESTIONAR ABIERTO Pymes CLASE A</t>
  </si>
  <si>
    <t xml:space="preserve">CERTIFICADO DE CREDITO FISCAL NRO. 11403  //  </t>
  </si>
  <si>
    <t>GESTIONAR ABIERTO Pymes CLASE B</t>
  </si>
  <si>
    <t xml:space="preserve">CERTIFICADO DE CREDITO FISCAL NRO. 11404  //  </t>
  </si>
  <si>
    <t>GESTIONAR RENTA FIJA CLASE A</t>
  </si>
  <si>
    <t xml:space="preserve">CERTIFICADO DE CREDITO FISCAL NRO. 11405  //  </t>
  </si>
  <si>
    <t>GESTIONAR RENTA FIJA CLASE B</t>
  </si>
  <si>
    <t xml:space="preserve">CERTIFICADO DE CREDITO FISCAL NRO. 11421  //  </t>
  </si>
  <si>
    <t>GOAL ACCIONES ARGENTINAS CLASE A</t>
  </si>
  <si>
    <t xml:space="preserve">CERTIFICADO DE CREDITO FISCAL NRO. 11422  //  </t>
  </si>
  <si>
    <t>GOAL ACCIONES ARGENTINAS CLASE B</t>
  </si>
  <si>
    <t xml:space="preserve">CERTIFICADO DE CREDITO FISCAL NRO. 11423  //  </t>
  </si>
  <si>
    <t xml:space="preserve">GOAL ACCIONES PLUS CLASE A </t>
  </si>
  <si>
    <t xml:space="preserve">CERTIFICADO DE CREDITO FISCAL NRO. 11424  //  </t>
  </si>
  <si>
    <t>GOAL ACCIONES PLUS CLASE B</t>
  </si>
  <si>
    <t xml:space="preserve">CERTIFICADO DE CREDITO FISCAL NRO. 11425  //  </t>
  </si>
  <si>
    <t>GOAL AHORRO MAX FCI CLASE A</t>
  </si>
  <si>
    <t xml:space="preserve">CERTIFICADO DE CREDITO FISCAL NRO. 11426  //  </t>
  </si>
  <si>
    <t>GOAL AHORRO MAX FCI CLASE B</t>
  </si>
  <si>
    <t xml:space="preserve">CERTIFICADO DE CREDITO FISCAL NRO. 11427  //  </t>
  </si>
  <si>
    <t>GOAL CAPITAL PLUS CLASE A</t>
  </si>
  <si>
    <t xml:space="preserve">CERTIFICADO DE CREDITO FISCAL NRO. 11428  //  </t>
  </si>
  <si>
    <t>GOAL CAPITAL PLUS CLASE B</t>
  </si>
  <si>
    <t xml:space="preserve">CERTIFICADO DE CREDITO FISCAL NRO. 11429  //  </t>
  </si>
  <si>
    <t>GOAL CORP - CLASE B</t>
  </si>
  <si>
    <t xml:space="preserve">CERTIFICADO DE CREDITO FISCAL NRO. 11430  //  </t>
  </si>
  <si>
    <t>GOAL PERFORMANCE - CLASE B</t>
  </si>
  <si>
    <t xml:space="preserve">CERTIFICADO DE CREDITO FISCAL NRO. 11431  //  </t>
  </si>
  <si>
    <t>GOAL PERFORMANCE II - CLASE B</t>
  </si>
  <si>
    <t xml:space="preserve">CERTIFICADO DE CREDITO FISCAL NRO. 11432  //  </t>
  </si>
  <si>
    <t>GOAL PESOS CLASE A</t>
  </si>
  <si>
    <t xml:space="preserve">CERTIFICADO DE CREDITO FISCAL NRO. 11433  //  </t>
  </si>
  <si>
    <t>GOAL PESOS CLASE B</t>
  </si>
  <si>
    <t xml:space="preserve">CERTIFICADO DE CREDITO FISCAL NRO. 11434  //  </t>
  </si>
  <si>
    <t>GOAL RENTA CRECIMIENTO CLASE A</t>
  </si>
  <si>
    <t xml:space="preserve">CERTIFICADO DE CREDITO FISCAL NRO. 11500  //  </t>
  </si>
  <si>
    <t>GOAL RENTA CRECIMIENTO CLASE B</t>
  </si>
  <si>
    <t xml:space="preserve">CERTIFICADO DE CREDITO FISCAL NRO. 11501  //  </t>
  </si>
  <si>
    <t>GOAL RENTA DOLARES CLASE A</t>
  </si>
  <si>
    <t xml:space="preserve">CERTIFICADO DE CREDITO FISCAL NRO. 11564  //  </t>
  </si>
  <si>
    <t>GOAL RENTA DOLARES CLASE B</t>
  </si>
  <si>
    <t xml:space="preserve">CERTIFICADO DE CREDITO FISCAL NRO. 11565  //  </t>
  </si>
  <si>
    <t>GOAL RENTA GLOBAL CLASE A</t>
  </si>
  <si>
    <t xml:space="preserve">CERTIFICADO DE CREDITO FISCAL NRO. 13967  //  </t>
  </si>
  <si>
    <t>GOAL RENTA GLOBAL CLASE B</t>
  </si>
  <si>
    <t xml:space="preserve">CERTIFICADO DE CREDITO FISCAL NRO. 15342  //  </t>
  </si>
  <si>
    <t>GOAL RENTA PESOS CLASE A</t>
  </si>
  <si>
    <t xml:space="preserve">CERTIFICADO DE CREDITO FISCAL NRO. 15345  //  </t>
  </si>
  <si>
    <t>GOAL RENTA PESOS CLASE B</t>
  </si>
  <si>
    <t xml:space="preserve">CERTIFICADO DE CUSTODIA NRO. 22129  //  </t>
  </si>
  <si>
    <t>GOAL RETORNO TOTAL CLASE A</t>
  </si>
  <si>
    <t xml:space="preserve">CERTIFICADO DE CUSTODIA NRO. 22208  //  </t>
  </si>
  <si>
    <t>GOAL RETORNO TOTAL CLASE B</t>
  </si>
  <si>
    <t>CERTIFICADOS DE DEPOSITO PARA INVERSION -B.C.R.A.-  //  NO APLICADOS</t>
  </si>
  <si>
    <t>GPS CLASSIC CLASE A</t>
  </si>
  <si>
    <t xml:space="preserve">CERTIFICADOS DE DEUDA PUB. INTERNA RIONEGRINA  //  clase ii- serie 1- cedepir ii-1 </t>
  </si>
  <si>
    <t>GPS CLASSIC CLASE B</t>
  </si>
  <si>
    <t>LETRAS DE TESORERIA DE LA PROV.DE BS.AS.  //  SERIE 21</t>
  </si>
  <si>
    <t>GPS FIXED INCOME CLASE A</t>
  </si>
  <si>
    <t>LETRAS DE TESORERIA DE LA PROV.DEL CHACO EN PESOS   //  CLASE 1 A 70 DIAS VTO. 24/02/17</t>
  </si>
  <si>
    <t>GPS FIXED INCOME CLASE B</t>
  </si>
  <si>
    <t>LETRAS DE TESORERIA DE LA PROV.DEL CHACO EN PESOS -DTO.98/17  //  CLASE 16 A 98 DIAS VTO. 27/10/17</t>
  </si>
  <si>
    <t>GPS INFRAESTRUCTURA CLASE A</t>
  </si>
  <si>
    <t>LETRAS DEL B.C.R.A.  EN PESOS   //  VTO. 11-01-17        H11E7</t>
  </si>
  <si>
    <t>GPS INFRAESTRUCTURA CLASE B</t>
  </si>
  <si>
    <t>LETRAS DEL B.C.R.A.  EN PESOS   //  VTO. 11-01-17        H11EX</t>
  </si>
  <si>
    <t>GPS LATAM EN U$S CLASE A</t>
  </si>
  <si>
    <t>LETRAS DEL B.C.R.A.  EN PESOS   //  VTO. 12-04-17</t>
  </si>
  <si>
    <t>GPS LATAM EN U$S CLASE B</t>
  </si>
  <si>
    <t>LETRAS DEL B.C.R.A.  EN PESOS   //  VTO. 18-01-17         H18E7</t>
  </si>
  <si>
    <t>GPS PYMES CLASE A</t>
  </si>
  <si>
    <t>LETRAS DEL B.C.R.A.  EN PESOS   //  VTO. 18-01-17         H18EX</t>
  </si>
  <si>
    <t>GPS PYMES CLASE B</t>
  </si>
  <si>
    <t>LETRAS DEL B.C.R.A.  SEGMENTO EXTERNO EN PESOS  //  VTO. 25/01/17  H25EX</t>
  </si>
  <si>
    <t>GPS SAVINGS  CLASE A</t>
  </si>
  <si>
    <t>LETRAS DEL B.C.R.A.  SEGMENTO EXTERNO EN PESOS  //  VTO. 25/01/17 H25E7</t>
  </si>
  <si>
    <t>GPS SAVINGS  CLASE B</t>
  </si>
  <si>
    <t>LETRAS DEL B.C.R.A.  SEGMENTO INTERNO EN PESOS  //  VTO. 01-02-17</t>
  </si>
  <si>
    <t>GSS COBERTURA CLASE A</t>
  </si>
  <si>
    <t>LETRAS DEL B.C.R.A.  SEGMENTO INTERNO EN PESOS  //  VTO. 01-03-17</t>
  </si>
  <si>
    <t xml:space="preserve">GSS COBERTURA CLASE B </t>
  </si>
  <si>
    <t>LETRAS DEL B.C.R.A.  SEGMENTO INTERNO EN PESOS  //  VTO. 03-05-17</t>
  </si>
  <si>
    <t>GSS ENERGIA CLASE A</t>
  </si>
  <si>
    <t>LETRAS DEL B.C.R.A.  SEGMENTO INTERNO EN PESOS  //  VTO. 05-04-17</t>
  </si>
  <si>
    <t>GSS ENERGIA CLASE B</t>
  </si>
  <si>
    <t>LETRAS DEL B.C.R.A.  SEGMENTO INTERNO EN PESOS  //  VTO. 07/06/17</t>
  </si>
  <si>
    <t>GSS I CLASE A</t>
  </si>
  <si>
    <t>LETRAS DEL B.C.R.A.  SEGMENTO INTERNO EN PESOS  //  VTO. 08-02-17</t>
  </si>
  <si>
    <t>GSS I CLASE B</t>
  </si>
  <si>
    <t>LETRAS DEL B.C.R.A.  SEGMENTO INTERNO EN PESOS  //  VTO. 08-03-17</t>
  </si>
  <si>
    <t>GSS II CLASE A</t>
  </si>
  <si>
    <t>LETRAS DEL B.C.R.A.  SEGMENTO INTERNO EN PESOS  //  VTO. 10-05-17</t>
  </si>
  <si>
    <t>GSS II CLASE B</t>
  </si>
  <si>
    <t xml:space="preserve">LETRAS DEL B.C.R.A.  SEGMENTO INTERNO EN PESOS  //  VTO. 11-01-17      </t>
  </si>
  <si>
    <t>GSS III CLASE A</t>
  </si>
  <si>
    <t>LETRAS DEL B.C.R.A.  SEGMENTO INTERNO EN PESOS  //  VTO. 11-01-17   U$S CABLE</t>
  </si>
  <si>
    <t>GSS III CLASE B</t>
  </si>
  <si>
    <t>LETRAS DEL B.C.R.A.  SEGMENTO INTERNO EN PESOS  //  VTO. 15-02-17</t>
  </si>
  <si>
    <t>GSS RENTA FIJA ARGENTINA CLASE A</t>
  </si>
  <si>
    <t>LETRAS DEL B.C.R.A.  SEGMENTO INTERNO EN PESOS  //  VTO. 15-03-17</t>
  </si>
  <si>
    <t>GSS RENTA FIJA ARGENTINA CLASE B</t>
  </si>
  <si>
    <t>LETRAS DEL B.C.R.A.  SEGMENTO INTERNO EN PESOS  //  VTO. 15-03-17  U$S CABLE</t>
  </si>
  <si>
    <t>GSS RETORNO TOTAL CLASE A</t>
  </si>
  <si>
    <t>LETRAS DEL B.C.R.A.  SEGMENTO INTERNO EN PESOS  //  VTO. 15/11/2017  I15N7</t>
  </si>
  <si>
    <t>GSS RETORNO TOTAL CLASE B</t>
  </si>
  <si>
    <t>LETRAS DEL B.C.R.A.  SEGMENTO INTERNO EN PESOS  //  VTO. 15/11/2017  I15NX</t>
  </si>
  <si>
    <t>HF ACCIONES ARGENTINAS CLASE G</t>
  </si>
  <si>
    <t>LETRAS DEL B.C.R.A.  SEGMENTO INTERNO EN PESOS  //  VTO. 15/11/2017 DÓLAR U$S</t>
  </si>
  <si>
    <t>HF ACCIONES ARGENTINAS CLASE I</t>
  </si>
  <si>
    <t>LETRAS DEL B.C.R.A.  SEGMENTO INTERNO EN PESOS  //  VTO. 15/11/2017 U$S CABLE</t>
  </si>
  <si>
    <t>HF ACCIONES LIDERES CLASE G</t>
  </si>
  <si>
    <t>LETRAS DEL B.C.R.A.  SEGMENTO INTERNO EN PESOS  //  VTO. 16/05/18  I16Y8</t>
  </si>
  <si>
    <t>HF ACCIONES LIDERES CLASE I</t>
  </si>
  <si>
    <t>LETRAS DEL B.C.R.A.  SEGMENTO INTERNO EN PESOS  //  VTO. 16/05/18  I16YX</t>
  </si>
  <si>
    <t>HF BALANCEADO CLASE G</t>
  </si>
  <si>
    <t>LETRAS DEL B.C.R.A.  SEGMENTO INTERNO EN PESOS  //  VTO. 16/05/18 DÓLAR U$S</t>
  </si>
  <si>
    <t>HF PESOS CLASE G</t>
  </si>
  <si>
    <t>LETRAS DEL B.C.R.A.  SEGMENTO INTERNO EN PESOS  //  VTO. 16/05/18 U$S CABLE</t>
  </si>
  <si>
    <t>HF PESOS CLASE I</t>
  </si>
  <si>
    <t>LETRAS DEL B.C.R.A.  SEGMENTO INTERNO EN PESOS  //  VTO. 16/08/2017</t>
  </si>
  <si>
    <t>HF PESOS PLUS CLASE G</t>
  </si>
  <si>
    <t>LETRAS DEL B.C.R.A.  SEGMENTO INTERNO EN PESOS  //  VTO. 16/08/2017  DÓLAR U$S</t>
  </si>
  <si>
    <t>HF PESOS PLUS CLASE I</t>
  </si>
  <si>
    <t>LETRAS DEL B.C.R.A.  SEGMENTO INTERNO EN PESOS  //  VTO. 16/08/2017 U$S CABLE</t>
  </si>
  <si>
    <t>HF PESOS RENTA FIJA  CLASE G</t>
  </si>
  <si>
    <t>LETRAS DEL B.C.R.A.  SEGMENTO INTERNO EN PESOS  //  VTO. 17-05-17</t>
  </si>
  <si>
    <t>HF PESOS RENTA FIJA  CLASE I</t>
  </si>
  <si>
    <t>LETRAS DEL B.C.R.A.  SEGMENTO INTERNO EN PESOS  //  VTO. 17/01/18</t>
  </si>
  <si>
    <t>HF RENTA FIJA  ARGENTINA CLASE G</t>
  </si>
  <si>
    <t>LETRAS DEL B.C.R.A.  SEGMENTO INTERNO EN PESOS  //  VTO. 17/01/18  U$S CABLE</t>
  </si>
  <si>
    <t>HF RENTA FIJA  ARGENTINA CLASE I</t>
  </si>
  <si>
    <t>LETRAS DEL B.C.R.A.  SEGMENTO INTERNO EN PESOS  //  VTO. 17/01/18 DÓLAR U$S</t>
  </si>
  <si>
    <t xml:space="preserve">HF RENTA FIJA ESTRATEGICA - CLASE C </t>
  </si>
  <si>
    <t>LETRAS DEL B.C.R.A.  SEGMENTO INTERNO EN PESOS  //  VTO. 18-01-17</t>
  </si>
  <si>
    <t>HF RENTA FIJA ESTRATEGICA - CLASE G</t>
  </si>
  <si>
    <t>LETRAS DEL B.C.R.A.  SEGMENTO INTERNO EN PESOS  //  VTO. 18-01-17 U$S CABLE</t>
  </si>
  <si>
    <t>HF RENTA FIJA ESTRATEGICA - CLASE I</t>
  </si>
  <si>
    <t xml:space="preserve">LETRAS DEL B.C.R.A.  SEGMENTO INTERNO EN PESOS  //  VTO. 18/04/18 </t>
  </si>
  <si>
    <t>IAM AHORRO PESOS CLASE A</t>
  </si>
  <si>
    <t>LETRAS DEL B.C.R.A.  SEGMENTO INTERNO EN PESOS  //  VTO. 18/04/18  U$S CABLE</t>
  </si>
  <si>
    <t>IAM AHORRO PESOS CLASE B</t>
  </si>
  <si>
    <t>LETRAS DEL B.C.R.A.  SEGMENTO INTERNO EN PESOS  //  VTO. 18/04/18 DÓLAR U$S</t>
  </si>
  <si>
    <t>IAM AHORRO PESOS CLASE C</t>
  </si>
  <si>
    <t>LETRAS DEL B.C.R.A.  SEGMENTO INTERNO EN PESOS  //  VTO. 18/10/2017</t>
  </si>
  <si>
    <t>IAM ESTRATEGIA CLASE A</t>
  </si>
  <si>
    <t>LETRAS DEL B.C.R.A.  SEGMENTO INTERNO EN PESOS  //  VTO. 18/10/2017  U$S CABLE</t>
  </si>
  <si>
    <t>IAM ESTRATEGIA CLASE B</t>
  </si>
  <si>
    <t>LETRAS DEL B.C.R.A.  SEGMENTO INTERNO EN PESOS  //  VTO. 18/10/2017 DÓLAR U$S</t>
  </si>
  <si>
    <t>IAM ESTRATEGIA CLASE C</t>
  </si>
  <si>
    <t>LETRAS DEL B.C.R.A.  SEGMENTO INTERNO EN PESOS  //  VTO. 19-04-17</t>
  </si>
  <si>
    <t>IAM FCI ABIERTO PYMES CLASE B</t>
  </si>
  <si>
    <t>LETRAS DEL B.C.R.A.  SEGMENTO INTERNO EN PESOS  //  VTO. 19-07-17</t>
  </si>
  <si>
    <t>IAM RENTA CAPITAL CLASE A</t>
  </si>
  <si>
    <t>LETRAS DEL B.C.R.A.  SEGMENTO INTERNO EN PESOS  //  VTO. 20-09-17</t>
  </si>
  <si>
    <t>IAM RENTA CAPITAL CLASE B</t>
  </si>
  <si>
    <t>LETRAS DEL B.C.R.A.  SEGMENTO INTERNO EN PESOS  //  VTO. 20-09-17 U$S CABLE</t>
  </si>
  <si>
    <t>IAM RENTA CAPITAL CLASE C</t>
  </si>
  <si>
    <t>LETRAS DEL B.C.R.A.  SEGMENTO INTERNO EN PESOS  //  VTO. 20/12/17  I20D7</t>
  </si>
  <si>
    <t>IAM RENTA CRECIMIENTO CLASE A</t>
  </si>
  <si>
    <t>LETRAS DEL B.C.R.A.  SEGMENTO INTERNO EN PESOS  //  VTO. 20/12/17  I20DX</t>
  </si>
  <si>
    <t>IAM RENTA CRECIMIENTO CLASE B</t>
  </si>
  <si>
    <t>LETRAS DEL B.C.R.A.  SEGMENTO INTERNO EN PESOS  //  VTO. 20/12/17 DÓLAR U$S I20DD</t>
  </si>
  <si>
    <t>IAM RENTA CRECIMIENTO CLASE C</t>
  </si>
  <si>
    <t>LETRAS DEL B.C.R.A.  SEGMENTO INTERNO EN PESOS  //  VTO. 20/12/17 DÓLAR U$S I20DY</t>
  </si>
  <si>
    <t>IAM RENTA DOLARES CLASE A</t>
  </si>
  <si>
    <t>LETRAS DEL B.C.R.A.  SEGMENTO INTERNO EN PESOS  //  VTO. 20/12/17 U$S CABLE</t>
  </si>
  <si>
    <t>IAM RENTA DOLARES CLASE B</t>
  </si>
  <si>
    <t>LETRAS DEL B.C.R.A.  SEGMENTO INTERNO EN PESOS  //  VTO. 21-06-17</t>
  </si>
  <si>
    <t>IAM RENTA DOLARES CLASE C</t>
  </si>
  <si>
    <t>LETRAS DEL B.C.R.A.  SEGMENTO INTERNO EN PESOS  //  VTO. 21/02/18</t>
  </si>
  <si>
    <t>IAM RENTA PLUS CLASE A</t>
  </si>
  <si>
    <t>LETRAS DEL B.C.R.A.  SEGMENTO INTERNO EN PESOS  //  VTO. 21/02/18 DÓLAR U$S</t>
  </si>
  <si>
    <t>IAM RENTA PLUS CLASE B</t>
  </si>
  <si>
    <t>LETRAS DEL B.C.R.A.  SEGMENTO INTERNO EN PESOS  //  VTO. 21/02/18 U$S CABLE</t>
  </si>
  <si>
    <t>IAM RENTA PLUS CLASE C</t>
  </si>
  <si>
    <t>LETRAS DEL B.C.R.A.  SEGMENTO INTERNO EN PESOS  //  VTO. 21/03/2018  DÓLAR U$S</t>
  </si>
  <si>
    <t>IAM RENTA VARIABLE CLASE A</t>
  </si>
  <si>
    <t>LETRAS DEL B.C.R.A.  SEGMENTO INTERNO EN PESOS  //  VTO. 21/03/2018  I21M8</t>
  </si>
  <si>
    <t>IAM RENTA VARIABLE CLASE B</t>
  </si>
  <si>
    <t>LETRAS DEL B.C.R.A.  SEGMENTO INTERNO EN PESOS  //  VTO. 21/03/2018  I21MX</t>
  </si>
  <si>
    <t>IAM RENTA VARIABLE CLASE C</t>
  </si>
  <si>
    <t>LETRAS DEL B.C.R.A.  SEGMENTO INTERNO EN PESOS  //  VTO. 21/03/2018 U$S CABLE</t>
  </si>
  <si>
    <t>INTEGRAE ACCIONES - CLASE A</t>
  </si>
  <si>
    <t>LETRAS DEL B.C.R.A.  SEGMENTO INTERNO EN PESOS  //  VTO. 21/06/18</t>
  </si>
  <si>
    <t>INTEGRAE ACCIONES - CLASE B</t>
  </si>
  <si>
    <t>LETRAS DEL B.C.R.A.  SEGMENTO INTERNO EN PESOS  //  VTO. 21/06/18 DÓLAR U$S</t>
  </si>
  <si>
    <t xml:space="preserve">INTEGRAE RENTA FIJA CLASE B </t>
  </si>
  <si>
    <t>LETRAS DEL B.C.R.A.  SEGMENTO INTERNO EN PESOS  //  VTO. 21/06/18 U$S CABLE</t>
  </si>
  <si>
    <t>INTEGRAE RENTA MIXTA CLASE B</t>
  </si>
  <si>
    <t>LETRAS DEL B.C.R.A.  SEGMENTO INTERNO EN PESOS  //  VTO. 22-03-17</t>
  </si>
  <si>
    <t>INVESTIRE AHORRO (valor liq. Final CP)</t>
  </si>
  <si>
    <t>LETRAS DEL B.C.R.A.  SEGMENTO INTERNO EN PESOS  //  VTO. 22/02/17</t>
  </si>
  <si>
    <t>INVESTIRE RENTA EN PESOS (valor liq. Final CP)</t>
  </si>
  <si>
    <t>LETRAS DEL B.C.R.A.  SEGMENTO INTERNO EN PESOS  //  VTO. 24-05-17</t>
  </si>
  <si>
    <t>LITORAL (en proceso de liquidación)</t>
  </si>
  <si>
    <t>LETRAS DEL B.C.R.A.  SEGMENTO INTERNO EN PESOS  //  VTO. 25-01-17</t>
  </si>
  <si>
    <t>LITORAL RENTA FIJA (en proceso de liquidación)</t>
  </si>
  <si>
    <t>LETRAS DEL B.C.R.A.  SEGMENTO INTERNO EN PESOS  //  VTO. 26-04-17</t>
  </si>
  <si>
    <t>LOMBARD ABIERTO PLUS</t>
  </si>
  <si>
    <t>LETRAS DEL B.C.R.A.  SEGMENTO INTERNO EN PESOS  //  VTO. 31-05-17</t>
  </si>
  <si>
    <t>LOMBARD ACCIONES LIDERES</t>
  </si>
  <si>
    <t>LETRAS DEL TESORO DE LA MUNIC. DE CDAD. CORDOBA EN PESOS  //  SERIE XIX A 355 DIAS VTO. 21-02-17</t>
  </si>
  <si>
    <t>LOMBARD AHORRO</t>
  </si>
  <si>
    <t>LETRAS DEL TESORO DE LA MUNIC. DE CDAD. CORDOBA EN PESOS  //  SERIE XXI A 355 DIAS VTO. 21-03-17</t>
  </si>
  <si>
    <t>LOMBARD AHORRO PLUS CLASE A</t>
  </si>
  <si>
    <t>LETRAS DEL TESORO DE LA MUNIC. DE CDAD. CORDOBA EN PESOS  //  SERIE XXII A 300 DIAS VTO. 26-03-17</t>
  </si>
  <si>
    <t>LOMBARD CAPITAL</t>
  </si>
  <si>
    <t>LETRAS DEL TESORO DE LA MUNIC. DE CDAD. CORDOBA EN PESOS  //  SERIE XXIII A 119 DIAS VTO. 30/03/17</t>
  </si>
  <si>
    <t>LOMBARD PESOS PLUS</t>
  </si>
  <si>
    <t>LETRAS DEL TESORO DE LA MUNIC. DE CDAD. CORDOBA EN PESOS  //  SERIE XXV A 360 DIAS VTO. 17/02/18</t>
  </si>
  <si>
    <t>LOMBARD RENTA EN PESOS</t>
  </si>
  <si>
    <t>LETRAS DEL TESORO DE LA MUNIC. DE RÍO CUARTO EN PESOS  //  SERIE XXXII A 300 DÍAS - VTO. 14-03-17</t>
  </si>
  <si>
    <t>LOMBARD RENTA FIJA</t>
  </si>
  <si>
    <t>LETRAS DEL TESORO DE LA MUNIC.DE LA CDAD. DE CORRIENTES  //  SERIE II CON VTO. 01/12/2017</t>
  </si>
  <si>
    <t>LOMBARD RENTA FIJA EN DOLARES CLASE A</t>
  </si>
  <si>
    <t>LETRAS DEL TESORO DE LA PROVINCIA DE BUENOS AIRES EN PESOS  //  A 133 DIAS CON VTO. 17/08/17</t>
  </si>
  <si>
    <t>MAF ABIERTO LEY 27260 CLASE B</t>
  </si>
  <si>
    <t>LETRAS DEL TESORO DE LA PROVINCIA DE BUENOS AIRES EN PESOS  //  A 182 DIAS CON VTO 12-01-17</t>
  </si>
  <si>
    <t>MAF ACCIONES ARGENTINAS</t>
  </si>
  <si>
    <t>LETRAS DEL TESORO DE LA PROVINCIA DE BUENOS AIRES EN PESOS  //  A 266 DIAS CON VTO. 06-04-17</t>
  </si>
  <si>
    <t>MAF AHORRO</t>
  </si>
  <si>
    <t>LETRAS DEL TESORO DE LA PROVINCIA DE BUENOS AIRES EN PESOS  //  A 364 DIAS CON VTO. 10-08-17</t>
  </si>
  <si>
    <t>MAF EMPRESAS Pymes</t>
  </si>
  <si>
    <t>LETRAS DEL TESORO DE LA PROVINCIA DE BUENOS AIRES EN PESOS  //  A 56 DIAS CON VTO 09/03/17</t>
  </si>
  <si>
    <t>MAF MONEY  MARKET CLASE A</t>
  </si>
  <si>
    <t>LETRAS DEL TESORO DE LA PROVINCIA DE BUENOS AIRES EN PESOS  //  A 56 DIAS CON VTO 16/11/17</t>
  </si>
  <si>
    <t>MAF MONEY  MARKET CLASE B</t>
  </si>
  <si>
    <t>LETRAS DEL TESORO DE LA PROVINCIA DE BUENOS AIRES EN PESOS  //  A 56 DIAS CON VTO 17/08/17</t>
  </si>
  <si>
    <t>MAF PESOS PLUS CLASE A</t>
  </si>
  <si>
    <t>LETRAS DEL TESORO DE LA PROVINCIA DE BUENOS AIRES EN PESOS  //  A 63 DIAS CON VTO 19/10/17</t>
  </si>
  <si>
    <t>MAF PESOS PLUS CLASE B</t>
  </si>
  <si>
    <t>LETRAS DEL TESORO DE LA PROVINCIA DE BUENOS AIRES EN PESOS  //  A 63 DIAS CON VTO. 12-01-17</t>
  </si>
  <si>
    <t>MAF PESOS PLUS CLASE C</t>
  </si>
  <si>
    <t>LETRAS DEL TESORO DE LA PROVINCIA DE BUENOS AIRES EN PESOS  //  A 91 DIAS CON VTO. 12-01-17</t>
  </si>
  <si>
    <t>MAF RENTA ARGENTINA</t>
  </si>
  <si>
    <t>LETRAS DEL TESORO DE LA PROVINCIA DE CHUBUT EN PESOS  //  CLASE 2 SERIE XXIII A 210 DIAS CON VTO. 20-01-17</t>
  </si>
  <si>
    <t>MAF RENTA ARGENTINA 2 CLASE A</t>
  </si>
  <si>
    <t>LETRAS DEL TESORO DE LA PROVINCIA DE CHUBUT EN PESOS  //  SERIE XXIV A 182 DIAS CON VTO. 20-01-17</t>
  </si>
  <si>
    <t>MAF RENTA ARGENTINA 2 CLASE B</t>
  </si>
  <si>
    <t>LETRAS DEL TESORO DE LA PROVINCIA DE CHUBUT EN PESOS  //  SERIE XXIX CLASE 2 A 182 DIAS VTO 24/08/17</t>
  </si>
  <si>
    <t>MAF RENTA BALANCEADA</t>
  </si>
  <si>
    <t>LETRAS DEL TESORO DE LA PROVINCIA DE CHUBUT EN PESOS  //  SERIE XXV A 182 DIAS CON VTO. 23-02-17</t>
  </si>
  <si>
    <t>MAF RENTA CLASE A</t>
  </si>
  <si>
    <t>LETRAS DEL TESORO DE LA PROVINCIA DE CHUBUT EN PESOS  //  SERIE XXVI A 181 DIAS CON VTO. 23-03-17</t>
  </si>
  <si>
    <t>MAF RENTA CLASE B</t>
  </si>
  <si>
    <t>LETRAS DEL TESORO DE LA PROVINCIA DE CHUBUT EN PESOS  //  SERIE XXVII A 91 DIAS CON VTO. 20-01-17</t>
  </si>
  <si>
    <t>MAF RENTA MIXTA</t>
  </si>
  <si>
    <t>LETRAS DEL TESORO DE LA PROVINCIA DE CHUBUT EN PESOS  //  SERIE XXVIII A 152 DIAS CON VTO. 25-04-17</t>
  </si>
  <si>
    <t>MAGNA RETORNO TOTAL CLASE B</t>
  </si>
  <si>
    <t>LETRAS DEL TESORO DE LA PROVINCIA DE CHUBUT EN PESOS  //  SERIE XXXII CLASE 1 A 63 DIAS VTO 25/07/17</t>
  </si>
  <si>
    <t>MEGAINVER AHORRO - CLASE A</t>
  </si>
  <si>
    <t>LETRAS DEL TESORO DE LA PROVINCIA DE CHUBUT EN PESOS  //  SERIE XXXIII CLASE 3 A 217 DIAS VTO 26/01/18</t>
  </si>
  <si>
    <t>MEGAINVER AHORRO - CLASE B</t>
  </si>
  <si>
    <t>LETRAS DEL TESORO DE LA PROVINCIA DE CHUBUT EN PESOS  //  SERIE XXXIV CLASE 3 A 213 DIAS VTO 23/02/18</t>
  </si>
  <si>
    <t>MEGAINVER BALANCEADO - CLASE B</t>
  </si>
  <si>
    <t>LETRAS DEL TESORO DE LA PROVINCIA DE MENDOZA  //  SERIE 5 CLASE I A 116 DIAS CON VTO. 20/02/2017</t>
  </si>
  <si>
    <t>MEGAINVER DOLARES APTO LEY 27260 CLASE A</t>
  </si>
  <si>
    <t>LETRAS DEL TESORO DE LA PROVINCIA DE RIO NEGRO EN PESOS  //  GARANTIZ. CLASE 3 SERIE 1 VTO. 15/05/2017</t>
  </si>
  <si>
    <t>MEGAINVER DOLARES APTO LEY 27260 CLASE B</t>
  </si>
  <si>
    <t>LETRAS DEL TESORO DE LA PROVINCIA DE RIO NEGRO EN PESOS  //  GARANTIZ. CLASE 3 SERIE I A 90 DIAS VTO. 02/03/2018</t>
  </si>
  <si>
    <t>MEGAINVER FINANCIAMIENTO PRODUCTIVO PYME CLASE B</t>
  </si>
  <si>
    <t>LETRAS DEL TESORO DE LA PROVINCIA DE RIO NEGRO EN PESOS  //  GARANTIZ. CLASE 3 SERIE IV A 360 DIAS VTO. 6/11/2017</t>
  </si>
  <si>
    <t>MEGAINVER LIQUIDEZ PESOS CLASE A</t>
  </si>
  <si>
    <t>LETRAS DEL TESORO DE LA PROVINCIA DE SALTA EN PESOS  //  SERIE 4 CON VTO. A LOS 86 DIAS</t>
  </si>
  <si>
    <t>MEGAINVER LIQUIDEZ PESOS CLASE B</t>
  </si>
  <si>
    <t>LETRAS DEL TESORO DE LA PROVINCIA DE SALTA EN PESOS  //  SERIE 8 A TASA FIJA CON VTO. EL 28/12/2017</t>
  </si>
  <si>
    <t>MEGAINVER LIQUIDEZ PESOS CLASE C</t>
  </si>
  <si>
    <t>LETRAS DEL TESORO DE LA PROVINCIA DE SALTA EN PESOS  //  SERIE 9 A TASA FIJA CON VTO. EL 28/12/2017</t>
  </si>
  <si>
    <t>MEGAINVER PERFORMANCE CLASE B</t>
  </si>
  <si>
    <t xml:space="preserve">LETRAS DEL TESORO DE LA PROVINCIA DEL NEUQUÉN EN DOLARES  //  GARANTIZ.CLASE 2 SERIE III VTO. A 24 MESES DDE FECHA EMISION       </t>
  </si>
  <si>
    <t>MEGAINVER RENTA FIJA CLASE A</t>
  </si>
  <si>
    <t>LETRAS DEL TESORO DE LA PROVINCIA DEL NEUQUÉN EN PESOS  //  GARANTIZ.CLASE 1 SERIE I VTO. A 24 MESES DE FECHA EMISION        BNM17</t>
  </si>
  <si>
    <t>MEGAINVER RENTA FIJA CLASE B</t>
  </si>
  <si>
    <t xml:space="preserve">LETRAS DEL TESORO DE LA PROVINCIA DEL NEUQUÉN EN PESOS  //  GARANTIZ.CLASE 1 SERIE I VTO. A 48 MESES DDE FECHA EMISION       </t>
  </si>
  <si>
    <t>MEGAINVER RENTA FIJA CLASE C</t>
  </si>
  <si>
    <t xml:space="preserve">LETRAS DEL TESORO DE LA PROVINCIA DEL NEUQUÉN EN PESOS  //  GARANTIZ.CLASE 1 SERIE II VTO. A 24 MESES DDE FECHA EMISION       </t>
  </si>
  <si>
    <t>MEGAINVER RENTA FIJA CLASE D</t>
  </si>
  <si>
    <t xml:space="preserve">LETRAS DEL TESORO DE LA PROVINCIA DEL NEUQUÉN EN PESOS  //  GARANTIZ.CLASE 1 SERIE III VTO. A 24 MESES DDE FECHA EMISION       </t>
  </si>
  <si>
    <t>MEGAINVER RENTA FIJA COBERTURA CLASE A</t>
  </si>
  <si>
    <t xml:space="preserve">LETRAS DEL TESORO DE LA PROVINCIA DEL NEUQUÉN EN PESOS  //  GARANTIZ.CLASE 2 SERIE II VTO. A 18 MESES DDE FECHA EMISION       </t>
  </si>
  <si>
    <t>MEGAINVER RENTA FIJA COBERTURA CLASE B</t>
  </si>
  <si>
    <t xml:space="preserve">LETRAS DEL TESORO DE LA PROVINCIA DEL NEUQUÉN EN PESOS  //  VTO. 2018/2021 GARANTIZ.CL1 S.I VTO. A 48 MESES DDE FECHA EMISION       </t>
  </si>
  <si>
    <t>MEGAINVER RENTA FIJA DOLARES CLASE A</t>
  </si>
  <si>
    <t>LETRAS DEL TESORO DEL GOBIERNO DE LA CIUDAD DE BS. AS EN PESOS  //  A 308 DIAS VTO 16/02/17</t>
  </si>
  <si>
    <t>MEGAINVER RENTA FIJA DOLARES CLASE B</t>
  </si>
  <si>
    <t>LETRAS DEL TESORO DEL GOBIERNO DE LA CIUDAD DE BS. AS EN PESOS  //  A 364 DIAS VTO 12/01/17</t>
  </si>
  <si>
    <t>MEGAINVER RENTA FIJA DOLARES CLASE C</t>
  </si>
  <si>
    <t>LETRAS DEL TESORO DEL GOBIERNO DE LA CIUDAD DE BS. AS EN PESOS  //  CUPON MIXTO A 315 DIAS VTO. 16-03-17</t>
  </si>
  <si>
    <t>MEGAINVER RENTA FIJA LATAM CLASE A</t>
  </si>
  <si>
    <t>LETRAS DEL TESORO EN $  //  vto.14.05.02</t>
  </si>
  <si>
    <t>MEGAINVER RENTA FIJA LATAM CLASE B</t>
  </si>
  <si>
    <t>LETRAS DEL TESORO EN $  //  vto.14.05.02 u$s cable</t>
  </si>
  <si>
    <t>MEGAINVER RENTA FIJA LATAM CLASE C</t>
  </si>
  <si>
    <t>LETRAS DEL TESORO EN U$S  //  VTO 15/12/17   DÓLAR U$S</t>
  </si>
  <si>
    <t>MEGAINVER RENTA FLEXIBLE CLASE A</t>
  </si>
  <si>
    <t>LETRAS DEL TESORO EN U$S  //  VTO 15/12/17   L2DD7</t>
  </si>
  <si>
    <t>MEGAINVER RENTA FLEXIBLE CLASE B</t>
  </si>
  <si>
    <t>LETRAS DEL TESORO EN U$S  //  VTO 15/12/17   LTDD7</t>
  </si>
  <si>
    <t>MEGAINVER RENTA GLOBAL CLASE A</t>
  </si>
  <si>
    <t>LETRAS DEL TESORO EN U$S  //  VTO 15/12/17   U$S CABLE</t>
  </si>
  <si>
    <t>MEGAINVER RENTA GLOBAL CLASE B</t>
  </si>
  <si>
    <t xml:space="preserve">LETRAS DEL TESORO EN U$S  //  VTO. 03/04/17  </t>
  </si>
  <si>
    <t>MEGAINVER RENTA GLOBAL CLASE D</t>
  </si>
  <si>
    <t>LETRAS DEL TESORO EN U$S  //  VTO. 03/04/17 DÓLAR U$S</t>
  </si>
  <si>
    <t>MEGAINVER RENTA MIXTA CLASE A</t>
  </si>
  <si>
    <t>LETRAS DEL TESORO EN U$S  //  VTO. 03/04/17 U$S CABLE</t>
  </si>
  <si>
    <t>MEGAINVER RENTA MIXTA CLASE B</t>
  </si>
  <si>
    <t>LETRAS DEL TESORO EN U$S  //  VTO. 03/07/17</t>
  </si>
  <si>
    <t>MEGAINVER RENTA VARIABLE CLASE A</t>
  </si>
  <si>
    <t>LETRAS DEL TESORO EN U$S  //  VTO. 03/07/17 DÓLAR U$S</t>
  </si>
  <si>
    <t>MEGAINVER RENTA VARIABLE CLASE B</t>
  </si>
  <si>
    <t xml:space="preserve">LETRAS DEL TESORO EN U$S  //  VTO. 06/03/17 </t>
  </si>
  <si>
    <t>MEGAINVER RETORNO ABSOLUTO CLASE A</t>
  </si>
  <si>
    <t>LETRAS DEL TESORO EN U$S  //  VTO. 06/03/17 DÓLAR U$S</t>
  </si>
  <si>
    <t>MEGAINVER RETORNO ABSOLUTO CLASE B</t>
  </si>
  <si>
    <t>LETRAS DEL TESORO EN U$S  //  VTO. 06/03/17 U$S CABLE</t>
  </si>
  <si>
    <t>MEGAINVER RETORNO TOTAL CLASE A</t>
  </si>
  <si>
    <t>LETRAS DEL TESORO EN U$S  //  VTO. 08-05-17</t>
  </si>
  <si>
    <t>MEGAINVER RETORNO TOTAL CLASE B</t>
  </si>
  <si>
    <t>LETRAS DEL TESORO EN U$S  //  VTO. 09/02/18</t>
  </si>
  <si>
    <t>OPTIMUM CDB PESOS ULTRA - CLASE A</t>
  </si>
  <si>
    <t>LETRAS DEL TESORO EN U$S  //  VTO. 09/02/18 DÓLAR U$S</t>
  </si>
  <si>
    <t>OPTIMUM CDB PESOS ULTRA - CLASE B</t>
  </si>
  <si>
    <t>LETRAS DEL TESORO EN U$S  //  VTO. 09/02/18 U%S CABLE</t>
  </si>
  <si>
    <t>OPTIMUM DESARROLLO ARGENTINO INFRAEST. CLASE B</t>
  </si>
  <si>
    <t>LETRAS DEL TESORO EN U$S  //  VTO. 10/08/18</t>
  </si>
  <si>
    <t>OPTIMUM FAE (Fondo de Aplicaciones Especiales)</t>
  </si>
  <si>
    <t>LETRAS DEL TESORO EN U$S  //  VTO. 10/08/18 DÓLAR U$S</t>
  </si>
  <si>
    <t>OPTIMUM GLOBAL BALANCED - CLASE B</t>
  </si>
  <si>
    <t>LETRAS DEL TESORO EN U$S  //  VTO. 10/08/18 U$S CABLE</t>
  </si>
  <si>
    <t>OPTIMUM GLOBAL INVESTMENT GRADE</t>
  </si>
  <si>
    <t>LETRAS DEL TESORO EN U$S  //  VTO. 10/11/17</t>
  </si>
  <si>
    <t>OPTIMUM GLOBAL OPPORTUNITY CLASE B</t>
  </si>
  <si>
    <t>LETRAS DEL TESORO EN U$S  //  VTO. 10/11/17 DÓLAR CABLE</t>
  </si>
  <si>
    <t>OPTIMUM GLOBAL RENTA MIXTA</t>
  </si>
  <si>
    <t>LETRAS DEL TESORO EN U$S  //  VTO. 10/11/17 DÓLAR U$S</t>
  </si>
  <si>
    <t>OPTIMUM MULTI ASSET FUND CLASE B</t>
  </si>
  <si>
    <t>LETRAS DEL TESORO EN U$S  //  VTO. 11/05/18</t>
  </si>
  <si>
    <t>OPTIMUM RENTA FIJA ARGENTINA</t>
  </si>
  <si>
    <t>LETRAS DEL TESORO EN U$S  //  VTO. 11/05/18 DÓLAR U$S</t>
  </si>
  <si>
    <t>OPTIMUM RENTA FIJA DINAMICA CLASE A</t>
  </si>
  <si>
    <t>LETRAS DEL TESORO EN U$S  //  VTO. 11/05/18 U$S CABLE</t>
  </si>
  <si>
    <t>OPTIMUM RENTA FIJA DINAMICA CLASE B</t>
  </si>
  <si>
    <t>LETRAS DEL TESORO EN U$S  //  VTO. 12/01/18</t>
  </si>
  <si>
    <t>OPTIMUM RENTA FIJA ESTRATEGICA CLASE A</t>
  </si>
  <si>
    <t>LETRAS DEL TESORO EN U$S  //  VTO. 12/01/18 DÓLAR U$S</t>
  </si>
  <si>
    <t>OPTIMUM RENTA FIJA ESTRATEGICA CLASE B</t>
  </si>
  <si>
    <t>LETRAS DEL TESORO EN U$S  //  VTO. 12/01/18 U$S CABLE</t>
  </si>
  <si>
    <t>OPTIMUM RENTA MIXTA FLEXIBLE ARGENTINA CLASE B</t>
  </si>
  <si>
    <t>LETRAS DEL TESORO EN U$S  //  VTO. 12/10/18</t>
  </si>
  <si>
    <t>OPTIMUM RENTA MIXTA FLEXIBLE CLASE B</t>
  </si>
  <si>
    <t>LETRAS DEL TESORO EN U$S  //  VTO. 12/10/18 DÓLAR U$S</t>
  </si>
  <si>
    <t>OPTIMUM RENTA VARIABLE III</t>
  </si>
  <si>
    <t>LETRAS DEL TESORO EN U$S  //  VTO. 12/10/18 U$S CABLE</t>
  </si>
  <si>
    <t>OPTIMUM TOTAL RETURN CLASE B</t>
  </si>
  <si>
    <t>LETRAS DEL TESORO EN U$S  //  VTO. 13/04/18     L4DA8</t>
  </si>
  <si>
    <t>PELLEGRINI ACCIONES CLASE A</t>
  </si>
  <si>
    <t>LETRAS DEL TESORO EN U$S  //  VTO. 13/04/18     LTDA8</t>
  </si>
  <si>
    <t>PELLEGRINI ACCIONES CLASE B</t>
  </si>
  <si>
    <t>LETRAS DEL TESORO EN U$S  //  VTO. 13/04/18 DÓLAR U$S   L4D8D</t>
  </si>
  <si>
    <t>PELLEGRINI AGRO FCI CLASE A</t>
  </si>
  <si>
    <t>LETRAS DEL TESORO EN U$S  //  VTO. 13/04/18 DÓLAR U$S   LTA8D</t>
  </si>
  <si>
    <t>PELLEGRINI AGRO FCI CLASE B</t>
  </si>
  <si>
    <t>LETRAS DEL TESORO EN U$S  //  VTO. 13/04/18 U$S CABLE     L4D8C</t>
  </si>
  <si>
    <t>PELLEGRINI CRECIMIENTO CLASE A</t>
  </si>
  <si>
    <t>LETRAS DEL TESORO EN U$S  //  VTO. 13/04/18 U$S CABLE     LTA8C</t>
  </si>
  <si>
    <t>PELLEGRINI CRECIMIENTO CLASE B</t>
  </si>
  <si>
    <t>LETRAS DEL TESORO EN U$S  //  VTO. 13/07/18</t>
  </si>
  <si>
    <t>PELLEGRINI DESARROLLO ARGENTINO INFRAEST. CLASE A</t>
  </si>
  <si>
    <t>LETRAS DEL TESORO EN U$S  //  VTO. 13/07/18 DÓLAR U$S</t>
  </si>
  <si>
    <t>PELLEGRINI DESARROLLO ARGENTINO INFRAEST. CLASE B</t>
  </si>
  <si>
    <t>LETRAS DEL TESORO EN U$S  //  VTO. 13/07/18 U$S CABLE</t>
  </si>
  <si>
    <t>PELLEGRINI EMPRESAS ARGENTINAS PYMES</t>
  </si>
  <si>
    <t>LETRAS DEL TESORO EN U$S  //  VTO. 13/10/2017</t>
  </si>
  <si>
    <t>PELLEGRINI INTEGRAL CLASE A</t>
  </si>
  <si>
    <t>LETRAS DEL TESORO EN U$S  //  VTO. 14/09/18</t>
  </si>
  <si>
    <t>PELLEGRINI INTEGRAL CLASE B</t>
  </si>
  <si>
    <t>LETRAS DEL TESORO EN U$S  //  VTO. 14/09/18 DÓLAR U$S</t>
  </si>
  <si>
    <t>PELLEGRINI RENTA</t>
  </si>
  <si>
    <t>LETRAS DEL TESORO EN U$S  //  VTO. 14/12/18</t>
  </si>
  <si>
    <t>PELLEGRINI RENTA DOLARES CLASE A</t>
  </si>
  <si>
    <t>LETRAS DEL TESORO EN U$S  //  VTO. 14/12/18 DÓLAR U$S</t>
  </si>
  <si>
    <t>PELLEGRINI RENTA DOLARES CLASE B</t>
  </si>
  <si>
    <t>LETRAS DEL TESORO EN U$S  //  VTO. 15/06/18</t>
  </si>
  <si>
    <t>PELLEGRINI RENTA DOLARES CLASE C</t>
  </si>
  <si>
    <t>LETRAS DEL TESORO EN U$S  //  VTO. 15/06/18 DÓLAR U$S</t>
  </si>
  <si>
    <t>PELLEGRINI RENTA FIJA AHORRO CLASE A</t>
  </si>
  <si>
    <t>LETRAS DEL TESORO EN U$S  //  VTO. 15/06/18 U$S CABLE</t>
  </si>
  <si>
    <t>PELLEGRINI RENTA FIJA AHORRO CLASE B</t>
  </si>
  <si>
    <t>LETRAS DEL TESORO EN U$S  //  VTO. 15/09/17</t>
  </si>
  <si>
    <t>PELLEGRINI RENTA FIJA CLASE A</t>
  </si>
  <si>
    <t>LETRAS DEL TESORO EN U$S  //  VTO. 15/09/17 DÓLAR U$S</t>
  </si>
  <si>
    <t>PELLEGRINI RENTA FIJA CLASE B</t>
  </si>
  <si>
    <t>LETRAS DEL TESORO EN U$S  //  VTO. 15/09/17 U$S CABLE</t>
  </si>
  <si>
    <t>PELLEGRINI RENTA FIJA PLUS CLASE A</t>
  </si>
  <si>
    <t>LETRAS DEL TESORO EN U$S  //  VTO. 16/01/17</t>
  </si>
  <si>
    <t>PELLEGRINI RENTA FIJA PLUS CLASE B</t>
  </si>
  <si>
    <t>LETRAS DEL TESORO EN U$S  //  VTO. 16/01/17 DÓLAR U$S</t>
  </si>
  <si>
    <t>PELLEGRINI RENTA FIJA PUBLICA</t>
  </si>
  <si>
    <t>LETRAS DEL TESORO EN U$S  //  VTO. 16/01/17 U$S CABLE</t>
  </si>
  <si>
    <t>PELLEGRINI RENTA PESOS CLASE A</t>
  </si>
  <si>
    <t>LETRAS DEL TESORO EN U$S  //  VTO. 16/03/18</t>
  </si>
  <si>
    <t>PELLEGRINI RENTA PESOS CLASE B</t>
  </si>
  <si>
    <t>LETRAS DEL TESORO EN U$S  //  VTO. 16/03/18 DÓLAR U$S</t>
  </si>
  <si>
    <t>PELLEGRINI RENTA PUBLICA FEDERAL CLASE A</t>
  </si>
  <si>
    <t>LETRAS DEL TESORO EN U$S  //  VTO. 16/03/18 U$S CABLE</t>
  </si>
  <si>
    <t>PELLEGRINI RENTA PUBLICA FEDERAL CLASE B</t>
  </si>
  <si>
    <t>LETRAS DEL TESORO EN U$S  //  VTO. 17/04/17</t>
  </si>
  <si>
    <t>PIONERO ACCIONES</t>
  </si>
  <si>
    <t>LETRAS DEL TESORO EN U$S  //  VTO. 17/04/17 DÓLAR U$S</t>
  </si>
  <si>
    <t xml:space="preserve">PIONERO AHORRO DOLARES CLASE A </t>
  </si>
  <si>
    <t>LETRAS DEL TESORO EN U$S  //  VTO. 17/04/17 U$S CABLE</t>
  </si>
  <si>
    <t>PIONERO AHORRO DOLARES CLASE B</t>
  </si>
  <si>
    <t>LETRAS DEL TESORO EN U$S  //  VTO. 20-02-17</t>
  </si>
  <si>
    <t>PIONERO AHORRO DOLARES CLASE C</t>
  </si>
  <si>
    <t>LETRAS DEL TESORO EN U$S  //  VTO. 20-02-17   DÓLAR U$S</t>
  </si>
  <si>
    <t>PIONERO EMPRESAS FCI ABIERTO Pymes</t>
  </si>
  <si>
    <t>LETRAS DEL TESORO EN U$S  //  VTO. 20-02-17  U$S CABLE</t>
  </si>
  <si>
    <t>PIONERO FF</t>
  </si>
  <si>
    <t>LETRAS DEL TESORO EN U$S  //  VTO. 20-03-17    L2DM7</t>
  </si>
  <si>
    <t>PIONERO PESOS</t>
  </si>
  <si>
    <t>LETRAS DEL TESORO EN U$S  //  VTO. 20-03-17    L2M7X</t>
  </si>
  <si>
    <t>PIONERO PESOS PLUS</t>
  </si>
  <si>
    <t>LETRAS DEL TESORO EN U$S  //  VTO. 20-03-17  DÓLAR U$S</t>
  </si>
  <si>
    <t>PIONERO RENTA</t>
  </si>
  <si>
    <t>LETRAS DEL TESORO EN U$S  //  VTO. 20-03-17  U$S CABLE</t>
  </si>
  <si>
    <t>PIONERO RENTA AHORRO</t>
  </si>
  <si>
    <t>LETRAS DEL TESORO EN U$S  //  VTO. 22/10/2017</t>
  </si>
  <si>
    <t>PIONERO RENTA AHORRO PLUS</t>
  </si>
  <si>
    <t>LETRAS DEL TESORO EN U$S  //  VTO. 22/10/2017 DÓLAR U$S</t>
  </si>
  <si>
    <t>PIONERO RENTA FIJA DOLARES CLASE A</t>
  </si>
  <si>
    <t>LETRAS DEL TESORO EN U$S  //  VTO. 22/10/2017 U$S CABLE</t>
  </si>
  <si>
    <t>PIONERO RENTA FIJA DOLARES CLASE B</t>
  </si>
  <si>
    <t>LETRAS DEL TESORO EN U$S  //  VTO. 23/02/18</t>
  </si>
  <si>
    <t>PIONERO RENTA GLOBAL CLASE B</t>
  </si>
  <si>
    <t>LETRAS DEL TESORO EN U$S  //  VTO. 23/02/18 DÓLAR U$S</t>
  </si>
  <si>
    <t>PIONERO RENTA MIXTA I  CLASE A</t>
  </si>
  <si>
    <t>LETRAS DEL TESORO EN U$S  //  VTO. 23/02/18 U$S CABLE</t>
  </si>
  <si>
    <t>PIONERO RENTA MIXTA I  CLASE B</t>
  </si>
  <si>
    <t>LETRAS DEL TESORO EN U$S  //  VTO. 24/05/18</t>
  </si>
  <si>
    <t>PIONERO RENTA MIXTA II</t>
  </si>
  <si>
    <t>LETRAS DEL TESORO EN U$S  //  VTO. 24/05/18 DÓLAR U$S</t>
  </si>
  <si>
    <t>PIONERO RENTA PLUS</t>
  </si>
  <si>
    <t>LETRAS DEL TESORO EN U$S  //  VTO. 24/05/18 U$S CABLE</t>
  </si>
  <si>
    <t>PREMIER ABIERTO PYMEs CLASE A</t>
  </si>
  <si>
    <t>LETRAS DEL TESORO EN U$S  //  VTO. 24/08/18</t>
  </si>
  <si>
    <t>PREMIER ABIERTO PYMEs CLASE B</t>
  </si>
  <si>
    <t>LETRAS DEL TESORO EN U$S  //  VTO. 24/08/18 DÓLAR U$S</t>
  </si>
  <si>
    <t>PREMIER BALANCEADO CLASE A</t>
  </si>
  <si>
    <t>LETRAS DEL TESORO EN U$S  //  VTO. 24/08/18 U$S CABLE</t>
  </si>
  <si>
    <t>PREMIER CAPITAL CLASE A</t>
  </si>
  <si>
    <t>LETRAS DEL TESORO EN U$S  //  VTO. 24/11/2017</t>
  </si>
  <si>
    <t>PREMIER CAPITAL CLASE B</t>
  </si>
  <si>
    <t>LETRAS DEL TESORO EN U$S  //  VTO. 24/11/2017 DÓLAR U$S</t>
  </si>
  <si>
    <t>PREMIER COMMODITIES AGRARIOS CLASE A</t>
  </si>
  <si>
    <t>LETRAS DEL TESORO EN U$S  //  VTO. 24/11/2017 U$S CABLE</t>
  </si>
  <si>
    <t>PREMIER COMMODITIES AGRARIOS CLASE B</t>
  </si>
  <si>
    <t>LETRAS DEL TESORO EN U$S  //  VTO. 25/08/2017</t>
  </si>
  <si>
    <t>PREMIER INVERSION CLASE A</t>
  </si>
  <si>
    <t>LETRAS DEL TESORO EN U$S  //  VTO. 25/08/2017 DÓLAR U$S</t>
  </si>
  <si>
    <t>PREMIER RENTA  CP EN PESOS CLASE A</t>
  </si>
  <si>
    <t>LETRAS DEL TESORO EN U$S  //  VTO. 25/08/2017 U$S CABLE</t>
  </si>
  <si>
    <t>PREMIER RENTA  CP EN PESOS CLASE B</t>
  </si>
  <si>
    <t>LETRAS DEL TESORO EN U$S  //  VTO. 26/01/18</t>
  </si>
  <si>
    <t>PREMIER RENTA FIJA AHORRO CLASE A</t>
  </si>
  <si>
    <t>LETRAS DEL TESORO EN U$S  //  VTO. 26/01/18  DÓLAR U$S</t>
  </si>
  <si>
    <t>PREMIER RENTA FIJA AHORRO CLASE B</t>
  </si>
  <si>
    <t>LETRAS DEL TESORO EN U$S  //  VTO. 26/01/18  U$S CABLE</t>
  </si>
  <si>
    <t>PREMIER RENTA FIJA CRECIMIENTO CLASE A</t>
  </si>
  <si>
    <t>LETRAS DEL TESORO EN U$S  //  VTO. 27/04/18   L2DA8</t>
  </si>
  <si>
    <t>PREMIER RENTA FIJA CRECIMIENTO CLASE B</t>
  </si>
  <si>
    <t>LETRAS DEL TESORO EN U$S  //  VTO. 27/04/18   L3DA8</t>
  </si>
  <si>
    <t>PREMIER RENTA MIXTA EN DOLARES CLASE A</t>
  </si>
  <si>
    <t>LETRAS DEL TESORO EN U$S  //  VTO. 27/04/18 DÓLAR U$S  L2A8D</t>
  </si>
  <si>
    <t>PREMIER RENTA MIXTA EN DOLARES CLASE B</t>
  </si>
  <si>
    <t>LETRAS DEL TESORO EN U$S  //  VTO. 27/04/18 DÓLAR U$S  L3A8D</t>
  </si>
  <si>
    <t>PREMIER RENTA PLUS EN PESOS CLASE A</t>
  </si>
  <si>
    <t>LETRAS DEL TESORO EN U$S  //  VTO. 27/04/18 U$S CABLE  L2A8C</t>
  </si>
  <si>
    <t>PREMIER RENTA PLUS EN PESOS CLASE B</t>
  </si>
  <si>
    <t>LETRAS DEL TESORO EN U$S  //  VTO. 27/04/18 U$S CABLE  L3A8C</t>
  </si>
  <si>
    <t>PREMIER RENTA VARIABLE CLASE A</t>
  </si>
  <si>
    <t>LETRAS DEL TESORO EN U$S  //  VTO. 28/09/18</t>
  </si>
  <si>
    <t>PREMIER RENTA VARIABLE CLASE B</t>
  </si>
  <si>
    <t>LETRAS DEL TESORO EN U$S  //  VTO. 28/09/18 DÓLAR U$S</t>
  </si>
  <si>
    <t>PROBOLSA</t>
  </si>
  <si>
    <t>LETRAS DEL TESORO EN U$S  //  VTO. 28/09/18 U$S CABLE</t>
  </si>
  <si>
    <t xml:space="preserve">PROVINCIA DOLARES </t>
  </si>
  <si>
    <t>LETRAS DEL TESORO EN U$S  //  VTO. 29/06/18</t>
  </si>
  <si>
    <t>QUINQUELA ACCIONES CLASE A</t>
  </si>
  <si>
    <t>LETRAS DEL TESORO EN U$S  //  VTO. 29/06/18 DÓLAR U$S</t>
  </si>
  <si>
    <t>QUINQUELA ACCIONES CLASE B</t>
  </si>
  <si>
    <t>LETRAS DEL TESORO EN U$S  //  VTO. 29/09/2017</t>
  </si>
  <si>
    <t>QUINQUELA AHORRO</t>
  </si>
  <si>
    <t>LETRAS DEL TESORO EN U$S  //  VTO. 29/09/2017 DÓLAR U$S</t>
  </si>
  <si>
    <t>QUINQUELA AHORRO DOLARES CLASE A</t>
  </si>
  <si>
    <t>LETRAS DEL TESORO EN U$S  //  VTO. 29/09/2017 U$S CABLE</t>
  </si>
  <si>
    <t>QUINQUELA AHORRO DOLARES CLASE B</t>
  </si>
  <si>
    <t>LETRAS DEL TESORO EN U$S  //  VTO. 30-01-17</t>
  </si>
  <si>
    <t>QUINQUELA AHORRO PLUS CLASE B</t>
  </si>
  <si>
    <t>LETRAS DEL TESORO EN U$S  //  VTO. 30-01-17    U$S CABLE</t>
  </si>
  <si>
    <t>QUINQUELA BALANCEADO CLASE B</t>
  </si>
  <si>
    <t>LETRAS DEL TESORO EN U$S  //  VTO. 30-01-17 DÓLAR U$S</t>
  </si>
  <si>
    <t>QUINQUELA CPTAL. SINCERAM. LEY 27260 CLASE A</t>
  </si>
  <si>
    <t>LETRAS DEL TESORO EN U$S  //  VTO. 30/11/18</t>
  </si>
  <si>
    <t>QUINQUELA CPTAL. SINCERAMIENTO LEY 27260 CLASE B</t>
  </si>
  <si>
    <t>LETRAS DEL TESORO EN U$S  //  VTO. 30/11/18 DÓLAR U$S</t>
  </si>
  <si>
    <t>QUINQUELA CPTAL. SINCERAMIENTO LEY 27260 CLASE C</t>
  </si>
  <si>
    <t>LETRAS DEL TESORO EN U$S  //  VTO. 30/11/18 U$S CABLE</t>
  </si>
  <si>
    <t>QUINQUELA DESARROLLO ARGENTINO INFRAEST. CLASE B</t>
  </si>
  <si>
    <t xml:space="preserve">LETRAS DEL TESORO EN U$S  //  vto.08.03.02 </t>
  </si>
  <si>
    <t>QUINQUELA DEUDA ARGENTINA CLASE B</t>
  </si>
  <si>
    <t xml:space="preserve">LETRAS DEL TESORO EN U$S  //  vto.09.04.02 </t>
  </si>
  <si>
    <t>QUINQUELA EMPRESAS ARGENTINAS PYMES</t>
  </si>
  <si>
    <t>LETRAS DEL TESORO EN U$S  //  vto.14.05.02</t>
  </si>
  <si>
    <t>QUINQUELA ESTRATEGICO CLASE A</t>
  </si>
  <si>
    <t xml:space="preserve">LETRAS DEL TESORO EN U$S  //  vto.15.02.02 </t>
  </si>
  <si>
    <t>QUINQUELA ESTRATEGICO CLASE B</t>
  </si>
  <si>
    <t>LETRAS DEL TESORO EN U$S  //  vto.15.03.02</t>
  </si>
  <si>
    <t>QUINQUELA PERFORMANCE CLASE A</t>
  </si>
  <si>
    <t xml:space="preserve">LETRAS DEL TESORO EN U$S  //  vto.15.03.02 dólar (u$s) </t>
  </si>
  <si>
    <t>QUINQUELA PERFORMANCE CLASE B</t>
  </si>
  <si>
    <t>LETRAS DEL TESORO EN U$S  //  vto.15.03.02 u$s cable</t>
  </si>
  <si>
    <t>QUINQUELA PESOS CLASE A</t>
  </si>
  <si>
    <t>LETRAS DEL TESORO EN U$S  //  vto.19.04.02</t>
  </si>
  <si>
    <t>QUINQUELA PESOS CLASE B</t>
  </si>
  <si>
    <t xml:space="preserve">LETRAS DEL TESORO EN U$S  //  vto.22.02.02 </t>
  </si>
  <si>
    <t>QUINQUELA RENTA</t>
  </si>
  <si>
    <t>LETRAS DEL TESORO EN U$S  //  vto.22.03.02</t>
  </si>
  <si>
    <t>QUINQUELA RENTA FIJA DOLARES CLASE B</t>
  </si>
  <si>
    <t>LETRAS DEL TESORO EN U$S  //  vto.22.03.02 u$s cable</t>
  </si>
  <si>
    <t>QUINQUELA RENTA MIXTA CLASE A</t>
  </si>
  <si>
    <t>LETRAS ENTRE RIOS EN PESOS  //  2016-SERIE IX-CLASE C A 273 DIAS VTO. 24/08/17</t>
  </si>
  <si>
    <t>QUINQUELA RENTA MIXTA CLASE B</t>
  </si>
  <si>
    <t>LETRAS EXTERNAS DE LA REPUBLICA ARGENTINA EN $  //  11,75% 1997-2007 serie 49</t>
  </si>
  <si>
    <t>QUINQUELA RENTA MIXTA CLASE C</t>
  </si>
  <si>
    <t>LETRAS EXTERNAS DE LA REPUBLICA ARGENTINA EN $  //  11,75% 1997-2007 serie 49 euroclear</t>
  </si>
  <si>
    <t>QUINQUELA TOTAL RETURN CLASE B</t>
  </si>
  <si>
    <t>LETRAS EXTERNAS DE LA REPUBLICA ARGENTINA EN $  //  8,75% 1997-2002 serie 54</t>
  </si>
  <si>
    <t>ROBLE AHORRO DOLARES EN $ LIBRE DISP. EN DOLARES</t>
  </si>
  <si>
    <t>LETRAS EXTERNAS DE LA REPUBLICA ARGENTINA EN $  //  8,75% 1997-2002 serie 54 euroclear</t>
  </si>
  <si>
    <t>ROBLE AHORRO DOLARES EN $ LIQUIDO CLASE G</t>
  </si>
  <si>
    <t>LETRAS EXTERNAS DE LA REPUBLICA ARGENTINA EN $  //  8,75% 1997-2002 serie 54 u$s cable</t>
  </si>
  <si>
    <t>SBS ABIERTO PYMES - CLASE A</t>
  </si>
  <si>
    <t>LETRAS EXTERNAS DE LA REPUBLICA ARGENTINA EN EUROS  //  10% 2001-2007 - serie 73</t>
  </si>
  <si>
    <t>SBS ABIERTO PYMES - CLASE B</t>
  </si>
  <si>
    <t xml:space="preserve">LETRAS EXTERNAS DE LA REPUBLICA ARGENTINA EN EUROS  //  cupon de monto fijo 1998-2028 </t>
  </si>
  <si>
    <t>SBS ACCIONES ARGENTINA CLASE A</t>
  </si>
  <si>
    <t xml:space="preserve">LETRAS EXTERNAS DE LA REPUBLICA ARGENTINA EN U$S  //  a tasa badlar + 2,98% 2001-2004 - s. 75 </t>
  </si>
  <si>
    <t>SBS ACCIONES ARGENTINA CLASE B</t>
  </si>
  <si>
    <t>LETRAS EXTERNAS DE LA REPUBLICA ARGENTINA EN U$S  //  A TASA ENCUESTA + 4,95% 2001-2004 S. 74      VEY4</t>
  </si>
  <si>
    <t>SBS AHORRO PESOS CLASE A</t>
  </si>
  <si>
    <t>LETRAS EXTERNAS DE LA REPUBLICA ARGENTINA EN U$S  //  A TASA ENCUESTA + 4,95% 2001-2004 S. 74      Z860</t>
  </si>
  <si>
    <t>SBS AHORRO PESOS CLASE B</t>
  </si>
  <si>
    <t>LETRAS SANTA FE EN PESOS  //  2015-2016 SERIE IV CLASE B A 238 DIAS VTO. 24/02/17</t>
  </si>
  <si>
    <t>SBS BALANCEADO CLASE A</t>
  </si>
  <si>
    <t>LETRAS SANTA FE EN PESOS  //  2015-2016 SERIE V CLASE B A 195 DIAS VTO. 20/04/17</t>
  </si>
  <si>
    <t>SBS BALANCEADO CLASE B</t>
  </si>
  <si>
    <t xml:space="preserve">TITULO DE DEUDA GARANTIZADOS AMORTIZABLES  //  A TASA DEL 7,75% VTO. EN 2026 </t>
  </si>
  <si>
    <t xml:space="preserve">SBS BECERRA RENTA CLASE A </t>
  </si>
  <si>
    <t>TITULO DE DEUDA GARANTIZADOS AMORTIZABLES  //  A TASA DEL 7,75% VTO. EN 2026 DÓLAR U$S</t>
  </si>
  <si>
    <t>SBS BECERRA RENTA CLASE B</t>
  </si>
  <si>
    <t>TITULO DE DEUDA GARANTIZADOS AMORTIZABLES  //  A TASA DEL 7,75% VTO. EN 2026 U$S CABLE</t>
  </si>
  <si>
    <t>SBS CAPITAL PLUS CLASE A</t>
  </si>
  <si>
    <t xml:space="preserve">TITULOS 2026 GARANTIZADOS CON RECURSOS DE COPARTIC. CHACO  //  </t>
  </si>
  <si>
    <t>SBS CAPITAL PLUS CLASE B</t>
  </si>
  <si>
    <t>TITULOS 2026 GARANTIZADOS CON RECURSOS DE COPARTIC. CHACO  //  U$S CABLE</t>
  </si>
  <si>
    <t>SBS CRECIMIENTO CLASE A</t>
  </si>
  <si>
    <t>TITULOS A MEDIAZO PLAZO GARANTIZADOS CON FONDOS DE LA COPARTICIPACION IMPUESTOS - PROV. DE SANTIAGO DEL ESTERO  //  SERIE N° 5</t>
  </si>
  <si>
    <t>SBS CRECIMIENTO CLASE B</t>
  </si>
  <si>
    <t>TITULOS CUASIPAR EN PESOS GOBIERNO NACIONAL  //  VTO EN DICIEMBRE DE 2045   CUAPX</t>
  </si>
  <si>
    <t>SBS DESARROLLO INFRAESTRUCTURA CLASE A</t>
  </si>
  <si>
    <t>TITULOS CUASIPAR EN PESOS GOBIERNO NACIONAL  //  VTO EN DICIEMBRE DE 2045  CUAP</t>
  </si>
  <si>
    <t>SBS DESARROLLO INFRAESTRUCTURA CLASE B</t>
  </si>
  <si>
    <t>TITULOS CUASIPAR EN PESOS GOBIERNO NACIONAL  //  vto en diciembre de 2045 u$s cable</t>
  </si>
  <si>
    <t>SBS ESTRATEGIA CLASE A</t>
  </si>
  <si>
    <t xml:space="preserve">TITULOS DE CANCEL.DE DEUDA PUBLICA PROV. DE NEUQUEN (TICADE)  //  SERIE 1 CLASE 1 </t>
  </si>
  <si>
    <t>SBS ESTRATEGIA CLASE B</t>
  </si>
  <si>
    <t>TITULOS DE CANCEL.DE DEUDA PUBLICA PROV. DE NEUQUEN (TICADE)  //  SERIE 1 CLASE 1 DÓLAR U$S</t>
  </si>
  <si>
    <t>SBS GESTION RENTA FIJA CLASE A</t>
  </si>
  <si>
    <t xml:space="preserve">TITULOS DE CANCELACIÓN DE DEUDA Y FINANCIAM. DE OBRAS DE LA PROV. DEL NEUQUÉN GARANTIZ. EN DÓLARES ESTADOUNIDENSES  //  CLASE 2 SERIE I </t>
  </si>
  <si>
    <t>SBS GESTION RENTA FIJA CLASE B</t>
  </si>
  <si>
    <t>TITULOS DE CANCELACIÓN DE DEUDA Y FINANCIAM. DE OBRAS DE LA PROV. DEL NEUQUÉN GARANTIZ. EN DÓLARES ESTADOUNIDENSES  //  CLASE 2 SERIE I DÓLAR U$S</t>
  </si>
  <si>
    <t>SBS PESOS PLUS CLASE A</t>
  </si>
  <si>
    <t>TITULOS DE CANCELACIÓN DE DEUDA Y FINANCIAM. DE OBRAS DE LA PROV. DEL NEUQUÉN GARANTIZ. EN DÓLARES ESTADOUNIDENSES  //  CLASE 2 SERIE I U$S CABLE</t>
  </si>
  <si>
    <t>SBS PESOS PLUS CLASE B</t>
  </si>
  <si>
    <t>TITULOS DE DEUDA DE LA MUNIC.DE RIO CUARTO EN PESOS  //  A TASA VARIABLE</t>
  </si>
  <si>
    <t>SBS RENTA CAPITAL CLASE B</t>
  </si>
  <si>
    <t>TITULOS DE DEUDA DE LA PROV. DE BUENOS AIRES  //  A TASA VARIABLE CON VTO. EL 31/05/22  PBY2X</t>
  </si>
  <si>
    <t>SBS RENTA MIXTA CLASE A</t>
  </si>
  <si>
    <t>TITULOS DE DEUDA DE LA PROV. DE BUENOS AIRES  //  A TASA VARIABLE CON VTO. EL 31/05/22 DÓLAR U$S</t>
  </si>
  <si>
    <t>SBS RENTA MIXTA CLASE B</t>
  </si>
  <si>
    <t>TITULOS DE DEUDA DE LA PROV. DE BUENOS AIRES  //  A TASA VARIABLE CON VTO. EL 31/05/22 PBY22</t>
  </si>
  <si>
    <t>SBS RENTA PESOS CLASE A</t>
  </si>
  <si>
    <t>TITULOS DE DEUDA DE LA PROV. DE BUENOS AIRES  //  A TASA VARIABLE CON VTO. EL 31/05/22 U$S CABLE</t>
  </si>
  <si>
    <t>SBS RENTA PESOS CLASE B</t>
  </si>
  <si>
    <t>TITULOS DE DEUDA DE LA PROV. DE BUENOS AIRES  //  al 10,875% con vto en 2021</t>
  </si>
  <si>
    <t>SBS RETORNO TOTAL CLASE A</t>
  </si>
  <si>
    <t xml:space="preserve">TITULOS DE DEUDA DE LA PROV. DE BUENOS AIRES  //  AL 10,875% CON VTO EN 2021 DÓLAR U$S </t>
  </si>
  <si>
    <t>SBS RETORNO TOTAL CLASE B</t>
  </si>
  <si>
    <t>TITULOS DE DEUDA DE LA PROV. DE BUENOS AIRES  //  AL 10,875% CON VTO EN 2021 U$S CABLE</t>
  </si>
  <si>
    <t>SBS SINCERAMIENTO LEY 27260 CLASE B</t>
  </si>
  <si>
    <t>TITULOS DE DEUDA DE LA PROV. DE BUENOS AIRES  //  AL 6,50% CON VTO. 2023</t>
  </si>
  <si>
    <t>SBS SINCERAMIENTO LEY 27260 CLASE C</t>
  </si>
  <si>
    <t>TITULOS DE DEUDA DE LA PROV. DE BUENOS AIRES  //  AL 6,50% CON VTO. 2023 DÓLAR U$S</t>
  </si>
  <si>
    <t>SC I RENTA MIXTA CLASE A</t>
  </si>
  <si>
    <t>TITULOS DE DEUDA DE LA PROV. DE BUENOS AIRES  //  AL 6,50% CON VTO. 2023 U$S CABLE</t>
  </si>
  <si>
    <t>SC I RENTA MIXTA CLASE B</t>
  </si>
  <si>
    <t xml:space="preserve">TITULOS DE DEUDA DE LA PROV. DE BUENOS AIRES EN PESOS  //  C/FECHA DE EMISION 06/12/16 y FECHA DE VTO 06/06/18 SERIE I CLASE I </t>
  </si>
  <si>
    <t>SC I RENTA MIXTA CLASE C</t>
  </si>
  <si>
    <t xml:space="preserve">TITULOS DE DEUDA DE LA PROV. DE BUENOS AIRES EN PESOS  //  C/FECHA DE EMISION 06/12/16 y FECHA DE VTO 06/12/19 SERIE I CLASE II </t>
  </si>
  <si>
    <t>SC II RENTA FIJA CLASE A</t>
  </si>
  <si>
    <t>TITULOS DE DEUDA DE LA PROV. DE BUENOS AIRES EN PESOS  //  C/FECHA DE EMISION 18/05/15 y FECHA DE VTO 18/05/17 SERIE II CLASE II</t>
  </si>
  <si>
    <t>SC II RENTA FIJA CLASE B</t>
  </si>
  <si>
    <t>TITULOS DE DEUDA DE LA PROV. DE BUENOS AIRES EN PESOS  //  C/FECHA DE EMISION 28/12/16 y FECHA DE VTO 28/12/18 SERIE II</t>
  </si>
  <si>
    <t>SC II RENTA FIJA CLASE C</t>
  </si>
  <si>
    <t xml:space="preserve">TITULOS DE DEUDA DE LA PROV. DE BUENOS AIRES EN PESOS  //  C/FECHA DE EMISION 31/07/15 y FECHA DE VTO 31/01/17 SERIE III </t>
  </si>
  <si>
    <t>SC II RENTA FIJA CLASE D</t>
  </si>
  <si>
    <t>TITULOS DE DEUDA DE LA PROV. DE CORDOBA  //  AL 7,125% CON VTO. EN EL 2021</t>
  </si>
  <si>
    <t>SCHRODER ARGENTINA CLASE A</t>
  </si>
  <si>
    <t>TITULOS DE DEUDA DE LA PROV. DE CORDOBA  //  AL 7,125% CON VTO. EN EL 2021  DÓLAR U$S</t>
  </si>
  <si>
    <t>SCHRODER ARGENTINA CLASE B</t>
  </si>
  <si>
    <t>TITULOS DE DEUDA DE LA PROV. DE CORDOBA  //  AL 7,125% CON VTO. EN EL 2021  U$S CABLE</t>
  </si>
  <si>
    <t>SCHRODER ARGENTINA CLASE C</t>
  </si>
  <si>
    <t>TITULOS DE DEUDA DE LA PROV. DE CORDOBA  //  AL 7,45% CON VTO. EN 2024</t>
  </si>
  <si>
    <t>SCHRODER ARGENTINA CLASE D</t>
  </si>
  <si>
    <t>TITULOS DE DEUDA DE LA PROV. DE CORDOBA  //  AL 7,45% CON VTO. EN 2024 DÓLAR U$S</t>
  </si>
  <si>
    <t>SCHRODER BALANCEADO - CLASE B</t>
  </si>
  <si>
    <t>TITULOS DE DEUDA DE LA PROV. DE CORDOBA EN DOL.ESTADOUN.  //  AL 7,1255 CON VTO. EN 2027 U$S CABLE</t>
  </si>
  <si>
    <t>SCHRODER CAPITAL RENTA FIJA CLASE B</t>
  </si>
  <si>
    <t>TITULOS DE DEUDA DE LA PROV. DE CORDOBA EN DOL.ESTADOUN.  //  CL. I AL 7,125% C/VTO. EN 2026 GARANTIZ.</t>
  </si>
  <si>
    <t>SCHRODER CORTO PLAZO CLASE B</t>
  </si>
  <si>
    <t xml:space="preserve">TITULOS DE DEUDA DE LA PROV. DE CORDOBA EN DOL.ESTADOUN.  //  CL. I AL 7,125% C/VTO. EN 2026 GARANTIZ. DÓLAR U$S </t>
  </si>
  <si>
    <t>SCHRODER DESARROLLO Y CRECIMIENTO PYMES CLASE B</t>
  </si>
  <si>
    <t>TITULOS DE DEUDA DE LA PROV. DE CORDOBA EN DOL.ESTADOUN.  //  CL. I AL 7,125% C/VTO. EN 2026 GARANTIZ. U$S CABLE</t>
  </si>
  <si>
    <t>SCHRODER DESARROLLO Y CRECIMIENTO PYMES CLASE C</t>
  </si>
  <si>
    <t>TÍTULOS DE DEUDA DE LA PROV. DE ENTRE RIOS  //  AL 8,75% CON VTO. EN 2025</t>
  </si>
  <si>
    <t>SCHRODER DESARROLLO Y CRECIMIENTO PYMES CLASE D</t>
  </si>
  <si>
    <t>TÍTULOS DE DEUDA DE LA PROV. DE ENTRE RIOS  //  AL 8,75% CON VTO. EN 2025 DÓLAR U$S</t>
  </si>
  <si>
    <t>SCHRODER INFRAESTRUCTURA - CLASE A</t>
  </si>
  <si>
    <t>TÍTULOS DE DEUDA DE LA PROV. DE ENTRE RIOS  //  AL 8,75% CON VTO. EN 2025 U$S CABLE</t>
  </si>
  <si>
    <t>SCHRODER INFRAESTRUCTURA - CLASE B</t>
  </si>
  <si>
    <t>TÍTULOS DE DEUDA DE LA PROV. DE JUJUY  //  AL 8,625% CON VTO. EN 2022</t>
  </si>
  <si>
    <t>SCHRODER INFRAESTRUCTURA - CLASE C</t>
  </si>
  <si>
    <t>TÍTULOS DE DEUDA DE LA PROV. DE JUJUY  //  AL 8,625% CON VTO. EN 2022 DÓLAR U$S</t>
  </si>
  <si>
    <t>SCHRODER INFRAESTRUCTURA - CLASE D</t>
  </si>
  <si>
    <t>TÍTULOS DE DEUDA DE LA PROV. DE JUJUY  //  AL 8,625% CON VTO. EN 2022 U$S CABLE</t>
  </si>
  <si>
    <t>SCHRODER MULTIACTIVOS - CLASE A</t>
  </si>
  <si>
    <t xml:space="preserve">TÍTULOS DE DEUDA DE LA PROV. DE MENDOZA   //  AL 8,375% CON VTO. EN 2024 </t>
  </si>
  <si>
    <t>SCHRODER MULTIACTIVOS - CLASE B</t>
  </si>
  <si>
    <t>TÍTULOS DE DEUDA DE LA PROV. DE MENDOZA   //  AL 8,375% CON VTO. EN 2024  DOLAR U$S</t>
  </si>
  <si>
    <t>SCHRODER PESOS CLASE B</t>
  </si>
  <si>
    <t>TÍTULOS DE DEUDA DE LA PROV. DE MENDOZA   //  AL 8,375% CON VTO. EN 2024 U$S CABLE</t>
  </si>
  <si>
    <t>SCHRODER RENTA FIJA - CLASE B</t>
  </si>
  <si>
    <t>TÍTULOS DE DEUDA DE LA PROV. DE MENDOZA   //  CLASE 1 CON VTO. 2021</t>
  </si>
  <si>
    <t>SCHRODER RENTA FIJA - CLASE C</t>
  </si>
  <si>
    <t>TÍTULOS DE DEUDA DE LA PROV. DE MENDOZA   //  CLASE 1 CON VTO. 2021 U$S CABLE</t>
  </si>
  <si>
    <t>SCHRODER RENTA GLOBAL DOS CLASE B</t>
  </si>
  <si>
    <t>TÍTULOS DE DEUDA DE LA PROV. DE MENDOZA   //  CLASE II VTO. 2018   PMO18</t>
  </si>
  <si>
    <t>SCHRODER RENTA GLOBAL FCI  CLASE B</t>
  </si>
  <si>
    <t>TÍTULOS DE DEUDA DE LA PROV. DE MENDOZA   //  CLASE II VTO. 2018   PO18X</t>
  </si>
  <si>
    <t>SCHRODER RENTA GLOBAL TRES CLASE B</t>
  </si>
  <si>
    <t>TÍTULOS DE DEUDA DE LA PROV. DE MENDOZA EN DOL.ESTAUN.  //  CLASE III A TASA FIJA CON VTO. 2018  PD18X</t>
  </si>
  <si>
    <t>SCHRODER RENTA PLUS CLASE A</t>
  </si>
  <si>
    <t>TÍTULOS DE DEUDA DE LA PROV. DE MENDOZA EN DOL.ESTAUN.  //  CLASE III A TASA FIJA CON VTO. 2018 DÓLAR U$S</t>
  </si>
  <si>
    <t>SCHRODER RENTA PLUS CLASE B</t>
  </si>
  <si>
    <t>TÍTULOS DE DEUDA DE LA PROV. DE MENDOZA EN DOL.ESTAUN.  //  CLASE III A TASA FIJA CON VTO. 2018 PMD18</t>
  </si>
  <si>
    <t>SCHRODER RENTA PLUS CLASE D</t>
  </si>
  <si>
    <t>TÍTULOS DE DEUDA DE LA PROV. DE RIO NEGRO EN PESOS  //  CLASE 1 CON VTO. EN 2020</t>
  </si>
  <si>
    <t>SCHRODER RENTA VARIABLE CLASE A</t>
  </si>
  <si>
    <t>TITULOS DE DEUDA DE LA PROV. DE SALTA  //  AL 9,125% CON VTO. EN 2024</t>
  </si>
  <si>
    <t>SCHRODER RENTA VARIABLE CLASE B</t>
  </si>
  <si>
    <t>TITULOS DE DEUDA DE LA PROV. DE SALTA  //  AL 9,125% CON VTO. EN 2024   U$S CABLE</t>
  </si>
  <si>
    <t>SCHRODER RENTA VARIABLE CLASE C</t>
  </si>
  <si>
    <t>TITULOS DE DEUDA DE LA PROV. DE SALTA  //  AL 9,125% CON VTO. EN 2024  DÓLAR U$S</t>
  </si>
  <si>
    <t>SCHRODER RENTA VARIABLE CLASE D</t>
  </si>
  <si>
    <t>TITULOS DE DEUDA DE LA PROV. DE SALTA  //  CLASE 1 GARANTIZADOS A TASA MIXTA</t>
  </si>
  <si>
    <t>SCHRODER RETORNO ABSOLUTO CLASE B</t>
  </si>
  <si>
    <t>TITULOS DE DEUDA DE LA PROV. DE SAN JUAN   //  GARANTIZ. POR LA REP.ARGENTINA</t>
  </si>
  <si>
    <t>SCHRODER RETORNO TOTAL - CLASE B</t>
  </si>
  <si>
    <t>TITULOS DE DEUDA DE LA PROV. DEL CHUBUT  //  GARANTIZ.AMORTIZ.A T. DEL 8,875% VTO.2023 DÓLAR U$S</t>
  </si>
  <si>
    <t>SCHRODER RETORNO TOTAL DOS - CLASE A</t>
  </si>
  <si>
    <t>TITULOS DE DEUDA DE LA PROV. DEL CHUBUT  //  GARANTIZ.AMORTIZ.A TASA DEL 8,875% VTO.2023</t>
  </si>
  <si>
    <t>SCHRODER RETORNO TOTAL DOS - CLASE B</t>
  </si>
  <si>
    <t>TITULOS DE DEUDA GARANTIZADOS CON FONDOS DEL REG. DE COPARTICIPACIÓN FEDERAL DE IMPUESTOS - PCIA. DE CORDOBA  //  AL 12% CON VTO. EN EL 2017  CO17</t>
  </si>
  <si>
    <t>SMSV RENTA EN DOLARES CLASE C</t>
  </si>
  <si>
    <t>TITULOS DE DEUDA GARANTIZADOS CON FONDOS DEL REG. DE COPARTICIPACIÓN FEDERAL DE IMPUESTOS - PCIA. DE CORDOBA  //  AL 12% CON VTO. EN EL 2017  CO17X</t>
  </si>
  <si>
    <t>SMSV RENTA EN PESOS CLASE C</t>
  </si>
  <si>
    <t>TITULOS DE DEUDA PUBLICA CDAD.AUTONOMA DE BUENOS AIRES  //  AL 1,95% CON VTO. EN 2019 CLASE N° 5</t>
  </si>
  <si>
    <t>ST ABIERTO PYMES CLASE B</t>
  </si>
  <si>
    <t>TITULOS DE DEUDA PUBLICA CDAD.AUTONOMA DE BUENOS AIRES  //  AL 1,95% CON VTO. EN 2020 CLASE N° 6     BC20B</t>
  </si>
  <si>
    <t>ST ABIERTO PYMES CLASE C</t>
  </si>
  <si>
    <t>TITULOS DE DEUDA PUBLICA CDAD.AUTONOMA DE BUENOS AIRES  //  AL 1,95% CON VTO. EN 2020 CLASE N° 6     BDC20</t>
  </si>
  <si>
    <t>ST ESTRATEGICO CLASE A</t>
  </si>
  <si>
    <t>TITULOS DE DEUDA PUBLICA CDAD.AUTONOMA DE BUENOS AIRES  //  AL 1,95% CON VTO. EN 2020 CLASE N° 6  DÓLAR U$S</t>
  </si>
  <si>
    <t>ST ESTRATEGICO CLASE B</t>
  </si>
  <si>
    <t>TITULOS DE DEUDA PUBLICA CDAD.AUTONOMA DE BUENOS AIRES  //  AL 3,98% CON VTO. EN 2018 CLASE N° 3</t>
  </si>
  <si>
    <t>ST GLOBAL CLASE A</t>
  </si>
  <si>
    <t>TITULOS DE DEUDA PUBLICA CDAD.AUTONOMA DE BUENOS AIRES  //  AL 3,98% CON VTO. EN 2018 CLASE N° 3 U$S CABLE</t>
  </si>
  <si>
    <t>ST GLOBAL CLASE B</t>
  </si>
  <si>
    <t>TITULOS DE DEUDA PUBLICA CDAD.AUTONOMA DE BUENOS AIRES  //  AL 3,98% FIJO NOM.ANUAL VTO. 17/05/19 CL 4  BC19X</t>
  </si>
  <si>
    <t>ST GLOBAL CLASE C</t>
  </si>
  <si>
    <t>TITULOS DE DEUDA PUBLICA CDAD.AUTONOMA DE BUENOS AIRES  //  AL 3,98% FIJO NOM.ANUAL VTO. 17/05/19 CL 4  BDC19</t>
  </si>
  <si>
    <t>ST GLOBAL CLASE D</t>
  </si>
  <si>
    <t>TITULOS DE DEUDA PUBLICA CDAD.AUTONOMA DE BUENOS AIRES  //  AL 3,98% FJO NOM.AN VTO. 17/05/19 CL 4 DÓLAR U$S</t>
  </si>
  <si>
    <t>ST ONE AHORRO CLASE B</t>
  </si>
  <si>
    <t>TITULOS DE DEUDA PUBLICA CDAD.AUTONOMA DE BUENOS AIRES  //  AL 3,98% FJO NOM.AN VTO. 17/05/19 CL 4 U$S CABLE</t>
  </si>
  <si>
    <t>ST PROVINCIAL DOLARES CLASE A</t>
  </si>
  <si>
    <t>TITULOS DE DEUDA PUBLICA CDAD.AUTONOMA DE BUENOS AIRES  //  CLASE N° 15 A TASA MIXTA C/VTO. EN 2018</t>
  </si>
  <si>
    <t>ST PROVINCIAL DOLARES CLASE B</t>
  </si>
  <si>
    <t>TITULOS DE DEUDA PUBLICA CDAD.AUTONOMA DE BUENOS AIRES  //  CLASE N° 16 A TASA VARIABLE C/VTO. EN 2020</t>
  </si>
  <si>
    <t>ST PROVINCIAL DOLARES CLASE C</t>
  </si>
  <si>
    <t>TITULOS DE DEUDA PUBLICA CDAD.AUTONOMA DE BUENOS AIRES  //  CLASE N° 18 A TASA VARIABLE C/VTO. EN 2020</t>
  </si>
  <si>
    <t>ST RENTA FIJA CLASE A</t>
  </si>
  <si>
    <t>TITULOS DE DEUDA PUBLICA CDAD.AUTONOMA DE BUENOS AIRES  //  CLASE N° 19 A TASA VARIABLE C/VTO. EN 2018</t>
  </si>
  <si>
    <t>ST RENTA FIJA CLASE B</t>
  </si>
  <si>
    <t>TITULOS DE DEUDA PUBLICA CDAD.AUTONOMA DE BUENOS AIRES  //  CLASE N° 20 A TASA VARIABLE C/VTO. EN 2022  BC22X</t>
  </si>
  <si>
    <t>ST RENTA MIXTA - CLASE A</t>
  </si>
  <si>
    <t>TITULOS DE DEUDA PUBLICA CDAD.AUTONOMA DE BUENOS AIRES  //  CLASE N° 20 A TASA VARIABLE C/VTO. EN 2022  BDC22</t>
  </si>
  <si>
    <t>ST RENTA MIXTA - CLASE B</t>
  </si>
  <si>
    <t>TITULOS DE DEUDA PUBLICA CDAD.AUTONOMA DE BUENOS AIRES  //  CLASE N° 22 A T.VARIABLE C/VTO. EL 29/03/24</t>
  </si>
  <si>
    <t>ST RENTA MIXTA - CLASE C</t>
  </si>
  <si>
    <t>TITULOS DE DEUDA PUBLICA CDAD.AUTONOMA DE BUENOS AIRES  //  CLASE N° 22 A T.VARIABLE C/VTO. EL 29/03/24 DÓLAR U$S</t>
  </si>
  <si>
    <t>ST RENTA PESOS CLASE A</t>
  </si>
  <si>
    <t>TITULOS DE DEUDA PUBLICA CDAD.AUTONOMA DE BUENOS AIRES  //  CLASE N° 22 A T.VARIABLE C/VTO. EL 29/03/24 U$S CABLE</t>
  </si>
  <si>
    <t>ST RENTA PESOS CLASE B</t>
  </si>
  <si>
    <t xml:space="preserve">TITULOS DE DEUDA PUBLICA DE LA PROVINCIA DE BUENOS AIRES  //  AL 5,75% CON VTO. EN 2019 </t>
  </si>
  <si>
    <t>ST RENTA PESOS CLASE C</t>
  </si>
  <si>
    <t>TITULOS DE DEUDA PUBLICA DE LA PROVINCIA DE BUENOS AIRES  //  AL 5,75% CON VTO. EN 2019  DÓLAR U$S</t>
  </si>
  <si>
    <t>ST RENTA PESOS CLASE D</t>
  </si>
  <si>
    <t>TITULOS DE DEUDA PUBLICA DE LA PROVINCIA DE BUENOS AIRES  //  AL 5,75% CON VTO. EN 2019  U$S CABLE</t>
  </si>
  <si>
    <t xml:space="preserve">ST RENTA PLUS </t>
  </si>
  <si>
    <t xml:space="preserve">TITULOS DE DEUDA PUBLICA DE LA PROVINCIA DE BUENOS AIRES  //  AL 7,875% CON VTO. EN 2027 </t>
  </si>
  <si>
    <t>ST RENTA VARIABLE CLASE A</t>
  </si>
  <si>
    <t xml:space="preserve">TITULOS DE DEUDA PUBLICA DE LA PROVINCIA DE BUENOS AIRES  //  AL 7,875% CON VTO. EN 2027 DÓLAR U$S </t>
  </si>
  <si>
    <t>ST RENTA VARIABLE CLASE B</t>
  </si>
  <si>
    <t>TITULOS DE DEUDA PUBLICA DE LA PROVINCIA DE BUENOS AIRES  //  AL 7,875% CON VTO. EN 2027 U$S CABLE</t>
  </si>
  <si>
    <t>ST RENTA VARIABLE CLASE C</t>
  </si>
  <si>
    <t xml:space="preserve">TITULOS DE DEUDA PUBLICA DE LA PROVINCIA DE BUENOS AIRES  //  AL 9,125% CON VTO. EN 2024 </t>
  </si>
  <si>
    <t>ST RETORNO TOTAL CLASE A</t>
  </si>
  <si>
    <t xml:space="preserve">TITULOS DE DEUDA PUBLICA DE LA PROVINCIA DE BUENOS AIRES  //  AL 9,125% CON VTO. EN 2024 DÓLAR U$S </t>
  </si>
  <si>
    <t>ST RETORNO TOTAL CLASE B</t>
  </si>
  <si>
    <t>TITULOS DE DEUDA PUBLICA DE LA PROVINCIA DE BUENOS AIRES  //  AL 9,125% CON VTO. EN 2024 U$S CABLE</t>
  </si>
  <si>
    <t>ST RETORNO TOTAL CLASE C</t>
  </si>
  <si>
    <t>TITULOS DE DEUDA PUBLICA DE LA PROVINCIA DE BUENOS AIRES  //  al 9,375% con vencimiento en 2018 (bp18)</t>
  </si>
  <si>
    <t>ST RETORNO TOTAL CLASE D</t>
  </si>
  <si>
    <t>TITULOS DE DEUDA PUBLICA DE LA PROVINCIA DE BUENOS AIRES  //  AL 9,375% CON VTO EN 2018 (BP18) DÓLAR U$S</t>
  </si>
  <si>
    <t>ST RETORNO TOTAL DOLARES CLASE A</t>
  </si>
  <si>
    <t>TITULOS DE DEUDA PUBLICA DE LA PROVINCIA DE BUENOS AIRES  //  AL 9,375% CON VTO. EN 2018 (BP18) U$S CABLE</t>
  </si>
  <si>
    <t>ST RETORNO TOTAL DOLARES CLASE B</t>
  </si>
  <si>
    <t>TITULOS DE DEUDA PUBLICA DE LA PROVINCIA DE BUENOS AIRES  //  al 9,625% con vencimiento final en 2028</t>
  </si>
  <si>
    <t>ST RETORNO TOTAL DOLARES CLASE C</t>
  </si>
  <si>
    <t xml:space="preserve">TITULOS DE DEUDA PUBLICA DE LA PROVINCIA DE BUENOS AIRES  //  AL 9,625% CON VTO. FINAL EN 2028 DÓLAR U$S </t>
  </si>
  <si>
    <t>ST RETORNO TOTAL DOLARES CLASE D</t>
  </si>
  <si>
    <t>TITULOS DE DEUDA PUBLICA DE LA PROVINCIA DE BUENOS AIRES  //  AL 9,625% CON VTO. FINAL EN 2028 U$S CABLE</t>
  </si>
  <si>
    <t>SUPER  AHORRO $ CLASE A</t>
  </si>
  <si>
    <t>TITULOS DE DEUDA PUBLICA DE LA PROVINCIA DE BUENOS AIRES  //  AL 9,95% CON VENCIMIENTO FINAL EN 2021 DÓLAR U$S</t>
  </si>
  <si>
    <t>SUPER  AHORRO $ CLASE B</t>
  </si>
  <si>
    <t xml:space="preserve">TITULOS DE DEUDA PUBLICA DE LA PROVINCIA DE BUENOS AIRES  //  AL 9,95% CON VTO FINAL EN 2021 </t>
  </si>
  <si>
    <t>SUPER AHORRO PLUS CLASE A</t>
  </si>
  <si>
    <t>TITULOS DE DEUDA PUBLICA DE LA PROVINCIA DE BUENOS AIRES  //  AL 9,95% CON VTO FINAL EN 2021  U$S CABLE</t>
  </si>
  <si>
    <t>SUPER AHORRO PLUS CLASE B</t>
  </si>
  <si>
    <t>TITULOS DE DEUDA PUBLICA DE LA PROVINCIA DE ENTRE RÍOS   //  CLASE I SERIE I</t>
  </si>
  <si>
    <t>SUPER AHORRO U$S CLASE A ex LETES</t>
  </si>
  <si>
    <t>TITULOS DE DEUDA PUBLICA DE LA PROVINCIA DE ENTRE RÍOS EN PESOS  //  ER 2015 SERIE I</t>
  </si>
  <si>
    <t>SUPER AHORRO U$S CLASE B ex LETES</t>
  </si>
  <si>
    <t xml:space="preserve">TITULOS DE DEUDA PUBLICA DE LA PROVINCIA DE ENTRE RÍOS EN PESOS  //  ER 2015 SERIE II CLASE A </t>
  </si>
  <si>
    <t xml:space="preserve">SUPER BONOS CLASE A </t>
  </si>
  <si>
    <t>TITULOS DE DEUDA PUBLICA DE LA PROVINCIA DE ENTRE RÍOS EN PESOS  //  ER 2015 SERIE III</t>
  </si>
  <si>
    <t>SUPER BONOS CLASE B</t>
  </si>
  <si>
    <t>TITULOS DE DEUDA PUBLICA DE LA PROVINCIA DE FORMOSA  //  con vto en 2022</t>
  </si>
  <si>
    <t>SUPER BONOS CLASE F</t>
  </si>
  <si>
    <t>TITULOS DE DEUDA PUBLICA DE LA PROVINCIA DE FORMOSA  //  con vto en 2022 u$s cable</t>
  </si>
  <si>
    <t>SUPER RENTA FUTURA CLASE A</t>
  </si>
  <si>
    <t>TITULOS DE DEUDA PUBLICA DE LA PROVINCIA DE LA RIOJA  //  AL 9,750% CON VTO. EN 2025 U$S CABLE</t>
  </si>
  <si>
    <t>SUPER RENTA FUTURA CLASE B</t>
  </si>
  <si>
    <t>TITULOS DE DEUDA PUBLICA DE LA PROVINCIA DEL CHACO  //  AL 9,375% CON VTO. EN 2024</t>
  </si>
  <si>
    <t>SUPERFONDO 2000</t>
  </si>
  <si>
    <t xml:space="preserve">TITULOS DE DEUDA PUBLICA DE LA PROVINCIA DEL CHACO  //  AL 9,375% CON VTO. EN 2024 DÓLAR U$S </t>
  </si>
  <si>
    <t>SUPERFONDO 2001 EX LETES DOLARES 18/01/2002</t>
  </si>
  <si>
    <t>TITULOS DE DEUDA PUBLICA DE LA PROVINCIA DEL CHACO  //  AL 9,375% CON VTO. EN 2024 U$S CABLE</t>
  </si>
  <si>
    <t>SUPERFONDO ACCIONES BRASIL CLASE A</t>
  </si>
  <si>
    <t xml:space="preserve">TITULOS DE DEUDA PUBLICA DE MEDIANO PLAZO GARANTIZADOS CON DERECHOS DE COPARTICIPACION - TUCUMAN  //  con vto 2004 serie 02 al 9,45% </t>
  </si>
  <si>
    <t>SUPERFONDO ACCIONES BRASIL CLASE B</t>
  </si>
  <si>
    <t>TITULOS DE DEUDA PUBLICA DE MEDIANO PLAZO GARANTIZADOS CON DERECHOS DE COPARTICIPACION - TUCUMAN  //  con vto 2004 serie 02 al 9,45%  u$s cable</t>
  </si>
  <si>
    <t>SUPERFONDO ACCIONES CLASE A</t>
  </si>
  <si>
    <t xml:space="preserve">TITULOS DE DEUDA PUBLICA GARANTIZADOS CON DERECHOS DE COPARTICIP.FEDERAL DE IMPTOS (LAPACHO I) PROV. DE FORMOSA  //  serie 01 con vto en 2005 </t>
  </si>
  <si>
    <t>SUPERFONDO ACCIONES CLASE B</t>
  </si>
  <si>
    <t>TITULOS DE DEUDA PUBLICA GARANTIZADOS CON DERECHOS DE COPARTICIP.FEDERAL DE IMPTOS PROV. DE FORMOSA  //  serie 02 con vto en 2005</t>
  </si>
  <si>
    <t>SUPERFONDO ACCIONES CLASE F</t>
  </si>
  <si>
    <t>TITULOS DE DEUDAS - PROV. DE MISIONES  //  senior</t>
  </si>
  <si>
    <t>SUPERFONDO AHORRO U$S-ex LETES</t>
  </si>
  <si>
    <t>TITULOS DE LA EMPRESA PROVINCIAL DE ENERGÍA DE CÓRDOBA  //  DE DEUDA PUB. GARANTIZ. VTO. 2022 DÓLAR U$S</t>
  </si>
  <si>
    <t>SUPERFONDO COMBINADO CLASE A</t>
  </si>
  <si>
    <t>TITULOS DE LA EMPRESA PROVINCIAL DE ENERGÍA DE CÓRDOBA  //  DE DEUDA PUBLICA GARANTIZADOS</t>
  </si>
  <si>
    <t>SUPERFONDO COMBINADO CLASE B</t>
  </si>
  <si>
    <t>TITULOS DE LA EMPRESA PROVINCIAL DE ENERGÍA DE CÓRDOBA  //  DE DEUDA PUBLICA GARANTIZADOS VTO. 2022</t>
  </si>
  <si>
    <t>SUPERFONDO COMBINADO CLASE C</t>
  </si>
  <si>
    <t>TITULOS DE LA PROV.DE T.DEL FUEGO,ANTARTIDA E ISLAS DEL ATLANTICO SUR  //  GARANTIZ. AL 8,95% CON VTO. EN 2027</t>
  </si>
  <si>
    <t>SUPERFONDO COMBINADO CLASE D</t>
  </si>
  <si>
    <t>TITULOS DE LA PROV.DE T.DEL FUEGO,ANTARTIDA E ISLAS DEL ATLANTICO SUR  //  GARANTIZ. AL 8,95% CON VTO. EN 2027 DÓLAR U$S</t>
  </si>
  <si>
    <t>SUPERFONDO EMPRESAS ARG. ABIERTO PYMES CLASE A</t>
  </si>
  <si>
    <t>TITULOS DE LA PROV.DE T.DEL FUEGO,ANTARTIDA E ISLAS DEL ATLANTICO SUR  //  GARANTIZ. AL 8,95% CON VTO. EN 2027 U$S CABLE</t>
  </si>
  <si>
    <t>SUPERFONDO EMPRESAS ARG. ABIERTO PYMES CLASE B</t>
  </si>
  <si>
    <t xml:space="preserve">TITULOS DE LA PROVINCIA DE NEUQUEN  //  DEUDA GARANTIZADOS CON REGALIAS HIDROCARBURIFERAS </t>
  </si>
  <si>
    <t>SUPERFONDO EMPRESAS ARG. ABIERTO PYMES CLASE C</t>
  </si>
  <si>
    <t>TITULOS DE LA PROVINCIA DE NEUQUEN  //  DEUDA GARANTIZADOS CON REGALIAS HIDROCARBURIFERAS U$S CABLE</t>
  </si>
  <si>
    <t>SUPERFONDO EQUILIBRADO CLASE A</t>
  </si>
  <si>
    <t xml:space="preserve">TITULOS DE LA PROVINCIA DE SALTA  //  DEUDA GARANTIZADOS CON REGALIAS HIDROCARBURIFERAS </t>
  </si>
  <si>
    <t>SUPERFONDO EQUILIBRADO CLASE B</t>
  </si>
  <si>
    <t>TITULOS DE REESTRUCTURACION DE DEUDAS -PROV. DE MENDOZA  //  2015</t>
  </si>
  <si>
    <t>SUPERFONDO EQUILIBRADO CLASE C</t>
  </si>
  <si>
    <t>TITULOS DE REESTRUCTURACION DE DEUDAS -PROV. DE MENDOZA  //  2015 DÓLAR U$S</t>
  </si>
  <si>
    <t>SUPERFONDO EQUILIBRADO CLASE D</t>
  </si>
  <si>
    <t>TITULOS DE REESTRUCTURACION DE DEUDAS -PROV. DE MENDOZA  //  2015 U$S CABLE</t>
  </si>
  <si>
    <t>SUPERFONDO ESTRATEGICO CLASE A</t>
  </si>
  <si>
    <t>TITULOS DEL GOBIERNO NACIONAL  //  PAR DENOMIN.EN DOL.ESTADOUN.(REGIDOS POR LEY ARG.)   PARA</t>
  </si>
  <si>
    <t>SUPERFONDO ESTRATEGICO CLASE B</t>
  </si>
  <si>
    <t>TITULOS DEL GOBIERNO NACIONAL  //  PAR DENOMIN.EN DOL.ESTADOUN.(REGIDOS POR LEY ARG.)   PARAX</t>
  </si>
  <si>
    <t>SUPERFONDO ESTRATEGICO CLASE C</t>
  </si>
  <si>
    <t xml:space="preserve">TITULOS DEL GOBIERNO NACIONAL  //  PAR DENOMIN.EN DOL.ESTADOUN.(REGIDOS POR LEY ARG.)  DÓLAR U$S </t>
  </si>
  <si>
    <t>SUPERFONDO ESTRATEGICO CLASE D</t>
  </si>
  <si>
    <t>TITULOS DEL GOBIERNO NACIONAL  //  PAR DENOMIN.EN DOL.ESTADOUN.(REGIDOS POR LEY ARG.) U$S CABLE</t>
  </si>
  <si>
    <t>SUPERFONDO ESTRATEGICO CLASE E</t>
  </si>
  <si>
    <t>TITULOS DEL GOBIERNO NACIONAL  //  PAR DENOMINADOS EN PESOS   PARP</t>
  </si>
  <si>
    <t>SUPERFONDO ESTRATEGICO CLASE F</t>
  </si>
  <si>
    <t>TITULOS DEL GOBIERNO NACIONAL  //  PAR DENOMINADOS EN PESOS   PARPX</t>
  </si>
  <si>
    <t>SUPERFONDO LATINOAMERICA CLASE A</t>
  </si>
  <si>
    <t>TITULOS DEL GOBIERNO NACIONAL  //  PAR DENOMINADOS EN PESOS U$S CABLE PARPC</t>
  </si>
  <si>
    <t>SUPERFONDO LATINOAMERICA CLASE B</t>
  </si>
  <si>
    <t>TITULOS DEL GOBIERNO NACIONAL  //  PAR DENOMINADOS EN PESOS U$S CABLE PARPZ</t>
  </si>
  <si>
    <t>SUPERFONDO MULTIRENTA CLASE A</t>
  </si>
  <si>
    <t>TITULOS DEL GOBIERNO NACIONAL  //  PAR EN DOL.ESTADOUN. REGIDOS POR LEY DE NUEVA YORK    PARY</t>
  </si>
  <si>
    <t>SUPERFONDO MULTIRENTA CLASE B</t>
  </si>
  <si>
    <t>TITULOS DEL GOBIERNO NACIONAL  //  PAR EN DOL.ESTADOUN. REGIDOS POR LEY DE NUEVA YORK    PARYX</t>
  </si>
  <si>
    <t>SUPERFONDO MULTIRENTA CLASE C</t>
  </si>
  <si>
    <t>TITULOS DEL GOBIERNO NACIONAL  //  PAR EN DOL.ESTADOUN. REGIDOS POR LEY DE NUEVA YORK DÓLAR (U$S)</t>
  </si>
  <si>
    <t>SUPERFONDO MULTIRENTA CLASE D</t>
  </si>
  <si>
    <t>TITULOS DEL GOBIERNO NACIONAL  //  PAR EN DOL.ESTADOUN. REGIDOS POR LEY DE NUEVA YORK U$S CABLE</t>
  </si>
  <si>
    <t>SUPERFONDO MULTIRENTA CLASE E</t>
  </si>
  <si>
    <t>TITULOS DEL GOBIERNO NACIONAL  //  VINCULADOS AL PBI DENOM. EN PESOS U$S CABLE</t>
  </si>
  <si>
    <t>SUPERFONDO MULTIRENTA CLASE F</t>
  </si>
  <si>
    <t xml:space="preserve">TITULOS DEL GOBIERNO NACIONAL  //  VINCULADOS AL PBI DENOMIN. EN DOL. ESTADOUN. (REGIDOS POR LEY DE NUEVA YORK) DÓLAR U$S </t>
  </si>
  <si>
    <t>SUPERFONDO RENTA  $ CLASE A</t>
  </si>
  <si>
    <t>TITULOS DEL GOBIERNO NACIONAL  //  VINCULADOS AL PBI DENOMIN. EN DOL. ESTADOUN. (REGIDOS POR LEY DE NUEVA YORK) U$S CABLE</t>
  </si>
  <si>
    <t>SUPERFONDO RENTA  $ CLASE B</t>
  </si>
  <si>
    <t>TITULOS DEL GOBIERNO NACIONAL  //  VINCULADOS AL PBI DENOMIN. EN DOL.ESTADOUN. (REGIDOS POR LEY ARG.)   TVPA</t>
  </si>
  <si>
    <t>SUPERFONDO RENTA  $ CLASE F</t>
  </si>
  <si>
    <t>TITULOS DEL GOBIERNO NACIONAL  //  VINCULADOS AL PBI DENOMIN. EN DOL.ESTADOUN. (REGIDOS POR LEY ARG.)   TVPAX</t>
  </si>
  <si>
    <t>SUPERFONDO RENTA BALANCE CLASE A</t>
  </si>
  <si>
    <t xml:space="preserve">TITULOS DEL GOBIERNO NACIONAL  //  VINCULADOS AL PBI DENOMIN. EN DOL.ESTADOUN. (REGIDOS POR LEY ARG.)  DÓLAR U$S </t>
  </si>
  <si>
    <t>SUPERFONDO RENTA BALANCE CLASE B</t>
  </si>
  <si>
    <t>TITULOS DEL GOBIERNO NACIONAL  //  VINCULADOS AL PBI DENOMIN. EN DOL.ESTADOUN. (REGIDOS POR LEY ARG.) U$S CABLE</t>
  </si>
  <si>
    <t>SUPERFONDO RENTA BALANCE CLASE C</t>
  </si>
  <si>
    <t>TITULOS DEL GOBIERNO NACIONAL  //  VINCULADOS AL PBI DENOMIN. EN DOL.ESTADOUN. (REGIDOS POR LEY DE NUEVA YORK)    TVPY</t>
  </si>
  <si>
    <t>SUPERFONDO RENTA BALANCE CLASE D</t>
  </si>
  <si>
    <t>TITULOS DEL GOBIERNO NACIONAL  //  VINCULADOS AL PBI DENOMIN. EN DOL.ESTADOUN. (REGIDOS POR LEY DE NUEVA YORK)    TVPYX</t>
  </si>
  <si>
    <t>SUPERFONDO RENTA BALANCE CLASE E</t>
  </si>
  <si>
    <t>TITULOS DEL GOBIERNO NACIONAL  //  VINCULADOS AL PBI DENOMINADOS EN PESOS DÓLAR U$S</t>
  </si>
  <si>
    <t>SUPERFONDO RENTA BALANCE CLASE F</t>
  </si>
  <si>
    <t>TITULOS DEL GOBIERNO NACIONAL  //  VINCULADOS AL PBI DENOMINADOS EN PESOS TVPP</t>
  </si>
  <si>
    <t xml:space="preserve">SUPERFONDO RENTA FIJA -  CLASE A </t>
  </si>
  <si>
    <t>TITULOS DEL GOBIERNO NACIONAL  //  VINCULADOS AL PBI DENOMINADOS EN PESOS TVPPX</t>
  </si>
  <si>
    <t>SUPERFONDO RENTA FIJA -  CLASE B</t>
  </si>
  <si>
    <t>TITULOS DEL GOBIERNO NACIONAL  //  VINCULADOS AL PBI EN EUROS QUE VENCEN EN DICIEMBRE DE 2035 DÓLAR U$S</t>
  </si>
  <si>
    <t>SUPERFONDO RENTA FIJA -  CLASE F</t>
  </si>
  <si>
    <t>TITULOS DEL GOBIERNO NACIONAL  //  VINCULADOS AL PBI EN EUROS QUE VENCEN EN DICIEMBRE DE 2035 TVPE</t>
  </si>
  <si>
    <t>SUPERFONDO RENTA FIJA DOLARES CLASE A</t>
  </si>
  <si>
    <t>TITULOS DEL GOBIERNO NACIONAL  //  VINCULADOS AL PBI EN EUROS QUE VENCEN EN DICIEMBRE DE 2035 TVPEX</t>
  </si>
  <si>
    <t>SUPERFONDO RENTA FIJA DOLARES CLASE B</t>
  </si>
  <si>
    <t>TITULOS DEL GOBIERNO NACIONAL  //  VINCULADOS AL PBI EN EUROS QUE VENCEN EN DICIEMBRE DE 2035 U$S CABLE</t>
  </si>
  <si>
    <t>SUPERFONDO RENTA FIJA DOLARES CLASE C</t>
  </si>
  <si>
    <t>TITULOS DISCOUNT DENOMINADOS EN DOL.ESTADOUN.(REGIDOS POR LEY ARGENT.)  //  DICA</t>
  </si>
  <si>
    <t>SUPERFONDO RENTA FIJA DOLARES CLASE D</t>
  </si>
  <si>
    <t>TITULOS DISCOUNT DENOMINADOS EN DOL.ESTADOUN.(REGIDOS POR LEY ARGENT.)  //  DICAX</t>
  </si>
  <si>
    <t>SUPERFONDO RENTA FIJA DOLARES CLASE E</t>
  </si>
  <si>
    <t>TITULOS DISCOUNT DENOMINADOS EN DOL.ESTADOUN.(REGIDOS POR LEY ARGENT.)  //  DÓLAR U$S  DICAD</t>
  </si>
  <si>
    <t>SUPERFONDO RENTA FIJA DOLARES CLASE F</t>
  </si>
  <si>
    <t>TITULOS DISCOUNT DENOMINADOS EN DOL.ESTADOUN.(REGIDOS POR LEY ARGENT.)  //  DÓLAR U$S  DICAY</t>
  </si>
  <si>
    <t>SUPERFONDO RENTA FIJA DOLARES II LEY 27260 CLASE A</t>
  </si>
  <si>
    <t>TITULOS DISCOUNT DENOMINADOS EN DOL.ESTADOUN.(REGIDOS POR LEY ARGENT.)  //  U$S CABLE     DICAC</t>
  </si>
  <si>
    <t>SUPERFONDO RENTA FIJA DOLARES II LEY 27260 CLASE B</t>
  </si>
  <si>
    <t>TITULOS DISCOUNT DENOMINADOS EN DOL.ESTADOUN.(REGIDOS POR LEY ARGENT.)  //  U$S CABLE     DICAZ</t>
  </si>
  <si>
    <t>SUPERFONDO RENTA FIJA DOLARES II LEY 27260 CLASE C</t>
  </si>
  <si>
    <t>TITULOS DISCOUNT EN EUROS GOBIERNO NACIONAL  //  con vto en diciembre de 2033</t>
  </si>
  <si>
    <t>SUPERFONDO RENTA FIJA DOLARES II LEY 27260 CLASE D</t>
  </si>
  <si>
    <t>TITULOS DISCOUNT EN EUROS GOBIERNO NACIONAL  //  con vto en diciembre de 2033 u$s cable</t>
  </si>
  <si>
    <t>SUPERFONDO RENTA FIJA LATAM CLASE A</t>
  </si>
  <si>
    <t>TITULOS DISCOUNT EN PESOS REGIDOS POR LEY ARGENTINA (AJUSTABLES POR CERI)  //  VTO  DICIEMBRE DE 2033   DICP</t>
  </si>
  <si>
    <t>SUPERFONDO RENTA FIJA LATAM CLASE B</t>
  </si>
  <si>
    <t>TITULOS DISCOUNT EN PESOS REGIDOS POR LEY ARGENTINA (AJUSTABLES POR CERI)  //  VTO  DICIEMBRE DE 2033   DICPX</t>
  </si>
  <si>
    <t>SUPERFONDO RENTA FIJA LATAM CLASE C</t>
  </si>
  <si>
    <t>TITULOS DISCOUNT EN PESOS REGIDOS POR LEY ARGENTINA (AJUSTABLES POR CERI)  //  VTO  DICIEMBRE DE 2033 DÓLAR U$S  DICPD</t>
  </si>
  <si>
    <t>SUPERFONDO RENTA FIJA LATAM CLASE D</t>
  </si>
  <si>
    <t>TITULOS DISCOUNT EN PESOS REGIDOS POR LEY ARGENTINA (AJUSTABLES POR CERI)  //  VTO  DICIEMBRE DE 2033 DÓLAR U$S  DICPY</t>
  </si>
  <si>
    <t>SUPERFONDO RENTA FIJA LATAM CLASE E</t>
  </si>
  <si>
    <t>TITULOS DISCOUNT EN PESOS REGIDOS POR LEY ARGENTINA (AJUSTABLES POR CERI)  //  VTO  DICIEMBRE DE 2033 U$S CABLE  DICPC</t>
  </si>
  <si>
    <t>SUPERFONDO RENTA FIJA LATAM CLASE F</t>
  </si>
  <si>
    <t>TITULOS DISCOUNT EN PESOS REGIDOS POR LEY ARGENTINA (AJUSTABLES POR CERI)  //  VTO  DICIEMBRE DE 2033 U$S CABLE  DICPZ</t>
  </si>
  <si>
    <t>SUPERFONDO RENTA MIXTA CLASE A</t>
  </si>
  <si>
    <t>TITULOS DISCOUNT EN U$S REGIDOS POR LEY DE NUEVA YORK  //  VTO DICIEMBRE DE 2033   DICY</t>
  </si>
  <si>
    <t>SUPERFONDO RENTA MIXTA CLASE B</t>
  </si>
  <si>
    <t>TITULOS DISCOUNT EN U$S REGIDOS POR LEY DE NUEVA YORK  //  VTO DICIEMBRE DE 2033   DICYX</t>
  </si>
  <si>
    <t>SUPERFONDO RENTA MIXTA CLASE C</t>
  </si>
  <si>
    <t>TITULOS DISCOUNT EN U$S REGIDOS POR LEY DE NUEVA YORK  //  VTO DICIEMBRE DE 2033 DÓLAR U$S  DICYD</t>
  </si>
  <si>
    <t>SUPERFONDO RENTA MIXTA CLASE D</t>
  </si>
  <si>
    <t>TITULOS DISCOUNT EN U$S REGIDOS POR LEY DE NUEVA YORK  //  VTO DICIEMBRE DE 2033 DÓLAR U$S DICYY</t>
  </si>
  <si>
    <t>SUPERFONDO RENTA VARIABLE CLASE A</t>
  </si>
  <si>
    <t>TITULOS DISCOUNT EN U$S REGIDOS POR LEY DE NUEVA YORK  //  VTO DICIEMBRE DE 2033 U$S CABLE   DICYC</t>
  </si>
  <si>
    <t>SUPERFONDO RENTA VARIABLE CLASE B</t>
  </si>
  <si>
    <t>TITULOS DISCOUNT EN U$S REGIDOS POR LEY DE NUEVA YORK  //  VTO DICIEMBRE DE 2033 U$S CABLE   DICYZ</t>
  </si>
  <si>
    <t>SUPERFONDO RENTA VARIABLE CLASE F</t>
  </si>
  <si>
    <t>TITULOS PAR EN EUROS  //  con vto en diciembre de 2038</t>
  </si>
  <si>
    <t>SUPERGESTION BALANCEADO CLASE A</t>
  </si>
  <si>
    <t>SUPERGESTION BALANCEADO CLASE B</t>
  </si>
  <si>
    <t>SUPERGESTION BALANCEADO CLASE C</t>
  </si>
  <si>
    <t>SUPERGESTION BALANCEADO CLASE D</t>
  </si>
  <si>
    <t>SUPERGESTION CLASE A</t>
  </si>
  <si>
    <t>SUPERGESTION CLASE B</t>
  </si>
  <si>
    <t>SUPERGESTION CLASE C</t>
  </si>
  <si>
    <t>SUPERGESTION CLASE D</t>
  </si>
  <si>
    <t>SUPERGESTION CLASE F</t>
  </si>
  <si>
    <t>SUPERGESTION MIX VI CLASE A</t>
  </si>
  <si>
    <t>SUPERGESTION MIX VI CLASE B</t>
  </si>
  <si>
    <t>SUPERGESTION MULTIMERCADO CLASE A</t>
  </si>
  <si>
    <t>SUPERGESTION MULTIMERCADO CLASE B</t>
  </si>
  <si>
    <t>SUPERGESTION MULTIMERCADO CLASE C</t>
  </si>
  <si>
    <t>TAVELLI ABIERTO Pymes</t>
  </si>
  <si>
    <t>TAVELLI GLOBAL</t>
  </si>
  <si>
    <t>TAVELLI MIX</t>
  </si>
  <si>
    <t>TAVELLI PLUS</t>
  </si>
  <si>
    <t>TAVELLI RENTA</t>
  </si>
  <si>
    <t>TORONTO TRUST ABIERTO LEY 27260 CLASE C</t>
  </si>
  <si>
    <t>TORONTO TRUST ABIERTO Pymes - CLASE A</t>
  </si>
  <si>
    <t>TORONTO TRUST ABIERTO Pymes - CLASE B</t>
  </si>
  <si>
    <t>TORONTO TRUST AHORRO CLASE A</t>
  </si>
  <si>
    <t>TORONTO TRUST AHORRO CLASE B</t>
  </si>
  <si>
    <t>TORONTO TRUST AHORRO CLASE C</t>
  </si>
  <si>
    <t>TORONTO TRUST CLASE A</t>
  </si>
  <si>
    <t>TORONTO TRUST CLASE B</t>
  </si>
  <si>
    <t>TORONTO TRUST CLASE C</t>
  </si>
  <si>
    <t>TORONTO TRUST CRECIMIENTO CLASE A</t>
  </si>
  <si>
    <t>TORONTO TRUST CRECIMIENTO CLASE B</t>
  </si>
  <si>
    <t>TORONTO TRUST CRECIMIENTO CLASE C</t>
  </si>
  <si>
    <t>TORONTO TRUST INFRAESTRUCTURA - CLASE B</t>
  </si>
  <si>
    <t>TORONTO TRUST MULTIMERCADO CLASE A</t>
  </si>
  <si>
    <t>TORONTO TRUST MULTIMERCADO CLASE B</t>
  </si>
  <si>
    <t>TORONTO TRUST MULTIMERCADO CLASE C</t>
  </si>
  <si>
    <t>TORONTO TRUST RENTA FIJA CLASE A</t>
  </si>
  <si>
    <t>TORONTO TRUST RENTA FIJA CLASE B</t>
  </si>
  <si>
    <t>TORONTO TRUST RENTA FIJA CLASE C</t>
  </si>
  <si>
    <t>TORONTO TRUST RENTA FIJA PLUS CLASE A</t>
  </si>
  <si>
    <t>TORONTO TRUST RENTA FIJA PLUS CLASE B</t>
  </si>
  <si>
    <t>TORONTO TRUST RENTA FIJA PLUS CLASE C</t>
  </si>
  <si>
    <t>TORONTO TRUST RETORNO TOTAL CLASE B</t>
  </si>
  <si>
    <t>TORONTO TRUST SPECIAL OPPORTUNITIES</t>
  </si>
  <si>
    <t>Control</t>
  </si>
  <si>
    <t>TOTAL PASIVO s/detalle</t>
  </si>
  <si>
    <t>Total del Pasivo corriente</t>
  </si>
  <si>
    <t>Total del pasivo no corriente</t>
  </si>
  <si>
    <t>2,1- Deudas comerciales</t>
  </si>
  <si>
    <t>2,1,1- Deudas comerciales locales</t>
  </si>
  <si>
    <t>TOTAL DEUDAS COMERCIALES DEL PAIS</t>
  </si>
  <si>
    <t>2,1,2- Deudas comerciales exterior</t>
  </si>
  <si>
    <t>#</t>
  </si>
  <si>
    <t>TOTAL DEUDAS COMERCIALES DEL EXTERIOR</t>
  </si>
  <si>
    <t>2,2- Deudas Bancarias y Financieras</t>
  </si>
  <si>
    <t>2,2,1- Deudas bancarias y financieras locales</t>
  </si>
  <si>
    <t>2,2,2- Deudas bancarias y financieras exterior</t>
  </si>
  <si>
    <t>PAIS / CUIT</t>
  </si>
  <si>
    <t>TOTAL DEUDAS BANCARIAS Y FINANCIERAS DEL EXTERIOR</t>
  </si>
  <si>
    <t>2,3- Soc. Controlada, Controlante y Vinculada</t>
  </si>
  <si>
    <t>TOTAL DEUDAS CON SOCIEDADES VINCULADAS, CONTROLADAS Y/O CONTROLANTES</t>
  </si>
  <si>
    <t>2,4- Cuentas Particulares de Socios</t>
  </si>
  <si>
    <t>2,5- Deudas Sociales</t>
  </si>
  <si>
    <t>2,6- Deudas Fiscales</t>
  </si>
  <si>
    <t>2,7- Previsiones</t>
  </si>
  <si>
    <t>2,8- Otras Deudas locales</t>
  </si>
  <si>
    <t>2,9- Otras Deudas del exterior</t>
  </si>
  <si>
    <t>TOTAL PATRIMONIO s/detalle</t>
  </si>
  <si>
    <t xml:space="preserve">SUM I </t>
  </si>
  <si>
    <t>3,1- Capital</t>
  </si>
  <si>
    <t>3,2- Reserva Legal</t>
  </si>
  <si>
    <t>3,3- Reserva por Revalúo Técnico</t>
  </si>
  <si>
    <t>3,4- Otras Reservas</t>
  </si>
  <si>
    <t>3,5- Resultados</t>
  </si>
  <si>
    <t xml:space="preserve">EVOLUCION DEL PATRIMONIO </t>
  </si>
  <si>
    <t>3,6 Patrimonio al inicio</t>
  </si>
  <si>
    <t>3,7 Resultado contable del ejercicio</t>
  </si>
  <si>
    <t>3,8 Disminuciones</t>
  </si>
  <si>
    <t>3,8,1 Reducción de capital</t>
  </si>
  <si>
    <t>3,8,2 Otros</t>
  </si>
  <si>
    <t>3,8,3 Honorarios</t>
  </si>
  <si>
    <t>Nombre y Apellido, Denominación</t>
  </si>
  <si>
    <t>Importe</t>
  </si>
  <si>
    <t>TOTAL HONORARIOS</t>
  </si>
  <si>
    <t>3,8,4 Dividendos en efectivo / en especie</t>
  </si>
  <si>
    <t>TOTAL</t>
  </si>
  <si>
    <t>3,9 Aumentos</t>
  </si>
  <si>
    <t>3,9,1 Aportes</t>
  </si>
  <si>
    <t>3,9,2 Capitalizaciones</t>
  </si>
  <si>
    <t>3,9,3 Otros</t>
  </si>
  <si>
    <t>3,10 Ajustes de ejercicios anteriores</t>
  </si>
  <si>
    <t>3,10,1 Ganancias</t>
  </si>
  <si>
    <t>3,10,1 Pérdidas</t>
  </si>
  <si>
    <t>TOTAL RESULTADOS s/detalle</t>
  </si>
  <si>
    <t>SUM I</t>
  </si>
  <si>
    <t>4,1- Total Ventas, Serv.y Locac.</t>
  </si>
  <si>
    <t>I</t>
  </si>
  <si>
    <t>Ventas Gravadas en el mercado local a sujetos vinculados</t>
  </si>
  <si>
    <t>Ventas exentas en el mercado local</t>
  </si>
  <si>
    <t>Total de exportaciones a sujetos radicados o a jurisdicciones de baja o nula imposicion</t>
  </si>
  <si>
    <t>Total de exportaciones exentas</t>
  </si>
  <si>
    <t>Otras ventas gravadas en el mercado local</t>
  </si>
  <si>
    <t>Total de exportaciones a sujetos vinculados sin detraer derechos de exportacion</t>
  </si>
  <si>
    <t>Total de otras exportaciones</t>
  </si>
  <si>
    <t>Derechos de Exportación</t>
  </si>
  <si>
    <t>4,2- Costo Total</t>
  </si>
  <si>
    <t>Existencia inicial</t>
  </si>
  <si>
    <t>Compras netas</t>
  </si>
  <si>
    <t>Gastos de producción</t>
  </si>
  <si>
    <t>Gastos vinculados al costo</t>
  </si>
  <si>
    <t>1- Honorarios y retribuciones por servicios</t>
  </si>
  <si>
    <t>2- Sueldos, aguinaldos, gratificaciones y contribuciones del personal comprendido en el convenio colectivo de trabajo</t>
  </si>
  <si>
    <t>3- Sueldos, aguinaldos, gratificaciones y contribuciones del personal no comprendido en el convenio colectivo de trabajo</t>
  </si>
  <si>
    <t>4- Depreciaciones de Bienes de uso</t>
  </si>
  <si>
    <t>5- Otros gastos vinculados al costo</t>
  </si>
  <si>
    <t>5-1 Servicios públicos - Energia eléctrica</t>
  </si>
  <si>
    <t>5-2 Servicios públicos - Gas</t>
  </si>
  <si>
    <t>5-3 Servicios públicos - Agua</t>
  </si>
  <si>
    <t>5-4 Servicios públicos - Telefonía</t>
  </si>
  <si>
    <t>5-5 Seguros</t>
  </si>
  <si>
    <t>5-6 Gastos de combustible</t>
  </si>
  <si>
    <t>5-7 Propaganda, Publicidad y Merchandising</t>
  </si>
  <si>
    <t>5-8 Otros</t>
  </si>
  <si>
    <t>Existencia final</t>
  </si>
  <si>
    <t>4,3- Total Cargo por Deudores Incobrables</t>
  </si>
  <si>
    <t>NOTA: En caso de corresponder a cargos por incobrabilidad globales, se informa a través un una CUIT genérica: 30-00000000-7</t>
  </si>
  <si>
    <t>4,4- Total Otros Gastos operativos</t>
  </si>
  <si>
    <t>Honorarios y retribuciones por servicios</t>
  </si>
  <si>
    <t>Honorarios a directores</t>
  </si>
  <si>
    <t>Sueldos, aguinaldos, gratificaciones y contribuciones del personal comprendido dentro del convenio colectivo de trabajo</t>
  </si>
  <si>
    <t>Sueldos, aguinaldos, gratificaciones y contribuciones del personal no comprendido dentro del convenio colectivo de trabajo</t>
  </si>
  <si>
    <t>Gastos de representación</t>
  </si>
  <si>
    <t>Depreciación Bienes de uso</t>
  </si>
  <si>
    <t>Otros gastos operativos</t>
  </si>
  <si>
    <t>4,5- Resultado por inversiones permanentes</t>
  </si>
  <si>
    <t>4,6- Total Resultados financieros</t>
  </si>
  <si>
    <t>Resultado por exposición a la inflación</t>
  </si>
  <si>
    <t>Diferencia de cambio</t>
  </si>
  <si>
    <t>Otros resultados financieros</t>
  </si>
  <si>
    <t>4,7- Resultado por venta de acciones, cuotas, partic.soc., etc.</t>
  </si>
  <si>
    <t>4,8- Total Otros ingresos</t>
  </si>
  <si>
    <t>Descripcion del ingreso</t>
  </si>
  <si>
    <t>TOTAL OTROS INGRESOS</t>
  </si>
  <si>
    <t>4,9- Total Otros egresos</t>
  </si>
  <si>
    <t>Concepto</t>
  </si>
  <si>
    <t>TOTAL OTROS EGRESOS</t>
  </si>
  <si>
    <t>4,10- Resultados extraordinarios</t>
  </si>
  <si>
    <t>4,11- Impuesto a las ganancias</t>
  </si>
  <si>
    <t>4,12- Resultados por instrumentos financieros derivados</t>
  </si>
  <si>
    <t>Nro de orden</t>
  </si>
  <si>
    <t xml:space="preserve">Fecha de concertacion </t>
  </si>
  <si>
    <t>Origen / Destino</t>
  </si>
  <si>
    <t>Cuit contraparte</t>
  </si>
  <si>
    <t xml:space="preserve">Otros gastos </t>
  </si>
  <si>
    <t>Mercado institucionado</t>
  </si>
  <si>
    <t>Monto de la concertacion</t>
  </si>
  <si>
    <t>Intención</t>
  </si>
  <si>
    <t>Resultado de la/las lidacion/es</t>
  </si>
  <si>
    <t>Prima</t>
  </si>
  <si>
    <t>Entrega de bienes</t>
  </si>
  <si>
    <t>Fecha de vencimiento</t>
  </si>
  <si>
    <t xml:space="preserve">Resultado imputable al ejercicio </t>
  </si>
  <si>
    <t>Atribución del Resultado Contable Sgún la Fuente</t>
  </si>
  <si>
    <t>Fuente Argentina</t>
  </si>
  <si>
    <t>Fuente Extranjera</t>
  </si>
  <si>
    <t>Totales</t>
  </si>
  <si>
    <t xml:space="preserve"> (Estado de Resultados)</t>
  </si>
  <si>
    <t>Resultado Final del Ejercicio</t>
  </si>
  <si>
    <t>(viene por default del mismo aplicativo, es el resultado que viene del balance)</t>
  </si>
  <si>
    <t>Resultado por Venta de Acciones</t>
  </si>
  <si>
    <t>Resultado por Contratos derivados</t>
  </si>
  <si>
    <t>Renta Gravada</t>
  </si>
  <si>
    <t>Renta Exenta</t>
  </si>
  <si>
    <t>CONTROL</t>
  </si>
  <si>
    <t>Apertura de la fuente extranjera por país</t>
  </si>
  <si>
    <t xml:space="preserve">Pais donde se obtuvo resuelto de fuente extranjera </t>
  </si>
  <si>
    <t>Resultado obtenido</t>
  </si>
  <si>
    <t>Afganistán</t>
  </si>
  <si>
    <t>Albania</t>
  </si>
  <si>
    <t>Alemania</t>
  </si>
  <si>
    <t>Anguila</t>
  </si>
  <si>
    <t>Antártida</t>
  </si>
  <si>
    <t>Antigua y Barbuda</t>
  </si>
  <si>
    <t>Antillas Holandesas / Neerlandesas</t>
  </si>
  <si>
    <t>Arabia Saudita</t>
  </si>
  <si>
    <t>Argelia</t>
  </si>
  <si>
    <t>Armenia</t>
  </si>
  <si>
    <t>Aruba</t>
  </si>
  <si>
    <t>Ascención</t>
  </si>
  <si>
    <t>Australia</t>
  </si>
  <si>
    <t>Austria</t>
  </si>
  <si>
    <t>Azerbaiyán</t>
  </si>
  <si>
    <t>Bahamas, Islas</t>
  </si>
  <si>
    <t>Barbados</t>
  </si>
  <si>
    <t>Bélgica</t>
  </si>
  <si>
    <t>Belice</t>
  </si>
  <si>
    <t>Benín</t>
  </si>
  <si>
    <t>Bermudas</t>
  </si>
  <si>
    <t>Bielorrusia</t>
  </si>
  <si>
    <t>Bolivia</t>
  </si>
  <si>
    <t>Bosnia y Herzegovina</t>
  </si>
  <si>
    <t>Botswana</t>
  </si>
  <si>
    <t>Brasil</t>
  </si>
  <si>
    <t>Brunei</t>
  </si>
  <si>
    <t>Bulgaria</t>
  </si>
  <si>
    <t>Burkina Faso (ex Alto Volta)</t>
  </si>
  <si>
    <t>Burundi</t>
  </si>
  <si>
    <t>Bután</t>
  </si>
  <si>
    <t>Camboya</t>
  </si>
  <si>
    <t>Camerún</t>
  </si>
  <si>
    <t>Canadá</t>
  </si>
  <si>
    <t>Chad</t>
  </si>
  <si>
    <t>Chile</t>
  </si>
  <si>
    <t>China, Repúlbica Popular</t>
  </si>
  <si>
    <t>Chipre</t>
  </si>
  <si>
    <t>Colombia</t>
  </si>
  <si>
    <t>Comoras</t>
  </si>
  <si>
    <t>Congo, República Democrática (ex Zaire)</t>
  </si>
  <si>
    <t>Congo, República Popular (Brasaville)</t>
  </si>
  <si>
    <t>Corea del Norte, República Democrática y Popular</t>
  </si>
  <si>
    <t>Corea del Sur</t>
  </si>
  <si>
    <t>Costa de Marfil</t>
  </si>
  <si>
    <t>Costa Rica</t>
  </si>
  <si>
    <t>Croacia</t>
  </si>
  <si>
    <t>Cuba</t>
  </si>
  <si>
    <t>Curazao</t>
  </si>
  <si>
    <t>Dinamarca</t>
  </si>
  <si>
    <t>Dominica</t>
  </si>
  <si>
    <t>Ecuador</t>
  </si>
  <si>
    <t>Egipto, República Árabe de</t>
  </si>
  <si>
    <t>El Salvador</t>
  </si>
  <si>
    <t>Emiratos Árabes Unidos</t>
  </si>
  <si>
    <t>Eritrea</t>
  </si>
  <si>
    <t>Eslovaquia</t>
  </si>
  <si>
    <t>Eslovenia</t>
  </si>
  <si>
    <t>España</t>
  </si>
  <si>
    <t>Estado de Bahrein (Estado Independiente)</t>
  </si>
  <si>
    <t>Estados Unidos de América / U.S.A. / EEUU</t>
  </si>
  <si>
    <t>Estonia</t>
  </si>
  <si>
    <t>Etiopía</t>
  </si>
  <si>
    <t>Fidji / Fiyi, Islas</t>
  </si>
  <si>
    <t>Filipinas</t>
  </si>
  <si>
    <t>Finlandia</t>
  </si>
  <si>
    <t>Francia</t>
  </si>
  <si>
    <t>Gabón</t>
  </si>
  <si>
    <t>Gambia</t>
  </si>
  <si>
    <t>Georgia</t>
  </si>
  <si>
    <t>Ghana</t>
  </si>
  <si>
    <t>Gibraltar (Colonia de Gibraltar)</t>
  </si>
  <si>
    <t>Gran Ducado de Luxemburgo</t>
  </si>
  <si>
    <t>Granada</t>
  </si>
  <si>
    <t>Grecia</t>
  </si>
  <si>
    <t>Groenlandia</t>
  </si>
  <si>
    <t>Guadalupe</t>
  </si>
  <si>
    <t>Guam (Territorio no Autónomo de Estados Unidos)</t>
  </si>
  <si>
    <t>Guatemala</t>
  </si>
  <si>
    <t>Guayana (Guayana Francesa)</t>
  </si>
  <si>
    <t>Guernesey</t>
  </si>
  <si>
    <t>Guinea</t>
  </si>
  <si>
    <t>Guinea - Bissau</t>
  </si>
  <si>
    <t>Guinea Ecuatorial</t>
  </si>
  <si>
    <t>Guyana (República Cooperativa de Guyana)</t>
  </si>
  <si>
    <t>Haití</t>
  </si>
  <si>
    <t>Hawai</t>
  </si>
  <si>
    <t>Honduras</t>
  </si>
  <si>
    <t>Hong Kong: Región Administrativa Especial de la Republica Popular China</t>
  </si>
  <si>
    <t>Howland, Baker, Jarvis</t>
  </si>
  <si>
    <t>Hungría</t>
  </si>
  <si>
    <t>India</t>
  </si>
  <si>
    <t>Indonesia</t>
  </si>
  <si>
    <t>Irán, República Islámica de</t>
  </si>
  <si>
    <t>Iraq / Irak</t>
  </si>
  <si>
    <t>Irlanda</t>
  </si>
  <si>
    <t>Isla Bouvet</t>
  </si>
  <si>
    <t>Isla Christmas / Territorio de la Isla de Navidad (Territorio Externo de Australia)</t>
  </si>
  <si>
    <t>Isla de Cocos / Keeling</t>
  </si>
  <si>
    <t>Isla de Macquarie</t>
  </si>
  <si>
    <t>Isla de Man (Territorio de Reino Unido)</t>
  </si>
  <si>
    <t>Isla del Canal:  Alderney</t>
  </si>
  <si>
    <t>Isla del Canal:  Brechou</t>
  </si>
  <si>
    <t>Isla del Canal:  Great Stark</t>
  </si>
  <si>
    <t>Isla del Canal:  Herm</t>
  </si>
  <si>
    <t>Isla del Canal:  Jethou Lihou</t>
  </si>
  <si>
    <t>Isla del Canal: Little Stark</t>
  </si>
  <si>
    <t>Isla Norfolk (Territorio Externo de Australia)</t>
  </si>
  <si>
    <t>Isla Qeshm / Keshm (Territorio de Irán)</t>
  </si>
  <si>
    <t>Isla Wake</t>
  </si>
  <si>
    <t>Islandia</t>
  </si>
  <si>
    <t>Islas Azores</t>
  </si>
  <si>
    <t>Islas Caimán</t>
  </si>
  <si>
    <t>Islas Canarias</t>
  </si>
  <si>
    <t>Islas Cook (Territorio Autónomo Asociado a Nueva Zelanda)</t>
  </si>
  <si>
    <t>Islas de Aland</t>
  </si>
  <si>
    <t>Islas del Mar de Coral</t>
  </si>
  <si>
    <t>Islas del Pacífico</t>
  </si>
  <si>
    <t>Islas del Territorio Británico del Océano Indico</t>
  </si>
  <si>
    <t>Islas Feroe</t>
  </si>
  <si>
    <t>Islas Heard y MacDonald (Territorios Externos de Australia)</t>
  </si>
  <si>
    <t>Islas Marianas del Norte (Estado Libre Asociado a la Commonwealth)</t>
  </si>
  <si>
    <t>Islas Midway</t>
  </si>
  <si>
    <t>Islas Pitcairn (Territorio Británico de Ultramar)</t>
  </si>
  <si>
    <t>Islas Salomón</t>
  </si>
  <si>
    <t>Islas Turcas y Caicos (Territorio no Autónomo de Reino Unido)</t>
  </si>
  <si>
    <t>Islas Ultramarinas de Estados Unidos</t>
  </si>
  <si>
    <t>Islas Vírgenes Británicas</t>
  </si>
  <si>
    <t>Islas Vírgenes Estadounidenses</t>
  </si>
  <si>
    <t>Israel</t>
  </si>
  <si>
    <t>Italia</t>
  </si>
  <si>
    <t>Jamaica</t>
  </si>
  <si>
    <t>Japón</t>
  </si>
  <si>
    <t>Jersey</t>
  </si>
  <si>
    <t>Jordania</t>
  </si>
  <si>
    <t>Kazajistán</t>
  </si>
  <si>
    <t>Kingman Reef, Palmyra</t>
  </si>
  <si>
    <t>Kirguistán</t>
  </si>
  <si>
    <t>Kiribati</t>
  </si>
  <si>
    <t>Kosovo</t>
  </si>
  <si>
    <t>Kuwait</t>
  </si>
  <si>
    <t>Labuan (Territorio Federal de Malasia)</t>
  </si>
  <si>
    <t>Laos, República Democrática Popular</t>
  </si>
  <si>
    <t>Letonia</t>
  </si>
  <si>
    <t>Líbano</t>
  </si>
  <si>
    <t>Liberia</t>
  </si>
  <si>
    <t>Libia / Jamahiriya Árabe Libia, Socialista y Popular</t>
  </si>
  <si>
    <t>Lituania</t>
  </si>
  <si>
    <t>Macao: Región Administrativa Especial de la República Popular China</t>
  </si>
  <si>
    <t>Macedonia (ex República Yugoslava de Macedonia)</t>
  </si>
  <si>
    <t>Madagascar</t>
  </si>
  <si>
    <t>Madeira (Territorio de Portugal)</t>
  </si>
  <si>
    <t>Malasia</t>
  </si>
  <si>
    <t>Malawi</t>
  </si>
  <si>
    <t>Maldivas, Islas / República de Maldivas</t>
  </si>
  <si>
    <t>Malí</t>
  </si>
  <si>
    <t>Malta, Soberana Orden Militar de / República de Malta</t>
  </si>
  <si>
    <t>Marruecos</t>
  </si>
  <si>
    <t>Martinica (Departamento de Ultramar Francés)</t>
  </si>
  <si>
    <t>Mauricio, Islas / República de Mauricio</t>
  </si>
  <si>
    <t>Mauritania</t>
  </si>
  <si>
    <t>Mayotte / Mahoré (Posesión de Ultramar de Francia)</t>
  </si>
  <si>
    <t>México</t>
  </si>
  <si>
    <t>Micronesia, Estados Federados de</t>
  </si>
  <si>
    <t>Moldavia</t>
  </si>
  <si>
    <t>Mongolia</t>
  </si>
  <si>
    <t>Montenegro</t>
  </si>
  <si>
    <t>Montserrat (Territorio no Autónomo de Reino Unido)</t>
  </si>
  <si>
    <t>Mozambique</t>
  </si>
  <si>
    <t>Myanmar (ex Birmania)</t>
  </si>
  <si>
    <t>Namibia</t>
  </si>
  <si>
    <t>Nauru</t>
  </si>
  <si>
    <t>Nepal</t>
  </si>
  <si>
    <t>Nicaragua</t>
  </si>
  <si>
    <t>Níger</t>
  </si>
  <si>
    <t>Nigeria</t>
  </si>
  <si>
    <t>Niue (Estado Libre Asociado a Nueva Zelanda)</t>
  </si>
  <si>
    <t>Noruega</t>
  </si>
  <si>
    <t>Nueva Caledonia (Colectividad de Ultramar Asociada a Francia)</t>
  </si>
  <si>
    <t>Nueva Zelanda / Nueva Zelandia</t>
  </si>
  <si>
    <t>Omán, Sultanato de</t>
  </si>
  <si>
    <t>Países Bajos (Holanda)</t>
  </si>
  <si>
    <t>Pakistán</t>
  </si>
  <si>
    <t>Palau / República de Palaos</t>
  </si>
  <si>
    <t>Palestina/ Territorios Autónomos Palestinos</t>
  </si>
  <si>
    <t>Papúa Nueva Guinea</t>
  </si>
  <si>
    <t>Paraguay</t>
  </si>
  <si>
    <t>Patau</t>
  </si>
  <si>
    <t>Perú</t>
  </si>
  <si>
    <t>Polinesia Francesa (Territorio de Ultramar de Francia)</t>
  </si>
  <si>
    <t>Polonia</t>
  </si>
  <si>
    <t>Portugal</t>
  </si>
  <si>
    <t>Principado de Liechtenstein</t>
  </si>
  <si>
    <t>Principado de Mónaco</t>
  </si>
  <si>
    <t>Principado del Valle de Andorra</t>
  </si>
  <si>
    <t>Puerto Rico (Estado Libre Asociado a Estados Unidos)</t>
  </si>
  <si>
    <t>Qatar</t>
  </si>
  <si>
    <t>Reino de Swazilandia</t>
  </si>
  <si>
    <t>Reino de Tonga</t>
  </si>
  <si>
    <t>Reino Unido de la Gran Bretaña (Inglaterra, Escocia y Gales) e Irlanda del Norte</t>
  </si>
  <si>
    <t>Repúbica de Seychelles</t>
  </si>
  <si>
    <t>República Centroafricana</t>
  </si>
  <si>
    <t>República Checa</t>
  </si>
  <si>
    <t>República de Angola</t>
  </si>
  <si>
    <t>República de Cabo Verde</t>
  </si>
  <si>
    <t>República de Djibouti / Yibuti</t>
  </si>
  <si>
    <t>República de las Islas Marshall</t>
  </si>
  <si>
    <t>República de Panamá</t>
  </si>
  <si>
    <t>República Dominicana</t>
  </si>
  <si>
    <t>República Popular de Bangladesh</t>
  </si>
  <si>
    <t>República Sudán del Sur</t>
  </si>
  <si>
    <t>Reunión</t>
  </si>
  <si>
    <t>Ruanda / Rwanda</t>
  </si>
  <si>
    <t>Rumania</t>
  </si>
  <si>
    <t>Rusia / Federación Rusa</t>
  </si>
  <si>
    <t>Sahara Occidental</t>
  </si>
  <si>
    <t>Saint Martin (Colectividad Territorial de Ultramar Francesa)</t>
  </si>
  <si>
    <t>Samoa (ex Samoa Occidental)</t>
  </si>
  <si>
    <t>Samoa Americana (Territorio no Autónomo de Estados Unidos)</t>
  </si>
  <si>
    <t>San Bartolomé</t>
  </si>
  <si>
    <t>San Cristóbal y Nevis</t>
  </si>
  <si>
    <t>San Eustaquio</t>
  </si>
  <si>
    <t>San Pedro y Miquelón (Colectividad Territorial Asociada a Francia)</t>
  </si>
  <si>
    <t>San Vicente y Granadinas (Estado Independiente)</t>
  </si>
  <si>
    <t>Santa Elena / Santa Helena (Territorio de Ultramar de Reino Unido)</t>
  </si>
  <si>
    <t>Santa Lucía</t>
  </si>
  <si>
    <t>Santo Tomé y Príncipe</t>
  </si>
  <si>
    <t>Senegal</t>
  </si>
  <si>
    <t>Serbia (ex República Yugoslava de Serbia)</t>
  </si>
  <si>
    <t>Serenísima República de San Marino (Estado Independiente)</t>
  </si>
  <si>
    <t>Sierra Leona</t>
  </si>
  <si>
    <t>Singapur</t>
  </si>
  <si>
    <t>Siria, República Árabe</t>
  </si>
  <si>
    <t>Somalia</t>
  </si>
  <si>
    <t>Sri Lanka, República Democrática Socialista (ex Ceilán)</t>
  </si>
  <si>
    <t>Sudáfrica</t>
  </si>
  <si>
    <t>Sudán</t>
  </si>
  <si>
    <t>Suecia</t>
  </si>
  <si>
    <t>Suiza</t>
  </si>
  <si>
    <t>Surinam</t>
  </si>
  <si>
    <t>Svalbard y Jan Mayen / Archipiélago de Svalbard (Territorio del Reino de Noruega)</t>
  </si>
  <si>
    <t>Tadjikistán</t>
  </si>
  <si>
    <t>Tailandia</t>
  </si>
  <si>
    <t>Taiwán / Formosa</t>
  </si>
  <si>
    <t>Tanzania</t>
  </si>
  <si>
    <t>Tierras Australes y Antárticas Francesas(Territ.Aust.Franceses)</t>
  </si>
  <si>
    <t>Timor Oriental</t>
  </si>
  <si>
    <t>Togo</t>
  </si>
  <si>
    <t>Tokelau (Territorio no Autónomo de Nueva Zelanda)</t>
  </si>
  <si>
    <t>Trinidad y Tobago</t>
  </si>
  <si>
    <t>Tristán da Cuhna (Territorio de Ultramar de Reino Unido)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</si>
  <si>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</si>
  <si>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</si>
  <si>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</si>
  <si>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</si>
  <si>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</si>
  <si>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</si>
  <si>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</si>
  <si>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</si>
  <si>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 / República de Vanuatu</t>
  </si>
  <si>
    <t>Vaticano / Ciudad del Vaticano / Santa Sede</t>
  </si>
  <si>
    <t>Venezuela / Venezuela, República Bolivariana de</t>
  </si>
  <si>
    <t>Vietnam</t>
  </si>
  <si>
    <t>Wallis y Futuna, Islas (Colectividad Territorial de Ultramar Francesa)</t>
  </si>
  <si>
    <t>Yemen</t>
  </si>
  <si>
    <t>Zambia</t>
  </si>
  <si>
    <t>Zimbabwe / Zimbabue</t>
  </si>
  <si>
    <t>Provenientes de</t>
  </si>
  <si>
    <t>Importe Computado</t>
  </si>
  <si>
    <t>Periodo de la percepcion (AAAA/MM)</t>
  </si>
  <si>
    <t>CUIT del agente de percepción</t>
  </si>
  <si>
    <t>CUIT del titular de la cuenta</t>
  </si>
  <si>
    <t>CBU/CVU</t>
  </si>
  <si>
    <t>Periodo (AAAA)</t>
  </si>
  <si>
    <t>Numero de anticipo</t>
  </si>
  <si>
    <t>CUIT Agente Ret./Perc.</t>
  </si>
  <si>
    <t>Denominación o Razón Social</t>
  </si>
  <si>
    <t>Descripción Impuesto</t>
  </si>
  <si>
    <t>Régimen</t>
  </si>
  <si>
    <t>Descripción Régimen</t>
  </si>
  <si>
    <t>Fecha Ret./Perc.</t>
  </si>
  <si>
    <t>Número Certificado</t>
  </si>
  <si>
    <t>Descripción Operación</t>
  </si>
  <si>
    <t>Importe Ret./Perc.</t>
  </si>
  <si>
    <t>Número Comprobante</t>
  </si>
  <si>
    <t>Fecha Comprobante</t>
  </si>
  <si>
    <t>Descripción Comprobante</t>
  </si>
  <si>
    <t>Fecha Registración DJ Ag.Ret.</t>
  </si>
  <si>
    <t>Tipo de Operación</t>
  </si>
  <si>
    <t>CUIT del Agente de Percepción</t>
  </si>
  <si>
    <t>Numero de Certificado</t>
  </si>
  <si>
    <t>Fecha</t>
  </si>
  <si>
    <t>Numero de certificado</t>
  </si>
  <si>
    <t>Fecha de percepción (DD/MM/AAAA)</t>
  </si>
  <si>
    <t>REGIMENES</t>
  </si>
  <si>
    <t>Anticipos cancelados con cómputo de Bonos y Créditos Fiscales</t>
  </si>
  <si>
    <t>Total anticipos ingresados en efectivo o mediante débitos bancarios -excepto F. 515 y bonos CF Dto. 135/06-</t>
  </si>
  <si>
    <t>Total pagos RG 5110 -  Cesión de transferencia de documentos de transporte - (Importador/Exportador)</t>
  </si>
  <si>
    <t>Pagos a cuenta "Regimen excepcional de ingreso - Art. 4 RG 3818"</t>
  </si>
  <si>
    <t>Numero de contrato</t>
  </si>
  <si>
    <t xml:space="preserve">Fecha de pago a cuenta </t>
  </si>
  <si>
    <t>Total anticipos RG 4498 - Art. 3° Punto 1)</t>
  </si>
  <si>
    <t>CUIT de origen</t>
  </si>
  <si>
    <t>Fecha del certificado</t>
  </si>
  <si>
    <t>Monto del anticipo</t>
  </si>
  <si>
    <t>Saldo a favor del periodo anterior</t>
  </si>
  <si>
    <t>Diferimiento F. 518</t>
  </si>
  <si>
    <t>Pago a cuenta impuesto a la ganancia mínima presunta</t>
  </si>
  <si>
    <t>Pago a cuenta ley de promoción a la investigación</t>
  </si>
  <si>
    <t>Pago a cuenta impuesto sobre los combustibles líquidos</t>
  </si>
  <si>
    <t>Pago a Cuenta - Compraventa de Moneda Extranjera</t>
  </si>
  <si>
    <t>Pago a cuenta Fomento a las Inversiones Productivas Pymes. Ley N 27264</t>
  </si>
  <si>
    <t xml:space="preserve">Periodo de Origen </t>
  </si>
  <si>
    <t>Importe del pago a cuenta</t>
  </si>
  <si>
    <t>Otros pagos a cuenta</t>
  </si>
  <si>
    <t>TOTAL AJUSTES DE FUENTE ARGENTINA</t>
  </si>
  <si>
    <t>Ajustes Rdo. Impositivo de F.A. - aumentan utilidad o disminuyen pérdida</t>
  </si>
  <si>
    <t>Instrumentos Financieros derivados</t>
  </si>
  <si>
    <t>Total Ajuste que disminuyen quebrantos</t>
  </si>
  <si>
    <t>Total Ajuste que incrementan utilidades</t>
  </si>
  <si>
    <t>Total de Ajustes por explotación de juegos de azar que aumentan utilidades y/o disminuyen quebrantos</t>
  </si>
  <si>
    <t>Total amortizaciones y castigos en exceso</t>
  </si>
  <si>
    <t>Bienes Muebles</t>
  </si>
  <si>
    <t>Bienes Inmuebles</t>
  </si>
  <si>
    <t>Bienes Inmateriales</t>
  </si>
  <si>
    <t>Bienes que no revisten el carácter de Bienes de Cambio</t>
  </si>
  <si>
    <t>Otros (Amortizaciones y Castigos en exceso)</t>
  </si>
  <si>
    <t>Total ajustes por diferencia de valuación</t>
  </si>
  <si>
    <t>Leasing Financiero</t>
  </si>
  <si>
    <t>Fondo Común de Inversión</t>
  </si>
  <si>
    <t>Bienes de Cambio</t>
  </si>
  <si>
    <t>Títulos Públicos</t>
  </si>
  <si>
    <t>Otros Ajustes por diferencias de valuación</t>
  </si>
  <si>
    <t>Otras Provisiones, Previsiones y reservas no deducibles o deducidas en exceso</t>
  </si>
  <si>
    <t>Incobrables</t>
  </si>
  <si>
    <t>Inversiones</t>
  </si>
  <si>
    <t>Bienes de Cambio (Provis.)</t>
  </si>
  <si>
    <t>Otras Previsiones</t>
  </si>
  <si>
    <t>Provisiones y reservas no deducibles o deducidas en exceso</t>
  </si>
  <si>
    <t>Devoluciones al Aporte a Sociedades de Garantía Recíproca deducido</t>
  </si>
  <si>
    <t>Periodo fiscal en el que se dedujo</t>
  </si>
  <si>
    <t>Fecha de retiro/devolucion</t>
  </si>
  <si>
    <t>Cuit de la sociedad de Garantía Recíproca</t>
  </si>
  <si>
    <t>Fecha del aporte</t>
  </si>
  <si>
    <t>Ley N° 26.509</t>
  </si>
  <si>
    <t>Ajustes Positivos por Regimenes de Emergencia</t>
  </si>
  <si>
    <t>Regimen</t>
  </si>
  <si>
    <t>Gastos de mant. y funcion. De automóviles no deducibles</t>
  </si>
  <si>
    <t>Gastos no deducibles</t>
  </si>
  <si>
    <t>Ases. Técnico del exterior</t>
  </si>
  <si>
    <t>Honorarios directores</t>
  </si>
  <si>
    <t>Rvas. Matemáticas y similares en Compañía de Seguros</t>
  </si>
  <si>
    <t>Dif. De cambio en exceso</t>
  </si>
  <si>
    <t>Inv. De Capital ó mejoras permanentes</t>
  </si>
  <si>
    <t>Ajuste por precio de transferencia</t>
  </si>
  <si>
    <t>Impuesto a las ganancias</t>
  </si>
  <si>
    <t>Ajustes disminuyen Queb. Por Ventas de Acciones</t>
  </si>
  <si>
    <t>Ajustes que incrementan Utilidades por Venta de Acciones</t>
  </si>
  <si>
    <t>Ajustes que disminuyen Quebrantos por Instrumentos Financieros Derivados</t>
  </si>
  <si>
    <t>Aj. Incrementan utilidades por Instrum. Finan. Derivados</t>
  </si>
  <si>
    <t>Intereses</t>
  </si>
  <si>
    <t>Ajuste por inflación</t>
  </si>
  <si>
    <t>*Ajuste Estático</t>
  </si>
  <si>
    <t>*Ajuste Dinámico</t>
  </si>
  <si>
    <t>*Ajuste por Inflación (períodos anteriores)</t>
  </si>
  <si>
    <t>*Rdo. Ajuste por inflación contable</t>
  </si>
  <si>
    <t>Total Ajuste por Inflación</t>
  </si>
  <si>
    <t>Pérdidas extraordinarias</t>
  </si>
  <si>
    <t>Otros ajustes</t>
  </si>
  <si>
    <t>Ajuste NIIFF</t>
  </si>
  <si>
    <t>Ajustes Rdo. Impositivo de F.A. - disminuyen utilidad o aumentan pérdida</t>
  </si>
  <si>
    <t>Ventas de acciones</t>
  </si>
  <si>
    <t>Total Ajuste que aumentan quebrantos</t>
  </si>
  <si>
    <t>Total Ajuste que disminuyen utilidades</t>
  </si>
  <si>
    <t>Total Ajuste que incrementan quebrantos</t>
  </si>
  <si>
    <t>Total de Ajustes por explotación de juegos de azar que disminuyen utilidades y/o aumentan quebrantos</t>
  </si>
  <si>
    <t>Total amortizaciones y castigos en defecto</t>
  </si>
  <si>
    <t>Bienes Muebles amortización acelerada</t>
  </si>
  <si>
    <t>Bienes Muebles amortización acelerada según Ley N°</t>
  </si>
  <si>
    <t>Otra Ley de amortizacion acelerada (Bienes Muebles)</t>
  </si>
  <si>
    <t>Completar en caso de no corresponder con el desplegable</t>
  </si>
  <si>
    <t>Bienes Inmateriales amortización acelerada</t>
  </si>
  <si>
    <t>Bienes Inmateriales amortización acelerada según Ley N°</t>
  </si>
  <si>
    <t>Otra Ley de amortizacion acelerada (Bienes Inmateriales)</t>
  </si>
  <si>
    <t>Bienes Inmuebles amortización acelerada</t>
  </si>
  <si>
    <t>Bienes Inmuebles amortización acelerada según Ley N°</t>
  </si>
  <si>
    <t>Otra Ley de amortizacion acelerada (Bienes Inmuebles)</t>
  </si>
  <si>
    <t>Otros (Amortizaciones y Castigos en defecto)</t>
  </si>
  <si>
    <t>% de amortizacion utilizado por Ley 24.196</t>
  </si>
  <si>
    <t>Total ajustes por diferencia de valuación de inventario</t>
  </si>
  <si>
    <t>Aportes a instituciones de capital emprendedor</t>
  </si>
  <si>
    <t>Periodo fiscal del aporte</t>
  </si>
  <si>
    <t>si no aplica, dejar en blanco</t>
  </si>
  <si>
    <t>Monto del aporte</t>
  </si>
  <si>
    <t>Aportes a sociedades de garantía recíproca</t>
  </si>
  <si>
    <t>Cuit de la sociedad de garantia recíproca</t>
  </si>
  <si>
    <t>Importe del aporte</t>
  </si>
  <si>
    <t>Ajustes Negativos por Regimenes de Emergencia</t>
  </si>
  <si>
    <t xml:space="preserve">Ajustes correlativos por precio de transferencia </t>
  </si>
  <si>
    <t>Deducciones Gastos Art. 12 Ley 21.196</t>
  </si>
  <si>
    <t>Rentas exentas o no gravadas</t>
  </si>
  <si>
    <t>Reservas matemáticas y similares en compañía de seguros</t>
  </si>
  <si>
    <t>Ajustes NIIF</t>
  </si>
  <si>
    <t>TOTAL AJUSTES DE FUENTE EXTRANJERA</t>
  </si>
  <si>
    <t>Ajustes Rdo. Impositivo de F.E. - aumentan utilidad o disminuyen pérdida</t>
  </si>
  <si>
    <t>Asesoramiento Técnico del exterior</t>
  </si>
  <si>
    <t>Diferencia de cambio en exceso</t>
  </si>
  <si>
    <t>Reservas matemáticas y similares en Compañía de Seguros</t>
  </si>
  <si>
    <t>Impuestos a las Ganancias</t>
  </si>
  <si>
    <t>Resultado por Exposición a la inflación (REI)</t>
  </si>
  <si>
    <t>Ajustes por precio de transferencia</t>
  </si>
  <si>
    <t>Ajustes Rdo. Impositivo de F.E. - disminuyen utilidad o aumentan pérdida</t>
  </si>
  <si>
    <t>Ajustes correlativos por precios de transferencia</t>
  </si>
  <si>
    <t>Otro ajuste</t>
  </si>
  <si>
    <t>DATOS A CARGAR</t>
  </si>
  <si>
    <t>Tiene resultado atribuible a los socios?</t>
  </si>
  <si>
    <t>Tipo Societario</t>
  </si>
  <si>
    <t>CUIT/CUIL</t>
  </si>
  <si>
    <t>Participacion %</t>
  </si>
  <si>
    <t>Impuesto Retenido</t>
  </si>
  <si>
    <t>Residencia Tributaria</t>
  </si>
  <si>
    <t>NIF</t>
  </si>
  <si>
    <t>Domicilio exterior</t>
  </si>
  <si>
    <t>Pais</t>
  </si>
  <si>
    <t>Exterior</t>
  </si>
  <si>
    <t>F.742</t>
  </si>
  <si>
    <t>F.743</t>
  </si>
  <si>
    <t>F.867</t>
  </si>
  <si>
    <t>F.969</t>
  </si>
  <si>
    <t>F.741</t>
  </si>
  <si>
    <t>Esta obligado a presentar</t>
  </si>
  <si>
    <t>Periodo fiscal (AAAA)</t>
  </si>
  <si>
    <t>Proyecto</t>
  </si>
  <si>
    <t xml:space="preserve">Quebranto </t>
  </si>
  <si>
    <t>Quebranto Computable</t>
  </si>
  <si>
    <t>Quebranto Trasladable</t>
  </si>
  <si>
    <t>Quebranto Cedido</t>
  </si>
  <si>
    <t>Por venta de acciones</t>
  </si>
  <si>
    <t>Por instrumentos financieros derivados</t>
  </si>
  <si>
    <t>Resto</t>
  </si>
  <si>
    <t>Por explotación de Juegos de Azar</t>
  </si>
  <si>
    <t>Quebranto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</si>
</sst>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0000000000"/>
    <numFmt numFmtId="167" formatCode="_ * #,##0.000000000000000000_ ;_ * \-#,##0.000000000000000000_ ;_ * &quot;-&quot;??_ ;_ @_ "/>
    <numFmt numFmtId="168" formatCode="#,##0.0000"/>
    <numFmt numFmtId="169" formatCode="mm/yyyy"/>
    <numFmt numFmtId="170" formatCode="yyyy/mm"/>
  </numFmts>
  <fonts count="4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FF0000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02060"/>
      <name val="Calibri"/>
      <family val="2"/>
    </font>
    <font>
      <b/>
      <sz val="9"/>
      <color rgb="FFFF0000"/>
      <name val="Calibri"/>
      <family val="2"/>
    </font>
    <font>
      <b/>
      <sz val="10"/>
      <color theme="0"/>
      <name val="Calibri"/>
      <family val="2"/>
    </font>
    <font>
      <b/>
      <sz val="10"/>
      <color rgb="FFFF0000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color rgb="FFFFFFFF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9"/>
      <color indexed="81"/>
      <name val="Tahoma"/>
      <family val="2"/>
    </font>
    <font>
      <sz val="8"/>
      <name val="Book Antiqua"/>
      <family val="1"/>
    </font>
    <font>
      <sz val="9"/>
      <name val="Book Antiqua"/>
      <family val="1"/>
    </font>
    <font>
      <b/>
      <sz val="10"/>
      <color rgb="FF0E43EC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0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0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0"/>
      <color theme="0" tint="-0.34998626667073579"/>
      <name val="Calibri"/>
      <family val="2"/>
      <scheme val="minor"/>
    </font>
    <font>
      <sz val="9"/>
      <color indexed="8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6" fillId="0" borderId="0" applyBorder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75">
    <xf numFmtId="0" fontId="0" fillId="0" borderId="0" xfId="0"/>
    <xf numFmtId="0" fontId="7" fillId="0" borderId="0" xfId="0" applyFont="1"/>
    <xf numFmtId="0" fontId="29" fillId="0" borderId="0" xfId="0" applyFont="1" applyAlignment="1">
      <alignment vertical="center"/>
    </xf>
    <xf numFmtId="0" fontId="8" fillId="3" borderId="0" xfId="0" applyFont="1" applyFill="1"/>
    <xf numFmtId="0" fontId="8" fillId="3" borderId="15" xfId="0" applyFont="1" applyFill="1" applyBorder="1"/>
    <xf numFmtId="0" fontId="31" fillId="9" borderId="0" xfId="0" applyFont="1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2" fillId="0" borderId="0" xfId="0" applyFont="1"/>
    <xf numFmtId="0" fontId="7" fillId="0" borderId="0" xfId="0" applyFont="1" applyAlignment="1">
      <alignment horizontal="left"/>
    </xf>
    <xf numFmtId="0" fontId="29" fillId="0" borderId="0" xfId="0" applyFont="1"/>
    <xf numFmtId="0" fontId="7" fillId="0" borderId="0" xfId="0" applyFont="1" applyProtection="1">
      <protection locked="0"/>
    </xf>
    <xf numFmtId="0" fontId="21" fillId="0" borderId="0" xfId="0" applyFont="1" applyAlignment="1" applyProtection="1">
      <alignment horizontal="right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14" fontId="7" fillId="0" borderId="22" xfId="0" quotePrefix="1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9" fillId="4" borderId="12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7" fillId="2" borderId="19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0" xfId="0" applyFont="1" applyFill="1" applyBorder="1" applyProtection="1">
      <protection locked="0"/>
    </xf>
    <xf numFmtId="0" fontId="9" fillId="2" borderId="19" xfId="0" applyFont="1" applyFill="1" applyBorder="1" applyAlignment="1" applyProtection="1">
      <alignment horizontal="left" indent="10"/>
      <protection locked="0"/>
    </xf>
    <xf numFmtId="4" fontId="7" fillId="2" borderId="0" xfId="0" applyNumberFormat="1" applyFont="1" applyFill="1" applyProtection="1">
      <protection locked="0"/>
    </xf>
    <xf numFmtId="4" fontId="7" fillId="2" borderId="20" xfId="0" applyNumberFormat="1" applyFont="1" applyFill="1" applyBorder="1" applyProtection="1">
      <protection locked="0"/>
    </xf>
    <xf numFmtId="0" fontId="9" fillId="2" borderId="21" xfId="0" applyFont="1" applyFill="1" applyBorder="1" applyAlignment="1" applyProtection="1">
      <alignment horizontal="left" indent="10"/>
      <protection locked="0"/>
    </xf>
    <xf numFmtId="4" fontId="7" fillId="2" borderId="23" xfId="0" applyNumberFormat="1" applyFont="1" applyFill="1" applyBorder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10" fillId="3" borderId="11" xfId="0" applyFont="1" applyFill="1" applyBorder="1" applyProtection="1">
      <protection locked="0"/>
    </xf>
    <xf numFmtId="0" fontId="10" fillId="3" borderId="12" xfId="0" applyFont="1" applyFill="1" applyBorder="1" applyProtection="1">
      <protection locked="0"/>
    </xf>
    <xf numFmtId="0" fontId="10" fillId="3" borderId="13" xfId="0" applyFont="1" applyFill="1" applyBorder="1" applyProtection="1">
      <protection locked="0"/>
    </xf>
    <xf numFmtId="43" fontId="7" fillId="0" borderId="0" xfId="1" applyFont="1" applyProtection="1">
      <protection locked="0"/>
    </xf>
    <xf numFmtId="0" fontId="20" fillId="9" borderId="11" xfId="0" applyFont="1" applyFill="1" applyBorder="1" applyProtection="1">
      <protection locked="0"/>
    </xf>
    <xf numFmtId="0" fontId="18" fillId="0" borderId="0" xfId="0" applyFont="1" applyProtection="1">
      <protection locked="0"/>
    </xf>
    <xf numFmtId="164" fontId="17" fillId="0" borderId="0" xfId="4" applyFont="1" applyProtection="1">
      <protection locked="0"/>
    </xf>
    <xf numFmtId="0" fontId="9" fillId="7" borderId="12" xfId="0" applyFont="1" applyFill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164" fontId="9" fillId="0" borderId="0" xfId="4" applyFont="1" applyFill="1" applyBorder="1" applyProtection="1">
      <protection locked="0"/>
    </xf>
    <xf numFmtId="4" fontId="7" fillId="8" borderId="5" xfId="0" applyNumberFormat="1" applyFont="1" applyFill="1" applyBorder="1" applyProtection="1">
      <protection locked="0"/>
    </xf>
    <xf numFmtId="4" fontId="7" fillId="8" borderId="6" xfId="0" applyNumberFormat="1" applyFont="1" applyFill="1" applyBorder="1" applyProtection="1">
      <protection locked="0"/>
    </xf>
    <xf numFmtId="4" fontId="7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right"/>
      <protection locked="0"/>
    </xf>
    <xf numFmtId="0" fontId="7" fillId="0" borderId="54" xfId="0" applyFont="1" applyBorder="1" applyProtection="1">
      <protection locked="0"/>
    </xf>
    <xf numFmtId="4" fontId="9" fillId="0" borderId="0" xfId="0" applyNumberFormat="1" applyFont="1" applyProtection="1">
      <protection locked="0"/>
    </xf>
    <xf numFmtId="0" fontId="7" fillId="0" borderId="25" xfId="0" applyFont="1" applyBorder="1" applyProtection="1">
      <protection locked="0"/>
    </xf>
    <xf numFmtId="0" fontId="9" fillId="0" borderId="25" xfId="0" applyFont="1" applyBorder="1" applyProtection="1">
      <protection locked="0"/>
    </xf>
    <xf numFmtId="0" fontId="9" fillId="0" borderId="26" xfId="0" applyFont="1" applyBorder="1" applyProtection="1">
      <protection locked="0"/>
    </xf>
    <xf numFmtId="0" fontId="9" fillId="0" borderId="4" xfId="0" applyFont="1" applyBorder="1" applyProtection="1">
      <protection locked="0"/>
    </xf>
    <xf numFmtId="4" fontId="9" fillId="0" borderId="12" xfId="0" applyNumberFormat="1" applyFont="1" applyBorder="1" applyProtection="1">
      <protection locked="0"/>
    </xf>
    <xf numFmtId="0" fontId="9" fillId="0" borderId="12" xfId="0" applyFont="1" applyBorder="1" applyProtection="1">
      <protection locked="0"/>
    </xf>
    <xf numFmtId="4" fontId="9" fillId="0" borderId="13" xfId="0" applyNumberFormat="1" applyFont="1" applyBorder="1" applyAlignment="1" applyProtection="1">
      <alignment horizontal="right"/>
      <protection locked="0"/>
    </xf>
    <xf numFmtId="4" fontId="9" fillId="0" borderId="0" xfId="0" applyNumberFormat="1" applyFont="1" applyAlignment="1" applyProtection="1">
      <alignment horizontal="right"/>
      <protection locked="0"/>
    </xf>
    <xf numFmtId="0" fontId="9" fillId="0" borderId="0" xfId="0" applyFont="1" applyProtection="1">
      <protection locked="0"/>
    </xf>
    <xf numFmtId="0" fontId="9" fillId="4" borderId="5" xfId="0" applyFont="1" applyFill="1" applyBorder="1" applyProtection="1">
      <protection locked="0"/>
    </xf>
    <xf numFmtId="3" fontId="7" fillId="0" borderId="0" xfId="0" applyNumberFormat="1" applyFont="1" applyAlignment="1" applyProtection="1">
      <alignment horizontal="left"/>
      <protection locked="0"/>
    </xf>
    <xf numFmtId="3" fontId="7" fillId="0" borderId="0" xfId="0" applyNumberFormat="1" applyFont="1" applyAlignment="1" applyProtection="1">
      <alignment horizontal="right"/>
      <protection locked="0"/>
    </xf>
    <xf numFmtId="164" fontId="7" fillId="0" borderId="2" xfId="4" applyFont="1" applyFill="1" applyBorder="1" applyProtection="1">
      <protection locked="0"/>
    </xf>
    <xf numFmtId="0" fontId="9" fillId="4" borderId="6" xfId="0" applyFont="1" applyFill="1" applyBorder="1" applyProtection="1">
      <protection locked="0"/>
    </xf>
    <xf numFmtId="0" fontId="28" fillId="0" borderId="0" xfId="0" applyFont="1" applyProtection="1">
      <protection locked="0"/>
    </xf>
    <xf numFmtId="4" fontId="7" fillId="0" borderId="54" xfId="0" applyNumberFormat="1" applyFont="1" applyBorder="1" applyProtection="1">
      <protection locked="0"/>
    </xf>
    <xf numFmtId="4" fontId="7" fillId="0" borderId="25" xfId="0" applyNumberFormat="1" applyFont="1" applyBorder="1" applyProtection="1">
      <protection locked="0"/>
    </xf>
    <xf numFmtId="0" fontId="7" fillId="0" borderId="2" xfId="0" applyFont="1" applyBorder="1" applyProtection="1">
      <protection locked="0"/>
    </xf>
    <xf numFmtId="4" fontId="7" fillId="0" borderId="2" xfId="0" applyNumberFormat="1" applyFont="1" applyBorder="1" applyProtection="1">
      <protection locked="0"/>
    </xf>
    <xf numFmtId="164" fontId="7" fillId="0" borderId="2" xfId="4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164" fontId="7" fillId="0" borderId="12" xfId="9" applyFont="1" applyFill="1" applyBorder="1" applyProtection="1">
      <protection locked="0"/>
    </xf>
    <xf numFmtId="4" fontId="7" fillId="0" borderId="12" xfId="0" applyNumberFormat="1" applyFont="1" applyBorder="1" applyProtection="1">
      <protection locked="0"/>
    </xf>
    <xf numFmtId="0" fontId="7" fillId="0" borderId="13" xfId="0" applyFont="1" applyBorder="1" applyProtection="1">
      <protection locked="0"/>
    </xf>
    <xf numFmtId="3" fontId="7" fillId="0" borderId="12" xfId="0" applyNumberFormat="1" applyFont="1" applyBorder="1" applyAlignment="1" applyProtection="1">
      <alignment horizontal="left"/>
      <protection locked="0"/>
    </xf>
    <xf numFmtId="43" fontId="7" fillId="0" borderId="12" xfId="1" applyFont="1" applyBorder="1" applyAlignment="1" applyProtection="1">
      <alignment horizontal="right"/>
      <protection locked="0"/>
    </xf>
    <xf numFmtId="4" fontId="7" fillId="0" borderId="13" xfId="0" applyNumberFormat="1" applyFont="1" applyBorder="1" applyProtection="1">
      <protection locked="0"/>
    </xf>
    <xf numFmtId="4" fontId="7" fillId="0" borderId="0" xfId="0" applyNumberFormat="1" applyFont="1" applyAlignment="1" applyProtection="1">
      <alignment horizontal="right"/>
      <protection locked="0"/>
    </xf>
    <xf numFmtId="3" fontId="7" fillId="0" borderId="0" xfId="0" applyNumberFormat="1" applyFont="1" applyProtection="1">
      <protection locked="0"/>
    </xf>
    <xf numFmtId="0" fontId="7" fillId="5" borderId="0" xfId="0" applyFont="1" applyFill="1" applyProtection="1">
      <protection locked="0"/>
    </xf>
    <xf numFmtId="4" fontId="15" fillId="0" borderId="20" xfId="0" applyNumberFormat="1" applyFont="1" applyBorder="1" applyAlignment="1" applyProtection="1">
      <alignment horizontal="right"/>
      <protection locked="0"/>
    </xf>
    <xf numFmtId="4" fontId="15" fillId="5" borderId="0" xfId="0" applyNumberFormat="1" applyFont="1" applyFill="1" applyProtection="1">
      <protection locked="0"/>
    </xf>
    <xf numFmtId="4" fontId="15" fillId="0" borderId="22" xfId="0" applyNumberFormat="1" applyFont="1" applyBorder="1" applyAlignment="1" applyProtection="1">
      <alignment horizontal="right"/>
      <protection locked="0"/>
    </xf>
    <xf numFmtId="0" fontId="12" fillId="0" borderId="16" xfId="0" applyFont="1" applyBorder="1" applyProtection="1">
      <protection locked="0"/>
    </xf>
    <xf numFmtId="4" fontId="15" fillId="0" borderId="18" xfId="0" applyNumberFormat="1" applyFont="1" applyBorder="1" applyAlignment="1" applyProtection="1">
      <alignment horizontal="left"/>
      <protection locked="0"/>
    </xf>
    <xf numFmtId="0" fontId="13" fillId="5" borderId="0" xfId="0" applyFont="1" applyFill="1" applyProtection="1">
      <protection locked="0"/>
    </xf>
    <xf numFmtId="4" fontId="7" fillId="5" borderId="0" xfId="0" applyNumberFormat="1" applyFont="1" applyFill="1" applyAlignment="1" applyProtection="1">
      <alignment horizontal="left"/>
      <protection locked="0"/>
    </xf>
    <xf numFmtId="4" fontId="7" fillId="5" borderId="0" xfId="0" applyNumberFormat="1" applyFont="1" applyFill="1" applyAlignment="1" applyProtection="1">
      <alignment horizontal="right"/>
      <protection locked="0"/>
    </xf>
    <xf numFmtId="4" fontId="9" fillId="5" borderId="0" xfId="0" applyNumberFormat="1" applyFont="1" applyFill="1" applyProtection="1">
      <protection locked="0"/>
    </xf>
    <xf numFmtId="4" fontId="15" fillId="0" borderId="0" xfId="0" applyNumberFormat="1" applyFont="1" applyAlignment="1" applyProtection="1">
      <alignment horizontal="left"/>
      <protection locked="0"/>
    </xf>
    <xf numFmtId="4" fontId="15" fillId="0" borderId="0" xfId="0" applyNumberFormat="1" applyFont="1" applyAlignment="1" applyProtection="1">
      <alignment horizontal="right"/>
      <protection locked="0"/>
    </xf>
    <xf numFmtId="4" fontId="15" fillId="5" borderId="0" xfId="0" applyNumberFormat="1" applyFont="1" applyFill="1" applyAlignment="1" applyProtection="1">
      <alignment horizontal="left"/>
      <protection locked="0"/>
    </xf>
    <xf numFmtId="4" fontId="15" fillId="5" borderId="0" xfId="0" applyNumberFormat="1" applyFont="1" applyFill="1" applyAlignment="1" applyProtection="1">
      <alignment horizontal="right"/>
      <protection locked="0"/>
    </xf>
    <xf numFmtId="164" fontId="9" fillId="8" borderId="1" xfId="4" applyFont="1" applyFill="1" applyBorder="1" applyProtection="1">
      <protection locked="0"/>
    </xf>
    <xf numFmtId="0" fontId="7" fillId="0" borderId="20" xfId="0" applyFont="1" applyBorder="1" applyProtection="1">
      <protection locked="0"/>
    </xf>
    <xf numFmtId="4" fontId="9" fillId="0" borderId="11" xfId="0" applyNumberFormat="1" applyFont="1" applyBorder="1" applyProtection="1">
      <protection locked="0"/>
    </xf>
    <xf numFmtId="0" fontId="9" fillId="0" borderId="21" xfId="0" applyFont="1" applyBorder="1" applyProtection="1">
      <protection locked="0"/>
    </xf>
    <xf numFmtId="4" fontId="9" fillId="0" borderId="23" xfId="0" applyNumberFormat="1" applyFont="1" applyBorder="1" applyProtection="1">
      <protection locked="0"/>
    </xf>
    <xf numFmtId="0" fontId="9" fillId="0" borderId="27" xfId="0" applyFont="1" applyBorder="1" applyProtection="1">
      <protection locked="0"/>
    </xf>
    <xf numFmtId="4" fontId="9" fillId="0" borderId="14" xfId="0" applyNumberFormat="1" applyFont="1" applyBorder="1" applyProtection="1">
      <protection locked="0"/>
    </xf>
    <xf numFmtId="0" fontId="7" fillId="0" borderId="0" xfId="0" applyFont="1" applyProtection="1">
      <protection hidden="1"/>
    </xf>
    <xf numFmtId="0" fontId="9" fillId="7" borderId="11" xfId="0" applyFont="1" applyFill="1" applyBorder="1" applyProtection="1">
      <protection hidden="1"/>
    </xf>
    <xf numFmtId="0" fontId="9" fillId="7" borderId="12" xfId="0" applyFont="1" applyFill="1" applyBorder="1" applyAlignment="1" applyProtection="1">
      <alignment horizontal="left"/>
      <protection hidden="1"/>
    </xf>
    <xf numFmtId="0" fontId="9" fillId="8" borderId="4" xfId="0" applyFont="1" applyFill="1" applyBorder="1" applyProtection="1">
      <protection hidden="1"/>
    </xf>
    <xf numFmtId="0" fontId="9" fillId="4" borderId="4" xfId="0" applyFont="1" applyFill="1" applyBorder="1" applyProtection="1">
      <protection hidden="1"/>
    </xf>
    <xf numFmtId="14" fontId="9" fillId="4" borderId="56" xfId="0" applyNumberFormat="1" applyFont="1" applyFill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9" fillId="4" borderId="2" xfId="0" applyFont="1" applyFill="1" applyBorder="1" applyProtection="1">
      <protection hidden="1"/>
    </xf>
    <xf numFmtId="4" fontId="9" fillId="4" borderId="13" xfId="0" applyNumberFormat="1" applyFont="1" applyFill="1" applyBorder="1" applyAlignment="1" applyProtection="1">
      <alignment horizontal="center"/>
      <protection hidden="1"/>
    </xf>
    <xf numFmtId="0" fontId="11" fillId="4" borderId="11" xfId="0" applyFont="1" applyFill="1" applyBorder="1" applyProtection="1">
      <protection hidden="1"/>
    </xf>
    <xf numFmtId="0" fontId="11" fillId="4" borderId="2" xfId="0" applyFont="1" applyFill="1" applyBorder="1" applyProtection="1">
      <protection hidden="1"/>
    </xf>
    <xf numFmtId="0" fontId="11" fillId="4" borderId="12" xfId="0" applyFont="1" applyFill="1" applyBorder="1" applyProtection="1">
      <protection hidden="1"/>
    </xf>
    <xf numFmtId="4" fontId="9" fillId="4" borderId="2" xfId="0" applyNumberFormat="1" applyFont="1" applyFill="1" applyBorder="1" applyAlignment="1" applyProtection="1">
      <alignment horizontal="center"/>
      <protection hidden="1"/>
    </xf>
    <xf numFmtId="0" fontId="9" fillId="4" borderId="11" xfId="0" applyFont="1" applyFill="1" applyBorder="1" applyProtection="1">
      <protection hidden="1"/>
    </xf>
    <xf numFmtId="4" fontId="9" fillId="0" borderId="21" xfId="0" applyNumberFormat="1" applyFont="1" applyBorder="1" applyProtection="1">
      <protection hidden="1"/>
    </xf>
    <xf numFmtId="4" fontId="9" fillId="4" borderId="2" xfId="0" applyNumberFormat="1" applyFont="1" applyFill="1" applyBorder="1" applyProtection="1">
      <protection hidden="1"/>
    </xf>
    <xf numFmtId="4" fontId="9" fillId="4" borderId="13" xfId="0" applyNumberFormat="1" applyFont="1" applyFill="1" applyBorder="1" applyProtection="1">
      <protection hidden="1"/>
    </xf>
    <xf numFmtId="0" fontId="9" fillId="4" borderId="13" xfId="0" applyFont="1" applyFill="1" applyBorder="1" applyAlignment="1" applyProtection="1">
      <alignment horizontal="center"/>
      <protection hidden="1"/>
    </xf>
    <xf numFmtId="3" fontId="9" fillId="0" borderId="25" xfId="0" applyNumberFormat="1" applyFont="1" applyBorder="1" applyAlignment="1" applyProtection="1">
      <alignment horizontal="center"/>
      <protection hidden="1"/>
    </xf>
    <xf numFmtId="3" fontId="9" fillId="0" borderId="19" xfId="0" applyNumberFormat="1" applyFont="1" applyBorder="1" applyAlignment="1" applyProtection="1">
      <alignment horizontal="center"/>
      <protection hidden="1"/>
    </xf>
    <xf numFmtId="3" fontId="9" fillId="0" borderId="21" xfId="0" applyNumberFormat="1" applyFont="1" applyBorder="1" applyAlignment="1" applyProtection="1">
      <alignment horizontal="center"/>
      <protection hidden="1"/>
    </xf>
    <xf numFmtId="0" fontId="9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left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4" fontId="7" fillId="2" borderId="0" xfId="0" applyNumberFormat="1" applyFont="1" applyFill="1"/>
    <xf numFmtId="4" fontId="7" fillId="2" borderId="23" xfId="0" applyNumberFormat="1" applyFont="1" applyFill="1" applyBorder="1"/>
    <xf numFmtId="4" fontId="7" fillId="2" borderId="20" xfId="0" applyNumberFormat="1" applyFont="1" applyFill="1" applyBorder="1"/>
    <xf numFmtId="4" fontId="7" fillId="2" borderId="22" xfId="0" applyNumberFormat="1" applyFont="1" applyFill="1" applyBorder="1"/>
    <xf numFmtId="0" fontId="10" fillId="3" borderId="11" xfId="0" applyFont="1" applyFill="1" applyBorder="1"/>
    <xf numFmtId="0" fontId="17" fillId="0" borderId="0" xfId="0" applyFont="1" applyProtection="1">
      <protection locked="0"/>
    </xf>
    <xf numFmtId="0" fontId="27" fillId="0" borderId="0" xfId="0" applyFont="1" applyAlignment="1" applyProtection="1">
      <alignment horizontal="right"/>
      <protection locked="0"/>
    </xf>
    <xf numFmtId="0" fontId="17" fillId="0" borderId="0" xfId="0" applyFont="1" applyAlignment="1" applyProtection="1">
      <alignment horizontal="right"/>
      <protection locked="0"/>
    </xf>
    <xf numFmtId="0" fontId="20" fillId="9" borderId="12" xfId="0" applyFont="1" applyFill="1" applyBorder="1" applyProtection="1">
      <protection locked="0"/>
    </xf>
    <xf numFmtId="0" fontId="9" fillId="7" borderId="29" xfId="0" applyFont="1" applyFill="1" applyBorder="1" applyAlignment="1" applyProtection="1">
      <alignment horizontal="left"/>
      <protection locked="0"/>
    </xf>
    <xf numFmtId="164" fontId="9" fillId="7" borderId="30" xfId="4" applyFont="1" applyFill="1" applyBorder="1" applyProtection="1">
      <protection locked="0"/>
    </xf>
    <xf numFmtId="0" fontId="17" fillId="0" borderId="0" xfId="3" applyFont="1" applyProtection="1">
      <protection locked="0"/>
    </xf>
    <xf numFmtId="4" fontId="17" fillId="0" borderId="0" xfId="0" applyNumberFormat="1" applyFont="1" applyProtection="1">
      <protection locked="0"/>
    </xf>
    <xf numFmtId="4" fontId="17" fillId="0" borderId="25" xfId="0" applyNumberFormat="1" applyFont="1" applyBorder="1" applyProtection="1">
      <protection locked="0"/>
    </xf>
    <xf numFmtId="0" fontId="17" fillId="0" borderId="25" xfId="0" applyFont="1" applyBorder="1" applyProtection="1">
      <protection locked="0"/>
    </xf>
    <xf numFmtId="4" fontId="9" fillId="0" borderId="12" xfId="0" applyNumberFormat="1" applyFont="1" applyBorder="1" applyAlignment="1" applyProtection="1">
      <alignment horizontal="right"/>
      <protection locked="0"/>
    </xf>
    <xf numFmtId="4" fontId="18" fillId="0" borderId="0" xfId="0" applyNumberFormat="1" applyFont="1" applyProtection="1">
      <protection locked="0"/>
    </xf>
    <xf numFmtId="0" fontId="9" fillId="5" borderId="0" xfId="0" applyFont="1" applyFill="1" applyAlignment="1" applyProtection="1">
      <alignment horizontal="left"/>
      <protection locked="0"/>
    </xf>
    <xf numFmtId="4" fontId="18" fillId="0" borderId="54" xfId="0" applyNumberFormat="1" applyFont="1" applyBorder="1" applyProtection="1">
      <protection locked="0"/>
    </xf>
    <xf numFmtId="4" fontId="18" fillId="0" borderId="25" xfId="0" applyNumberFormat="1" applyFont="1" applyBorder="1" applyProtection="1">
      <protection locked="0"/>
    </xf>
    <xf numFmtId="0" fontId="18" fillId="0" borderId="25" xfId="0" applyFont="1" applyBorder="1" applyProtection="1">
      <protection locked="0"/>
    </xf>
    <xf numFmtId="0" fontId="18" fillId="0" borderId="26" xfId="0" applyFont="1" applyBorder="1" applyProtection="1">
      <protection locked="0"/>
    </xf>
    <xf numFmtId="4" fontId="18" fillId="0" borderId="26" xfId="0" applyNumberFormat="1" applyFont="1" applyBorder="1" applyProtection="1">
      <protection locked="0"/>
    </xf>
    <xf numFmtId="3" fontId="17" fillId="0" borderId="0" xfId="0" applyNumberFormat="1" applyFont="1" applyProtection="1">
      <protection locked="0"/>
    </xf>
    <xf numFmtId="0" fontId="9" fillId="4" borderId="2" xfId="0" applyFont="1" applyFill="1" applyBorder="1"/>
    <xf numFmtId="14" fontId="9" fillId="4" borderId="2" xfId="0" applyNumberFormat="1" applyFont="1" applyFill="1" applyBorder="1"/>
    <xf numFmtId="4" fontId="9" fillId="0" borderId="2" xfId="0" applyNumberFormat="1" applyFont="1" applyBorder="1"/>
    <xf numFmtId="4" fontId="18" fillId="0" borderId="0" xfId="0" applyNumberFormat="1" applyFont="1"/>
    <xf numFmtId="0" fontId="20" fillId="9" borderId="11" xfId="0" applyFont="1" applyFill="1" applyBorder="1" applyProtection="1">
      <protection hidden="1"/>
    </xf>
    <xf numFmtId="0" fontId="23" fillId="0" borderId="0" xfId="0" applyFont="1" applyProtection="1">
      <protection locked="0"/>
    </xf>
    <xf numFmtId="0" fontId="10" fillId="3" borderId="12" xfId="0" applyFont="1" applyFill="1" applyBorder="1" applyAlignment="1" applyProtection="1">
      <alignment horizontal="center"/>
      <protection locked="0"/>
    </xf>
    <xf numFmtId="0" fontId="10" fillId="5" borderId="0" xfId="0" applyFont="1" applyFill="1" applyProtection="1">
      <protection locked="0"/>
    </xf>
    <xf numFmtId="164" fontId="7" fillId="5" borderId="0" xfId="4" applyFont="1" applyFill="1" applyBorder="1" applyAlignment="1" applyProtection="1">
      <alignment horizontal="right"/>
      <protection locked="0"/>
    </xf>
    <xf numFmtId="4" fontId="7" fillId="8" borderId="0" xfId="0" applyNumberFormat="1" applyFont="1" applyFill="1" applyProtection="1">
      <protection locked="0"/>
    </xf>
    <xf numFmtId="164" fontId="7" fillId="8" borderId="0" xfId="4" applyFont="1" applyFill="1" applyProtection="1">
      <protection locked="0"/>
    </xf>
    <xf numFmtId="0" fontId="9" fillId="7" borderId="5" xfId="0" applyFont="1" applyFill="1" applyBorder="1" applyAlignment="1" applyProtection="1">
      <alignment horizontal="left"/>
      <protection locked="0"/>
    </xf>
    <xf numFmtId="166" fontId="23" fillId="0" borderId="0" xfId="0" applyNumberFormat="1" applyFont="1" applyProtection="1">
      <protection locked="0"/>
    </xf>
    <xf numFmtId="4" fontId="23" fillId="0" borderId="0" xfId="0" applyNumberFormat="1" applyFont="1" applyProtection="1">
      <protection locked="0"/>
    </xf>
    <xf numFmtId="0" fontId="9" fillId="2" borderId="16" xfId="0" applyFont="1" applyFill="1" applyBorder="1" applyAlignment="1" applyProtection="1">
      <alignment horizontal="left" indent="10"/>
      <protection locked="0"/>
    </xf>
    <xf numFmtId="4" fontId="7" fillId="2" borderId="17" xfId="0" applyNumberFormat="1" applyFont="1" applyFill="1" applyBorder="1" applyProtection="1">
      <protection locked="0"/>
    </xf>
    <xf numFmtId="4" fontId="7" fillId="2" borderId="34" xfId="0" applyNumberFormat="1" applyFont="1" applyFill="1" applyBorder="1" applyProtection="1">
      <protection locked="0"/>
    </xf>
    <xf numFmtId="4" fontId="7" fillId="2" borderId="18" xfId="0" applyNumberFormat="1" applyFont="1" applyFill="1" applyBorder="1" applyProtection="1">
      <protection locked="0"/>
    </xf>
    <xf numFmtId="164" fontId="9" fillId="5" borderId="0" xfId="4" applyFont="1" applyFill="1" applyBorder="1" applyProtection="1">
      <protection locked="0"/>
    </xf>
    <xf numFmtId="0" fontId="10" fillId="3" borderId="11" xfId="0" applyFont="1" applyFill="1" applyBorder="1" applyProtection="1">
      <protection hidden="1"/>
    </xf>
    <xf numFmtId="0" fontId="9" fillId="8" borderId="0" xfId="0" applyFont="1" applyFill="1" applyProtection="1">
      <protection hidden="1"/>
    </xf>
    <xf numFmtId="0" fontId="9" fillId="7" borderId="4" xfId="0" applyFont="1" applyFill="1" applyBorder="1" applyProtection="1">
      <protection hidden="1"/>
    </xf>
    <xf numFmtId="0" fontId="9" fillId="4" borderId="37" xfId="0" applyFont="1" applyFill="1" applyBorder="1" applyAlignment="1" applyProtection="1">
      <alignment horizontal="center"/>
      <protection hidden="1"/>
    </xf>
    <xf numFmtId="0" fontId="9" fillId="4" borderId="39" xfId="0" applyFont="1" applyFill="1" applyBorder="1" applyAlignment="1" applyProtection="1">
      <alignment horizontal="left"/>
      <protection hidden="1"/>
    </xf>
    <xf numFmtId="0" fontId="9" fillId="4" borderId="38" xfId="0" applyFont="1" applyFill="1" applyBorder="1" applyAlignment="1" applyProtection="1">
      <alignment horizontal="center"/>
      <protection hidden="1"/>
    </xf>
    <xf numFmtId="4" fontId="7" fillId="2" borderId="30" xfId="0" applyNumberFormat="1" applyFont="1" applyFill="1" applyBorder="1" applyProtection="1">
      <protection hidden="1"/>
    </xf>
    <xf numFmtId="0" fontId="9" fillId="7" borderId="28" xfId="0" applyFont="1" applyFill="1" applyBorder="1" applyProtection="1">
      <protection hidden="1"/>
    </xf>
    <xf numFmtId="0" fontId="23" fillId="0" borderId="0" xfId="0" applyFont="1" applyProtection="1">
      <protection hidden="1"/>
    </xf>
    <xf numFmtId="0" fontId="9" fillId="0" borderId="0" xfId="0" applyFont="1" applyAlignment="1" applyProtection="1">
      <alignment horizontal="left"/>
      <protection hidden="1"/>
    </xf>
    <xf numFmtId="4" fontId="7" fillId="0" borderId="0" xfId="0" applyNumberFormat="1" applyFont="1" applyProtection="1">
      <protection hidden="1"/>
    </xf>
    <xf numFmtId="4" fontId="7" fillId="8" borderId="5" xfId="0" applyNumberFormat="1" applyFont="1" applyFill="1" applyBorder="1" applyProtection="1">
      <protection hidden="1"/>
    </xf>
    <xf numFmtId="0" fontId="12" fillId="5" borderId="0" xfId="0" applyFont="1" applyFill="1" applyProtection="1">
      <protection hidden="1"/>
    </xf>
    <xf numFmtId="0" fontId="12" fillId="0" borderId="0" xfId="0" applyFont="1" applyProtection="1">
      <protection hidden="1"/>
    </xf>
    <xf numFmtId="0" fontId="11" fillId="5" borderId="0" xfId="0" applyFont="1" applyFill="1" applyProtection="1">
      <protection hidden="1"/>
    </xf>
    <xf numFmtId="0" fontId="20" fillId="9" borderId="12" xfId="0" applyFont="1" applyFill="1" applyBorder="1" applyProtection="1">
      <protection hidden="1"/>
    </xf>
    <xf numFmtId="0" fontId="17" fillId="0" borderId="0" xfId="0" applyFont="1" applyProtection="1">
      <protection hidden="1"/>
    </xf>
    <xf numFmtId="0" fontId="18" fillId="0" borderId="0" xfId="0" applyFont="1" applyProtection="1">
      <protection hidden="1"/>
    </xf>
    <xf numFmtId="0" fontId="9" fillId="7" borderId="29" xfId="0" applyFont="1" applyFill="1" applyBorder="1" applyAlignment="1" applyProtection="1">
      <alignment horizontal="left"/>
      <protection hidden="1"/>
    </xf>
    <xf numFmtId="3" fontId="18" fillId="0" borderId="54" xfId="0" applyNumberFormat="1" applyFont="1" applyBorder="1" applyProtection="1">
      <protection hidden="1"/>
    </xf>
    <xf numFmtId="3" fontId="18" fillId="0" borderId="25" xfId="0" applyNumberFormat="1" applyFont="1" applyBorder="1" applyProtection="1">
      <protection hidden="1"/>
    </xf>
    <xf numFmtId="3" fontId="18" fillId="0" borderId="26" xfId="0" applyNumberFormat="1" applyFont="1" applyBorder="1" applyProtection="1">
      <protection hidden="1"/>
    </xf>
    <xf numFmtId="0" fontId="9" fillId="0" borderId="4" xfId="0" applyFont="1" applyBorder="1" applyProtection="1">
      <protection hidden="1"/>
    </xf>
    <xf numFmtId="166" fontId="17" fillId="0" borderId="0" xfId="0" applyNumberFormat="1" applyFont="1" applyProtection="1">
      <protection hidden="1"/>
    </xf>
    <xf numFmtId="0" fontId="16" fillId="3" borderId="11" xfId="0" applyFont="1" applyFill="1" applyBorder="1" applyProtection="1">
      <protection hidden="1"/>
    </xf>
    <xf numFmtId="0" fontId="22" fillId="0" borderId="0" xfId="0" applyFont="1" applyProtection="1">
      <protection hidden="1"/>
    </xf>
    <xf numFmtId="0" fontId="18" fillId="7" borderId="4" xfId="0" applyFont="1" applyFill="1" applyBorder="1" applyProtection="1">
      <protection hidden="1"/>
    </xf>
    <xf numFmtId="3" fontId="18" fillId="0" borderId="0" xfId="0" applyNumberFormat="1" applyFont="1" applyProtection="1">
      <protection hidden="1"/>
    </xf>
    <xf numFmtId="0" fontId="9" fillId="4" borderId="11" xfId="0" applyFont="1" applyFill="1" applyBorder="1" applyAlignment="1" applyProtection="1">
      <alignment horizontal="left"/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wrapText="1"/>
      <protection hidden="1"/>
    </xf>
    <xf numFmtId="166" fontId="23" fillId="5" borderId="11" xfId="0" applyNumberFormat="1" applyFont="1" applyFill="1" applyBorder="1" applyProtection="1">
      <protection hidden="1"/>
    </xf>
    <xf numFmtId="0" fontId="22" fillId="5" borderId="0" xfId="0" applyFont="1" applyFill="1" applyProtection="1">
      <protection hidden="1"/>
    </xf>
    <xf numFmtId="0" fontId="18" fillId="4" borderId="2" xfId="0" applyFont="1" applyFill="1" applyBorder="1" applyProtection="1">
      <protection hidden="1"/>
    </xf>
    <xf numFmtId="43" fontId="22" fillId="0" borderId="0" xfId="1" applyFont="1" applyBorder="1" applyProtection="1">
      <protection locked="0"/>
    </xf>
    <xf numFmtId="43" fontId="22" fillId="0" borderId="0" xfId="1" applyFont="1" applyProtection="1">
      <protection locked="0"/>
    </xf>
    <xf numFmtId="43" fontId="22" fillId="0" borderId="1" xfId="1" applyFont="1" applyFill="1" applyBorder="1" applyProtection="1">
      <protection locked="0"/>
    </xf>
    <xf numFmtId="43" fontId="22" fillId="0" borderId="0" xfId="1" applyFont="1" applyFill="1" applyProtection="1">
      <protection locked="0"/>
    </xf>
    <xf numFmtId="43" fontId="22" fillId="0" borderId="0" xfId="1" applyFont="1" applyFill="1" applyBorder="1" applyProtection="1">
      <protection locked="0"/>
    </xf>
    <xf numFmtId="43" fontId="22" fillId="5" borderId="1" xfId="1" applyFont="1" applyFill="1" applyBorder="1" applyProtection="1">
      <protection locked="0"/>
    </xf>
    <xf numFmtId="43" fontId="22" fillId="5" borderId="0" xfId="1" applyFont="1" applyFill="1" applyProtection="1">
      <protection locked="0"/>
    </xf>
    <xf numFmtId="0" fontId="22" fillId="0" borderId="0" xfId="0" applyFont="1" applyProtection="1">
      <protection locked="0"/>
    </xf>
    <xf numFmtId="43" fontId="22" fillId="5" borderId="1" xfId="1" applyFont="1" applyFill="1" applyBorder="1" applyAlignment="1" applyProtection="1">
      <alignment vertical="center"/>
      <protection locked="0"/>
    </xf>
    <xf numFmtId="43" fontId="23" fillId="5" borderId="34" xfId="1" applyFont="1" applyFill="1" applyBorder="1" applyProtection="1">
      <protection locked="0"/>
    </xf>
    <xf numFmtId="43" fontId="22" fillId="5" borderId="34" xfId="1" applyFont="1" applyFill="1" applyBorder="1" applyProtection="1">
      <protection locked="0"/>
    </xf>
    <xf numFmtId="0" fontId="19" fillId="5" borderId="34" xfId="0" applyFont="1" applyFill="1" applyBorder="1" applyAlignment="1" applyProtection="1">
      <alignment horizontal="left"/>
      <protection locked="0"/>
    </xf>
    <xf numFmtId="0" fontId="24" fillId="0" borderId="0" xfId="0" applyFont="1" applyProtection="1">
      <protection locked="0"/>
    </xf>
    <xf numFmtId="0" fontId="16" fillId="3" borderId="11" xfId="0" applyFont="1" applyFill="1" applyBorder="1" applyProtection="1">
      <protection locked="0"/>
    </xf>
    <xf numFmtId="4" fontId="24" fillId="0" borderId="0" xfId="0" applyNumberFormat="1" applyFont="1" applyProtection="1">
      <protection locked="0"/>
    </xf>
    <xf numFmtId="0" fontId="18" fillId="7" borderId="5" xfId="0" applyFont="1" applyFill="1" applyBorder="1" applyProtection="1">
      <protection locked="0"/>
    </xf>
    <xf numFmtId="0" fontId="22" fillId="0" borderId="0" xfId="0" applyFont="1" applyAlignment="1" applyProtection="1">
      <alignment horizontal="left" wrapText="1"/>
      <protection locked="0"/>
    </xf>
    <xf numFmtId="0" fontId="25" fillId="0" borderId="0" xfId="0" applyFont="1" applyProtection="1">
      <protection locked="0"/>
    </xf>
    <xf numFmtId="0" fontId="22" fillId="10" borderId="0" xfId="0" applyFont="1" applyFill="1" applyProtection="1">
      <protection locked="0"/>
    </xf>
    <xf numFmtId="4" fontId="22" fillId="0" borderId="0" xfId="0" applyNumberFormat="1" applyFont="1" applyAlignment="1" applyProtection="1">
      <alignment horizontal="left"/>
      <protection locked="0"/>
    </xf>
    <xf numFmtId="167" fontId="22" fillId="0" borderId="0" xfId="0" applyNumberFormat="1" applyFont="1" applyProtection="1">
      <protection locked="0"/>
    </xf>
    <xf numFmtId="0" fontId="19" fillId="4" borderId="2" xfId="0" applyFont="1" applyFill="1" applyBorder="1" applyAlignment="1" applyProtection="1">
      <alignment horizontal="left"/>
      <protection locked="0"/>
    </xf>
    <xf numFmtId="4" fontId="22" fillId="0" borderId="0" xfId="0" applyNumberFormat="1" applyFont="1" applyProtection="1">
      <protection locked="0"/>
    </xf>
    <xf numFmtId="166" fontId="22" fillId="5" borderId="41" xfId="0" applyNumberFormat="1" applyFont="1" applyFill="1" applyBorder="1" applyProtection="1">
      <protection locked="0"/>
    </xf>
    <xf numFmtId="43" fontId="23" fillId="5" borderId="13" xfId="1" applyFont="1" applyFill="1" applyBorder="1" applyProtection="1">
      <protection locked="0"/>
    </xf>
    <xf numFmtId="0" fontId="19" fillId="4" borderId="13" xfId="0" applyFont="1" applyFill="1" applyBorder="1" applyAlignment="1" applyProtection="1">
      <alignment horizontal="left"/>
      <protection locked="0"/>
    </xf>
    <xf numFmtId="0" fontId="22" fillId="5" borderId="0" xfId="0" applyFont="1" applyFill="1" applyProtection="1">
      <protection locked="0"/>
    </xf>
    <xf numFmtId="0" fontId="22" fillId="0" borderId="54" xfId="0" applyFont="1" applyBorder="1" applyProtection="1">
      <protection locked="0"/>
    </xf>
    <xf numFmtId="0" fontId="22" fillId="0" borderId="25" xfId="0" applyFont="1" applyBorder="1" applyProtection="1">
      <protection locked="0"/>
    </xf>
    <xf numFmtId="0" fontId="22" fillId="0" borderId="11" xfId="0" applyFont="1" applyBorder="1" applyProtection="1">
      <protection locked="0"/>
    </xf>
    <xf numFmtId="0" fontId="22" fillId="0" borderId="12" xfId="0" applyFont="1" applyBorder="1" applyProtection="1">
      <protection locked="0"/>
    </xf>
    <xf numFmtId="43" fontId="22" fillId="0" borderId="12" xfId="1" applyFont="1" applyBorder="1" applyProtection="1">
      <protection locked="0"/>
    </xf>
    <xf numFmtId="0" fontId="24" fillId="0" borderId="12" xfId="0" applyFont="1" applyBorder="1" applyProtection="1">
      <protection locked="0"/>
    </xf>
    <xf numFmtId="0" fontId="22" fillId="0" borderId="13" xfId="0" applyFont="1" applyBorder="1" applyProtection="1">
      <protection locked="0"/>
    </xf>
    <xf numFmtId="164" fontId="18" fillId="7" borderId="6" xfId="4" applyFont="1" applyFill="1" applyBorder="1" applyProtection="1">
      <protection hidden="1"/>
    </xf>
    <xf numFmtId="43" fontId="23" fillId="5" borderId="13" xfId="1" applyFont="1" applyFill="1" applyBorder="1" applyProtection="1">
      <protection hidden="1"/>
    </xf>
    <xf numFmtId="43" fontId="18" fillId="7" borderId="6" xfId="0" applyNumberFormat="1" applyFont="1" applyFill="1" applyBorder="1" applyProtection="1">
      <protection hidden="1"/>
    </xf>
    <xf numFmtId="164" fontId="9" fillId="4" borderId="13" xfId="4" applyFont="1" applyFill="1" applyBorder="1" applyAlignment="1" applyProtection="1">
      <alignment horizontal="center"/>
      <protection hidden="1"/>
    </xf>
    <xf numFmtId="164" fontId="10" fillId="3" borderId="12" xfId="4" applyFont="1" applyFill="1" applyBorder="1" applyProtection="1">
      <protection hidden="1"/>
    </xf>
    <xf numFmtId="164" fontId="9" fillId="7" borderId="1" xfId="4" applyFont="1" applyFill="1" applyBorder="1" applyProtection="1">
      <protection hidden="1"/>
    </xf>
    <xf numFmtId="164" fontId="9" fillId="7" borderId="6" xfId="4" applyFont="1" applyFill="1" applyBorder="1" applyAlignment="1" applyProtection="1">
      <alignment horizontal="left"/>
      <protection hidden="1"/>
    </xf>
    <xf numFmtId="0" fontId="7" fillId="0" borderId="54" xfId="0" applyFont="1" applyBorder="1" applyAlignment="1" applyProtection="1">
      <alignment horizontal="center"/>
      <protection locked="0"/>
    </xf>
    <xf numFmtId="164" fontId="17" fillId="0" borderId="0" xfId="9" applyFont="1" applyProtection="1">
      <protection locked="0"/>
    </xf>
    <xf numFmtId="0" fontId="9" fillId="4" borderId="54" xfId="0" applyFont="1" applyFill="1" applyBorder="1"/>
    <xf numFmtId="166" fontId="23" fillId="5" borderId="21" xfId="0" applyNumberFormat="1" applyFont="1" applyFill="1" applyBorder="1" applyProtection="1">
      <protection hidden="1"/>
    </xf>
    <xf numFmtId="166" fontId="22" fillId="5" borderId="53" xfId="0" applyNumberFormat="1" applyFont="1" applyFill="1" applyBorder="1" applyProtection="1">
      <protection locked="0"/>
    </xf>
    <xf numFmtId="14" fontId="23" fillId="0" borderId="54" xfId="0" applyNumberFormat="1" applyFont="1" applyBorder="1" applyAlignment="1" applyProtection="1">
      <alignment horizontal="justify" vertical="top"/>
      <protection locked="0"/>
    </xf>
    <xf numFmtId="164" fontId="9" fillId="8" borderId="6" xfId="4" applyFont="1" applyFill="1" applyBorder="1" applyProtection="1">
      <protection hidden="1"/>
    </xf>
    <xf numFmtId="164" fontId="9" fillId="7" borderId="30" xfId="4" applyFont="1" applyFill="1" applyBorder="1" applyProtection="1">
      <protection hidden="1"/>
    </xf>
    <xf numFmtId="4" fontId="9" fillId="8" borderId="6" xfId="0" applyNumberFormat="1" applyFont="1" applyFill="1" applyBorder="1" applyProtection="1">
      <protection hidden="1"/>
    </xf>
    <xf numFmtId="164" fontId="18" fillId="7" borderId="6" xfId="4" applyFont="1" applyFill="1" applyBorder="1" applyProtection="1">
      <protection locked="0"/>
    </xf>
    <xf numFmtId="4" fontId="7" fillId="8" borderId="0" xfId="0" applyNumberFormat="1" applyFont="1" applyFill="1" applyProtection="1">
      <protection hidden="1"/>
    </xf>
    <xf numFmtId="43" fontId="9" fillId="7" borderId="29" xfId="1" applyFont="1" applyFill="1" applyBorder="1" applyAlignment="1" applyProtection="1">
      <alignment horizontal="left"/>
      <protection hidden="1"/>
    </xf>
    <xf numFmtId="164" fontId="20" fillId="9" borderId="12" xfId="4" applyFont="1" applyFill="1" applyBorder="1" applyProtection="1">
      <protection hidden="1"/>
    </xf>
    <xf numFmtId="164" fontId="9" fillId="7" borderId="30" xfId="0" applyNumberFormat="1" applyFont="1" applyFill="1" applyBorder="1"/>
    <xf numFmtId="164" fontId="9" fillId="8" borderId="6" xfId="4" applyFont="1" applyFill="1" applyBorder="1" applyProtection="1"/>
    <xf numFmtId="164" fontId="9" fillId="7" borderId="30" xfId="4" applyFont="1" applyFill="1" applyBorder="1" applyProtection="1"/>
    <xf numFmtId="43" fontId="17" fillId="0" borderId="0" xfId="1" applyFont="1" applyAlignment="1" applyProtection="1">
      <alignment horizontal="right"/>
    </xf>
    <xf numFmtId="164" fontId="23" fillId="0" borderId="0" xfId="0" applyNumberFormat="1" applyFont="1"/>
    <xf numFmtId="164" fontId="10" fillId="3" borderId="2" xfId="4" applyFont="1" applyFill="1" applyBorder="1" applyProtection="1"/>
    <xf numFmtId="4" fontId="9" fillId="8" borderId="6" xfId="0" applyNumberFormat="1" applyFont="1" applyFill="1" applyBorder="1"/>
    <xf numFmtId="4" fontId="9" fillId="0" borderId="13" xfId="0" applyNumberFormat="1" applyFont="1" applyBorder="1" applyAlignment="1">
      <alignment horizontal="right"/>
    </xf>
    <xf numFmtId="4" fontId="9" fillId="0" borderId="13" xfId="0" applyNumberFormat="1" applyFont="1" applyBorder="1"/>
    <xf numFmtId="4" fontId="9" fillId="4" borderId="58" xfId="0" applyNumberFormat="1" applyFont="1" applyFill="1" applyBorder="1" applyProtection="1">
      <protection hidden="1"/>
    </xf>
    <xf numFmtId="164" fontId="9" fillId="7" borderId="3" xfId="4" applyFont="1" applyFill="1" applyBorder="1" applyProtection="1"/>
    <xf numFmtId="4" fontId="9" fillId="8" borderId="1" xfId="0" applyNumberFormat="1" applyFont="1" applyFill="1" applyBorder="1"/>
    <xf numFmtId="43" fontId="7" fillId="0" borderId="12" xfId="1" applyFont="1" applyBorder="1" applyProtection="1"/>
    <xf numFmtId="43" fontId="7" fillId="0" borderId="12" xfId="1" applyFont="1" applyBorder="1" applyAlignment="1" applyProtection="1">
      <alignment horizontal="right"/>
    </xf>
    <xf numFmtId="4" fontId="15" fillId="0" borderId="17" xfId="0" applyNumberFormat="1" applyFont="1" applyBorder="1" applyAlignment="1">
      <alignment horizontal="right"/>
    </xf>
    <xf numFmtId="164" fontId="9" fillId="8" borderId="1" xfId="4" applyFont="1" applyFill="1" applyBorder="1" applyProtection="1"/>
    <xf numFmtId="4" fontId="9" fillId="0" borderId="14" xfId="0" applyNumberFormat="1" applyFont="1" applyBorder="1"/>
    <xf numFmtId="165" fontId="18" fillId="7" borderId="6" xfId="0" applyNumberFormat="1" applyFont="1" applyFill="1" applyBorder="1"/>
    <xf numFmtId="164" fontId="16" fillId="3" borderId="11" xfId="4" applyFont="1" applyFill="1" applyBorder="1" applyProtection="1"/>
    <xf numFmtId="0" fontId="7" fillId="2" borderId="33" xfId="0" applyFont="1" applyFill="1" applyBorder="1" applyProtection="1">
      <protection locked="0"/>
    </xf>
    <xf numFmtId="0" fontId="7" fillId="2" borderId="40" xfId="0" applyFont="1" applyFill="1" applyBorder="1" applyProtection="1">
      <protection locked="0"/>
    </xf>
    <xf numFmtId="0" fontId="7" fillId="2" borderId="34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25" xfId="0" applyBorder="1" applyProtection="1">
      <protection locked="0"/>
    </xf>
    <xf numFmtId="0" fontId="6" fillId="3" borderId="61" xfId="0" applyFont="1" applyFill="1" applyBorder="1" applyProtection="1">
      <protection hidden="1"/>
    </xf>
    <xf numFmtId="0" fontId="6" fillId="3" borderId="63" xfId="0" applyFont="1" applyFill="1" applyBorder="1" applyProtection="1">
      <protection hidden="1"/>
    </xf>
    <xf numFmtId="0" fontId="0" fillId="12" borderId="0" xfId="0" applyFill="1" applyProtection="1">
      <protection locked="0"/>
    </xf>
    <xf numFmtId="0" fontId="0" fillId="12" borderId="20" xfId="0" applyFill="1" applyBorder="1" applyProtection="1">
      <protection locked="0"/>
    </xf>
    <xf numFmtId="0" fontId="0" fillId="12" borderId="25" xfId="0" applyFill="1" applyBorder="1" applyProtection="1">
      <protection locked="0"/>
    </xf>
    <xf numFmtId="0" fontId="6" fillId="3" borderId="20" xfId="0" applyFont="1" applyFill="1" applyBorder="1" applyProtection="1">
      <protection hidden="1"/>
    </xf>
    <xf numFmtId="0" fontId="6" fillId="3" borderId="25" xfId="0" applyFont="1" applyFill="1" applyBorder="1" applyProtection="1">
      <protection hidden="1"/>
    </xf>
    <xf numFmtId="0" fontId="8" fillId="3" borderId="20" xfId="2" applyFont="1" applyFill="1" applyBorder="1" applyAlignment="1" applyProtection="1">
      <alignment horizontal="center"/>
      <protection hidden="1"/>
    </xf>
    <xf numFmtId="0" fontId="8" fillId="3" borderId="25" xfId="2" applyFont="1" applyFill="1" applyBorder="1" applyAlignment="1" applyProtection="1">
      <alignment horizontal="center"/>
      <protection hidden="1"/>
    </xf>
    <xf numFmtId="14" fontId="7" fillId="0" borderId="25" xfId="0" applyNumberFormat="1" applyFont="1" applyBorder="1" applyProtection="1">
      <protection locked="0"/>
    </xf>
    <xf numFmtId="0" fontId="8" fillId="3" borderId="61" xfId="8" applyFont="1" applyFill="1" applyBorder="1" applyAlignment="1">
      <alignment horizontal="center"/>
    </xf>
    <xf numFmtId="0" fontId="8" fillId="3" borderId="63" xfId="8" applyFont="1" applyFill="1" applyBorder="1" applyAlignment="1">
      <alignment horizontal="center"/>
    </xf>
    <xf numFmtId="0" fontId="7" fillId="0" borderId="45" xfId="0" applyFont="1" applyBorder="1" applyProtection="1">
      <protection locked="0"/>
    </xf>
    <xf numFmtId="0" fontId="7" fillId="0" borderId="47" xfId="0" applyFont="1" applyBorder="1" applyProtection="1">
      <protection locked="0"/>
    </xf>
    <xf numFmtId="0" fontId="7" fillId="0" borderId="48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0" borderId="49" xfId="0" applyFont="1" applyBorder="1" applyProtection="1">
      <protection locked="0"/>
    </xf>
    <xf numFmtId="0" fontId="7" fillId="0" borderId="10" xfId="0" applyFont="1" applyBorder="1" applyProtection="1">
      <protection locked="0"/>
    </xf>
    <xf numFmtId="0" fontId="7" fillId="0" borderId="44" xfId="0" applyFont="1" applyBorder="1" applyProtection="1">
      <protection locked="0"/>
    </xf>
    <xf numFmtId="0" fontId="7" fillId="0" borderId="1" xfId="0" applyFont="1" applyBorder="1" applyProtection="1">
      <protection locked="0"/>
    </xf>
    <xf numFmtId="43" fontId="7" fillId="0" borderId="1" xfId="1" applyFont="1" applyBorder="1" applyProtection="1">
      <protection locked="0"/>
    </xf>
    <xf numFmtId="164" fontId="7" fillId="0" borderId="44" xfId="4" applyFont="1" applyBorder="1" applyProtection="1">
      <protection locked="0"/>
    </xf>
    <xf numFmtId="0" fontId="7" fillId="0" borderId="9" xfId="0" applyFont="1" applyBorder="1" applyProtection="1">
      <protection locked="0"/>
    </xf>
    <xf numFmtId="164" fontId="7" fillId="0" borderId="10" xfId="4" applyFont="1" applyBorder="1" applyProtection="1">
      <protection locked="0"/>
    </xf>
    <xf numFmtId="164" fontId="18" fillId="7" borderId="1" xfId="4" applyFont="1" applyFill="1" applyBorder="1" applyProtection="1">
      <protection locked="0"/>
    </xf>
    <xf numFmtId="0" fontId="18" fillId="7" borderId="4" xfId="0" applyFont="1" applyFill="1" applyBorder="1"/>
    <xf numFmtId="0" fontId="6" fillId="3" borderId="45" xfId="0" applyFont="1" applyFill="1" applyBorder="1"/>
    <xf numFmtId="0" fontId="6" fillId="3" borderId="1" xfId="0" applyFont="1" applyFill="1" applyBorder="1"/>
    <xf numFmtId="43" fontId="18" fillId="7" borderId="1" xfId="0" applyNumberFormat="1" applyFont="1" applyFill="1" applyBorder="1"/>
    <xf numFmtId="0" fontId="9" fillId="0" borderId="0" xfId="0" applyFont="1"/>
    <xf numFmtId="0" fontId="9" fillId="6" borderId="4" xfId="0" applyFont="1" applyFill="1" applyBorder="1"/>
    <xf numFmtId="0" fontId="9" fillId="6" borderId="5" xfId="0" applyFont="1" applyFill="1" applyBorder="1"/>
    <xf numFmtId="0" fontId="9" fillId="0" borderId="0" xfId="0" applyFont="1" applyAlignment="1">
      <alignment horizontal="right"/>
    </xf>
    <xf numFmtId="0" fontId="9" fillId="5" borderId="0" xfId="0" applyFont="1" applyFill="1"/>
    <xf numFmtId="0" fontId="9" fillId="6" borderId="6" xfId="0" applyFont="1" applyFill="1" applyBorder="1"/>
    <xf numFmtId="0" fontId="18" fillId="6" borderId="4" xfId="0" applyFont="1" applyFill="1" applyBorder="1"/>
    <xf numFmtId="0" fontId="18" fillId="6" borderId="5" xfId="0" applyFont="1" applyFill="1" applyBorder="1"/>
    <xf numFmtId="0" fontId="18" fillId="0" borderId="0" xfId="0" applyFont="1"/>
    <xf numFmtId="0" fontId="18" fillId="0" borderId="0" xfId="0" applyFont="1" applyAlignment="1">
      <alignment horizontal="right"/>
    </xf>
    <xf numFmtId="0" fontId="18" fillId="5" borderId="0" xfId="0" applyFont="1" applyFill="1"/>
    <xf numFmtId="0" fontId="0" fillId="0" borderId="48" xfId="0" applyBorder="1" applyProtection="1">
      <protection locked="0"/>
    </xf>
    <xf numFmtId="43" fontId="0" fillId="0" borderId="48" xfId="1" applyFont="1" applyBorder="1" applyProtection="1">
      <protection locked="0"/>
    </xf>
    <xf numFmtId="0" fontId="6" fillId="11" borderId="45" xfId="0" applyFont="1" applyFill="1" applyBorder="1"/>
    <xf numFmtId="0" fontId="9" fillId="4" borderId="2" xfId="0" applyFont="1" applyFill="1" applyBorder="1" applyAlignment="1" applyProtection="1">
      <alignment horizontal="center" vertical="center"/>
      <protection locked="0"/>
    </xf>
    <xf numFmtId="43" fontId="9" fillId="5" borderId="24" xfId="1" applyFont="1" applyFill="1" applyBorder="1" applyProtection="1">
      <protection locked="0"/>
    </xf>
    <xf numFmtId="43" fontId="7" fillId="0" borderId="2" xfId="1" applyFont="1" applyBorder="1" applyProtection="1">
      <protection locked="0"/>
    </xf>
    <xf numFmtId="43" fontId="18" fillId="0" borderId="24" xfId="1" applyFont="1" applyBorder="1" applyProtection="1">
      <protection locked="0"/>
    </xf>
    <xf numFmtId="43" fontId="9" fillId="0" borderId="0" xfId="1" applyFont="1" applyProtection="1">
      <protection locked="0"/>
    </xf>
    <xf numFmtId="43" fontId="9" fillId="6" borderId="1" xfId="1" applyFont="1" applyFill="1" applyBorder="1" applyProtection="1">
      <protection locked="0"/>
    </xf>
    <xf numFmtId="43" fontId="9" fillId="6" borderId="1" xfId="1" applyFont="1" applyFill="1" applyBorder="1" applyProtection="1"/>
    <xf numFmtId="43" fontId="8" fillId="3" borderId="0" xfId="1" applyFont="1" applyFill="1" applyAlignment="1" applyProtection="1">
      <alignment horizontal="center"/>
    </xf>
    <xf numFmtId="43" fontId="9" fillId="5" borderId="0" xfId="1" applyFont="1" applyFill="1" applyProtection="1">
      <protection locked="0"/>
    </xf>
    <xf numFmtId="43" fontId="9" fillId="0" borderId="36" xfId="1" applyFont="1" applyBorder="1" applyProtection="1">
      <protection locked="0"/>
    </xf>
    <xf numFmtId="43" fontId="9" fillId="0" borderId="2" xfId="1" applyFont="1" applyBorder="1" applyProtection="1">
      <protection locked="0"/>
    </xf>
    <xf numFmtId="43" fontId="9" fillId="6" borderId="6" xfId="1" applyFont="1" applyFill="1" applyBorder="1" applyProtection="1"/>
    <xf numFmtId="43" fontId="9" fillId="6" borderId="6" xfId="1" applyFont="1" applyFill="1" applyBorder="1" applyProtection="1">
      <protection locked="0"/>
    </xf>
    <xf numFmtId="43" fontId="18" fillId="0" borderId="0" xfId="1" applyFont="1" applyProtection="1">
      <protection locked="0"/>
    </xf>
    <xf numFmtId="43" fontId="26" fillId="3" borderId="0" xfId="1" applyFont="1" applyFill="1" applyAlignment="1" applyProtection="1">
      <alignment horizontal="center"/>
    </xf>
    <xf numFmtId="43" fontId="18" fillId="6" borderId="1" xfId="1" applyFont="1" applyFill="1" applyBorder="1" applyProtection="1"/>
    <xf numFmtId="43" fontId="18" fillId="6" borderId="1" xfId="1" applyFont="1" applyFill="1" applyBorder="1" applyProtection="1"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4" fontId="9" fillId="4" borderId="46" xfId="0" applyNumberFormat="1" applyFont="1" applyFill="1" applyBorder="1" applyProtection="1">
      <protection hidden="1"/>
    </xf>
    <xf numFmtId="0" fontId="9" fillId="4" borderId="45" xfId="0" applyFont="1" applyFill="1" applyBorder="1" applyProtection="1">
      <protection hidden="1"/>
    </xf>
    <xf numFmtId="0" fontId="9" fillId="4" borderId="60" xfId="0" applyFont="1" applyFill="1" applyBorder="1" applyAlignment="1" applyProtection="1">
      <alignment horizontal="center"/>
      <protection hidden="1"/>
    </xf>
    <xf numFmtId="164" fontId="7" fillId="0" borderId="0" xfId="0" applyNumberFormat="1" applyFont="1" applyProtection="1">
      <protection locked="0"/>
    </xf>
    <xf numFmtId="43" fontId="17" fillId="0" borderId="0" xfId="1" applyFont="1" applyProtection="1">
      <protection locked="0"/>
    </xf>
    <xf numFmtId="43" fontId="9" fillId="0" borderId="22" xfId="1" applyFont="1" applyBorder="1" applyProtection="1"/>
    <xf numFmtId="164" fontId="22" fillId="0" borderId="0" xfId="0" applyNumberFormat="1" applyFont="1" applyProtection="1">
      <protection locked="0"/>
    </xf>
    <xf numFmtId="3" fontId="34" fillId="0" borderId="0" xfId="0" applyNumberFormat="1" applyFont="1" applyProtection="1">
      <protection locked="0"/>
    </xf>
    <xf numFmtId="165" fontId="9" fillId="0" borderId="0" xfId="0" applyNumberFormat="1" applyFont="1" applyProtection="1">
      <protection locked="0"/>
    </xf>
    <xf numFmtId="3" fontId="35" fillId="0" borderId="0" xfId="0" applyNumberFormat="1" applyFont="1" applyProtection="1">
      <protection locked="0"/>
    </xf>
    <xf numFmtId="4" fontId="7" fillId="5" borderId="0" xfId="0" applyNumberFormat="1" applyFont="1" applyFill="1" applyProtection="1">
      <protection locked="0"/>
    </xf>
    <xf numFmtId="165" fontId="7" fillId="0" borderId="0" xfId="0" applyNumberFormat="1" applyFont="1" applyProtection="1">
      <protection locked="0"/>
    </xf>
    <xf numFmtId="43" fontId="7" fillId="0" borderId="0" xfId="1" applyFont="1" applyAlignment="1" applyProtection="1">
      <alignment horizont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43" fontId="7" fillId="0" borderId="0" xfId="0" applyNumberFormat="1" applyFont="1" applyProtection="1">
      <protection locked="0"/>
    </xf>
    <xf numFmtId="164" fontId="17" fillId="0" borderId="0" xfId="0" applyNumberFormat="1" applyFont="1" applyProtection="1">
      <protection locked="0"/>
    </xf>
    <xf numFmtId="3" fontId="22" fillId="0" borderId="0" xfId="0" applyNumberFormat="1" applyFont="1" applyProtection="1">
      <protection locked="0"/>
    </xf>
    <xf numFmtId="3" fontId="24" fillId="0" borderId="0" xfId="0" applyNumberFormat="1" applyFont="1" applyProtection="1">
      <protection locked="0"/>
    </xf>
    <xf numFmtId="0" fontId="9" fillId="6" borderId="11" xfId="0" applyFont="1" applyFill="1" applyBorder="1" applyProtection="1">
      <protection hidden="1"/>
    </xf>
    <xf numFmtId="164" fontId="9" fillId="6" borderId="3" xfId="4" applyFont="1" applyFill="1" applyBorder="1" applyProtection="1"/>
    <xf numFmtId="0" fontId="9" fillId="8" borderId="11" xfId="0" applyFont="1" applyFill="1" applyBorder="1" applyProtection="1">
      <protection hidden="1"/>
    </xf>
    <xf numFmtId="0" fontId="9" fillId="8" borderId="12" xfId="0" applyFont="1" applyFill="1" applyBorder="1" applyAlignment="1" applyProtection="1">
      <alignment horizontal="left"/>
      <protection hidden="1"/>
    </xf>
    <xf numFmtId="164" fontId="9" fillId="8" borderId="3" xfId="4" applyFont="1" applyFill="1" applyBorder="1" applyProtection="1"/>
    <xf numFmtId="49" fontId="7" fillId="0" borderId="54" xfId="0" applyNumberFormat="1" applyFont="1" applyBorder="1" applyAlignment="1" applyProtection="1">
      <alignment horizontal="left"/>
      <protection locked="0"/>
    </xf>
    <xf numFmtId="49" fontId="7" fillId="0" borderId="25" xfId="0" applyNumberFormat="1" applyFont="1" applyBorder="1" applyAlignment="1" applyProtection="1">
      <alignment horizontal="left"/>
      <protection locked="0"/>
    </xf>
    <xf numFmtId="4" fontId="9" fillId="0" borderId="25" xfId="0" applyNumberFormat="1" applyFont="1" applyBorder="1" applyProtection="1">
      <protection locked="0"/>
    </xf>
    <xf numFmtId="49" fontId="9" fillId="0" borderId="25" xfId="0" applyNumberFormat="1" applyFont="1" applyBorder="1" applyProtection="1">
      <protection locked="0"/>
    </xf>
    <xf numFmtId="0" fontId="9" fillId="6" borderId="12" xfId="0" applyFont="1" applyFill="1" applyBorder="1" applyAlignment="1" applyProtection="1">
      <alignment horizontal="left"/>
      <protection locked="0"/>
    </xf>
    <xf numFmtId="0" fontId="7" fillId="0" borderId="20" xfId="1" applyNumberFormat="1" applyFont="1" applyFill="1" applyBorder="1" applyAlignment="1" applyProtection="1">
      <alignment horizontal="left"/>
      <protection locked="0"/>
    </xf>
    <xf numFmtId="164" fontId="9" fillId="0" borderId="13" xfId="4" applyFont="1" applyFill="1" applyBorder="1" applyProtection="1"/>
    <xf numFmtId="4" fontId="9" fillId="0" borderId="0" xfId="0" applyNumberFormat="1" applyFont="1" applyProtection="1">
      <protection hidden="1"/>
    </xf>
    <xf numFmtId="0" fontId="9" fillId="6" borderId="12" xfId="0" applyFont="1" applyFill="1" applyBorder="1" applyAlignment="1" applyProtection="1">
      <alignment horizontal="left"/>
      <protection hidden="1"/>
    </xf>
    <xf numFmtId="3" fontId="18" fillId="0" borderId="35" xfId="0" applyNumberFormat="1" applyFont="1" applyBorder="1" applyProtection="1">
      <protection hidden="1"/>
    </xf>
    <xf numFmtId="4" fontId="17" fillId="0" borderId="54" xfId="0" applyNumberFormat="1" applyFont="1" applyBorder="1" applyProtection="1">
      <protection locked="0"/>
    </xf>
    <xf numFmtId="3" fontId="18" fillId="0" borderId="19" xfId="0" applyNumberFormat="1" applyFont="1" applyBorder="1" applyProtection="1">
      <protection hidden="1"/>
    </xf>
    <xf numFmtId="3" fontId="18" fillId="0" borderId="21" xfId="0" applyNumberFormat="1" applyFont="1" applyBorder="1" applyProtection="1">
      <protection hidden="1"/>
    </xf>
    <xf numFmtId="4" fontId="17" fillId="0" borderId="26" xfId="0" applyNumberFormat="1" applyFont="1" applyBorder="1"/>
    <xf numFmtId="0" fontId="17" fillId="0" borderId="22" xfId="0" applyFont="1" applyBorder="1" applyProtection="1">
      <protection locked="0"/>
    </xf>
    <xf numFmtId="165" fontId="22" fillId="0" borderId="0" xfId="0" applyNumberFormat="1" applyFont="1" applyProtection="1">
      <protection locked="0"/>
    </xf>
    <xf numFmtId="164" fontId="22" fillId="0" borderId="1" xfId="4" applyFont="1" applyFill="1" applyBorder="1" applyProtection="1">
      <protection locked="0"/>
    </xf>
    <xf numFmtId="4" fontId="7" fillId="0" borderId="19" xfId="0" applyNumberFormat="1" applyFont="1" applyBorder="1" applyProtection="1">
      <protection locked="0"/>
    </xf>
    <xf numFmtId="164" fontId="7" fillId="0" borderId="54" xfId="4" applyFont="1" applyFill="1" applyBorder="1" applyProtection="1">
      <protection locked="0"/>
    </xf>
    <xf numFmtId="164" fontId="7" fillId="0" borderId="25" xfId="4" applyFont="1" applyFill="1" applyBorder="1" applyProtection="1">
      <protection locked="0"/>
    </xf>
    <xf numFmtId="0" fontId="7" fillId="0" borderId="26" xfId="0" applyFont="1" applyBorder="1" applyProtection="1">
      <protection locked="0"/>
    </xf>
    <xf numFmtId="4" fontId="9" fillId="0" borderId="26" xfId="0" applyNumberFormat="1" applyFont="1" applyBorder="1" applyProtection="1">
      <protection locked="0"/>
    </xf>
    <xf numFmtId="0" fontId="9" fillId="0" borderId="11" xfId="0" applyFont="1" applyBorder="1" applyProtection="1">
      <protection locked="0"/>
    </xf>
    <xf numFmtId="43" fontId="7" fillId="0" borderId="43" xfId="1" applyFont="1" applyFill="1" applyBorder="1" applyAlignment="1" applyProtection="1">
      <alignment horizontal="center"/>
      <protection locked="0"/>
    </xf>
    <xf numFmtId="43" fontId="9" fillId="0" borderId="20" xfId="1" applyFont="1" applyFill="1" applyBorder="1" applyAlignment="1" applyProtection="1">
      <alignment horizontal="center"/>
      <protection locked="0"/>
    </xf>
    <xf numFmtId="0" fontId="9" fillId="0" borderId="20" xfId="0" applyFont="1" applyBorder="1" applyAlignment="1" applyProtection="1">
      <alignment horizontal="center"/>
      <protection locked="0"/>
    </xf>
    <xf numFmtId="4" fontId="7" fillId="0" borderId="5" xfId="0" applyNumberFormat="1" applyFont="1" applyBorder="1" applyProtection="1">
      <protection hidden="1"/>
    </xf>
    <xf numFmtId="4" fontId="7" fillId="0" borderId="5" xfId="0" applyNumberFormat="1" applyFont="1" applyBorder="1" applyProtection="1">
      <protection locked="0"/>
    </xf>
    <xf numFmtId="4" fontId="9" fillId="0" borderId="1" xfId="0" applyNumberFormat="1" applyFont="1" applyBorder="1"/>
    <xf numFmtId="3" fontId="7" fillId="0" borderId="0" xfId="0" applyNumberFormat="1" applyFont="1" applyAlignment="1" applyProtection="1">
      <alignment horizontal="left"/>
      <protection hidden="1"/>
    </xf>
    <xf numFmtId="3" fontId="7" fillId="0" borderId="0" xfId="0" applyNumberFormat="1" applyFont="1" applyProtection="1">
      <protection hidden="1"/>
    </xf>
    <xf numFmtId="3" fontId="9" fillId="0" borderId="0" xfId="0" applyNumberFormat="1" applyFont="1" applyProtection="1">
      <protection hidden="1"/>
    </xf>
    <xf numFmtId="164" fontId="7" fillId="0" borderId="24" xfId="4" applyFont="1" applyFill="1" applyBorder="1" applyProtection="1"/>
    <xf numFmtId="3" fontId="9" fillId="0" borderId="0" xfId="0" applyNumberFormat="1" applyFont="1" applyProtection="1">
      <protection locked="0"/>
    </xf>
    <xf numFmtId="0" fontId="9" fillId="0" borderId="5" xfId="0" applyFont="1" applyBorder="1" applyProtection="1">
      <protection hidden="1"/>
    </xf>
    <xf numFmtId="0" fontId="9" fillId="0" borderId="5" xfId="0" applyFont="1" applyBorder="1" applyProtection="1">
      <protection locked="0"/>
    </xf>
    <xf numFmtId="0" fontId="9" fillId="0" borderId="6" xfId="0" applyFont="1" applyBorder="1" applyProtection="1">
      <protection locked="0"/>
    </xf>
    <xf numFmtId="164" fontId="7" fillId="0" borderId="20" xfId="4" applyFont="1" applyFill="1" applyBorder="1" applyProtection="1">
      <protection locked="0"/>
    </xf>
    <xf numFmtId="164" fontId="17" fillId="0" borderId="54" xfId="4" applyFont="1" applyFill="1" applyBorder="1" applyProtection="1">
      <protection locked="0"/>
    </xf>
    <xf numFmtId="164" fontId="17" fillId="0" borderId="25" xfId="4" applyFont="1" applyFill="1" applyBorder="1" applyProtection="1">
      <protection locked="0"/>
    </xf>
    <xf numFmtId="164" fontId="17" fillId="0" borderId="26" xfId="4" applyFont="1" applyFill="1" applyBorder="1" applyProtection="1">
      <protection locked="0"/>
    </xf>
    <xf numFmtId="3" fontId="17" fillId="0" borderId="0" xfId="0" applyNumberFormat="1" applyFont="1" applyAlignment="1" applyProtection="1">
      <alignment horizontal="right"/>
      <protection locked="0"/>
    </xf>
    <xf numFmtId="0" fontId="17" fillId="0" borderId="25" xfId="0" applyFont="1" applyBorder="1" applyAlignment="1" applyProtection="1">
      <alignment horizontal="right"/>
      <protection locked="0"/>
    </xf>
    <xf numFmtId="3" fontId="17" fillId="0" borderId="25" xfId="0" applyNumberFormat="1" applyFont="1" applyBorder="1" applyAlignment="1" applyProtection="1">
      <alignment horizontal="right"/>
      <protection locked="0"/>
    </xf>
    <xf numFmtId="4" fontId="17" fillId="0" borderId="0" xfId="0" applyNumberFormat="1" applyFont="1"/>
    <xf numFmtId="0" fontId="1" fillId="0" borderId="0" xfId="0" applyFont="1" applyProtection="1">
      <protection locked="0"/>
    </xf>
    <xf numFmtId="164" fontId="9" fillId="0" borderId="2" xfId="9" applyFont="1" applyFill="1" applyBorder="1" applyProtection="1"/>
    <xf numFmtId="0" fontId="7" fillId="13" borderId="0" xfId="0" applyFont="1" applyFill="1" applyProtection="1">
      <protection locked="0"/>
    </xf>
    <xf numFmtId="164" fontId="7" fillId="0" borderId="0" xfId="4" applyFont="1" applyFill="1" applyBorder="1" applyProtection="1"/>
    <xf numFmtId="4" fontId="9" fillId="0" borderId="0" xfId="0" applyNumberFormat="1" applyFont="1"/>
    <xf numFmtId="0" fontId="9" fillId="0" borderId="0" xfId="0" applyFont="1" applyAlignment="1">
      <alignment horizontal="center"/>
    </xf>
    <xf numFmtId="0" fontId="42" fillId="0" borderId="0" xfId="0" applyFont="1" applyProtection="1">
      <protection locked="0"/>
    </xf>
    <xf numFmtId="4" fontId="21" fillId="0" borderId="0" xfId="0" applyNumberFormat="1" applyFont="1" applyProtection="1">
      <protection locked="0"/>
    </xf>
    <xf numFmtId="4" fontId="21" fillId="0" borderId="0" xfId="0" applyNumberFormat="1" applyFont="1"/>
    <xf numFmtId="0" fontId="21" fillId="0" borderId="0" xfId="0" applyFont="1" applyProtection="1">
      <protection locked="0"/>
    </xf>
    <xf numFmtId="0" fontId="21" fillId="0" borderId="0" xfId="0" applyFont="1" applyAlignment="1">
      <alignment horizontal="center"/>
    </xf>
    <xf numFmtId="4" fontId="42" fillId="0" borderId="0" xfId="0" applyNumberFormat="1" applyFont="1" applyProtection="1">
      <protection locked="0"/>
    </xf>
    <xf numFmtId="0" fontId="21" fillId="0" borderId="9" xfId="0" applyFont="1" applyBorder="1" applyProtection="1">
      <protection locked="0" hidden="1"/>
    </xf>
    <xf numFmtId="4" fontId="42" fillId="0" borderId="9" xfId="0" applyNumberFormat="1" applyFont="1" applyBorder="1" applyProtection="1">
      <protection locked="0"/>
    </xf>
    <xf numFmtId="4" fontId="21" fillId="0" borderId="9" xfId="0" applyNumberFormat="1" applyFont="1" applyBorder="1" applyProtection="1">
      <protection locked="0" hidden="1"/>
    </xf>
    <xf numFmtId="0" fontId="21" fillId="0" borderId="0" xfId="0" applyFont="1" applyAlignment="1" applyProtection="1">
      <alignment horizontal="center"/>
      <protection locked="0"/>
    </xf>
    <xf numFmtId="4" fontId="21" fillId="0" borderId="0" xfId="0" applyNumberFormat="1" applyFont="1" applyAlignment="1" applyProtection="1">
      <alignment horizontal="center"/>
      <protection locked="0"/>
    </xf>
    <xf numFmtId="43" fontId="7" fillId="0" borderId="0" xfId="1" applyFont="1" applyFill="1" applyProtection="1">
      <protection locked="0"/>
    </xf>
    <xf numFmtId="164" fontId="7" fillId="0" borderId="0" xfId="4" applyFont="1" applyFill="1" applyBorder="1" applyProtection="1">
      <protection locked="0"/>
    </xf>
    <xf numFmtId="3" fontId="21" fillId="0" borderId="0" xfId="0" applyNumberFormat="1" applyFont="1" applyProtection="1">
      <protection hidden="1"/>
    </xf>
    <xf numFmtId="3" fontId="42" fillId="0" borderId="0" xfId="0" applyNumberFormat="1" applyFont="1" applyProtection="1">
      <protection locked="0"/>
    </xf>
    <xf numFmtId="0" fontId="9" fillId="6" borderId="44" xfId="0" applyFont="1" applyFill="1" applyBorder="1"/>
    <xf numFmtId="0" fontId="9" fillId="6" borderId="10" xfId="0" applyFont="1" applyFill="1" applyBorder="1"/>
    <xf numFmtId="43" fontId="9" fillId="6" borderId="49" xfId="1" applyFont="1" applyFill="1" applyBorder="1" applyProtection="1">
      <protection locked="0"/>
    </xf>
    <xf numFmtId="0" fontId="9" fillId="6" borderId="9" xfId="0" applyFont="1" applyFill="1" applyBorder="1"/>
    <xf numFmtId="0" fontId="43" fillId="0" borderId="0" xfId="0" applyFont="1" applyProtection="1">
      <protection locked="0"/>
    </xf>
    <xf numFmtId="0" fontId="14" fillId="0" borderId="19" xfId="0" applyFont="1" applyBorder="1" applyAlignment="1" applyProtection="1">
      <alignment horizontal="center"/>
      <protection locked="0"/>
    </xf>
    <xf numFmtId="0" fontId="14" fillId="0" borderId="21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0" fontId="9" fillId="8" borderId="5" xfId="0" applyFont="1" applyFill="1" applyBorder="1" applyProtection="1">
      <protection hidden="1"/>
    </xf>
    <xf numFmtId="43" fontId="21" fillId="0" borderId="0" xfId="1" applyFont="1" applyFill="1" applyAlignment="1" applyProtection="1">
      <alignment horizontal="left"/>
      <protection locked="0"/>
    </xf>
    <xf numFmtId="164" fontId="42" fillId="0" borderId="2" xfId="4" applyFont="1" applyFill="1" applyBorder="1" applyProtection="1">
      <protection locked="0"/>
    </xf>
    <xf numFmtId="0" fontId="15" fillId="0" borderId="54" xfId="0" applyFont="1" applyBorder="1" applyAlignment="1" applyProtection="1">
      <alignment horizontal="center"/>
      <protection locked="0"/>
    </xf>
    <xf numFmtId="4" fontId="15" fillId="0" borderId="25" xfId="0" applyNumberFormat="1" applyFont="1" applyBorder="1" applyAlignment="1" applyProtection="1">
      <alignment horizontal="right"/>
      <protection locked="0"/>
    </xf>
    <xf numFmtId="4" fontId="15" fillId="0" borderId="26" xfId="0" applyNumberFormat="1" applyFont="1" applyBorder="1" applyAlignment="1" applyProtection="1">
      <alignment horizontal="right"/>
      <protection locked="0"/>
    </xf>
    <xf numFmtId="0" fontId="12" fillId="0" borderId="18" xfId="0" applyFont="1" applyBorder="1" applyProtection="1">
      <protection locked="0"/>
    </xf>
    <xf numFmtId="0" fontId="12" fillId="0" borderId="73" xfId="0" applyFont="1" applyBorder="1" applyProtection="1">
      <protection locked="0"/>
    </xf>
    <xf numFmtId="0" fontId="14" fillId="0" borderId="5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14" fillId="0" borderId="26" xfId="0" applyFont="1" applyBorder="1" applyAlignment="1" applyProtection="1">
      <alignment horizontal="center"/>
      <protection locked="0"/>
    </xf>
    <xf numFmtId="0" fontId="12" fillId="0" borderId="50" xfId="0" applyFont="1" applyBorder="1" applyProtection="1">
      <protection locked="0"/>
    </xf>
    <xf numFmtId="0" fontId="12" fillId="0" borderId="75" xfId="0" applyFont="1" applyBorder="1" applyProtection="1">
      <protection locked="0"/>
    </xf>
    <xf numFmtId="0" fontId="12" fillId="0" borderId="51" xfId="0" applyFont="1" applyBorder="1" applyProtection="1">
      <protection locked="0"/>
    </xf>
    <xf numFmtId="0" fontId="12" fillId="0" borderId="74" xfId="0" applyFont="1" applyBorder="1" applyProtection="1">
      <protection locked="0"/>
    </xf>
    <xf numFmtId="4" fontId="9" fillId="0" borderId="21" xfId="0" applyNumberFormat="1" applyFont="1" applyBorder="1" applyProtection="1">
      <protection locked="0"/>
    </xf>
    <xf numFmtId="4" fontId="7" fillId="0" borderId="23" xfId="0" applyNumberFormat="1" applyFont="1" applyBorder="1" applyProtection="1">
      <protection locked="0"/>
    </xf>
    <xf numFmtId="0" fontId="7" fillId="0" borderId="21" xfId="0" applyFont="1" applyBorder="1" applyProtection="1">
      <protection locked="0"/>
    </xf>
    <xf numFmtId="4" fontId="9" fillId="4" borderId="59" xfId="0" applyNumberFormat="1" applyFont="1" applyFill="1" applyBorder="1" applyProtection="1">
      <protection hidden="1"/>
    </xf>
    <xf numFmtId="4" fontId="9" fillId="4" borderId="76" xfId="0" applyNumberFormat="1" applyFont="1" applyFill="1" applyBorder="1" applyProtection="1">
      <protection hidden="1"/>
    </xf>
    <xf numFmtId="4" fontId="7" fillId="0" borderId="26" xfId="0" applyNumberFormat="1" applyFont="1" applyBorder="1" applyProtection="1">
      <protection locked="0"/>
    </xf>
    <xf numFmtId="0" fontId="6" fillId="11" borderId="46" xfId="0" applyFont="1" applyFill="1" applyBorder="1"/>
    <xf numFmtId="43" fontId="0" fillId="0" borderId="7" xfId="1" applyFont="1" applyBorder="1" applyProtection="1">
      <protection locked="0"/>
    </xf>
    <xf numFmtId="0" fontId="0" fillId="0" borderId="7" xfId="0" applyBorder="1" applyProtection="1">
      <protection locked="0"/>
    </xf>
    <xf numFmtId="0" fontId="6" fillId="11" borderId="8" xfId="0" applyFont="1" applyFill="1" applyBorder="1"/>
    <xf numFmtId="0" fontId="0" fillId="0" borderId="8" xfId="0" applyBorder="1" applyProtection="1">
      <protection locked="0"/>
    </xf>
    <xf numFmtId="0" fontId="6" fillId="11" borderId="48" xfId="0" applyFont="1" applyFill="1" applyBorder="1"/>
    <xf numFmtId="0" fontId="9" fillId="0" borderId="2" xfId="0" applyFont="1" applyBorder="1" applyProtection="1">
      <protection hidden="1"/>
    </xf>
    <xf numFmtId="0" fontId="46" fillId="0" borderId="0" xfId="11"/>
    <xf numFmtId="0" fontId="11" fillId="0" borderId="0" xfId="0" applyFont="1" applyProtection="1">
      <protection locked="0"/>
    </xf>
    <xf numFmtId="4" fontId="7" fillId="0" borderId="1" xfId="0" applyNumberFormat="1" applyFont="1" applyBorder="1" applyAlignment="1" applyProtection="1">
      <alignment horizontal="center"/>
      <protection locked="0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7" fillId="0" borderId="67" xfId="0" applyFont="1" applyBorder="1"/>
    <xf numFmtId="0" fontId="7" fillId="0" borderId="68" xfId="0" applyFont="1" applyBorder="1"/>
    <xf numFmtId="4" fontId="7" fillId="0" borderId="1" xfId="0" applyNumberFormat="1" applyFont="1" applyBorder="1" applyAlignment="1">
      <alignment horizontal="center"/>
    </xf>
    <xf numFmtId="0" fontId="7" fillId="0" borderId="69" xfId="0" applyFont="1" applyBorder="1"/>
    <xf numFmtId="0" fontId="7" fillId="0" borderId="70" xfId="0" applyFont="1" applyBorder="1"/>
    <xf numFmtId="0" fontId="9" fillId="15" borderId="1" xfId="0" applyFont="1" applyFill="1" applyBorder="1" applyAlignment="1">
      <alignment horizontal="center" vertical="center"/>
    </xf>
    <xf numFmtId="0" fontId="7" fillId="0" borderId="71" xfId="0" applyFont="1" applyBorder="1"/>
    <xf numFmtId="0" fontId="11" fillId="0" borderId="0" xfId="0" applyFont="1"/>
    <xf numFmtId="0" fontId="21" fillId="0" borderId="0" xfId="0" applyFont="1"/>
    <xf numFmtId="0" fontId="7" fillId="0" borderId="35" xfId="0" applyFont="1" applyBorder="1"/>
    <xf numFmtId="0" fontId="7" fillId="0" borderId="55" xfId="0" applyFont="1" applyBorder="1"/>
    <xf numFmtId="0" fontId="7" fillId="0" borderId="43" xfId="0" applyFont="1" applyBorder="1"/>
    <xf numFmtId="0" fontId="7" fillId="0" borderId="19" xfId="0" applyFont="1" applyBorder="1"/>
    <xf numFmtId="0" fontId="36" fillId="0" borderId="0" xfId="0" applyFont="1"/>
    <xf numFmtId="0" fontId="37" fillId="0" borderId="0" xfId="0" applyFont="1"/>
    <xf numFmtId="0" fontId="7" fillId="0" borderId="20" xfId="0" applyFont="1" applyBorder="1"/>
    <xf numFmtId="0" fontId="7" fillId="0" borderId="21" xfId="0" applyFont="1" applyBorder="1"/>
    <xf numFmtId="0" fontId="7" fillId="0" borderId="23" xfId="0" applyFont="1" applyBorder="1"/>
    <xf numFmtId="0" fontId="7" fillId="0" borderId="22" xfId="0" applyFont="1" applyBorder="1"/>
    <xf numFmtId="0" fontId="9" fillId="0" borderId="70" xfId="0" applyFont="1" applyBorder="1"/>
    <xf numFmtId="0" fontId="28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36" fillId="0" borderId="65" xfId="0" applyFont="1" applyBorder="1"/>
    <xf numFmtId="0" fontId="9" fillId="0" borderId="68" xfId="0" applyFont="1" applyBorder="1" applyAlignment="1">
      <alignment horizontal="left" wrapText="1"/>
    </xf>
    <xf numFmtId="0" fontId="0" fillId="0" borderId="9" xfId="0" applyBorder="1"/>
    <xf numFmtId="0" fontId="0" fillId="0" borderId="5" xfId="0" applyBorder="1"/>
    <xf numFmtId="0" fontId="0" fillId="0" borderId="77" xfId="0" applyBorder="1"/>
    <xf numFmtId="0" fontId="0" fillId="0" borderId="72" xfId="0" applyBorder="1" applyAlignment="1" applyProtection="1">
      <alignment horizontal="center"/>
      <protection locked="0"/>
    </xf>
    <xf numFmtId="0" fontId="40" fillId="0" borderId="23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 wrapText="1"/>
    </xf>
    <xf numFmtId="0" fontId="9" fillId="8" borderId="46" xfId="0" applyFont="1" applyFill="1" applyBorder="1"/>
    <xf numFmtId="0" fontId="44" fillId="8" borderId="5" xfId="0" applyFont="1" applyFill="1" applyBorder="1"/>
    <xf numFmtId="43" fontId="9" fillId="8" borderId="1" xfId="1" applyFont="1" applyFill="1" applyBorder="1" applyProtection="1">
      <protection locked="0"/>
    </xf>
    <xf numFmtId="0" fontId="9" fillId="16" borderId="46" xfId="0" applyFont="1" applyFill="1" applyBorder="1"/>
    <xf numFmtId="0" fontId="44" fillId="16" borderId="9" xfId="0" applyFont="1" applyFill="1" applyBorder="1"/>
    <xf numFmtId="43" fontId="9" fillId="16" borderId="49" xfId="1" applyFont="1" applyFill="1" applyBorder="1" applyProtection="1">
      <protection locked="0"/>
    </xf>
    <xf numFmtId="0" fontId="9" fillId="16" borderId="4" xfId="0" applyFont="1" applyFill="1" applyBorder="1"/>
    <xf numFmtId="0" fontId="9" fillId="8" borderId="4" xfId="0" applyFont="1" applyFill="1" applyBorder="1"/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7" fillId="0" borderId="1" xfId="0" applyFont="1" applyBorder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horizontal="center"/>
      <protection locked="0"/>
    </xf>
    <xf numFmtId="4" fontId="7" fillId="0" borderId="0" xfId="0" applyNumberFormat="1" applyFont="1" applyAlignment="1">
      <alignment horizontal="center"/>
    </xf>
    <xf numFmtId="43" fontId="9" fillId="0" borderId="0" xfId="1" applyFont="1" applyBorder="1" applyProtection="1">
      <protection locked="0"/>
    </xf>
    <xf numFmtId="43" fontId="9" fillId="0" borderId="39" xfId="1" applyFont="1" applyBorder="1" applyProtection="1">
      <protection locked="0"/>
    </xf>
    <xf numFmtId="0" fontId="47" fillId="0" borderId="0" xfId="0" applyFont="1" applyProtection="1">
      <protection locked="0"/>
    </xf>
    <xf numFmtId="43" fontId="9" fillId="5" borderId="0" xfId="1" applyFont="1" applyFill="1" applyBorder="1" applyProtection="1">
      <protection locked="0"/>
    </xf>
    <xf numFmtId="0" fontId="9" fillId="12" borderId="0" xfId="0" applyFont="1" applyFill="1" applyProtection="1">
      <protection hidden="1"/>
    </xf>
    <xf numFmtId="43" fontId="9" fillId="12" borderId="0" xfId="1" applyFont="1" applyFill="1" applyBorder="1" applyProtection="1">
      <protection hidden="1"/>
    </xf>
    <xf numFmtId="0" fontId="9" fillId="12" borderId="0" xfId="0" applyFont="1" applyFill="1" applyAlignment="1" applyProtection="1">
      <alignment horizontal="right"/>
      <protection hidden="1"/>
    </xf>
    <xf numFmtId="0" fontId="18" fillId="12" borderId="0" xfId="0" applyFont="1" applyFill="1"/>
    <xf numFmtId="0" fontId="18" fillId="12" borderId="0" xfId="0" applyFont="1" applyFill="1" applyProtection="1">
      <protection locked="0"/>
    </xf>
    <xf numFmtId="43" fontId="18" fillId="12" borderId="0" xfId="1" applyFont="1" applyFill="1" applyBorder="1" applyProtection="1"/>
    <xf numFmtId="168" fontId="9" fillId="0" borderId="20" xfId="0" applyNumberFormat="1" applyFont="1" applyBorder="1" applyProtection="1">
      <protection locked="0"/>
    </xf>
    <xf numFmtId="4" fontId="9" fillId="0" borderId="54" xfId="0" applyNumberFormat="1" applyFont="1" applyBorder="1" applyProtection="1">
      <protection locked="0"/>
    </xf>
    <xf numFmtId="168" fontId="9" fillId="0" borderId="43" xfId="0" applyNumberFormat="1" applyFont="1" applyBorder="1" applyProtection="1">
      <protection locked="0"/>
    </xf>
    <xf numFmtId="0" fontId="9" fillId="4" borderId="43" xfId="0" applyFont="1" applyFill="1" applyBorder="1" applyProtection="1">
      <protection hidden="1"/>
    </xf>
    <xf numFmtId="0" fontId="9" fillId="0" borderId="23" xfId="0" applyFont="1" applyBorder="1" applyProtection="1">
      <protection locked="0"/>
    </xf>
    <xf numFmtId="0" fontId="9" fillId="0" borderId="44" xfId="0" applyFont="1" applyBorder="1" applyProtection="1">
      <protection locked="0"/>
    </xf>
    <xf numFmtId="4" fontId="9" fillId="0" borderId="9" xfId="0" applyNumberFormat="1" applyFont="1" applyBorder="1" applyProtection="1">
      <protection locked="0"/>
    </xf>
    <xf numFmtId="14" fontId="9" fillId="4" borderId="45" xfId="0" applyNumberFormat="1" applyFont="1" applyFill="1" applyBorder="1" applyProtection="1">
      <protection hidden="1"/>
    </xf>
    <xf numFmtId="49" fontId="6" fillId="3" borderId="25" xfId="0" applyNumberFormat="1" applyFont="1" applyFill="1" applyBorder="1" applyProtection="1">
      <protection hidden="1"/>
    </xf>
    <xf numFmtId="2" fontId="7" fillId="0" borderId="2" xfId="4" applyNumberFormat="1" applyFont="1" applyFill="1" applyBorder="1" applyProtection="1">
      <protection locked="0"/>
    </xf>
    <xf numFmtId="0" fontId="7" fillId="0" borderId="19" xfId="0" applyFont="1" applyBorder="1" applyProtection="1">
      <protection locked="0"/>
    </xf>
    <xf numFmtId="4" fontId="7" fillId="0" borderId="21" xfId="0" applyNumberFormat="1" applyFont="1" applyBorder="1" applyProtection="1">
      <protection locked="0"/>
    </xf>
    <xf numFmtId="0" fontId="9" fillId="12" borderId="0" xfId="0" applyFont="1" applyFill="1" applyAlignment="1" applyProtection="1">
      <alignment horizontal="left"/>
      <protection hidden="1"/>
    </xf>
    <xf numFmtId="0" fontId="9" fillId="4" borderId="54" xfId="0" applyFont="1" applyFill="1" applyBorder="1" applyProtection="1">
      <protection hidden="1"/>
    </xf>
    <xf numFmtId="9" fontId="7" fillId="0" borderId="43" xfId="5" applyFont="1" applyBorder="1" applyProtection="1">
      <protection locked="0"/>
    </xf>
    <xf numFmtId="9" fontId="9" fillId="0" borderId="20" xfId="5" applyFont="1" applyBorder="1" applyProtection="1">
      <protection locked="0"/>
    </xf>
    <xf numFmtId="9" fontId="7" fillId="0" borderId="20" xfId="5" applyFont="1" applyBorder="1" applyProtection="1">
      <protection locked="0"/>
    </xf>
    <xf numFmtId="49" fontId="0" fillId="0" borderId="25" xfId="0" applyNumberFormat="1" applyBorder="1" applyProtection="1">
      <protection locked="0"/>
    </xf>
    <xf numFmtId="0" fontId="23" fillId="0" borderId="79" xfId="0" applyFont="1" applyBorder="1" applyProtection="1">
      <protection locked="0"/>
    </xf>
    <xf numFmtId="0" fontId="1" fillId="0" borderId="20" xfId="0" applyFont="1" applyBorder="1" applyProtection="1">
      <protection locked="0"/>
    </xf>
    <xf numFmtId="0" fontId="8" fillId="3" borderId="47" xfId="2" applyFont="1" applyFill="1" applyBorder="1" applyAlignment="1" applyProtection="1">
      <alignment horizontal="center"/>
      <protection hidden="1"/>
    </xf>
    <xf numFmtId="0" fontId="8" fillId="3" borderId="54" xfId="2" applyFont="1" applyFill="1" applyBorder="1" applyAlignment="1" applyProtection="1">
      <alignment horizontal="center"/>
      <protection hidden="1"/>
    </xf>
    <xf numFmtId="14" fontId="6" fillId="3" borderId="25" xfId="0" applyNumberFormat="1" applyFont="1" applyFill="1" applyBorder="1" applyProtection="1">
      <protection hidden="1"/>
    </xf>
    <xf numFmtId="4" fontId="9" fillId="4" borderId="35" xfId="0" applyNumberFormat="1" applyFont="1" applyFill="1" applyBorder="1" applyProtection="1">
      <protection hidden="1"/>
    </xf>
    <xf numFmtId="4" fontId="9" fillId="4" borderId="80" xfId="0" applyNumberFormat="1" applyFont="1" applyFill="1" applyBorder="1" applyProtection="1">
      <protection hidden="1"/>
    </xf>
    <xf numFmtId="0" fontId="9" fillId="4" borderId="55" xfId="0" applyFont="1" applyFill="1" applyBorder="1" applyProtection="1">
      <protection hidden="1"/>
    </xf>
    <xf numFmtId="0" fontId="9" fillId="4" borderId="81" xfId="0" applyFont="1" applyFill="1" applyBorder="1" applyProtection="1">
      <protection hidden="1"/>
    </xf>
    <xf numFmtId="4" fontId="9" fillId="0" borderId="23" xfId="0" applyNumberFormat="1" applyFont="1" applyBorder="1"/>
    <xf numFmtId="0" fontId="9" fillId="0" borderId="22" xfId="0" applyFont="1" applyBorder="1" applyAlignment="1">
      <alignment horizontal="center"/>
    </xf>
    <xf numFmtId="0" fontId="9" fillId="0" borderId="22" xfId="0" applyFont="1" applyBorder="1" applyAlignment="1" applyProtection="1">
      <alignment horizontal="center"/>
      <protection locked="0"/>
    </xf>
    <xf numFmtId="14" fontId="7" fillId="0" borderId="54" xfId="0" applyNumberFormat="1" applyFont="1" applyBorder="1" applyProtection="1">
      <protection locked="0"/>
    </xf>
    <xf numFmtId="166" fontId="22" fillId="5" borderId="11" xfId="0" applyNumberFormat="1" applyFont="1" applyFill="1" applyBorder="1" applyProtection="1">
      <protection locked="0"/>
    </xf>
    <xf numFmtId="0" fontId="19" fillId="4" borderId="2" xfId="0" applyFont="1" applyFill="1" applyBorder="1" applyProtection="1">
      <protection hidden="1"/>
    </xf>
    <xf numFmtId="49" fontId="7" fillId="0" borderId="45" xfId="0" applyNumberFormat="1" applyFont="1" applyBorder="1" applyProtection="1">
      <protection locked="0"/>
    </xf>
    <xf numFmtId="49" fontId="7" fillId="0" borderId="48" xfId="0" applyNumberFormat="1" applyFont="1" applyBorder="1" applyProtection="1">
      <protection locked="0"/>
    </xf>
    <xf numFmtId="49" fontId="7" fillId="0" borderId="49" xfId="0" applyNumberFormat="1" applyFont="1" applyBorder="1" applyProtection="1">
      <protection locked="0"/>
    </xf>
    <xf numFmtId="43" fontId="9" fillId="4" borderId="54" xfId="1" applyFont="1" applyFill="1" applyBorder="1" applyProtection="1">
      <protection hidden="1"/>
    </xf>
    <xf numFmtId="0" fontId="9" fillId="0" borderId="20" xfId="0" applyFont="1" applyBorder="1" applyProtection="1">
      <protection locked="0"/>
    </xf>
    <xf numFmtId="0" fontId="9" fillId="0" borderId="54" xfId="0" applyFont="1" applyBorder="1" applyProtection="1">
      <protection locked="0"/>
    </xf>
    <xf numFmtId="0" fontId="9" fillId="4" borderId="62" xfId="0" applyFont="1" applyFill="1" applyBorder="1" applyProtection="1">
      <protection hidden="1"/>
    </xf>
    <xf numFmtId="0" fontId="9" fillId="0" borderId="55" xfId="0" applyFont="1" applyBorder="1" applyProtection="1">
      <protection locked="0"/>
    </xf>
    <xf numFmtId="0" fontId="9" fillId="0" borderId="2" xfId="0" applyFont="1" applyBorder="1" applyProtection="1">
      <protection locked="0"/>
    </xf>
    <xf numFmtId="0" fontId="9" fillId="0" borderId="13" xfId="0" applyFont="1" applyBorder="1" applyProtection="1">
      <protection locked="0"/>
    </xf>
    <xf numFmtId="0" fontId="18" fillId="12" borderId="0" xfId="0" applyFont="1" applyFill="1" applyProtection="1">
      <protection hidden="1"/>
    </xf>
    <xf numFmtId="43" fontId="18" fillId="12" borderId="0" xfId="1" applyFont="1" applyFill="1" applyBorder="1" applyProtection="1">
      <protection hidden="1"/>
    </xf>
    <xf numFmtId="0" fontId="18" fillId="12" borderId="0" xfId="0" applyFont="1" applyFill="1" applyAlignment="1" applyProtection="1">
      <alignment horizontal="right"/>
      <protection hidden="1"/>
    </xf>
    <xf numFmtId="0" fontId="1" fillId="0" borderId="0" xfId="0" applyFont="1"/>
    <xf numFmtId="43" fontId="7" fillId="0" borderId="25" xfId="1" applyFont="1" applyBorder="1" applyProtection="1">
      <protection locked="0"/>
    </xf>
    <xf numFmtId="0" fontId="18" fillId="6" borderId="2" xfId="0" applyFont="1" applyFill="1" applyBorder="1"/>
    <xf numFmtId="0" fontId="18" fillId="6" borderId="12" xfId="0" applyFont="1" applyFill="1" applyBorder="1"/>
    <xf numFmtId="0" fontId="18" fillId="6" borderId="11" xfId="0" applyFont="1" applyFill="1" applyBorder="1"/>
    <xf numFmtId="49" fontId="7" fillId="0" borderId="25" xfId="0" applyNumberFormat="1" applyFont="1" applyBorder="1" applyProtection="1">
      <protection locked="0"/>
    </xf>
    <xf numFmtId="2" fontId="7" fillId="0" borderId="20" xfId="0" applyNumberFormat="1" applyFont="1" applyBorder="1" applyProtection="1">
      <protection locked="0"/>
    </xf>
    <xf numFmtId="2" fontId="9" fillId="0" borderId="25" xfId="5" applyNumberFormat="1" applyFont="1" applyBorder="1" applyProtection="1">
      <protection locked="0"/>
    </xf>
    <xf numFmtId="2" fontId="7" fillId="0" borderId="0" xfId="5" applyNumberFormat="1" applyFont="1" applyProtection="1">
      <protection locked="0"/>
    </xf>
    <xf numFmtId="2" fontId="7" fillId="0" borderId="25" xfId="5" applyNumberFormat="1" applyFont="1" applyBorder="1" applyProtection="1">
      <protection locked="0"/>
    </xf>
    <xf numFmtId="2" fontId="7" fillId="0" borderId="19" xfId="0" applyNumberFormat="1" applyFont="1" applyBorder="1" applyProtection="1">
      <protection locked="0"/>
    </xf>
    <xf numFmtId="2" fontId="7" fillId="0" borderId="35" xfId="0" applyNumberFormat="1" applyFont="1" applyBorder="1" applyProtection="1">
      <protection locked="0"/>
    </xf>
    <xf numFmtId="49" fontId="15" fillId="0" borderId="20" xfId="0" applyNumberFormat="1" applyFont="1" applyBorder="1" applyAlignment="1" applyProtection="1">
      <alignment horizontal="right"/>
      <protection locked="0"/>
    </xf>
    <xf numFmtId="49" fontId="15" fillId="0" borderId="22" xfId="0" applyNumberFormat="1" applyFont="1" applyBorder="1" applyAlignment="1" applyProtection="1">
      <alignment horizontal="right"/>
      <protection locked="0"/>
    </xf>
    <xf numFmtId="49" fontId="15" fillId="0" borderId="26" xfId="0" applyNumberFormat="1" applyFont="1" applyBorder="1" applyAlignment="1" applyProtection="1">
      <alignment horizontal="right"/>
      <protection locked="0"/>
    </xf>
    <xf numFmtId="49" fontId="7" fillId="0" borderId="54" xfId="0" applyNumberFormat="1" applyFont="1" applyBorder="1" applyProtection="1">
      <protection locked="0"/>
    </xf>
    <xf numFmtId="49" fontId="7" fillId="0" borderId="54" xfId="5" applyNumberFormat="1" applyFont="1" applyFill="1" applyBorder="1" applyProtection="1">
      <protection locked="0"/>
    </xf>
    <xf numFmtId="49" fontId="7" fillId="0" borderId="25" xfId="9" applyNumberFormat="1" applyFont="1" applyFill="1" applyBorder="1" applyProtection="1">
      <protection locked="0"/>
    </xf>
    <xf numFmtId="49" fontId="7" fillId="0" borderId="25" xfId="9" applyNumberFormat="1" applyFont="1" applyBorder="1" applyProtection="1">
      <protection locked="0"/>
    </xf>
    <xf numFmtId="49" fontId="9" fillId="4" borderId="2" xfId="0" applyNumberFormat="1" applyFont="1" applyFill="1" applyBorder="1" applyProtection="1">
      <protection hidden="1"/>
    </xf>
    <xf numFmtId="49" fontId="7" fillId="0" borderId="2" xfId="4" applyNumberFormat="1" applyFont="1" applyFill="1" applyBorder="1" applyProtection="1">
      <protection locked="0"/>
    </xf>
    <xf numFmtId="0" fontId="7" fillId="0" borderId="1" xfId="0" applyFont="1" applyBorder="1"/>
    <xf numFmtId="9" fontId="7" fillId="0" borderId="0" xfId="0" applyNumberFormat="1" applyFont="1"/>
    <xf numFmtId="0" fontId="9" fillId="0" borderId="2" xfId="0" applyFont="1" applyBorder="1" applyAlignment="1" applyProtection="1">
      <alignment vertical="center"/>
      <protection locked="0"/>
    </xf>
    <xf numFmtId="14" fontId="22" fillId="0" borderId="25" xfId="0" applyNumberFormat="1" applyFont="1" applyBorder="1" applyProtection="1">
      <protection locked="0"/>
    </xf>
    <xf numFmtId="14" fontId="17" fillId="0" borderId="25" xfId="0" applyNumberFormat="1" applyFont="1" applyBorder="1" applyProtection="1">
      <protection locked="0"/>
    </xf>
    <xf numFmtId="14" fontId="9" fillId="0" borderId="25" xfId="0" applyNumberFormat="1" applyFont="1" applyBorder="1" applyProtection="1">
      <protection locked="0"/>
    </xf>
    <xf numFmtId="0" fontId="9" fillId="0" borderId="19" xfId="0" applyFont="1" applyBorder="1" applyProtection="1">
      <protection locked="0" hidden="1"/>
    </xf>
    <xf numFmtId="2" fontId="9" fillId="0" borderId="20" xfId="0" applyNumberFormat="1" applyFont="1" applyBorder="1" applyProtection="1">
      <protection locked="0" hidden="1"/>
    </xf>
    <xf numFmtId="4" fontId="9" fillId="8" borderId="1" xfId="0" applyNumberFormat="1" applyFont="1" applyFill="1" applyBorder="1" applyProtection="1">
      <protection locked="0" hidden="1"/>
    </xf>
    <xf numFmtId="0" fontId="9" fillId="0" borderId="35" xfId="0" applyFont="1" applyBorder="1" applyProtection="1">
      <protection locked="0"/>
    </xf>
    <xf numFmtId="49" fontId="18" fillId="0" borderId="54" xfId="0" applyNumberFormat="1" applyFont="1" applyBorder="1" applyAlignment="1" applyProtection="1">
      <alignment horizontal="justify" vertical="top"/>
      <protection locked="0"/>
    </xf>
    <xf numFmtId="49" fontId="22" fillId="0" borderId="25" xfId="0" applyNumberFormat="1" applyFont="1" applyBorder="1" applyProtection="1">
      <protection locked="0"/>
    </xf>
    <xf numFmtId="49" fontId="18" fillId="0" borderId="25" xfId="0" applyNumberFormat="1" applyFont="1" applyBorder="1" applyProtection="1">
      <protection locked="0"/>
    </xf>
    <xf numFmtId="0" fontId="20" fillId="9" borderId="1" xfId="0" applyFont="1" applyFill="1" applyBorder="1"/>
    <xf numFmtId="0" fontId="20" fillId="9" borderId="1" xfId="0" applyFont="1" applyFill="1" applyBorder="1" applyProtection="1">
      <protection locked="0"/>
    </xf>
    <xf numFmtId="14" fontId="0" fillId="0" borderId="25" xfId="0" applyNumberFormat="1" applyBorder="1" applyProtection="1">
      <protection locked="0"/>
    </xf>
    <xf numFmtId="164" fontId="18" fillId="7" borderId="1" xfId="0" applyNumberFormat="1" applyFont="1" applyFill="1" applyBorder="1" applyProtection="1">
      <protection locked="0"/>
    </xf>
    <xf numFmtId="164" fontId="18" fillId="7" borderId="1" xfId="1" applyNumberFormat="1" applyFont="1" applyFill="1" applyBorder="1" applyProtection="1"/>
    <xf numFmtId="2" fontId="7" fillId="0" borderId="25" xfId="5" applyNumberFormat="1" applyFont="1" applyFill="1" applyBorder="1" applyProtection="1">
      <protection locked="0"/>
    </xf>
    <xf numFmtId="2" fontId="7" fillId="0" borderId="26" xfId="5" applyNumberFormat="1" applyFont="1" applyFill="1" applyBorder="1" applyProtection="1">
      <protection locked="0"/>
    </xf>
    <xf numFmtId="170" fontId="0" fillId="0" borderId="25" xfId="0" applyNumberFormat="1" applyBorder="1" applyProtection="1">
      <protection locked="0"/>
    </xf>
    <xf numFmtId="169" fontId="7" fillId="0" borderId="54" xfId="0" applyNumberFormat="1" applyFont="1" applyBorder="1" applyAlignment="1" applyProtection="1">
      <alignment horizontal="center"/>
      <protection locked="0"/>
    </xf>
    <xf numFmtId="169" fontId="7" fillId="0" borderId="25" xfId="0" applyNumberFormat="1" applyFont="1" applyBorder="1" applyProtection="1">
      <protection locked="0"/>
    </xf>
    <xf numFmtId="14" fontId="7" fillId="0" borderId="47" xfId="0" applyNumberFormat="1" applyFont="1" applyBorder="1" applyProtection="1">
      <protection locked="0"/>
    </xf>
    <xf numFmtId="14" fontId="7" fillId="0" borderId="8" xfId="0" applyNumberFormat="1" applyFont="1" applyBorder="1" applyProtection="1">
      <protection locked="0"/>
    </xf>
    <xf numFmtId="14" fontId="7" fillId="0" borderId="10" xfId="0" applyNumberFormat="1" applyFont="1" applyBorder="1" applyProtection="1">
      <protection locked="0"/>
    </xf>
    <xf numFmtId="14" fontId="9" fillId="0" borderId="54" xfId="1" applyNumberFormat="1" applyFont="1" applyBorder="1" applyProtection="1">
      <protection locked="0"/>
    </xf>
    <xf numFmtId="14" fontId="9" fillId="0" borderId="25" xfId="1" applyNumberFormat="1" applyFont="1" applyBorder="1" applyProtection="1">
      <protection locked="0"/>
    </xf>
    <xf numFmtId="14" fontId="9" fillId="0" borderId="8" xfId="0" applyNumberFormat="1" applyFont="1" applyBorder="1" applyProtection="1">
      <protection locked="0"/>
    </xf>
    <xf numFmtId="169" fontId="9" fillId="0" borderId="54" xfId="0" applyNumberFormat="1" applyFont="1" applyBorder="1" applyProtection="1">
      <protection locked="0"/>
    </xf>
    <xf numFmtId="169" fontId="9" fillId="0" borderId="25" xfId="0" applyNumberFormat="1" applyFont="1" applyBorder="1" applyProtection="1">
      <protection locked="0"/>
    </xf>
    <xf numFmtId="0" fontId="7" fillId="0" borderId="23" xfId="0" applyFont="1" applyBorder="1" applyProtection="1">
      <protection locked="0"/>
    </xf>
    <xf numFmtId="164" fontId="9" fillId="8" borderId="6" xfId="0" applyNumberFormat="1" applyFont="1" applyFill="1" applyBorder="1" applyProtection="1">
      <protection locked="0"/>
    </xf>
    <xf numFmtId="0" fontId="9" fillId="0" borderId="25" xfId="0" applyFont="1" applyBorder="1" applyProtection="1">
      <protection locked="0" hidden="1"/>
    </xf>
    <xf numFmtId="164" fontId="9" fillId="8" borderId="1" xfId="0" applyNumberFormat="1" applyFont="1" applyFill="1" applyBorder="1" applyProtection="1">
      <protection locked="0"/>
    </xf>
    <xf numFmtId="164" fontId="9" fillId="8" borderId="1" xfId="0" applyNumberFormat="1" applyFont="1" applyFill="1" applyBorder="1"/>
    <xf numFmtId="164" fontId="9" fillId="0" borderId="10" xfId="0" applyNumberFormat="1" applyFont="1" applyBorder="1"/>
    <xf numFmtId="166" fontId="22" fillId="5" borderId="54" xfId="0" applyNumberFormat="1" applyFont="1" applyFill="1" applyBorder="1" applyAlignment="1" applyProtection="1">
      <alignment horizontal="center"/>
      <protection locked="0"/>
    </xf>
    <xf numFmtId="166" fontId="22" fillId="5" borderId="26" xfId="0" applyNumberFormat="1" applyFont="1" applyFill="1" applyBorder="1" applyProtection="1">
      <protection locked="0"/>
    </xf>
    <xf numFmtId="49" fontId="1" fillId="0" borderId="25" xfId="0" applyNumberFormat="1" applyFont="1" applyBorder="1" applyProtection="1">
      <protection locked="0"/>
    </xf>
    <xf numFmtId="49" fontId="7" fillId="0" borderId="0" xfId="0" applyNumberFormat="1" applyFont="1" applyProtection="1">
      <protection locked="0"/>
    </xf>
    <xf numFmtId="164" fontId="7" fillId="0" borderId="25" xfId="4" applyFont="1" applyBorder="1" applyProtection="1">
      <protection locked="0"/>
    </xf>
    <xf numFmtId="164" fontId="9" fillId="0" borderId="25" xfId="4" applyFont="1" applyBorder="1" applyProtection="1">
      <protection locked="0"/>
    </xf>
    <xf numFmtId="164" fontId="9" fillId="0" borderId="26" xfId="4" applyFont="1" applyBorder="1" applyProtection="1">
      <protection locked="0"/>
    </xf>
    <xf numFmtId="0" fontId="7" fillId="12" borderId="54" xfId="0" applyFont="1" applyFill="1" applyBorder="1" applyProtection="1">
      <protection locked="0"/>
    </xf>
    <xf numFmtId="0" fontId="7" fillId="12" borderId="25" xfId="0" applyFont="1" applyFill="1" applyBorder="1" applyProtection="1">
      <protection locked="0"/>
    </xf>
    <xf numFmtId="169" fontId="7" fillId="0" borderId="24" xfId="0" applyNumberFormat="1" applyFont="1" applyBorder="1" applyProtection="1">
      <protection locked="0"/>
    </xf>
    <xf numFmtId="0" fontId="1" fillId="0" borderId="48" xfId="0" applyFont="1" applyBorder="1"/>
    <xf numFmtId="4" fontId="17" fillId="0" borderId="25" xfId="8" applyNumberFormat="1" applyFont="1" applyBorder="1" applyProtection="1">
      <protection locked="0"/>
    </xf>
    <xf numFmtId="0" fontId="8" fillId="3" borderId="45" xfId="2" applyFont="1" applyFill="1" applyBorder="1" applyAlignment="1" applyProtection="1">
      <alignment horizontal="center"/>
      <protection hidden="1"/>
    </xf>
    <xf numFmtId="14" fontId="7" fillId="0" borderId="48" xfId="0" applyNumberFormat="1" applyFont="1" applyBorder="1" applyProtection="1">
      <protection locked="0"/>
    </xf>
    <xf numFmtId="0" fontId="8" fillId="3" borderId="83" xfId="2" applyFont="1" applyFill="1" applyBorder="1" applyAlignment="1" applyProtection="1">
      <alignment horizontal="center"/>
      <protection hidden="1"/>
    </xf>
    <xf numFmtId="0" fontId="1" fillId="0" borderId="8" xfId="0" applyFont="1" applyBorder="1"/>
    <xf numFmtId="0" fontId="41" fillId="17" borderId="10" xfId="0" applyFont="1" applyFill="1" applyBorder="1" applyAlignment="1">
      <alignment horizontal="center"/>
    </xf>
    <xf numFmtId="0" fontId="41" fillId="17" borderId="44" xfId="0" applyFont="1" applyFill="1" applyBorder="1" applyAlignment="1">
      <alignment horizontal="center"/>
    </xf>
    <xf numFmtId="0" fontId="41" fillId="18" borderId="47" xfId="0" applyFont="1" applyFill="1" applyBorder="1"/>
    <xf numFmtId="4" fontId="41" fillId="18" borderId="46" xfId="0" applyNumberFormat="1" applyFont="1" applyFill="1" applyBorder="1"/>
    <xf numFmtId="0" fontId="4" fillId="0" borderId="6" xfId="0" applyFont="1" applyBorder="1"/>
    <xf numFmtId="4" fontId="4" fillId="0" borderId="4" xfId="0" applyNumberFormat="1" applyFont="1" applyBorder="1"/>
    <xf numFmtId="0" fontId="9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28" fillId="0" borderId="68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68" xfId="0" applyFont="1" applyBorder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40" fillId="14" borderId="11" xfId="0" applyFont="1" applyFill="1" applyBorder="1" applyAlignment="1">
      <alignment horizontal="center"/>
    </xf>
    <xf numFmtId="0" fontId="40" fillId="14" borderId="13" xfId="0" applyFont="1" applyFill="1" applyBorder="1" applyAlignment="1">
      <alignment horizontal="center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49" fontId="15" fillId="0" borderId="35" xfId="0" applyNumberFormat="1" applyFont="1" applyBorder="1" applyAlignment="1" applyProtection="1">
      <alignment horizontal="center"/>
      <protection locked="0"/>
    </xf>
    <xf numFmtId="49" fontId="15" fillId="0" borderId="43" xfId="0" applyNumberFormat="1" applyFont="1" applyBorder="1" applyAlignment="1" applyProtection="1">
      <alignment horizontal="center"/>
      <protection locked="0"/>
    </xf>
    <xf numFmtId="49" fontId="14" fillId="0" borderId="19" xfId="0" applyNumberFormat="1" applyFont="1" applyBorder="1" applyAlignment="1" applyProtection="1">
      <alignment horizontal="center"/>
      <protection locked="0"/>
    </xf>
    <xf numFmtId="49" fontId="14" fillId="0" borderId="20" xfId="0" applyNumberFormat="1" applyFont="1" applyBorder="1" applyAlignment="1" applyProtection="1">
      <alignment horizontal="center"/>
      <protection locked="0"/>
    </xf>
    <xf numFmtId="164" fontId="15" fillId="0" borderId="35" xfId="4" applyFont="1" applyBorder="1" applyAlignment="1" applyProtection="1">
      <alignment horizontal="center"/>
      <protection locked="0"/>
    </xf>
    <xf numFmtId="164" fontId="15" fillId="0" borderId="43" xfId="4" applyFont="1" applyBorder="1" applyAlignment="1" applyProtection="1">
      <alignment horizontal="center"/>
      <protection locked="0"/>
    </xf>
    <xf numFmtId="4" fontId="15" fillId="0" borderId="19" xfId="0" applyNumberFormat="1" applyFont="1" applyBorder="1" applyAlignment="1" applyProtection="1">
      <alignment horizontal="center"/>
      <protection locked="0"/>
    </xf>
    <xf numFmtId="4" fontId="15" fillId="0" borderId="20" xfId="0" applyNumberFormat="1" applyFont="1" applyBorder="1" applyAlignment="1" applyProtection="1">
      <alignment horizontal="center"/>
      <protection locked="0"/>
    </xf>
    <xf numFmtId="4" fontId="15" fillId="0" borderId="21" xfId="0" applyNumberFormat="1" applyFont="1" applyBorder="1" applyAlignment="1" applyProtection="1">
      <alignment horizontal="center"/>
      <protection locked="0"/>
    </xf>
    <xf numFmtId="4" fontId="15" fillId="0" borderId="22" xfId="0" applyNumberFormat="1" applyFont="1" applyBorder="1" applyAlignment="1" applyProtection="1">
      <alignment horizontal="center"/>
      <protection locked="0"/>
    </xf>
    <xf numFmtId="49" fontId="14" fillId="0" borderId="21" xfId="0" applyNumberFormat="1" applyFont="1" applyBorder="1" applyAlignment="1" applyProtection="1">
      <alignment horizontal="center"/>
      <protection locked="0"/>
    </xf>
    <xf numFmtId="49" fontId="14" fillId="0" borderId="22" xfId="0" applyNumberFormat="1" applyFont="1" applyBorder="1" applyAlignment="1" applyProtection="1">
      <alignment horizontal="center"/>
      <protection locked="0"/>
    </xf>
    <xf numFmtId="4" fontId="9" fillId="4" borderId="11" xfId="0" applyNumberFormat="1" applyFont="1" applyFill="1" applyBorder="1" applyAlignment="1" applyProtection="1">
      <alignment horizontal="center"/>
      <protection hidden="1"/>
    </xf>
    <xf numFmtId="4" fontId="9" fillId="4" borderId="46" xfId="0" applyNumberFormat="1" applyFont="1" applyFill="1" applyBorder="1" applyAlignment="1" applyProtection="1">
      <alignment horizontal="center"/>
      <protection hidden="1"/>
    </xf>
    <xf numFmtId="0" fontId="11" fillId="4" borderId="11" xfId="0" applyFont="1" applyFill="1" applyBorder="1" applyAlignment="1" applyProtection="1">
      <alignment horizontal="center"/>
      <protection hidden="1"/>
    </xf>
    <xf numFmtId="0" fontId="11" fillId="4" borderId="13" xfId="0" applyFont="1" applyFill="1" applyBorder="1" applyAlignment="1" applyProtection="1">
      <alignment horizontal="center"/>
      <protection hidden="1"/>
    </xf>
    <xf numFmtId="164" fontId="15" fillId="0" borderId="50" xfId="4" applyFont="1" applyBorder="1" applyAlignment="1" applyProtection="1">
      <alignment horizontal="center"/>
    </xf>
    <xf numFmtId="164" fontId="15" fillId="0" borderId="51" xfId="4" applyFont="1" applyBorder="1" applyAlignment="1" applyProtection="1">
      <alignment horizontal="center"/>
    </xf>
    <xf numFmtId="49" fontId="15" fillId="0" borderId="19" xfId="0" applyNumberFormat="1" applyFont="1" applyBorder="1" applyAlignment="1" applyProtection="1">
      <alignment horizontal="center"/>
      <protection locked="0"/>
    </xf>
    <xf numFmtId="49" fontId="15" fillId="0" borderId="20" xfId="0" applyNumberFormat="1" applyFont="1" applyBorder="1" applyAlignment="1" applyProtection="1">
      <alignment horizontal="center"/>
      <protection locked="0"/>
    </xf>
    <xf numFmtId="49" fontId="15" fillId="0" borderId="21" xfId="0" applyNumberFormat="1" applyFont="1" applyBorder="1" applyAlignment="1" applyProtection="1">
      <alignment horizontal="center"/>
      <protection locked="0"/>
    </xf>
    <xf numFmtId="49" fontId="15" fillId="0" borderId="22" xfId="0" applyNumberFormat="1" applyFont="1" applyBorder="1" applyAlignment="1" applyProtection="1">
      <alignment horizontal="center"/>
      <protection locked="0"/>
    </xf>
    <xf numFmtId="49" fontId="7" fillId="0" borderId="19" xfId="0" applyNumberFormat="1" applyFont="1" applyBorder="1" applyAlignment="1" applyProtection="1">
      <alignment horizontal="center"/>
      <protection locked="0"/>
    </xf>
    <xf numFmtId="49" fontId="7" fillId="0" borderId="20" xfId="0" applyNumberFormat="1" applyFont="1" applyBorder="1" applyAlignment="1" applyProtection="1">
      <alignment horizontal="center"/>
      <protection locked="0"/>
    </xf>
    <xf numFmtId="0" fontId="11" fillId="4" borderId="11" xfId="0" applyFont="1" applyFill="1" applyBorder="1" applyAlignment="1" applyProtection="1">
      <alignment horizontal="left"/>
      <protection hidden="1"/>
    </xf>
    <xf numFmtId="49" fontId="14" fillId="0" borderId="35" xfId="0" applyNumberFormat="1" applyFont="1" applyBorder="1" applyAlignment="1" applyProtection="1">
      <alignment horizontal="center"/>
      <protection locked="0"/>
    </xf>
    <xf numFmtId="49" fontId="14" fillId="0" borderId="43" xfId="0" applyNumberFormat="1" applyFont="1" applyBorder="1" applyAlignment="1" applyProtection="1">
      <alignment horizontal="center"/>
      <protection locked="0"/>
    </xf>
    <xf numFmtId="0" fontId="14" fillId="0" borderId="21" xfId="0" applyFont="1" applyBorder="1" applyAlignment="1" applyProtection="1">
      <alignment horizontal="center"/>
      <protection locked="0"/>
    </xf>
    <xf numFmtId="0" fontId="14" fillId="0" borderId="22" xfId="0" applyFont="1" applyBorder="1" applyAlignment="1" applyProtection="1">
      <alignment horizontal="center"/>
      <protection locked="0"/>
    </xf>
    <xf numFmtId="0" fontId="11" fillId="4" borderId="12" xfId="0" applyFont="1" applyFill="1" applyBorder="1" applyAlignment="1" applyProtection="1">
      <alignment horizontal="center"/>
      <protection hidden="1"/>
    </xf>
    <xf numFmtId="49" fontId="7" fillId="0" borderId="35" xfId="0" applyNumberFormat="1" applyFont="1" applyBorder="1" applyAlignment="1" applyProtection="1">
      <alignment horizontal="center"/>
      <protection locked="0"/>
    </xf>
    <xf numFmtId="49" fontId="7" fillId="0" borderId="43" xfId="0" applyNumberFormat="1" applyFont="1" applyBorder="1" applyAlignment="1" applyProtection="1">
      <alignment horizontal="center"/>
      <protection locked="0"/>
    </xf>
    <xf numFmtId="49" fontId="7" fillId="0" borderId="23" xfId="0" applyNumberFormat="1" applyFont="1" applyBorder="1" applyAlignment="1" applyProtection="1">
      <alignment horizontal="center"/>
      <protection locked="0"/>
    </xf>
    <xf numFmtId="49" fontId="7" fillId="0" borderId="22" xfId="0" applyNumberFormat="1" applyFont="1" applyBorder="1" applyAlignment="1" applyProtection="1">
      <alignment horizontal="center"/>
      <protection locked="0"/>
    </xf>
    <xf numFmtId="0" fontId="12" fillId="0" borderId="16" xfId="0" applyFont="1" applyBorder="1" applyAlignment="1" applyProtection="1">
      <alignment horizontal="center"/>
      <protection locked="0"/>
    </xf>
    <xf numFmtId="0" fontId="12" fillId="0" borderId="73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0" fontId="14" fillId="0" borderId="43" xfId="0" applyFont="1" applyBorder="1" applyAlignment="1" applyProtection="1">
      <alignment horizontal="center"/>
      <protection locked="0"/>
    </xf>
    <xf numFmtId="0" fontId="14" fillId="0" borderId="19" xfId="0" applyFont="1" applyBorder="1" applyAlignment="1" applyProtection="1">
      <alignment horizontal="center"/>
      <protection locked="0"/>
    </xf>
    <xf numFmtId="0" fontId="14" fillId="0" borderId="20" xfId="0" applyFont="1" applyBorder="1" applyAlignment="1" applyProtection="1">
      <alignment horizontal="center"/>
      <protection locked="0"/>
    </xf>
    <xf numFmtId="49" fontId="7" fillId="0" borderId="21" xfId="0" applyNumberFormat="1" applyFont="1" applyBorder="1" applyAlignment="1" applyProtection="1">
      <alignment horizontal="center"/>
      <protection locked="0"/>
    </xf>
    <xf numFmtId="166" fontId="23" fillId="0" borderId="21" xfId="0" applyNumberFormat="1" applyFont="1" applyBorder="1" applyAlignment="1" applyProtection="1">
      <alignment horizontal="center"/>
      <protection locked="0"/>
    </xf>
    <xf numFmtId="166" fontId="23" fillId="0" borderId="22" xfId="0" applyNumberFormat="1" applyFont="1" applyBorder="1" applyAlignment="1" applyProtection="1">
      <alignment horizontal="center"/>
      <protection locked="0"/>
    </xf>
    <xf numFmtId="166" fontId="23" fillId="5" borderId="31" xfId="0" applyNumberFormat="1" applyFont="1" applyFill="1" applyBorder="1" applyAlignment="1" applyProtection="1">
      <alignment horizontal="center"/>
      <protection locked="0"/>
    </xf>
    <xf numFmtId="166" fontId="23" fillId="5" borderId="32" xfId="0" applyNumberFormat="1" applyFont="1" applyFill="1" applyBorder="1" applyAlignment="1" applyProtection="1">
      <alignment horizontal="center"/>
      <protection locked="0"/>
    </xf>
    <xf numFmtId="166" fontId="22" fillId="5" borderId="33" xfId="0" applyNumberFormat="1" applyFont="1" applyFill="1" applyBorder="1" applyAlignment="1" applyProtection="1">
      <alignment horizontal="center"/>
      <protection locked="0"/>
    </xf>
    <xf numFmtId="166" fontId="22" fillId="5" borderId="34" xfId="0" applyNumberFormat="1" applyFont="1" applyFill="1" applyBorder="1" applyAlignment="1" applyProtection="1">
      <alignment horizontal="center"/>
      <protection locked="0"/>
    </xf>
    <xf numFmtId="166" fontId="23" fillId="5" borderId="33" xfId="0" applyNumberFormat="1" applyFont="1" applyFill="1" applyBorder="1" applyAlignment="1" applyProtection="1">
      <alignment horizontal="center"/>
      <protection locked="0"/>
    </xf>
    <xf numFmtId="166" fontId="23" fillId="5" borderId="34" xfId="0" applyNumberFormat="1" applyFont="1" applyFill="1" applyBorder="1" applyAlignment="1" applyProtection="1">
      <alignment horizontal="center"/>
      <protection locked="0"/>
    </xf>
    <xf numFmtId="166" fontId="22" fillId="5" borderId="52" xfId="0" applyNumberFormat="1" applyFont="1" applyFill="1" applyBorder="1" applyAlignment="1" applyProtection="1">
      <alignment horizontal="center"/>
      <protection locked="0"/>
    </xf>
    <xf numFmtId="166" fontId="22" fillId="5" borderId="53" xfId="0" applyNumberFormat="1" applyFont="1" applyFill="1" applyBorder="1" applyAlignment="1" applyProtection="1">
      <alignment horizontal="center"/>
      <protection locked="0"/>
    </xf>
    <xf numFmtId="0" fontId="19" fillId="4" borderId="35" xfId="0" applyFont="1" applyFill="1" applyBorder="1" applyAlignment="1" applyProtection="1">
      <alignment horizontal="left"/>
      <protection hidden="1"/>
    </xf>
    <xf numFmtId="0" fontId="19" fillId="4" borderId="57" xfId="0" applyFont="1" applyFill="1" applyBorder="1" applyAlignment="1" applyProtection="1">
      <alignment horizontal="left"/>
      <protection hidden="1"/>
    </xf>
    <xf numFmtId="166" fontId="23" fillId="0" borderId="19" xfId="0" applyNumberFormat="1" applyFont="1" applyBorder="1" applyAlignment="1" applyProtection="1">
      <alignment horizontal="center"/>
      <protection locked="0"/>
    </xf>
    <xf numFmtId="166" fontId="23" fillId="0" borderId="20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justify" vertical="top"/>
      <protection hidden="1"/>
    </xf>
    <xf numFmtId="0" fontId="19" fillId="4" borderId="31" xfId="0" applyFont="1" applyFill="1" applyBorder="1" applyAlignment="1" applyProtection="1">
      <alignment horizontal="left"/>
      <protection hidden="1"/>
    </xf>
    <xf numFmtId="0" fontId="19" fillId="4" borderId="42" xfId="0" applyFont="1" applyFill="1" applyBorder="1" applyAlignment="1" applyProtection="1">
      <alignment horizontal="left"/>
      <protection hidden="1"/>
    </xf>
    <xf numFmtId="0" fontId="19" fillId="5" borderId="33" xfId="0" applyFont="1" applyFill="1" applyBorder="1" applyAlignment="1" applyProtection="1">
      <alignment horizontal="center"/>
      <protection locked="0"/>
    </xf>
    <xf numFmtId="0" fontId="19" fillId="5" borderId="34" xfId="0" applyFont="1" applyFill="1" applyBorder="1" applyAlignment="1" applyProtection="1">
      <alignment horizontal="center"/>
      <protection locked="0"/>
    </xf>
    <xf numFmtId="0" fontId="19" fillId="4" borderId="35" xfId="0" applyFont="1" applyFill="1" applyBorder="1" applyAlignment="1" applyProtection="1">
      <alignment horizontal="center"/>
      <protection locked="0"/>
    </xf>
    <xf numFmtId="0" fontId="19" fillId="4" borderId="43" xfId="0" applyFont="1" applyFill="1" applyBorder="1" applyAlignment="1" applyProtection="1">
      <alignment horizontal="center"/>
      <protection locked="0"/>
    </xf>
    <xf numFmtId="166" fontId="23" fillId="0" borderId="35" xfId="0" applyNumberFormat="1" applyFont="1" applyBorder="1" applyAlignment="1" applyProtection="1">
      <alignment horizontal="center"/>
      <protection locked="0"/>
    </xf>
    <xf numFmtId="166" fontId="23" fillId="0" borderId="43" xfId="0" applyNumberFormat="1" applyFont="1" applyBorder="1" applyAlignment="1" applyProtection="1">
      <alignment horizontal="center"/>
      <protection locked="0"/>
    </xf>
    <xf numFmtId="43" fontId="22" fillId="5" borderId="82" xfId="1" applyFont="1" applyFill="1" applyBorder="1" applyAlignment="1" applyProtection="1">
      <alignment horizontal="center"/>
      <protection locked="0"/>
    </xf>
    <xf numFmtId="43" fontId="22" fillId="5" borderId="83" xfId="1" applyFont="1" applyFill="1" applyBorder="1" applyAlignment="1" applyProtection="1">
      <alignment horizontal="center"/>
      <protection locked="0"/>
    </xf>
    <xf numFmtId="43" fontId="22" fillId="5" borderId="21" xfId="1" applyFont="1" applyFill="1" applyBorder="1" applyAlignment="1" applyProtection="1">
      <alignment horizontal="center"/>
      <protection locked="0"/>
    </xf>
    <xf numFmtId="43" fontId="22" fillId="5" borderId="22" xfId="1" applyFont="1" applyFill="1" applyBorder="1" applyAlignment="1" applyProtection="1">
      <alignment horizontal="center"/>
      <protection locked="0"/>
    </xf>
    <xf numFmtId="43" fontId="24" fillId="5" borderId="11" xfId="0" applyNumberFormat="1" applyFont="1" applyFill="1" applyBorder="1" applyAlignment="1" applyProtection="1">
      <alignment horizontal="center"/>
      <protection locked="0"/>
    </xf>
    <xf numFmtId="43" fontId="24" fillId="5" borderId="13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" fontId="7" fillId="0" borderId="4" xfId="0" applyNumberFormat="1" applyFon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0" fontId="18" fillId="7" borderId="11" xfId="0" applyFont="1" applyFill="1" applyBorder="1" applyAlignment="1">
      <alignment horizontal="left"/>
    </xf>
    <xf numFmtId="0" fontId="18" fillId="7" borderId="13" xfId="0" applyFont="1" applyFill="1" applyBorder="1" applyAlignment="1">
      <alignment horizontal="left"/>
    </xf>
    <xf numFmtId="164" fontId="18" fillId="7" borderId="11" xfId="0" applyNumberFormat="1" applyFont="1" applyFill="1" applyBorder="1" applyAlignment="1">
      <alignment horizontal="left"/>
    </xf>
    <xf numFmtId="164" fontId="18" fillId="7" borderId="13" xfId="0" applyNumberFormat="1" applyFont="1" applyFill="1" applyBorder="1" applyAlignment="1">
      <alignment horizontal="left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9" fillId="7" borderId="2" xfId="0" applyFont="1" applyFill="1" applyBorder="1" applyAlignment="1" applyProtection="1">
      <alignment horizontal="left"/>
      <protection hidden="1"/>
    </xf>
    <xf numFmtId="164" fontId="9" fillId="7" borderId="2" xfId="0" applyNumberFormat="1" applyFont="1" applyFill="1" applyBorder="1" applyAlignment="1" applyProtection="1">
      <alignment horizontal="center"/>
      <protection hidden="1"/>
    </xf>
    <xf numFmtId="164" fontId="18" fillId="7" borderId="2" xfId="0" applyNumberFormat="1" applyFont="1" applyFill="1" applyBorder="1" applyAlignment="1" applyProtection="1">
      <alignment horizontal="center"/>
      <protection locked="0"/>
    </xf>
    <xf numFmtId="164" fontId="18" fillId="7" borderId="19" xfId="0" applyNumberFormat="1" applyFont="1" applyFill="1" applyBorder="1" applyAlignment="1">
      <alignment horizontal="center"/>
    </xf>
    <xf numFmtId="164" fontId="18" fillId="7" borderId="0" xfId="0" applyNumberFormat="1" applyFont="1" applyFill="1" applyAlignment="1">
      <alignment horizontal="center"/>
    </xf>
    <xf numFmtId="0" fontId="12" fillId="0" borderId="11" xfId="0" applyFont="1" applyBorder="1" applyAlignment="1" applyProtection="1">
      <alignment horizontal="left"/>
      <protection locked="0"/>
    </xf>
    <xf numFmtId="0" fontId="12" fillId="0" borderId="13" xfId="0" applyFont="1" applyBorder="1" applyAlignment="1" applyProtection="1">
      <alignment horizontal="left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15" fillId="0" borderId="43" xfId="0" applyFont="1" applyBorder="1" applyAlignment="1" applyProtection="1">
      <alignment horizontal="center"/>
      <protection locked="0"/>
    </xf>
    <xf numFmtId="164" fontId="15" fillId="0" borderId="11" xfId="4" applyFont="1" applyBorder="1" applyAlignment="1" applyProtection="1">
      <alignment horizontal="center"/>
    </xf>
    <xf numFmtId="164" fontId="15" fillId="0" borderId="13" xfId="4" applyFont="1" applyBorder="1" applyAlignment="1" applyProtection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9" fillId="16" borderId="4" xfId="0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9" fillId="16" borderId="6" xfId="0" applyFont="1" applyFill="1" applyBorder="1" applyAlignment="1">
      <alignment horizontal="center"/>
    </xf>
    <xf numFmtId="0" fontId="9" fillId="12" borderId="9" xfId="0" applyFont="1" applyFill="1" applyBorder="1" applyAlignment="1" applyProtection="1">
      <alignment horizontal="center" wrapText="1"/>
      <protection hidden="1"/>
    </xf>
    <xf numFmtId="0" fontId="26" fillId="3" borderId="0" xfId="0" applyFont="1" applyFill="1" applyAlignment="1">
      <alignment horizontal="center"/>
    </xf>
    <xf numFmtId="0" fontId="26" fillId="3" borderId="0" xfId="0" applyFont="1" applyFill="1" applyAlignment="1">
      <alignment horizontal="left"/>
    </xf>
    <xf numFmtId="0" fontId="18" fillId="6" borderId="78" xfId="0" applyFont="1" applyFill="1" applyBorder="1" applyAlignment="1">
      <alignment horizontal="left"/>
    </xf>
    <xf numFmtId="0" fontId="18" fillId="6" borderId="77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6" fillId="3" borderId="45" xfId="0" applyFont="1" applyFill="1" applyBorder="1" applyAlignment="1">
      <alignment horizontal="center" wrapText="1"/>
    </xf>
    <xf numFmtId="0" fontId="6" fillId="3" borderId="48" xfId="0" applyFont="1" applyFill="1" applyBorder="1" applyAlignment="1">
      <alignment horizontal="center" wrapText="1"/>
    </xf>
    <xf numFmtId="0" fontId="6" fillId="3" borderId="48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24">
    <cellStyle name="Comma" xfId="1" builtinId="3"/>
    <cellStyle name="Comma 10 2" xfId="10" xr:uid="{B275665C-27AF-40FB-BE4E-F000E393B74B}"/>
    <cellStyle name="Comma 10 2 2" xfId="16" xr:uid="{03AA3282-54B8-4E3E-828B-FDFAB10F9CAE}"/>
    <cellStyle name="Comma 10 2 2 2" xfId="23" xr:uid="{FED386B4-5A41-4601-BB69-7CA0CCB84DE3}"/>
    <cellStyle name="Comma 2" xfId="7" xr:uid="{F24CFB67-B00B-45EA-A65C-CD38D97E915C}"/>
    <cellStyle name="Comma 2 2" xfId="14" xr:uid="{F2DAE2E6-A638-4576-9B50-F8EAEFB159B5}"/>
    <cellStyle name="Comma 2 2 2" xfId="21" xr:uid="{FE50A060-F081-4BF2-9496-AA5F9661BC1D}"/>
    <cellStyle name="Comma 2 3" xfId="18" xr:uid="{664D611A-BD7D-45A3-9C85-311C9F444EE5}"/>
    <cellStyle name="Currency" xfId="4" builtinId="4"/>
    <cellStyle name="Currency 2" xfId="9" xr:uid="{FEDF5021-0650-463E-99ED-55F2ADFDC89C}"/>
    <cellStyle name="Currency 2 2" xfId="15" xr:uid="{9A87B3ED-79D5-41F5-BDB6-DA57712DB72F}"/>
    <cellStyle name="Currency 2 2 2" xfId="22" xr:uid="{20926C27-65EC-4A13-8AE3-64B979128ECE}"/>
    <cellStyle name="Currency 2 3" xfId="19" xr:uid="{DAFCCB8A-3CDD-486F-BFB3-41200D1F6858}"/>
    <cellStyle name="Currency 3" xfId="12" xr:uid="{33A47A92-A05A-42BD-98A1-03AB691EEB89}"/>
    <cellStyle name="Currency 3 2" xfId="20" xr:uid="{74B765E7-651C-41D7-9C9F-1E9C790A381F}"/>
    <cellStyle name="Currency 4" xfId="17" xr:uid="{660E3F9B-3626-40EB-82E0-1A79FBDA0E68}"/>
    <cellStyle name="Normal" xfId="0" builtinId="0"/>
    <cellStyle name="Normal 2" xfId="2" xr:uid="{00000000-0005-0000-0000-000003000000}"/>
    <cellStyle name="Normal 2 2" xfId="8" xr:uid="{30B766E5-2FD8-4E65-8036-7F4B9BEDDE12}"/>
    <cellStyle name="Normal 3" xfId="6" xr:uid="{3E7D32E0-B1B9-46EE-BF7E-2DC42BC4910C}"/>
    <cellStyle name="Normal 4" xfId="11" xr:uid="{53CE349E-A6EF-49DC-9E01-9ABB7580B25E}"/>
    <cellStyle name="Normal_SHEET" xfId="3" xr:uid="{00000000-0005-0000-0000-000004000000}"/>
    <cellStyle name="Percent" xfId="5" builtinId="5"/>
    <cellStyle name="Percent 2" xfId="13" xr:uid="{B75A226E-B82A-4DB4-80F3-BE5912EB1EA7}"/>
  </cellStyles>
  <dxfs count="1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 tint="-0.24994659260841701"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fgColor rgb="FFE1542D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1542D"/>
      <color rgb="FF0E4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563563</xdr:colOff>
      <xdr:row>28</xdr:row>
      <xdr:rowOff>95250</xdr:rowOff>
    </xdr:from>
    <xdr:to>
      <xdr:col>13</xdr:col>
      <xdr:colOff>1166812</xdr:colOff>
      <xdr:row>28</xdr:row>
      <xdr:rowOff>103187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E828B36-9BB3-D8B3-5D74-D4BE1327298E}"/>
            </a:ext>
          </a:extLst>
        </xdr:cNvPr>
        <xdr:cNvCxnSpPr/>
      </xdr:nvCxnSpPr>
      <xdr:spPr bwMode="auto">
        <a:xfrm flipV="1">
          <a:off x="6119813" y="4373563"/>
          <a:ext cx="1674812" cy="793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12</xdr:col>
      <xdr:colOff>555625</xdr:colOff>
      <xdr:row>28</xdr:row>
      <xdr:rowOff>127000</xdr:rowOff>
    </xdr:from>
    <xdr:to>
      <xdr:col>13</xdr:col>
      <xdr:colOff>1182687</xdr:colOff>
      <xdr:row>30</xdr:row>
      <xdr:rowOff>87312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1569D5F-15DE-4E6F-B384-619CBC31E7EE}"/>
            </a:ext>
          </a:extLst>
        </xdr:cNvPr>
        <xdr:cNvCxnSpPr/>
      </xdr:nvCxnSpPr>
      <xdr:spPr bwMode="auto">
        <a:xfrm>
          <a:off x="6111875" y="4405313"/>
          <a:ext cx="1698625" cy="29368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39688</xdr:colOff>
      <xdr:row>7</xdr:row>
      <xdr:rowOff>15875</xdr:rowOff>
    </xdr:from>
    <xdr:to>
      <xdr:col>7</xdr:col>
      <xdr:colOff>430268</xdr:colOff>
      <xdr:row>9</xdr:row>
      <xdr:rowOff>92132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7ACED4-1C78-46EE-98EB-067892A87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6438" y="1149350"/>
          <a:ext cx="387405" cy="400107"/>
        </a:xfrm>
        <a:prstGeom prst="rect">
          <a:avLst/>
        </a:prstGeom>
      </xdr:spPr>
    </xdr:pic>
    <xdr:clientData/>
  </xdr:twoCellAnchor>
  <xdr:twoCellAnchor>
    <xdr:from>
      <xdr:col>5</xdr:col>
      <xdr:colOff>202409</xdr:colOff>
      <xdr:row>9</xdr:row>
      <xdr:rowOff>92133</xdr:rowOff>
    </xdr:from>
    <xdr:to>
      <xdr:col>7</xdr:col>
      <xdr:colOff>234978</xdr:colOff>
      <xdr:row>26</xdr:row>
      <xdr:rowOff>119064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130FC24-F9D9-4A62-8001-D823F37A7E66}"/>
            </a:ext>
          </a:extLst>
        </xdr:cNvPr>
        <xdr:cNvCxnSpPr>
          <a:stCxn id="3" idx="2"/>
        </xdr:cNvCxnSpPr>
      </xdr:nvCxnSpPr>
      <xdr:spPr bwMode="auto">
        <a:xfrm rot="5400000">
          <a:off x="6360760" y="1752220"/>
          <a:ext cx="2360556" cy="2040757"/>
        </a:xfrm>
        <a:prstGeom prst="bentConnector3">
          <a:avLst>
            <a:gd name="adj1" fmla="val 100102"/>
          </a:avLst>
        </a:prstGeom>
        <a:ln>
          <a:headEnd type="none" w="med" len="med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019AD9-652E-4FDA-8FAF-91D7E5826792}" name="Table_Panel_Bot" displayName="Table_Panel_Bot" ref="B4:C18" totalsRowShown="0" headerRowDxfId="149" headerRowBorderDxfId="147" tableBorderDxfId="148">
  <tableColumns count="2">
    <tableColumn id="1" xr3:uid="{F8FA2160-10CF-403A-9017-7CB47C167BFB}" name="Nombre Declaracion " dataDxfId="146"/>
    <tableColumn id="2" xr3:uid="{F77C141E-DF19-404F-9C5F-4292B3EE5368}" name="Procesa (SI/NO)" dataDxfId="14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C2208-85CB-40B7-B6E2-BF57BDBD9016}" name="Table1" displayName="Table1" ref="A2:A411" totalsRowShown="0" headerRowDxfId="56" dataDxfId="55">
  <autoFilter ref="A2:A411" xr:uid="{FE3C2208-85CB-40B7-B6E2-BF57BDBD9016}"/>
  <tableColumns count="1">
    <tableColumn id="1" xr3:uid="{228EC842-3DB8-4EAA-8562-0D5DFB3AEB1C}" name="BANCOS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221C8D-AFEE-400A-A87A-D3426E3E0EE4}" name="Table_Fte_Ext" displayName="Table_Fte_Ext" ref="D27:E38" totalsRowShown="0" headerRowDxfId="23" headerRowBorderDxfId="21" tableBorderDxfId="22" totalsRowBorderDxfId="20">
  <autoFilter ref="D27:E38" xr:uid="{61221C8D-AFEE-400A-A87A-D3426E3E0EE4}"/>
  <tableColumns count="2">
    <tableColumn id="1" xr3:uid="{4CE9E486-8BAB-4886-9C81-06079C77A0A3}" name="Pais donde se obtuvo resuelto de fuente extranjera "/>
    <tableColumn id="2" xr3:uid="{4DE65681-26EA-4984-9E48-65649B484E30}" name="Resultado obtenid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8557-31C2-4725-99BF-71D62034B1A0}">
  <sheetPr codeName="Sheet1">
    <tabColor rgb="FF7030A0"/>
  </sheetPr>
  <dimension ref="B2:C18"/>
  <sheetViews>
    <sheetView showGridLines="0" zoomScaleNormal="100" workbookViewId="0">
      <selection activeCell="C11" sqref="C11"/>
    </sheetView>
  </sheetViews>
  <sheetFormatPr defaultRowHeight="12.6"/>
  <cols>
    <col min="2" max="2" width="24.140625" bestFit="1" customWidth="1"/>
    <col min="3" max="3" width="16.5703125" customWidth="1"/>
  </cols>
  <sheetData>
    <row r="2" spans="2:3" ht="12.95" thickBot="1"/>
    <row r="3" spans="2:3" ht="13.5" thickBot="1">
      <c r="B3" s="659" t="s">
        <v>0</v>
      </c>
      <c r="C3" s="660"/>
    </row>
    <row r="4" spans="2:3" ht="33.6" customHeight="1" thickBot="1">
      <c r="B4" s="501" t="s">
        <v>1</v>
      </c>
      <c r="C4" s="502" t="s">
        <v>2</v>
      </c>
    </row>
    <row r="5" spans="2:3">
      <c r="B5" s="497" t="s">
        <v>3</v>
      </c>
      <c r="C5" s="500" t="s">
        <v>4</v>
      </c>
    </row>
    <row r="6" spans="2:3">
      <c r="B6" s="498" t="s">
        <v>5</v>
      </c>
      <c r="C6" s="500" t="s">
        <v>4</v>
      </c>
    </row>
    <row r="7" spans="2:3">
      <c r="B7" s="498" t="s">
        <v>6</v>
      </c>
      <c r="C7" s="500" t="s">
        <v>4</v>
      </c>
    </row>
    <row r="8" spans="2:3">
      <c r="B8" s="498" t="s">
        <v>7</v>
      </c>
      <c r="C8" s="500" t="s">
        <v>4</v>
      </c>
    </row>
    <row r="9" spans="2:3">
      <c r="B9" s="498" t="s">
        <v>8</v>
      </c>
      <c r="C9" s="500" t="s">
        <v>4</v>
      </c>
    </row>
    <row r="10" spans="2:3">
      <c r="B10" s="498" t="s">
        <v>9</v>
      </c>
      <c r="C10" s="500" t="s">
        <v>4</v>
      </c>
    </row>
    <row r="11" spans="2:3">
      <c r="B11" s="498" t="s">
        <v>10</v>
      </c>
      <c r="C11" s="500" t="s">
        <v>4</v>
      </c>
    </row>
    <row r="12" spans="2:3">
      <c r="B12" s="498" t="s">
        <v>11</v>
      </c>
      <c r="C12" s="500" t="s">
        <v>4</v>
      </c>
    </row>
    <row r="13" spans="2:3">
      <c r="B13" s="498" t="s">
        <v>12</v>
      </c>
      <c r="C13" s="500" t="s">
        <v>4</v>
      </c>
    </row>
    <row r="14" spans="2:3">
      <c r="B14" s="498" t="s">
        <v>13</v>
      </c>
      <c r="C14" s="500" t="s">
        <v>4</v>
      </c>
    </row>
    <row r="15" spans="2:3">
      <c r="B15" s="498" t="s">
        <v>14</v>
      </c>
      <c r="C15" s="500" t="s">
        <v>4</v>
      </c>
    </row>
    <row r="16" spans="2:3">
      <c r="B16" s="498" t="s">
        <v>15</v>
      </c>
      <c r="C16" s="500" t="s">
        <v>4</v>
      </c>
    </row>
    <row r="17" spans="2:3">
      <c r="B17" s="498" t="s">
        <v>16</v>
      </c>
      <c r="C17" s="500" t="s">
        <v>4</v>
      </c>
    </row>
    <row r="18" spans="2:3" ht="12.95" thickBot="1">
      <c r="B18" s="499" t="s">
        <v>17</v>
      </c>
      <c r="C18" s="500" t="s">
        <v>4</v>
      </c>
    </row>
  </sheetData>
  <mergeCells count="1">
    <mergeCell ref="B3:C3"/>
  </mergeCells>
  <conditionalFormatting sqref="C5:C18">
    <cfRule type="cellIs" dxfId="151" priority="1" operator="equal">
      <formula>"si"</formula>
    </cfRule>
    <cfRule type="cellIs" dxfId="150" priority="2" operator="equal">
      <formula>"no"</formula>
    </cfRule>
  </conditionalFormatting>
  <dataValidations count="1">
    <dataValidation type="list" allowBlank="1" showInputMessage="1" showErrorMessage="1" sqref="C5:C18" xr:uid="{7A2E76F4-33FB-43E2-A4D5-79B668847BB2}">
      <formula1>"SI,NO"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9C78-8736-44E8-9EBF-9D7152F4A385}">
  <sheetPr codeName="Sheet2">
    <tabColor rgb="FFFFC000"/>
  </sheetPr>
  <dimension ref="B2:X81"/>
  <sheetViews>
    <sheetView showGridLines="0" zoomScale="80" zoomScaleNormal="80" workbookViewId="0">
      <selection activeCell="P4" sqref="P4"/>
    </sheetView>
  </sheetViews>
  <sheetFormatPr defaultColWidth="8.85546875" defaultRowHeight="12.95"/>
  <cols>
    <col min="1" max="1" width="5.42578125" style="1" customWidth="1"/>
    <col min="2" max="2" width="3.140625" style="1" customWidth="1"/>
    <col min="3" max="3" width="3.85546875" style="1" customWidth="1"/>
    <col min="4" max="4" width="3" style="1" customWidth="1"/>
    <col min="5" max="5" width="2.140625" style="1" customWidth="1"/>
    <col min="6" max="6" width="12.85546875" style="1" customWidth="1"/>
    <col min="7" max="7" width="11.5703125" style="1" customWidth="1"/>
    <col min="8" max="8" width="1" style="1" customWidth="1"/>
    <col min="9" max="9" width="5.7109375" style="1" customWidth="1"/>
    <col min="10" max="10" width="10.28515625" style="1" customWidth="1"/>
    <col min="11" max="11" width="17.42578125" style="1" customWidth="1"/>
    <col min="12" max="12" width="3.140625" style="1" customWidth="1"/>
    <col min="13" max="13" width="15.42578125" style="1" bestFit="1" customWidth="1"/>
    <col min="14" max="14" width="18.85546875" style="1" customWidth="1"/>
    <col min="15" max="15" width="2.85546875" style="1" customWidth="1"/>
    <col min="16" max="16" width="18.5703125" style="1" customWidth="1"/>
    <col min="17" max="17" width="14" style="1" customWidth="1"/>
    <col min="18" max="18" width="3.140625" style="1" customWidth="1"/>
    <col min="19" max="19" width="17.85546875" style="1" customWidth="1"/>
    <col min="20" max="20" width="8.85546875" style="1"/>
    <col min="21" max="21" width="9.85546875" style="1" customWidth="1"/>
    <col min="22" max="22" width="8.5703125" style="1" customWidth="1"/>
    <col min="23" max="23" width="7.42578125" style="1" customWidth="1"/>
    <col min="24" max="16384" width="8.85546875" style="1"/>
  </cols>
  <sheetData>
    <row r="2" spans="2:24">
      <c r="F2" s="479" t="s">
        <v>18</v>
      </c>
    </row>
    <row r="3" spans="2:24">
      <c r="M3" s="480" t="s">
        <v>19</v>
      </c>
    </row>
    <row r="4" spans="2:24">
      <c r="F4" s="479" t="s">
        <v>20</v>
      </c>
      <c r="M4" s="479" t="s">
        <v>21</v>
      </c>
      <c r="N4" s="1" t="str">
        <f>IF(ACTIVO!D2=0,"",ACTIVO!D2)</f>
        <v/>
      </c>
      <c r="P4" s="309" t="str">
        <f>ACTIVO!E2</f>
        <v>CUIT:</v>
      </c>
    </row>
    <row r="6" spans="2:24">
      <c r="C6" s="469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  <c r="Q6" s="470"/>
      <c r="R6" s="470"/>
      <c r="S6" s="470"/>
      <c r="T6" s="470"/>
      <c r="U6" s="470"/>
      <c r="V6" s="470"/>
      <c r="W6" s="471"/>
    </row>
    <row r="7" spans="2:24">
      <c r="C7" s="472"/>
      <c r="F7" s="309" t="s">
        <v>22</v>
      </c>
      <c r="G7" s="299"/>
      <c r="I7" s="309" t="s">
        <v>23</v>
      </c>
      <c r="J7" s="309"/>
      <c r="K7" s="299"/>
      <c r="M7" s="309" t="s">
        <v>24</v>
      </c>
      <c r="N7" s="299"/>
      <c r="P7" s="309" t="s">
        <v>25</v>
      </c>
      <c r="Q7" s="299"/>
      <c r="S7" s="309" t="s">
        <v>26</v>
      </c>
      <c r="T7" s="299"/>
      <c r="W7" s="473"/>
    </row>
    <row r="8" spans="2:24">
      <c r="C8" s="475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8"/>
    </row>
    <row r="9" spans="2:24" ht="13.5" thickBot="1"/>
    <row r="10" spans="2:24">
      <c r="B10" s="481"/>
      <c r="C10" s="482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482"/>
      <c r="V10" s="482"/>
      <c r="W10" s="482"/>
      <c r="X10" s="483"/>
    </row>
    <row r="11" spans="2:24" ht="14.45">
      <c r="B11" s="484"/>
      <c r="D11" s="299"/>
      <c r="E11" s="485" t="s">
        <v>27</v>
      </c>
      <c r="H11" s="486" t="s">
        <v>28</v>
      </c>
      <c r="X11" s="487"/>
    </row>
    <row r="12" spans="2:24">
      <c r="B12" s="484"/>
      <c r="E12" s="485"/>
      <c r="X12" s="487"/>
    </row>
    <row r="13" spans="2:24" ht="3.95" customHeight="1">
      <c r="B13" s="484"/>
      <c r="C13" s="469"/>
      <c r="D13" s="470"/>
      <c r="E13" s="470"/>
      <c r="F13" s="470"/>
      <c r="G13" s="470"/>
      <c r="H13" s="470"/>
      <c r="I13" s="470"/>
      <c r="J13" s="470"/>
      <c r="K13" s="470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1"/>
      <c r="X13" s="487"/>
    </row>
    <row r="14" spans="2:24">
      <c r="B14" s="484"/>
      <c r="C14" s="472"/>
      <c r="E14" s="299"/>
      <c r="F14" s="309" t="s">
        <v>29</v>
      </c>
      <c r="L14" s="299"/>
      <c r="M14" s="309" t="s">
        <v>30</v>
      </c>
      <c r="R14" s="299"/>
      <c r="S14" s="309" t="s">
        <v>31</v>
      </c>
      <c r="W14" s="473"/>
      <c r="X14" s="487"/>
    </row>
    <row r="15" spans="2:24">
      <c r="B15" s="484"/>
      <c r="C15" s="472"/>
      <c r="W15" s="473"/>
      <c r="X15" s="487"/>
    </row>
    <row r="16" spans="2:24">
      <c r="B16" s="484"/>
      <c r="C16" s="472"/>
      <c r="F16" s="1" t="s">
        <v>32</v>
      </c>
      <c r="K16" s="299"/>
      <c r="N16" s="1" t="s">
        <v>33</v>
      </c>
      <c r="S16" s="299"/>
      <c r="W16" s="473"/>
      <c r="X16" s="487"/>
    </row>
    <row r="17" spans="2:24">
      <c r="B17" s="484"/>
      <c r="C17" s="475"/>
      <c r="D17" s="476"/>
      <c r="E17" s="476"/>
      <c r="F17" s="476"/>
      <c r="G17" s="476"/>
      <c r="H17" s="476"/>
      <c r="I17" s="476"/>
      <c r="J17" s="476"/>
      <c r="K17" s="476"/>
      <c r="L17" s="476"/>
      <c r="M17" s="476"/>
      <c r="N17" s="476"/>
      <c r="O17" s="476"/>
      <c r="P17" s="476"/>
      <c r="Q17" s="476"/>
      <c r="R17" s="476"/>
      <c r="S17" s="476"/>
      <c r="T17" s="476"/>
      <c r="U17" s="476"/>
      <c r="V17" s="476"/>
      <c r="W17" s="478"/>
      <c r="X17" s="487"/>
    </row>
    <row r="18" spans="2:24" ht="13.5" thickBot="1">
      <c r="B18" s="488"/>
      <c r="C18" s="489"/>
      <c r="D18" s="489"/>
      <c r="E18" s="489"/>
      <c r="F18" s="489"/>
      <c r="G18" s="489"/>
      <c r="H18" s="489"/>
      <c r="I18" s="489"/>
      <c r="J18" s="489"/>
      <c r="K18" s="489"/>
      <c r="L18" s="489"/>
      <c r="M18" s="489"/>
      <c r="N18" s="489"/>
      <c r="O18" s="489"/>
      <c r="P18" s="489"/>
      <c r="Q18" s="489"/>
      <c r="R18" s="489"/>
      <c r="S18" s="489"/>
      <c r="T18" s="489"/>
      <c r="U18" s="489"/>
      <c r="V18" s="489"/>
      <c r="W18" s="489"/>
      <c r="X18" s="490"/>
    </row>
    <row r="20" spans="2:24" ht="3" customHeight="1">
      <c r="C20" s="469"/>
      <c r="D20" s="470"/>
      <c r="E20" s="470"/>
      <c r="F20" s="470"/>
      <c r="G20" s="470"/>
      <c r="H20" s="470"/>
      <c r="I20" s="470"/>
      <c r="J20" s="470"/>
      <c r="K20" s="471"/>
      <c r="M20" s="469"/>
      <c r="N20" s="470"/>
      <c r="O20" s="470"/>
      <c r="P20" s="470"/>
      <c r="Q20" s="470"/>
      <c r="R20" s="470"/>
      <c r="S20" s="470"/>
      <c r="T20" s="470"/>
      <c r="U20" s="470"/>
      <c r="V20" s="470"/>
      <c r="W20" s="471"/>
    </row>
    <row r="21" spans="2:24" ht="14.45" customHeight="1">
      <c r="C21" s="472"/>
      <c r="I21" s="654" t="s">
        <v>34</v>
      </c>
      <c r="J21" s="654"/>
      <c r="K21" s="655"/>
      <c r="M21" s="472"/>
      <c r="O21" s="299"/>
      <c r="P21" s="309" t="s">
        <v>35</v>
      </c>
      <c r="W21" s="473"/>
    </row>
    <row r="22" spans="2:24">
      <c r="C22" s="472"/>
      <c r="E22" s="299"/>
      <c r="F22" s="309" t="s">
        <v>36</v>
      </c>
      <c r="I22" s="654"/>
      <c r="J22" s="654"/>
      <c r="K22" s="655"/>
      <c r="M22" s="472"/>
      <c r="P22" s="309"/>
      <c r="W22" s="473"/>
    </row>
    <row r="23" spans="2:24">
      <c r="C23" s="472"/>
      <c r="I23" s="654"/>
      <c r="J23" s="654"/>
      <c r="K23" s="655"/>
      <c r="M23" s="472"/>
      <c r="O23" s="299"/>
      <c r="P23" s="309" t="s">
        <v>37</v>
      </c>
      <c r="W23" s="473"/>
    </row>
    <row r="24" spans="2:24">
      <c r="C24" s="472"/>
      <c r="F24" s="309" t="s">
        <v>38</v>
      </c>
      <c r="I24" s="299"/>
      <c r="J24" s="11"/>
      <c r="K24" s="473"/>
      <c r="M24" s="472"/>
      <c r="P24" s="309"/>
      <c r="W24" s="473"/>
    </row>
    <row r="25" spans="2:24">
      <c r="C25" s="472"/>
      <c r="K25" s="473"/>
      <c r="M25" s="472"/>
      <c r="O25" s="299"/>
      <c r="P25" s="309" t="s">
        <v>39</v>
      </c>
      <c r="W25" s="473"/>
    </row>
    <row r="26" spans="2:24" ht="5.0999999999999996" customHeight="1">
      <c r="C26" s="475"/>
      <c r="D26" s="476"/>
      <c r="E26" s="476"/>
      <c r="F26" s="476"/>
      <c r="G26" s="476"/>
      <c r="H26" s="476"/>
      <c r="I26" s="476"/>
      <c r="J26" s="476"/>
      <c r="K26" s="478"/>
      <c r="M26" s="475"/>
      <c r="N26" s="476"/>
      <c r="O26" s="476"/>
      <c r="P26" s="491"/>
      <c r="Q26" s="476"/>
      <c r="R26" s="476"/>
      <c r="S26" s="476"/>
      <c r="T26" s="476"/>
      <c r="U26" s="476"/>
      <c r="V26" s="476"/>
      <c r="W26" s="478"/>
    </row>
    <row r="28" spans="2:24" ht="6" customHeight="1">
      <c r="C28" s="469"/>
      <c r="D28" s="470"/>
      <c r="E28" s="470"/>
      <c r="F28" s="470"/>
      <c r="G28" s="470"/>
      <c r="H28" s="470"/>
      <c r="I28" s="470"/>
      <c r="J28" s="470"/>
      <c r="K28" s="470"/>
      <c r="L28" s="470"/>
      <c r="M28" s="470"/>
      <c r="N28" s="470"/>
      <c r="O28" s="470"/>
      <c r="P28" s="470"/>
      <c r="Q28" s="470"/>
      <c r="R28" s="470"/>
      <c r="S28" s="470"/>
      <c r="T28" s="470"/>
      <c r="U28" s="470"/>
      <c r="V28" s="470"/>
      <c r="W28" s="471"/>
    </row>
    <row r="29" spans="2:24">
      <c r="C29" s="472"/>
      <c r="F29" s="309"/>
      <c r="G29" s="492" t="s">
        <v>40</v>
      </c>
      <c r="K29" s="493"/>
      <c r="O29" s="299"/>
      <c r="P29" s="309" t="s">
        <v>41</v>
      </c>
      <c r="W29" s="473"/>
    </row>
    <row r="30" spans="2:24">
      <c r="C30" s="472"/>
      <c r="K30" s="493"/>
      <c r="P30" s="309"/>
      <c r="W30" s="473"/>
    </row>
    <row r="31" spans="2:24">
      <c r="C31" s="472"/>
      <c r="I31" s="494"/>
      <c r="J31" s="494"/>
      <c r="O31" s="299"/>
      <c r="P31" s="309" t="s">
        <v>42</v>
      </c>
      <c r="R31" s="309" t="s">
        <v>43</v>
      </c>
      <c r="T31" s="299"/>
      <c r="W31" s="473"/>
    </row>
    <row r="32" spans="2:24" ht="12.95" customHeight="1">
      <c r="C32" s="472"/>
      <c r="E32" s="512"/>
      <c r="F32" s="656" t="s">
        <v>44</v>
      </c>
      <c r="G32" s="658" t="s">
        <v>45</v>
      </c>
      <c r="H32" s="512"/>
      <c r="K32" s="309" t="s">
        <v>46</v>
      </c>
      <c r="O32" s="492" t="s">
        <v>47</v>
      </c>
      <c r="W32" s="473"/>
    </row>
    <row r="33" spans="3:23" ht="15.95" customHeight="1">
      <c r="C33" s="472"/>
      <c r="D33" s="513"/>
      <c r="E33" s="512"/>
      <c r="F33" s="656"/>
      <c r="G33" s="658"/>
      <c r="H33" s="512"/>
      <c r="I33" s="299"/>
      <c r="J33" s="11"/>
      <c r="K33" s="309" t="s">
        <v>48</v>
      </c>
      <c r="M33" s="299" t="s">
        <v>49</v>
      </c>
      <c r="R33" s="309" t="s">
        <v>50</v>
      </c>
      <c r="T33" s="299"/>
      <c r="U33" s="299"/>
      <c r="V33" s="299"/>
      <c r="W33" s="473"/>
    </row>
    <row r="34" spans="3:23">
      <c r="C34" s="472"/>
      <c r="E34" s="511"/>
      <c r="F34" s="511"/>
      <c r="G34" s="11"/>
      <c r="K34" s="309"/>
      <c r="M34" s="11"/>
      <c r="R34" s="309"/>
      <c r="T34" s="11"/>
      <c r="U34" s="11"/>
      <c r="V34" s="11"/>
      <c r="W34" s="473"/>
    </row>
    <row r="35" spans="3:23">
      <c r="C35" s="472"/>
      <c r="E35" s="511"/>
      <c r="F35" s="511"/>
      <c r="G35" s="11"/>
      <c r="K35" s="309"/>
      <c r="M35" s="11"/>
      <c r="O35" s="299"/>
      <c r="P35" s="309" t="s">
        <v>51</v>
      </c>
      <c r="R35" s="309"/>
      <c r="T35" s="11"/>
      <c r="U35" s="11"/>
      <c r="V35" s="11"/>
      <c r="W35" s="473"/>
    </row>
    <row r="36" spans="3:23" ht="12.95" customHeight="1">
      <c r="C36" s="472"/>
      <c r="E36" s="658" t="s">
        <v>52</v>
      </c>
      <c r="F36" s="658"/>
      <c r="K36" s="309"/>
      <c r="M36" s="11"/>
      <c r="R36" s="309"/>
      <c r="T36" s="11"/>
      <c r="U36" s="11"/>
      <c r="V36" s="11"/>
      <c r="W36" s="473"/>
    </row>
    <row r="37" spans="3:23">
      <c r="C37" s="472"/>
      <c r="E37" s="658"/>
      <c r="F37" s="658"/>
      <c r="G37" s="299"/>
      <c r="K37" s="309"/>
      <c r="M37" s="11"/>
      <c r="O37" s="299"/>
      <c r="P37" s="309" t="s">
        <v>53</v>
      </c>
      <c r="R37" s="309"/>
      <c r="T37" s="11"/>
      <c r="U37" s="11"/>
      <c r="V37" s="11"/>
      <c r="W37" s="473"/>
    </row>
    <row r="38" spans="3:23">
      <c r="C38" s="472"/>
      <c r="E38" s="511"/>
      <c r="F38" s="511"/>
      <c r="G38" s="11"/>
      <c r="K38" s="309"/>
      <c r="M38" s="11"/>
      <c r="R38" s="309"/>
      <c r="T38" s="11"/>
      <c r="U38" s="11"/>
      <c r="V38" s="11"/>
      <c r="W38" s="473"/>
    </row>
    <row r="39" spans="3:23" ht="7.5" customHeight="1">
      <c r="C39" s="475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8"/>
    </row>
    <row r="41" spans="3:23" ht="3" customHeight="1">
      <c r="C41" s="469"/>
      <c r="D41" s="470"/>
      <c r="E41" s="470"/>
      <c r="F41" s="470"/>
      <c r="G41" s="470"/>
      <c r="H41" s="470"/>
      <c r="I41" s="470"/>
      <c r="J41" s="470"/>
      <c r="K41" s="470"/>
      <c r="L41" s="470"/>
      <c r="M41" s="470"/>
      <c r="N41" s="470"/>
      <c r="O41" s="470"/>
      <c r="P41" s="470"/>
      <c r="Q41" s="470"/>
      <c r="R41" s="470"/>
      <c r="S41" s="470"/>
      <c r="T41" s="470"/>
      <c r="U41" s="470"/>
      <c r="V41" s="470"/>
      <c r="W41" s="471"/>
    </row>
    <row r="42" spans="3:23">
      <c r="C42" s="472"/>
      <c r="E42" s="485" t="s">
        <v>54</v>
      </c>
      <c r="H42" s="299"/>
      <c r="I42" s="309" t="s">
        <v>55</v>
      </c>
      <c r="J42" s="309"/>
      <c r="L42" s="299"/>
      <c r="M42" s="309" t="s">
        <v>56</v>
      </c>
      <c r="O42" s="299"/>
      <c r="P42" s="309" t="s">
        <v>57</v>
      </c>
      <c r="W42" s="473"/>
    </row>
    <row r="43" spans="3:23">
      <c r="C43" s="472"/>
      <c r="W43" s="473"/>
    </row>
    <row r="44" spans="3:23">
      <c r="C44" s="472"/>
      <c r="E44" s="485" t="s">
        <v>58</v>
      </c>
      <c r="H44" s="299"/>
      <c r="I44" s="309" t="s">
        <v>59</v>
      </c>
      <c r="J44" s="309"/>
      <c r="L44" s="299"/>
      <c r="M44" s="309" t="s">
        <v>60</v>
      </c>
      <c r="W44" s="473"/>
    </row>
    <row r="45" spans="3:23">
      <c r="C45" s="472"/>
      <c r="E45" s="485"/>
      <c r="I45" s="309"/>
      <c r="J45" s="309"/>
      <c r="M45" s="309"/>
      <c r="W45" s="473"/>
    </row>
    <row r="46" spans="3:23">
      <c r="C46" s="472"/>
      <c r="E46" s="485" t="s">
        <v>61</v>
      </c>
      <c r="W46" s="473"/>
    </row>
    <row r="47" spans="3:23">
      <c r="C47" s="472"/>
      <c r="W47" s="473"/>
    </row>
    <row r="48" spans="3:23">
      <c r="C48" s="472"/>
      <c r="D48" s="469"/>
      <c r="E48" s="470"/>
      <c r="F48" s="495" t="s">
        <v>62</v>
      </c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1"/>
      <c r="V48" s="473"/>
      <c r="W48" s="473"/>
    </row>
    <row r="49" spans="3:23" ht="5.45" customHeight="1">
      <c r="C49" s="472"/>
      <c r="D49" s="472"/>
      <c r="U49" s="473"/>
      <c r="V49" s="473"/>
      <c r="W49" s="473"/>
    </row>
    <row r="50" spans="3:23">
      <c r="C50" s="472"/>
      <c r="D50" s="472"/>
      <c r="E50" s="299"/>
      <c r="F50" s="309" t="s">
        <v>63</v>
      </c>
      <c r="U50" s="473"/>
      <c r="V50" s="473"/>
      <c r="W50" s="473"/>
    </row>
    <row r="51" spans="3:23">
      <c r="C51" s="472"/>
      <c r="D51" s="472"/>
      <c r="U51" s="473"/>
      <c r="V51" s="473"/>
      <c r="W51" s="473"/>
    </row>
    <row r="52" spans="3:23" ht="12.95" customHeight="1">
      <c r="C52" s="472"/>
      <c r="D52" s="472"/>
      <c r="E52" s="299"/>
      <c r="F52" s="656" t="s">
        <v>64</v>
      </c>
      <c r="G52" s="656"/>
      <c r="H52" s="656"/>
      <c r="I52" s="656"/>
      <c r="J52" s="656"/>
      <c r="K52" s="656"/>
      <c r="L52" s="656"/>
      <c r="M52" s="656"/>
      <c r="N52" s="656"/>
      <c r="O52" s="656"/>
      <c r="P52" s="656"/>
      <c r="Q52" s="656"/>
      <c r="R52" s="656"/>
      <c r="S52" s="656"/>
      <c r="T52" s="656"/>
      <c r="U52" s="473"/>
      <c r="V52" s="473"/>
      <c r="W52" s="473"/>
    </row>
    <row r="53" spans="3:23">
      <c r="C53" s="472"/>
      <c r="D53" s="472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473"/>
      <c r="V53" s="473"/>
      <c r="W53" s="473"/>
    </row>
    <row r="54" spans="3:23" ht="11.1" customHeight="1">
      <c r="C54" s="472"/>
      <c r="D54" s="472"/>
      <c r="U54" s="473"/>
      <c r="V54" s="473"/>
      <c r="W54" s="473"/>
    </row>
    <row r="55" spans="3:23" ht="12.95" customHeight="1">
      <c r="C55" s="472"/>
      <c r="D55" s="472"/>
      <c r="E55" s="299"/>
      <c r="F55" s="656" t="s">
        <v>65</v>
      </c>
      <c r="G55" s="656"/>
      <c r="H55" s="656"/>
      <c r="I55" s="656"/>
      <c r="J55" s="656"/>
      <c r="K55" s="656"/>
      <c r="L55" s="656"/>
      <c r="M55" s="656"/>
      <c r="N55" s="656"/>
      <c r="O55" s="656"/>
      <c r="P55" s="656"/>
      <c r="Q55" s="656"/>
      <c r="R55" s="656"/>
      <c r="S55" s="656"/>
      <c r="T55" s="656"/>
      <c r="U55" s="473"/>
      <c r="V55" s="473"/>
      <c r="W55" s="473"/>
    </row>
    <row r="56" spans="3:23">
      <c r="C56" s="472"/>
      <c r="D56" s="472"/>
      <c r="F56" s="656"/>
      <c r="G56" s="656"/>
      <c r="H56" s="656"/>
      <c r="I56" s="656"/>
      <c r="J56" s="656"/>
      <c r="K56" s="656"/>
      <c r="L56" s="656"/>
      <c r="M56" s="656"/>
      <c r="N56" s="656"/>
      <c r="O56" s="656"/>
      <c r="P56" s="656"/>
      <c r="Q56" s="656"/>
      <c r="R56" s="656"/>
      <c r="S56" s="656"/>
      <c r="T56" s="656"/>
      <c r="U56" s="473"/>
      <c r="V56" s="473"/>
      <c r="W56" s="473"/>
    </row>
    <row r="57" spans="3:23" ht="6.6" customHeight="1">
      <c r="C57" s="472"/>
      <c r="D57" s="475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8"/>
      <c r="V57" s="473"/>
      <c r="W57" s="473"/>
    </row>
    <row r="58" spans="3:23">
      <c r="C58" s="472"/>
      <c r="W58" s="473"/>
    </row>
    <row r="59" spans="3:23">
      <c r="C59" s="472"/>
      <c r="D59" s="469"/>
      <c r="E59" s="470"/>
      <c r="F59" s="495" t="s">
        <v>66</v>
      </c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1"/>
      <c r="V59" s="473"/>
      <c r="W59" s="473"/>
    </row>
    <row r="60" spans="3:23" ht="6" customHeight="1">
      <c r="C60" s="472"/>
      <c r="D60" s="472"/>
      <c r="U60" s="473"/>
      <c r="V60" s="473"/>
      <c r="W60" s="473"/>
    </row>
    <row r="61" spans="3:23">
      <c r="C61" s="472"/>
      <c r="D61" s="472"/>
      <c r="E61" s="299"/>
      <c r="F61" s="656" t="s">
        <v>67</v>
      </c>
      <c r="G61" s="656"/>
      <c r="H61" s="656"/>
      <c r="I61" s="656"/>
      <c r="J61" s="656"/>
      <c r="K61" s="656"/>
      <c r="L61" s="656"/>
      <c r="M61" s="656"/>
      <c r="N61" s="656"/>
      <c r="O61" s="656"/>
      <c r="P61" s="656"/>
      <c r="Q61" s="656"/>
      <c r="R61" s="656"/>
      <c r="S61" s="656"/>
      <c r="T61" s="656"/>
      <c r="U61" s="657"/>
      <c r="V61" s="496"/>
      <c r="W61" s="473"/>
    </row>
    <row r="62" spans="3:23">
      <c r="C62" s="472"/>
      <c r="D62" s="472"/>
      <c r="F62" s="656"/>
      <c r="G62" s="656"/>
      <c r="H62" s="656"/>
      <c r="I62" s="656"/>
      <c r="J62" s="656"/>
      <c r="K62" s="656"/>
      <c r="L62" s="656"/>
      <c r="M62" s="656"/>
      <c r="N62" s="656"/>
      <c r="O62" s="656"/>
      <c r="P62" s="656"/>
      <c r="Q62" s="656"/>
      <c r="R62" s="656"/>
      <c r="S62" s="656"/>
      <c r="T62" s="656"/>
      <c r="U62" s="657"/>
      <c r="V62" s="496"/>
      <c r="W62" s="473"/>
    </row>
    <row r="63" spans="3:23" ht="6" customHeight="1">
      <c r="C63" s="472"/>
      <c r="D63" s="475"/>
      <c r="E63" s="476"/>
      <c r="F63" s="476"/>
      <c r="G63" s="476"/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8"/>
      <c r="V63" s="473"/>
      <c r="W63" s="473"/>
    </row>
    <row r="64" spans="3:23">
      <c r="C64" s="472"/>
      <c r="W64" s="473"/>
    </row>
    <row r="65" spans="3:23">
      <c r="C65" s="472"/>
      <c r="E65" s="485" t="s">
        <v>68</v>
      </c>
      <c r="H65" s="299"/>
      <c r="I65" s="309" t="s">
        <v>69</v>
      </c>
      <c r="J65" s="309"/>
      <c r="W65" s="473"/>
    </row>
    <row r="66" spans="3:23" ht="6.6" customHeight="1">
      <c r="C66" s="475"/>
      <c r="D66" s="476"/>
      <c r="E66" s="476"/>
      <c r="F66" s="476"/>
      <c r="G66" s="476"/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8"/>
    </row>
    <row r="67" spans="3:23" ht="6.6" customHeight="1"/>
    <row r="68" spans="3:23" ht="6.6" customHeight="1"/>
    <row r="69" spans="3:23">
      <c r="F69" s="652" t="s">
        <v>70</v>
      </c>
      <c r="G69" s="652"/>
      <c r="H69" s="653"/>
      <c r="I69" s="593"/>
      <c r="K69" s="309" t="s">
        <v>71</v>
      </c>
    </row>
    <row r="71" spans="3:23">
      <c r="F71" s="479" t="s">
        <v>72</v>
      </c>
    </row>
    <row r="72" spans="3:23">
      <c r="F72" s="479"/>
    </row>
    <row r="73" spans="3:23" ht="3.95" customHeight="1">
      <c r="C73" s="469"/>
      <c r="D73" s="470"/>
      <c r="E73" s="470"/>
      <c r="F73" s="470"/>
      <c r="G73" s="470"/>
      <c r="H73" s="470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0"/>
      <c r="W73" s="471"/>
    </row>
    <row r="74" spans="3:23">
      <c r="C74" s="472"/>
      <c r="E74" s="299"/>
      <c r="F74" s="309" t="s">
        <v>73</v>
      </c>
      <c r="W74" s="473"/>
    </row>
    <row r="75" spans="3:23">
      <c r="C75" s="472"/>
      <c r="F75" s="309"/>
      <c r="W75" s="473"/>
    </row>
    <row r="76" spans="3:23">
      <c r="C76" s="472"/>
      <c r="E76" s="299"/>
      <c r="F76" s="309" t="s">
        <v>74</v>
      </c>
      <c r="W76" s="473"/>
    </row>
    <row r="77" spans="3:23">
      <c r="C77" s="472"/>
      <c r="F77" s="309"/>
      <c r="W77" s="473"/>
    </row>
    <row r="78" spans="3:23">
      <c r="C78" s="472"/>
      <c r="E78" s="299"/>
      <c r="F78" s="309" t="s">
        <v>75</v>
      </c>
      <c r="W78" s="473"/>
    </row>
    <row r="79" spans="3:23">
      <c r="C79" s="472"/>
      <c r="F79" s="309"/>
      <c r="W79" s="473"/>
    </row>
    <row r="80" spans="3:23">
      <c r="C80" s="472"/>
      <c r="E80" s="299"/>
      <c r="F80" s="309" t="s">
        <v>76</v>
      </c>
      <c r="W80" s="473"/>
    </row>
    <row r="81" spans="3:23" ht="5.45" customHeight="1">
      <c r="C81" s="475"/>
      <c r="D81" s="476"/>
      <c r="E81" s="476"/>
      <c r="F81" s="476"/>
      <c r="G81" s="476"/>
      <c r="H81" s="476"/>
      <c r="I81" s="476"/>
      <c r="J81" s="476"/>
      <c r="K81" s="476"/>
      <c r="L81" s="476"/>
      <c r="M81" s="476"/>
      <c r="N81" s="476"/>
      <c r="O81" s="476"/>
      <c r="P81" s="476"/>
      <c r="Q81" s="476"/>
      <c r="R81" s="476"/>
      <c r="S81" s="476"/>
      <c r="T81" s="476"/>
      <c r="U81" s="476"/>
      <c r="V81" s="476"/>
      <c r="W81" s="478"/>
    </row>
  </sheetData>
  <mergeCells count="8">
    <mergeCell ref="F69:H69"/>
    <mergeCell ref="I21:K23"/>
    <mergeCell ref="F55:T56"/>
    <mergeCell ref="F52:T53"/>
    <mergeCell ref="F61:U62"/>
    <mergeCell ref="E36:F37"/>
    <mergeCell ref="F32:F33"/>
    <mergeCell ref="G32:G33"/>
  </mergeCells>
  <dataValidations count="2">
    <dataValidation type="list" allowBlank="1" showInputMessage="1" showErrorMessage="1" sqref="K7" xr:uid="{D8B163F3-0AE2-4BE8-89D2-579CC179A584}">
      <formula1>"Original,Rectificativa 1,Rectificativa 2,Rectificativa 3,Rectificativa 4,Rectificativa 5,Rectificativa 6,Rectificativa 7,Rectificativa 8,Rectificativa 9"</formula1>
    </dataValidation>
    <dataValidation type="list" allowBlank="1" showInputMessage="1" showErrorMessage="1" sqref="M33" xr:uid="{C81BA266-C325-40F3-B66C-7EB6ECE63C08}">
      <formula1>"A medida,Manual,Propio,Software comercial"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2C6EDF-DD13-4F14-98DD-0938D35BADAE}">
          <x14:formula1>
            <xm:f>SIAP!$T$36:$T$38</xm:f>
          </x14:formula1>
          <xm:sqref>I69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W458"/>
  <sheetViews>
    <sheetView showGridLines="0" view="pageBreakPreview" zoomScale="75" zoomScaleNormal="75" zoomScaleSheetLayoutView="75" workbookViewId="0">
      <selection activeCell="F58" sqref="F58"/>
    </sheetView>
  </sheetViews>
  <sheetFormatPr defaultColWidth="11.42578125" defaultRowHeight="12.95"/>
  <cols>
    <col min="1" max="1" width="2.140625" style="11" customWidth="1"/>
    <col min="2" max="2" width="2.85546875" style="11" customWidth="1"/>
    <col min="3" max="3" width="26.140625" style="11" customWidth="1"/>
    <col min="4" max="4" width="59.5703125" style="11" customWidth="1"/>
    <col min="5" max="5" width="44.140625" style="11" customWidth="1"/>
    <col min="6" max="6" width="35.28515625" style="11" customWidth="1"/>
    <col min="7" max="7" width="42.85546875" style="11" customWidth="1"/>
    <col min="8" max="8" width="60.42578125" style="11" bestFit="1" customWidth="1"/>
    <col min="9" max="9" width="36.140625" style="11" bestFit="1" customWidth="1"/>
    <col min="10" max="10" width="21.5703125" style="11" customWidth="1"/>
    <col min="11" max="11" width="30.85546875" style="11" bestFit="1" customWidth="1"/>
    <col min="12" max="12" width="27.85546875" style="11" bestFit="1" customWidth="1"/>
    <col min="13" max="13" width="38.140625" style="11" customWidth="1"/>
    <col min="14" max="14" width="36.140625" style="11" bestFit="1" customWidth="1"/>
    <col min="15" max="15" width="11.42578125" style="11" customWidth="1"/>
    <col min="16" max="16" width="31.42578125" style="11" customWidth="1"/>
    <col min="17" max="17" width="23.42578125" style="11" customWidth="1"/>
    <col min="18" max="18" width="15.5703125" style="11" customWidth="1"/>
    <col min="19" max="19" width="31" style="11" bestFit="1" customWidth="1"/>
    <col min="20" max="20" width="40.85546875" style="11" bestFit="1" customWidth="1"/>
    <col min="21" max="16384" width="11.42578125" style="11"/>
  </cols>
  <sheetData>
    <row r="1" spans="1:10" ht="13.5" thickBot="1">
      <c r="C1" s="97" t="s">
        <v>77</v>
      </c>
      <c r="G1" s="12" t="s">
        <v>3</v>
      </c>
    </row>
    <row r="2" spans="1:10" ht="21.75" customHeight="1" thickBot="1">
      <c r="C2" s="118" t="s">
        <v>78</v>
      </c>
      <c r="D2" s="595"/>
      <c r="E2" s="13" t="s">
        <v>79</v>
      </c>
      <c r="G2" s="119" t="s">
        <v>80</v>
      </c>
      <c r="H2" s="323" t="s">
        <v>81</v>
      </c>
    </row>
    <row r="3" spans="1:10" ht="21.75" customHeight="1" thickBot="1">
      <c r="C3" s="14" t="s">
        <v>82</v>
      </c>
      <c r="D3" s="340"/>
      <c r="E3" s="15" t="s">
        <v>83</v>
      </c>
      <c r="G3" s="16" t="s">
        <v>84</v>
      </c>
      <c r="H3" s="16" t="s">
        <v>4</v>
      </c>
    </row>
    <row r="4" spans="1:10" ht="21.6" customHeight="1" thickBot="1">
      <c r="C4" s="14" t="s">
        <v>85</v>
      </c>
      <c r="D4" s="16" t="s">
        <v>86</v>
      </c>
    </row>
    <row r="5" spans="1:10" ht="13.5" thickBot="1"/>
    <row r="6" spans="1:10" ht="13.5" thickBot="1">
      <c r="A6" s="17"/>
      <c r="B6" s="17"/>
      <c r="C6" s="120" t="s">
        <v>87</v>
      </c>
      <c r="D6" s="121" t="s">
        <v>88</v>
      </c>
      <c r="E6" s="122" t="s">
        <v>89</v>
      </c>
      <c r="F6" s="122" t="s">
        <v>90</v>
      </c>
      <c r="G6" s="123" t="s">
        <v>91</v>
      </c>
      <c r="I6" s="19"/>
    </row>
    <row r="7" spans="1:10">
      <c r="C7" s="20"/>
      <c r="D7" s="21"/>
      <c r="E7" s="21"/>
      <c r="F7" s="21"/>
      <c r="G7" s="22"/>
      <c r="I7" s="21"/>
    </row>
    <row r="8" spans="1:10">
      <c r="C8" s="23" t="s">
        <v>3</v>
      </c>
      <c r="D8" s="124"/>
      <c r="E8" s="124">
        <f>+G14</f>
        <v>0</v>
      </c>
      <c r="F8" s="24"/>
      <c r="G8" s="126">
        <f>+E8-F8</f>
        <v>0</v>
      </c>
      <c r="H8" s="41"/>
      <c r="I8" s="24"/>
    </row>
    <row r="9" spans="1:10">
      <c r="C9" s="23" t="s">
        <v>92</v>
      </c>
      <c r="D9" s="124"/>
      <c r="E9" s="124">
        <f>+PASIVO!G3</f>
        <v>0</v>
      </c>
      <c r="F9" s="24"/>
      <c r="G9" s="126">
        <f>+E9-F9</f>
        <v>0</v>
      </c>
      <c r="I9" s="24"/>
    </row>
    <row r="10" spans="1:10">
      <c r="C10" s="23" t="s">
        <v>93</v>
      </c>
      <c r="D10" s="124"/>
      <c r="E10" s="124">
        <f>+PATRIMONIO!F2</f>
        <v>0</v>
      </c>
      <c r="F10" s="24"/>
      <c r="G10" s="126">
        <f>+E10-F10</f>
        <v>0</v>
      </c>
      <c r="I10" s="24"/>
    </row>
    <row r="11" spans="1:10">
      <c r="C11" s="23"/>
      <c r="D11" s="24"/>
      <c r="E11" s="24"/>
      <c r="F11" s="24"/>
      <c r="G11" s="25"/>
      <c r="I11" s="24"/>
    </row>
    <row r="12" spans="1:10" ht="13.5" thickBot="1">
      <c r="C12" s="26" t="s">
        <v>94</v>
      </c>
      <c r="D12" s="125"/>
      <c r="E12" s="125">
        <f>+RESULTADOS!D2</f>
        <v>0</v>
      </c>
      <c r="F12" s="27"/>
      <c r="G12" s="127">
        <f>+E12-F12</f>
        <v>0</v>
      </c>
      <c r="I12" s="24"/>
    </row>
    <row r="13" spans="1:10" ht="13.5" thickBot="1">
      <c r="J13" s="28"/>
    </row>
    <row r="14" spans="1:10" ht="13.5" thickBot="1">
      <c r="B14" s="128" t="s">
        <v>95</v>
      </c>
      <c r="C14" s="30"/>
      <c r="D14" s="30"/>
      <c r="E14" s="30"/>
      <c r="F14" s="31"/>
      <c r="G14" s="260">
        <f>+G20+G103+G221+G447+G325+G306</f>
        <v>0</v>
      </c>
      <c r="J14" s="32"/>
    </row>
    <row r="16" spans="1:10">
      <c r="D16" s="606" t="s">
        <v>96</v>
      </c>
      <c r="E16" s="607"/>
      <c r="F16" s="625">
        <v>0</v>
      </c>
    </row>
    <row r="17" spans="3:14">
      <c r="D17" s="34"/>
      <c r="E17" s="34"/>
      <c r="F17" s="35"/>
    </row>
    <row r="18" spans="3:14">
      <c r="D18" s="606" t="s">
        <v>97</v>
      </c>
      <c r="E18" s="607"/>
      <c r="F18" s="625">
        <v>0</v>
      </c>
      <c r="I18" s="97"/>
    </row>
    <row r="19" spans="3:14" ht="13.5" thickBot="1"/>
    <row r="20" spans="3:14" ht="13.5" thickBot="1">
      <c r="C20" s="361" t="s">
        <v>98</v>
      </c>
      <c r="D20" s="362"/>
      <c r="E20" s="362"/>
      <c r="F20" s="362"/>
      <c r="G20" s="363">
        <f>+G22+G24+G26+G69</f>
        <v>0</v>
      </c>
      <c r="H20" s="75"/>
      <c r="I20" s="75"/>
    </row>
    <row r="21" spans="3:14">
      <c r="C21" s="176"/>
      <c r="D21" s="176"/>
      <c r="E21" s="37"/>
      <c r="F21" s="37"/>
      <c r="G21" s="38"/>
    </row>
    <row r="22" spans="3:14">
      <c r="C22" s="97"/>
      <c r="D22" s="100" t="s">
        <v>99</v>
      </c>
      <c r="E22" s="39"/>
      <c r="F22" s="40"/>
      <c r="G22" s="625">
        <v>0</v>
      </c>
    </row>
    <row r="23" spans="3:14">
      <c r="C23" s="97"/>
      <c r="D23" s="97"/>
      <c r="E23" s="41"/>
      <c r="F23" s="41"/>
      <c r="H23" s="350"/>
    </row>
    <row r="24" spans="3:14">
      <c r="C24" s="97"/>
      <c r="D24" s="100" t="s">
        <v>100</v>
      </c>
      <c r="E24" s="39"/>
      <c r="F24" s="40"/>
      <c r="G24" s="625">
        <v>0</v>
      </c>
    </row>
    <row r="25" spans="3:14">
      <c r="C25" s="97"/>
      <c r="D25" s="97"/>
    </row>
    <row r="26" spans="3:14">
      <c r="C26" s="97"/>
      <c r="D26" s="100" t="s">
        <v>101</v>
      </c>
      <c r="E26" s="39"/>
      <c r="F26" s="40"/>
      <c r="G26" s="261">
        <f>+G28+G48</f>
        <v>0</v>
      </c>
    </row>
    <row r="27" spans="3:14">
      <c r="C27" s="97"/>
      <c r="D27" s="97"/>
      <c r="E27" s="41"/>
      <c r="F27" s="41"/>
    </row>
    <row r="28" spans="3:14">
      <c r="C28" s="97"/>
      <c r="D28" s="100" t="s">
        <v>102</v>
      </c>
      <c r="E28" s="39"/>
      <c r="F28" s="40"/>
      <c r="G28" s="261">
        <f>+F46</f>
        <v>0</v>
      </c>
    </row>
    <row r="29" spans="3:14">
      <c r="C29" s="97"/>
      <c r="D29" s="97"/>
      <c r="E29" s="41"/>
      <c r="F29" s="41"/>
    </row>
    <row r="30" spans="3:14" ht="13.5" thickBot="1">
      <c r="D30" s="101" t="s">
        <v>103</v>
      </c>
      <c r="E30" s="101" t="s">
        <v>104</v>
      </c>
      <c r="F30" s="102" t="str">
        <f>+$E$3</f>
        <v xml:space="preserve">Saldo al </v>
      </c>
      <c r="H30" s="42"/>
      <c r="N30" s="11" t="s">
        <v>105</v>
      </c>
    </row>
    <row r="31" spans="3:14">
      <c r="C31" s="43"/>
      <c r="D31" s="364"/>
      <c r="E31" s="365"/>
      <c r="F31" s="382"/>
      <c r="G31" s="41"/>
      <c r="H31" s="45"/>
    </row>
    <row r="32" spans="3:14">
      <c r="D32" s="365"/>
      <c r="E32" s="365"/>
      <c r="F32" s="383"/>
      <c r="G32" s="41"/>
      <c r="H32" s="45"/>
    </row>
    <row r="33" spans="3:14">
      <c r="C33" s="43"/>
      <c r="D33" s="365"/>
      <c r="E33" s="365"/>
      <c r="F33" s="383"/>
      <c r="G33" s="41"/>
      <c r="H33" s="45"/>
    </row>
    <row r="34" spans="3:14">
      <c r="C34" s="43"/>
      <c r="D34" s="365"/>
      <c r="E34" s="633"/>
      <c r="F34" s="634"/>
      <c r="G34" s="41"/>
      <c r="H34" s="45"/>
    </row>
    <row r="35" spans="3:14">
      <c r="C35" s="43"/>
      <c r="D35" s="46"/>
      <c r="E35" s="633"/>
      <c r="F35" s="634"/>
      <c r="G35" s="41"/>
      <c r="H35" s="45"/>
    </row>
    <row r="36" spans="3:14">
      <c r="D36" s="46"/>
      <c r="E36" s="633"/>
      <c r="F36" s="634"/>
      <c r="G36" s="381"/>
      <c r="H36" s="41"/>
    </row>
    <row r="37" spans="3:14">
      <c r="D37" s="47"/>
      <c r="E37" s="365"/>
      <c r="F37" s="635"/>
      <c r="G37" s="41"/>
      <c r="H37" s="45"/>
    </row>
    <row r="38" spans="3:14">
      <c r="D38" s="47"/>
      <c r="E38" s="365"/>
      <c r="F38" s="635"/>
      <c r="H38" s="45"/>
      <c r="N38" s="11" t="s">
        <v>105</v>
      </c>
    </row>
    <row r="39" spans="3:14">
      <c r="D39" s="47"/>
      <c r="E39" s="365"/>
      <c r="F39" s="635"/>
      <c r="H39" s="45"/>
    </row>
    <row r="40" spans="3:14">
      <c r="D40" s="47"/>
      <c r="E40" s="365"/>
      <c r="F40" s="635"/>
      <c r="H40" s="45"/>
    </row>
    <row r="41" spans="3:14">
      <c r="D41" s="47"/>
      <c r="E41" s="365"/>
      <c r="F41" s="635"/>
      <c r="H41" s="45"/>
    </row>
    <row r="42" spans="3:14">
      <c r="D42" s="47"/>
      <c r="E42" s="365"/>
      <c r="F42" s="635"/>
      <c r="H42" s="45"/>
    </row>
    <row r="43" spans="3:14">
      <c r="D43" s="47"/>
      <c r="E43" s="365"/>
      <c r="F43" s="635"/>
      <c r="H43" s="45"/>
    </row>
    <row r="44" spans="3:14">
      <c r="D44" s="47"/>
      <c r="E44" s="365"/>
      <c r="F44" s="635"/>
      <c r="H44" s="45"/>
    </row>
    <row r="45" spans="3:14" ht="13.5" thickBot="1">
      <c r="D45" s="48"/>
      <c r="E45" s="365"/>
      <c r="F45" s="636"/>
      <c r="H45" s="45"/>
    </row>
    <row r="46" spans="3:14" ht="13.5" thickBot="1">
      <c r="D46" s="49" t="s">
        <v>106</v>
      </c>
      <c r="E46" s="50"/>
      <c r="F46" s="262">
        <f>SUM(F31:F45)</f>
        <v>0</v>
      </c>
      <c r="H46" s="53"/>
    </row>
    <row r="47" spans="3:14">
      <c r="E47" s="41"/>
      <c r="H47" s="45"/>
      <c r="I47" s="45"/>
    </row>
    <row r="48" spans="3:14">
      <c r="D48" s="100" t="s">
        <v>107</v>
      </c>
      <c r="E48" s="39"/>
      <c r="F48" s="40"/>
      <c r="G48" s="261">
        <f>+G67</f>
        <v>0</v>
      </c>
      <c r="H48" s="344"/>
    </row>
    <row r="49" spans="4:15">
      <c r="D49" s="97"/>
      <c r="E49" s="41"/>
      <c r="H49" s="45"/>
      <c r="I49" s="45"/>
    </row>
    <row r="50" spans="4:15" ht="13.5" thickBot="1">
      <c r="D50" s="341" t="s">
        <v>108</v>
      </c>
      <c r="E50" s="342" t="s">
        <v>109</v>
      </c>
      <c r="F50" s="342" t="s">
        <v>110</v>
      </c>
      <c r="G50" s="343" t="str">
        <f>+F30</f>
        <v xml:space="preserve">Saldo al </v>
      </c>
      <c r="I50" s="45"/>
      <c r="O50" s="11" t="s">
        <v>105</v>
      </c>
    </row>
    <row r="51" spans="4:15">
      <c r="D51" s="47"/>
      <c r="E51" s="44"/>
      <c r="F51" s="367"/>
      <c r="G51" s="366"/>
      <c r="I51" s="45"/>
    </row>
    <row r="52" spans="4:15">
      <c r="D52" s="47"/>
      <c r="E52" s="46"/>
      <c r="F52" s="367"/>
      <c r="G52" s="366"/>
      <c r="I52" s="45"/>
    </row>
    <row r="53" spans="4:15">
      <c r="D53" s="47"/>
      <c r="E53" s="46"/>
      <c r="F53" s="367"/>
      <c r="G53" s="366"/>
      <c r="I53" s="45"/>
    </row>
    <row r="54" spans="4:15">
      <c r="D54" s="47"/>
      <c r="E54" s="46"/>
      <c r="F54" s="367"/>
      <c r="G54" s="366"/>
      <c r="I54" s="45"/>
    </row>
    <row r="55" spans="4:15">
      <c r="D55" s="47"/>
      <c r="E55" s="46"/>
      <c r="F55" s="367"/>
      <c r="G55" s="366"/>
      <c r="I55" s="45"/>
    </row>
    <row r="56" spans="4:15">
      <c r="D56" s="47"/>
      <c r="E56" s="46"/>
      <c r="F56" s="367"/>
      <c r="G56" s="366"/>
      <c r="I56" s="45"/>
    </row>
    <row r="57" spans="4:15">
      <c r="D57" s="47"/>
      <c r="E57" s="46"/>
      <c r="F57" s="367"/>
      <c r="G57" s="366"/>
      <c r="I57" s="45"/>
    </row>
    <row r="58" spans="4:15">
      <c r="D58" s="47"/>
      <c r="E58" s="46"/>
      <c r="F58" s="367"/>
      <c r="G58" s="366"/>
      <c r="I58" s="45"/>
    </row>
    <row r="59" spans="4:15">
      <c r="D59" s="47"/>
      <c r="E59" s="46"/>
      <c r="F59" s="367"/>
      <c r="G59" s="366"/>
      <c r="I59" s="45"/>
    </row>
    <row r="60" spans="4:15">
      <c r="D60" s="47"/>
      <c r="E60" s="46"/>
      <c r="F60" s="367"/>
      <c r="G60" s="366"/>
      <c r="I60" s="45"/>
      <c r="O60" s="11" t="s">
        <v>105</v>
      </c>
    </row>
    <row r="61" spans="4:15">
      <c r="D61" s="47"/>
      <c r="E61" s="47"/>
      <c r="F61" s="367"/>
      <c r="G61" s="366"/>
      <c r="I61" s="45"/>
    </row>
    <row r="62" spans="4:15">
      <c r="D62" s="47"/>
      <c r="E62" s="47"/>
      <c r="F62" s="367"/>
      <c r="G62" s="366"/>
      <c r="I62" s="45"/>
    </row>
    <row r="63" spans="4:15">
      <c r="D63" s="47"/>
      <c r="E63" s="47"/>
      <c r="F63" s="367"/>
      <c r="G63" s="366"/>
      <c r="I63" s="45"/>
    </row>
    <row r="64" spans="4:15">
      <c r="D64" s="47"/>
      <c r="E64" s="47"/>
      <c r="F64" s="367"/>
      <c r="G64" s="366"/>
      <c r="I64" s="45"/>
    </row>
    <row r="65" spans="4:9">
      <c r="D65" s="47"/>
      <c r="E65" s="47"/>
      <c r="F65" s="367"/>
      <c r="G65" s="366"/>
      <c r="I65" s="45"/>
    </row>
    <row r="66" spans="4:9" ht="13.5" thickBot="1">
      <c r="D66" s="47"/>
      <c r="E66" s="48"/>
      <c r="F66" s="367"/>
      <c r="G66" s="366"/>
      <c r="H66" s="41"/>
      <c r="I66" s="45"/>
    </row>
    <row r="67" spans="4:9" ht="13.5" thickBot="1">
      <c r="D67" s="386" t="s">
        <v>111</v>
      </c>
      <c r="E67" s="51"/>
      <c r="F67" s="51"/>
      <c r="G67" s="263">
        <f>SUM(G51:G66)</f>
        <v>0</v>
      </c>
      <c r="I67" s="45"/>
    </row>
    <row r="68" spans="4:9">
      <c r="E68" s="41"/>
      <c r="H68" s="45"/>
      <c r="I68" s="45"/>
    </row>
    <row r="69" spans="4:9">
      <c r="D69" s="100" t="s">
        <v>112</v>
      </c>
      <c r="E69" s="39"/>
      <c r="F69" s="40"/>
      <c r="G69" s="250">
        <f>+(E72*G72)+(E73*G73)+(E74*G74)+(E75*G75)+(E76*G76)+(E77*G77)+(E78*G78)+(E79*G79)</f>
        <v>0</v>
      </c>
      <c r="H69" s="45"/>
    </row>
    <row r="70" spans="4:9" ht="13.5" thickBot="1">
      <c r="D70" s="97"/>
      <c r="E70" s="41"/>
      <c r="H70" s="54"/>
      <c r="I70" s="45"/>
    </row>
    <row r="71" spans="4:9" ht="13.5" thickBot="1">
      <c r="D71" s="549" t="s">
        <v>113</v>
      </c>
      <c r="E71" s="550" t="s">
        <v>114</v>
      </c>
      <c r="F71" s="551" t="s">
        <v>115</v>
      </c>
      <c r="G71" s="552" t="s">
        <v>116</v>
      </c>
      <c r="H71" s="54"/>
      <c r="I71" s="45"/>
    </row>
    <row r="72" spans="4:9">
      <c r="D72" s="527"/>
      <c r="E72" s="61"/>
      <c r="F72" s="556"/>
      <c r="G72" s="387"/>
      <c r="H72" s="327"/>
      <c r="I72" s="45"/>
    </row>
    <row r="73" spans="4:9">
      <c r="D73" s="366"/>
      <c r="E73" s="366"/>
      <c r="F73" s="289"/>
      <c r="G73" s="388"/>
      <c r="H73" s="327"/>
      <c r="I73" s="45"/>
    </row>
    <row r="74" spans="4:9">
      <c r="D74" s="366"/>
      <c r="E74" s="366"/>
      <c r="F74" s="47"/>
      <c r="G74" s="389"/>
      <c r="H74" s="349"/>
      <c r="I74" s="45"/>
    </row>
    <row r="75" spans="4:9">
      <c r="D75" s="366"/>
      <c r="E75" s="366"/>
      <c r="F75" s="598"/>
      <c r="G75" s="389"/>
      <c r="H75" s="54"/>
      <c r="I75" s="45"/>
    </row>
    <row r="76" spans="4:9">
      <c r="D76" s="366"/>
      <c r="E76" s="366"/>
      <c r="F76" s="47"/>
      <c r="G76" s="389"/>
      <c r="H76" s="54"/>
      <c r="I76" s="45"/>
    </row>
    <row r="77" spans="4:9">
      <c r="D77" s="366"/>
      <c r="E77" s="366"/>
      <c r="F77" s="47"/>
      <c r="G77" s="389"/>
      <c r="H77" s="54"/>
      <c r="I77" s="45"/>
    </row>
    <row r="78" spans="4:9">
      <c r="D78" s="366"/>
      <c r="E78" s="366"/>
      <c r="F78" s="47"/>
      <c r="G78" s="389"/>
      <c r="H78" s="54"/>
      <c r="I78" s="45"/>
    </row>
    <row r="79" spans="4:9" ht="13.5" thickBot="1">
      <c r="D79" s="385"/>
      <c r="E79" s="385"/>
      <c r="F79" s="48"/>
      <c r="G79" s="555"/>
      <c r="H79" s="54"/>
      <c r="I79" s="45"/>
    </row>
    <row r="80" spans="4:9" ht="13.5" thickBot="1">
      <c r="D80" s="453" t="s">
        <v>117</v>
      </c>
      <c r="E80" s="553"/>
      <c r="F80" s="530"/>
      <c r="G80" s="554"/>
      <c r="H80" s="54"/>
      <c r="I80" s="45"/>
    </row>
    <row r="81" spans="3:9">
      <c r="D81" s="45"/>
      <c r="E81" s="413"/>
      <c r="F81" s="54"/>
      <c r="G81" s="414"/>
      <c r="H81" s="54"/>
      <c r="I81" s="45"/>
    </row>
    <row r="82" spans="3:9">
      <c r="C82" s="415"/>
      <c r="D82" s="416"/>
      <c r="E82" s="417"/>
      <c r="F82" s="418"/>
      <c r="G82" s="419"/>
      <c r="H82" s="418"/>
      <c r="I82" s="45"/>
    </row>
    <row r="83" spans="3:9">
      <c r="C83" s="418"/>
      <c r="D83" s="100" t="s">
        <v>118</v>
      </c>
      <c r="E83" s="438"/>
      <c r="F83" s="438"/>
      <c r="G83" s="601">
        <f>G101</f>
        <v>0</v>
      </c>
      <c r="H83" s="420"/>
      <c r="I83" s="45"/>
    </row>
    <row r="84" spans="3:9" ht="13.5" thickBot="1">
      <c r="C84" s="415"/>
      <c r="D84" s="421"/>
      <c r="E84" s="422"/>
      <c r="F84" s="422"/>
      <c r="G84" s="423"/>
      <c r="H84" s="420"/>
      <c r="I84" s="45"/>
    </row>
    <row r="85" spans="3:9">
      <c r="C85" s="415"/>
      <c r="D85" s="264" t="s">
        <v>119</v>
      </c>
      <c r="E85" s="457" t="s">
        <v>120</v>
      </c>
      <c r="F85" s="456" t="s">
        <v>121</v>
      </c>
      <c r="G85" s="264" t="s">
        <v>122</v>
      </c>
      <c r="H85" s="420"/>
      <c r="I85" s="45"/>
    </row>
    <row r="86" spans="3:9">
      <c r="C86" s="415"/>
      <c r="D86" s="599"/>
      <c r="E86" s="626"/>
      <c r="F86" s="367"/>
      <c r="G86" s="600"/>
      <c r="H86" s="420"/>
      <c r="I86" s="45"/>
    </row>
    <row r="87" spans="3:9">
      <c r="C87" s="415"/>
      <c r="D87" s="599"/>
      <c r="E87" s="626"/>
      <c r="F87" s="367"/>
      <c r="G87" s="600"/>
      <c r="H87" s="420"/>
      <c r="I87" s="45"/>
    </row>
    <row r="88" spans="3:9">
      <c r="C88" s="415"/>
      <c r="D88" s="599"/>
      <c r="E88" s="626"/>
      <c r="F88" s="367"/>
      <c r="G88" s="600"/>
      <c r="H88" s="420"/>
      <c r="I88" s="45"/>
    </row>
    <row r="89" spans="3:9">
      <c r="C89" s="415"/>
      <c r="D89" s="599"/>
      <c r="E89" s="626"/>
      <c r="F89" s="367"/>
      <c r="G89" s="600"/>
      <c r="H89" s="420"/>
      <c r="I89" s="45"/>
    </row>
    <row r="90" spans="3:9">
      <c r="C90" s="415"/>
      <c r="D90" s="599"/>
      <c r="E90" s="626"/>
      <c r="F90" s="367"/>
      <c r="G90" s="600"/>
      <c r="H90" s="420"/>
      <c r="I90" s="45"/>
    </row>
    <row r="91" spans="3:9">
      <c r="C91" s="415"/>
      <c r="D91" s="599"/>
      <c r="E91" s="626"/>
      <c r="F91" s="367"/>
      <c r="G91" s="600"/>
      <c r="H91" s="420"/>
      <c r="I91" s="45"/>
    </row>
    <row r="92" spans="3:9">
      <c r="C92" s="415"/>
      <c r="D92" s="599"/>
      <c r="E92" s="626"/>
      <c r="F92" s="367"/>
      <c r="G92" s="600"/>
      <c r="H92" s="420"/>
      <c r="I92" s="45"/>
    </row>
    <row r="93" spans="3:9">
      <c r="C93" s="415"/>
      <c r="D93" s="599"/>
      <c r="E93" s="626"/>
      <c r="F93" s="367"/>
      <c r="G93" s="600"/>
      <c r="H93" s="420"/>
      <c r="I93" s="45"/>
    </row>
    <row r="94" spans="3:9">
      <c r="C94" s="415"/>
      <c r="D94" s="599"/>
      <c r="E94" s="626"/>
      <c r="F94" s="367"/>
      <c r="G94" s="600"/>
      <c r="H94" s="420"/>
      <c r="I94" s="45"/>
    </row>
    <row r="95" spans="3:9">
      <c r="C95" s="415"/>
      <c r="D95" s="599"/>
      <c r="E95" s="626"/>
      <c r="F95" s="367"/>
      <c r="G95" s="600"/>
      <c r="H95" s="420"/>
      <c r="I95" s="45"/>
    </row>
    <row r="96" spans="3:9">
      <c r="C96" s="415"/>
      <c r="D96" s="536"/>
      <c r="E96" s="46"/>
      <c r="F96" s="367"/>
      <c r="G96" s="578"/>
      <c r="H96" s="420"/>
      <c r="I96" s="45"/>
    </row>
    <row r="97" spans="3:14">
      <c r="C97" s="415"/>
      <c r="D97" s="536"/>
      <c r="E97" s="46"/>
      <c r="F97" s="367"/>
      <c r="G97" s="578"/>
      <c r="H97" s="420"/>
      <c r="I97" s="45"/>
    </row>
    <row r="98" spans="3:14">
      <c r="C98" s="415"/>
      <c r="D98" s="536"/>
      <c r="E98" s="46"/>
      <c r="F98" s="367"/>
      <c r="G98" s="578"/>
      <c r="H98" s="420"/>
      <c r="I98" s="45"/>
    </row>
    <row r="99" spans="3:14">
      <c r="C99" s="415"/>
      <c r="D99" s="536"/>
      <c r="E99" s="46"/>
      <c r="F99" s="367"/>
      <c r="G99" s="578"/>
      <c r="H99" s="420"/>
      <c r="I99" s="45"/>
    </row>
    <row r="100" spans="3:14" ht="13.5" thickBot="1">
      <c r="D100" s="455"/>
      <c r="E100" s="384"/>
      <c r="F100" s="367"/>
      <c r="G100" s="578"/>
      <c r="H100" s="41"/>
      <c r="I100" s="45"/>
    </row>
    <row r="101" spans="3:14" ht="13.5" thickBot="1">
      <c r="D101" s="453" t="s">
        <v>123</v>
      </c>
      <c r="E101" s="454"/>
      <c r="F101" s="69"/>
      <c r="G101" s="73">
        <f>SUM(G86:G100)</f>
        <v>0</v>
      </c>
      <c r="H101" s="41"/>
      <c r="I101" s="45"/>
    </row>
    <row r="102" spans="3:14" ht="13.5" thickBot="1">
      <c r="E102" s="41"/>
      <c r="F102" s="41"/>
      <c r="H102" s="41"/>
      <c r="I102" s="41"/>
    </row>
    <row r="103" spans="3:14" ht="13.5" thickBot="1">
      <c r="C103" s="98" t="s">
        <v>124</v>
      </c>
      <c r="D103" s="99"/>
      <c r="E103" s="99"/>
      <c r="F103" s="36"/>
      <c r="G103" s="265">
        <f>+G105+G137+G165+G195</f>
        <v>0</v>
      </c>
      <c r="H103" s="41"/>
    </row>
    <row r="104" spans="3:14">
      <c r="C104" s="97"/>
      <c r="D104" s="97"/>
      <c r="E104" s="177"/>
      <c r="F104" s="41"/>
      <c r="H104" s="41"/>
    </row>
    <row r="105" spans="3:14">
      <c r="C105" s="97"/>
      <c r="D105" s="189" t="s">
        <v>125</v>
      </c>
      <c r="E105" s="390"/>
      <c r="F105" s="391"/>
      <c r="G105" s="392">
        <f>+G107+G109+G111-G113-G115</f>
        <v>0</v>
      </c>
      <c r="H105" s="41"/>
    </row>
    <row r="106" spans="3:14" ht="13.5" thickBot="1">
      <c r="C106" s="97"/>
      <c r="D106" s="97"/>
      <c r="E106" s="393"/>
      <c r="F106" s="57"/>
      <c r="G106" s="41"/>
      <c r="H106" s="41"/>
      <c r="J106" s="32"/>
      <c r="K106" s="41"/>
      <c r="N106" s="11" t="s">
        <v>105</v>
      </c>
    </row>
    <row r="107" spans="3:14" ht="13.5" thickBot="1">
      <c r="C107" s="97"/>
      <c r="D107" s="97"/>
      <c r="E107" s="103" t="s">
        <v>126</v>
      </c>
      <c r="G107" s="58"/>
    </row>
    <row r="108" spans="3:14" ht="13.5" thickBot="1">
      <c r="C108" s="97"/>
      <c r="D108" s="97"/>
      <c r="E108" s="103"/>
    </row>
    <row r="109" spans="3:14" ht="13.5" thickBot="1">
      <c r="C109" s="97"/>
      <c r="D109" s="97"/>
      <c r="E109" s="103" t="s">
        <v>127</v>
      </c>
      <c r="G109" s="58">
        <v>0</v>
      </c>
    </row>
    <row r="110" spans="3:14" ht="13.5" thickBot="1">
      <c r="C110" s="97"/>
      <c r="D110" s="97"/>
      <c r="E110" s="103"/>
    </row>
    <row r="111" spans="3:14" ht="13.5" thickBot="1">
      <c r="C111" s="97"/>
      <c r="D111" s="97"/>
      <c r="E111" s="103" t="s">
        <v>128</v>
      </c>
      <c r="G111" s="58"/>
    </row>
    <row r="112" spans="3:14" ht="13.5" thickBot="1">
      <c r="C112" s="97"/>
      <c r="D112" s="97"/>
      <c r="E112" s="103"/>
    </row>
    <row r="113" spans="3:23" ht="13.5" thickBot="1">
      <c r="C113" s="97"/>
      <c r="D113" s="97"/>
      <c r="E113" s="103" t="s">
        <v>129</v>
      </c>
      <c r="G113" s="58"/>
    </row>
    <row r="114" spans="3:23" ht="13.5" thickBot="1">
      <c r="C114" s="97"/>
      <c r="D114" s="97"/>
      <c r="E114" s="103"/>
      <c r="P114" s="54"/>
    </row>
    <row r="115" spans="3:23" ht="13.5" thickBot="1">
      <c r="C115" s="97"/>
      <c r="D115" s="97"/>
      <c r="E115" s="103" t="s">
        <v>130</v>
      </c>
      <c r="G115" s="58"/>
      <c r="P115" s="54"/>
    </row>
    <row r="116" spans="3:23">
      <c r="P116" s="54"/>
    </row>
    <row r="117" spans="3:23">
      <c r="H117" s="41"/>
      <c r="K117" s="41"/>
    </row>
    <row r="118" spans="3:23">
      <c r="D118" s="101" t="s">
        <v>131</v>
      </c>
      <c r="E118" s="55"/>
      <c r="F118" s="55"/>
      <c r="G118" s="59"/>
      <c r="H118" s="41"/>
      <c r="I118" s="60"/>
      <c r="K118" s="41"/>
      <c r="P118" s="424"/>
    </row>
    <row r="119" spans="3:23" ht="13.5" thickBot="1">
      <c r="H119" s="41"/>
      <c r="K119" s="41"/>
      <c r="T119" s="418"/>
    </row>
    <row r="120" spans="3:23" ht="13.5" thickBot="1">
      <c r="D120" s="104" t="s">
        <v>132</v>
      </c>
      <c r="E120" s="104" t="s">
        <v>133</v>
      </c>
      <c r="F120" s="104" t="s">
        <v>134</v>
      </c>
      <c r="G120" s="104" t="s">
        <v>135</v>
      </c>
      <c r="H120" s="104" t="s">
        <v>136</v>
      </c>
      <c r="I120" s="104" t="s">
        <v>137</v>
      </c>
      <c r="J120" s="104" t="s">
        <v>138</v>
      </c>
      <c r="K120" s="104" t="s">
        <v>139</v>
      </c>
      <c r="L120" s="104" t="s">
        <v>140</v>
      </c>
      <c r="M120" s="104" t="s">
        <v>141</v>
      </c>
      <c r="N120" s="104" t="s">
        <v>142</v>
      </c>
      <c r="O120" s="104" t="s">
        <v>143</v>
      </c>
      <c r="P120" s="104" t="s">
        <v>144</v>
      </c>
      <c r="Q120" s="104" t="s">
        <v>145</v>
      </c>
      <c r="R120" s="104" t="s">
        <v>146</v>
      </c>
      <c r="S120" s="539" t="s">
        <v>147</v>
      </c>
      <c r="T120" s="104" t="s">
        <v>148</v>
      </c>
      <c r="U120" s="411"/>
      <c r="V120" s="411"/>
      <c r="W120" s="411"/>
    </row>
    <row r="121" spans="3:23">
      <c r="D121" s="614"/>
      <c r="E121" s="579"/>
      <c r="F121" s="61"/>
      <c r="G121" s="61"/>
      <c r="H121" s="61"/>
      <c r="I121" s="44"/>
      <c r="J121" s="44"/>
      <c r="K121" s="44"/>
      <c r="L121" s="44"/>
      <c r="M121" s="44"/>
      <c r="N121" s="46"/>
      <c r="O121" s="44"/>
      <c r="P121" s="44"/>
      <c r="Q121" s="44"/>
      <c r="R121" s="582"/>
      <c r="S121" s="582"/>
      <c r="T121" s="583"/>
    </row>
    <row r="122" spans="3:23">
      <c r="D122" s="615"/>
      <c r="E122" s="580"/>
      <c r="F122" s="62"/>
      <c r="G122" s="62"/>
      <c r="H122" s="62"/>
      <c r="I122" s="46"/>
      <c r="J122" s="46"/>
      <c r="K122" s="46"/>
      <c r="L122" s="46"/>
      <c r="M122" s="46"/>
      <c r="O122" s="46"/>
      <c r="P122" s="46"/>
      <c r="Q122" s="46"/>
      <c r="R122" s="582"/>
      <c r="S122" s="582"/>
      <c r="T122" s="582"/>
    </row>
    <row r="123" spans="3:23">
      <c r="D123" s="615"/>
      <c r="E123" s="581"/>
      <c r="F123" s="62"/>
      <c r="G123" s="62"/>
      <c r="H123" s="62"/>
      <c r="I123" s="46"/>
      <c r="J123" s="46"/>
      <c r="K123" s="46"/>
      <c r="L123" s="46"/>
      <c r="M123" s="46"/>
      <c r="N123" s="46"/>
      <c r="O123" s="46"/>
      <c r="P123" s="46"/>
      <c r="Q123" s="46"/>
      <c r="R123" s="582"/>
      <c r="S123" s="582"/>
      <c r="T123" s="582"/>
    </row>
    <row r="124" spans="3:23">
      <c r="D124" s="615"/>
      <c r="E124" s="581"/>
      <c r="F124" s="62"/>
      <c r="G124" s="62"/>
      <c r="H124" s="62"/>
      <c r="I124" s="46"/>
      <c r="J124" s="46"/>
      <c r="K124" s="46"/>
      <c r="L124" s="46"/>
      <c r="M124" s="46"/>
      <c r="N124" s="46"/>
      <c r="O124" s="46"/>
      <c r="P124" s="46"/>
      <c r="Q124" s="46"/>
      <c r="R124" s="582"/>
      <c r="S124" s="582"/>
      <c r="T124" s="582"/>
    </row>
    <row r="125" spans="3:23">
      <c r="D125" s="615"/>
      <c r="E125" s="579"/>
      <c r="F125" s="62"/>
      <c r="G125" s="62"/>
      <c r="H125" s="62"/>
      <c r="I125" s="46"/>
      <c r="J125" s="46"/>
      <c r="K125" s="46"/>
      <c r="L125" s="46"/>
      <c r="M125" s="46"/>
      <c r="N125" s="46"/>
      <c r="O125" s="46"/>
      <c r="P125" s="46"/>
      <c r="Q125" s="46"/>
      <c r="R125" s="582"/>
      <c r="S125" s="582"/>
      <c r="T125" s="582"/>
    </row>
    <row r="126" spans="3:23">
      <c r="D126" s="615"/>
      <c r="E126" s="581"/>
      <c r="F126" s="62"/>
      <c r="G126" s="62"/>
      <c r="H126" s="62"/>
      <c r="I126" s="46"/>
      <c r="J126" s="46"/>
      <c r="K126" s="46"/>
      <c r="L126" s="46"/>
      <c r="M126" s="46"/>
      <c r="N126" s="46"/>
      <c r="O126" s="46"/>
      <c r="P126" s="46"/>
      <c r="Q126" s="46"/>
      <c r="R126" s="582"/>
      <c r="S126" s="582"/>
      <c r="T126" s="582"/>
    </row>
    <row r="127" spans="3:23">
      <c r="D127" s="615"/>
      <c r="E127" s="581"/>
      <c r="F127" s="62"/>
      <c r="G127" s="62"/>
      <c r="H127" s="62"/>
      <c r="I127" s="46"/>
      <c r="J127" s="46"/>
      <c r="K127" s="46"/>
      <c r="L127" s="46"/>
      <c r="M127" s="46"/>
      <c r="N127" s="46"/>
      <c r="O127" s="46"/>
      <c r="P127" s="46"/>
      <c r="Q127" s="46"/>
      <c r="R127" s="582"/>
      <c r="S127" s="582"/>
      <c r="T127" s="582"/>
    </row>
    <row r="128" spans="3:23">
      <c r="D128" s="615"/>
      <c r="E128" s="581"/>
      <c r="F128" s="62"/>
      <c r="G128" s="62"/>
      <c r="H128" s="62"/>
      <c r="I128" s="46"/>
      <c r="J128" s="46"/>
      <c r="K128" s="46"/>
      <c r="L128" s="46"/>
      <c r="M128" s="46"/>
      <c r="N128" s="46"/>
      <c r="O128" s="46"/>
      <c r="P128" s="46"/>
      <c r="Q128" s="46"/>
      <c r="R128" s="582"/>
      <c r="S128" s="582"/>
      <c r="T128" s="582"/>
    </row>
    <row r="129" spans="4:20">
      <c r="D129" s="615"/>
      <c r="F129" s="62"/>
      <c r="G129" s="62"/>
      <c r="H129" s="62"/>
      <c r="I129" s="46"/>
      <c r="J129" s="46"/>
      <c r="K129" s="46"/>
      <c r="L129" s="46"/>
      <c r="M129" s="46"/>
      <c r="N129" s="46"/>
      <c r="O129" s="46"/>
      <c r="P129" s="46"/>
      <c r="Q129" s="46"/>
      <c r="R129" s="582"/>
      <c r="S129" s="582"/>
      <c r="T129" s="582"/>
    </row>
    <row r="130" spans="4:20">
      <c r="D130" s="615"/>
      <c r="E130" s="581"/>
      <c r="F130" s="62"/>
      <c r="G130" s="62"/>
      <c r="H130" s="62"/>
      <c r="I130" s="46"/>
      <c r="J130" s="46"/>
      <c r="K130" s="46"/>
      <c r="L130" s="46"/>
      <c r="M130" s="46"/>
      <c r="N130" s="46"/>
      <c r="O130" s="46"/>
      <c r="P130" s="46"/>
      <c r="Q130" s="46"/>
      <c r="R130" s="582"/>
      <c r="S130" s="582"/>
      <c r="T130" s="582"/>
    </row>
    <row r="131" spans="4:20">
      <c r="D131" s="615"/>
      <c r="E131" s="579"/>
      <c r="F131" s="62"/>
      <c r="G131" s="62"/>
      <c r="H131" s="62"/>
      <c r="I131" s="46"/>
      <c r="J131" s="46"/>
      <c r="K131" s="46"/>
      <c r="L131" s="46"/>
      <c r="M131" s="46"/>
      <c r="N131" s="46"/>
      <c r="O131" s="46"/>
      <c r="P131" s="46"/>
      <c r="Q131" s="46"/>
      <c r="R131" s="582"/>
      <c r="S131" s="582"/>
      <c r="T131" s="582"/>
    </row>
    <row r="132" spans="4:20">
      <c r="D132" s="615"/>
      <c r="E132" s="581"/>
      <c r="F132" s="62"/>
      <c r="G132" s="62"/>
      <c r="H132" s="62"/>
      <c r="I132" s="46"/>
      <c r="J132" s="46"/>
      <c r="K132" s="46"/>
      <c r="L132" s="46"/>
      <c r="M132" s="46"/>
      <c r="N132" s="46"/>
      <c r="O132" s="46"/>
      <c r="P132" s="46"/>
      <c r="Q132" s="46"/>
      <c r="R132" s="582"/>
      <c r="S132" s="582"/>
      <c r="T132" s="582"/>
    </row>
    <row r="133" spans="4:20" ht="13.5" thickBot="1">
      <c r="D133" s="615"/>
      <c r="E133" s="581"/>
      <c r="F133" s="62"/>
      <c r="G133" s="62"/>
      <c r="H133" s="62"/>
      <c r="I133" s="46"/>
      <c r="J133" s="46"/>
      <c r="K133" s="46"/>
      <c r="L133" s="46"/>
      <c r="M133" s="46"/>
      <c r="N133" s="46"/>
      <c r="O133" s="46"/>
      <c r="P133" s="46"/>
      <c r="Q133" s="46"/>
      <c r="R133" s="582"/>
      <c r="S133" s="582"/>
      <c r="T133" s="582"/>
    </row>
    <row r="134" spans="4:20" ht="13.5" thickBot="1">
      <c r="D134" s="63"/>
      <c r="E134" s="63"/>
      <c r="F134" s="63"/>
      <c r="G134" s="63"/>
      <c r="H134" s="64"/>
      <c r="I134" s="63"/>
      <c r="J134" s="63"/>
      <c r="K134" s="63"/>
      <c r="L134" s="63"/>
      <c r="M134" s="63"/>
      <c r="N134" s="64"/>
      <c r="O134" s="63"/>
      <c r="P134" s="63"/>
      <c r="Q134" s="63"/>
      <c r="R134" s="63"/>
      <c r="S134" s="63"/>
      <c r="T134" s="63"/>
    </row>
    <row r="135" spans="4:20">
      <c r="E135" s="54"/>
      <c r="H135" s="41"/>
      <c r="K135" s="41"/>
    </row>
    <row r="136" spans="4:20">
      <c r="H136" s="41"/>
      <c r="K136" s="41"/>
    </row>
    <row r="137" spans="4:20">
      <c r="D137" s="100" t="s">
        <v>149</v>
      </c>
      <c r="E137" s="178"/>
      <c r="F137" s="39"/>
      <c r="G137" s="266">
        <f>+G139+G141+G143-G145-G147</f>
        <v>0</v>
      </c>
      <c r="H137" s="41"/>
      <c r="K137" s="41"/>
    </row>
    <row r="138" spans="4:20" ht="13.5" thickBot="1">
      <c r="D138" s="97"/>
      <c r="E138" s="97"/>
      <c r="H138" s="41"/>
      <c r="K138" s="41"/>
    </row>
    <row r="139" spans="4:20" ht="13.5" thickBot="1">
      <c r="D139" s="97"/>
      <c r="E139" s="103" t="s">
        <v>150</v>
      </c>
      <c r="G139" s="65"/>
      <c r="H139" s="45"/>
      <c r="K139" s="41"/>
    </row>
    <row r="140" spans="4:20" ht="13.5" thickBot="1">
      <c r="D140" s="97"/>
      <c r="E140" s="103"/>
      <c r="H140" s="41"/>
      <c r="K140" s="41"/>
    </row>
    <row r="141" spans="4:20" ht="13.5" thickBot="1">
      <c r="D141" s="97"/>
      <c r="E141" s="103" t="s">
        <v>127</v>
      </c>
      <c r="G141" s="65">
        <v>0</v>
      </c>
      <c r="H141" s="41"/>
      <c r="K141" s="41"/>
    </row>
    <row r="142" spans="4:20" ht="13.5" thickBot="1">
      <c r="D142" s="97"/>
      <c r="E142" s="103"/>
      <c r="H142" s="41"/>
      <c r="K142" s="41"/>
    </row>
    <row r="143" spans="4:20" ht="13.5" thickBot="1">
      <c r="D143" s="97"/>
      <c r="E143" s="103" t="s">
        <v>128</v>
      </c>
      <c r="G143" s="65"/>
      <c r="H143" s="41"/>
      <c r="K143" s="41"/>
    </row>
    <row r="144" spans="4:20" ht="13.5" thickBot="1">
      <c r="D144" s="97"/>
      <c r="E144" s="103"/>
      <c r="H144" s="41"/>
      <c r="K144" s="41"/>
    </row>
    <row r="145" spans="4:14" ht="13.5" thickBot="1">
      <c r="D145" s="97"/>
      <c r="E145" s="103" t="s">
        <v>129</v>
      </c>
      <c r="G145" s="58"/>
      <c r="H145" s="41"/>
      <c r="K145" s="41"/>
    </row>
    <row r="146" spans="4:14" ht="13.5" thickBot="1">
      <c r="D146" s="97"/>
      <c r="E146" s="103"/>
      <c r="H146" s="41"/>
      <c r="K146" s="41"/>
    </row>
    <row r="147" spans="4:14" ht="13.5" thickBot="1">
      <c r="D147" s="97"/>
      <c r="E147" s="103" t="s">
        <v>151</v>
      </c>
      <c r="G147" s="58"/>
      <c r="H147" s="41"/>
      <c r="K147" s="54"/>
    </row>
    <row r="148" spans="4:14">
      <c r="H148" s="41"/>
      <c r="K148" s="54"/>
    </row>
    <row r="149" spans="4:14">
      <c r="H149" s="41"/>
      <c r="K149" s="54"/>
    </row>
    <row r="150" spans="4:14">
      <c r="D150" s="101" t="s">
        <v>152</v>
      </c>
      <c r="E150" s="55"/>
      <c r="F150" s="55"/>
      <c r="G150" s="59"/>
      <c r="H150" s="41"/>
      <c r="I150" s="60"/>
      <c r="K150" s="41"/>
    </row>
    <row r="151" spans="4:14" ht="13.5" thickBot="1">
      <c r="D151" s="97"/>
      <c r="H151" s="41"/>
      <c r="K151" s="425"/>
      <c r="N151" s="418"/>
    </row>
    <row r="152" spans="4:14" ht="13.5" thickBot="1">
      <c r="D152" s="539" t="s">
        <v>132</v>
      </c>
      <c r="E152" s="104" t="s">
        <v>133</v>
      </c>
      <c r="F152" s="104" t="s">
        <v>153</v>
      </c>
      <c r="G152" s="104" t="s">
        <v>154</v>
      </c>
      <c r="H152" s="591" t="s">
        <v>155</v>
      </c>
      <c r="I152" s="104" t="s">
        <v>156</v>
      </c>
      <c r="J152" s="104" t="s">
        <v>157</v>
      </c>
      <c r="K152" s="104" t="s">
        <v>158</v>
      </c>
      <c r="L152" s="104" t="s">
        <v>159</v>
      </c>
      <c r="M152" s="104" t="s">
        <v>160</v>
      </c>
      <c r="N152" s="104" t="s">
        <v>148</v>
      </c>
    </row>
    <row r="153" spans="4:14">
      <c r="D153" s="615"/>
      <c r="E153" s="540"/>
      <c r="F153" s="587"/>
      <c r="G153" s="588"/>
      <c r="H153" s="589"/>
      <c r="I153" s="44"/>
      <c r="J153" s="44"/>
      <c r="K153" s="44"/>
      <c r="L153" s="46"/>
      <c r="M153" s="44"/>
      <c r="N153" s="46"/>
    </row>
    <row r="154" spans="4:14">
      <c r="D154" s="615"/>
      <c r="E154" s="541"/>
      <c r="F154" s="577"/>
      <c r="G154" s="577"/>
      <c r="H154" s="589"/>
      <c r="I154" s="46"/>
      <c r="J154" s="46"/>
      <c r="K154" s="46"/>
      <c r="L154" s="46"/>
      <c r="M154" s="46"/>
      <c r="N154" s="46"/>
    </row>
    <row r="155" spans="4:14">
      <c r="D155" s="615"/>
      <c r="E155" s="542"/>
      <c r="F155" s="577"/>
      <c r="G155" s="589"/>
      <c r="H155" s="589"/>
      <c r="I155" s="46"/>
      <c r="J155" s="46"/>
      <c r="K155" s="46"/>
      <c r="L155" s="46"/>
      <c r="M155" s="46"/>
      <c r="N155" s="46"/>
    </row>
    <row r="156" spans="4:14">
      <c r="D156" s="615"/>
      <c r="E156" s="542"/>
      <c r="F156" s="577"/>
      <c r="G156" s="589"/>
      <c r="H156" s="589"/>
      <c r="I156" s="46"/>
      <c r="J156" s="46"/>
      <c r="K156" s="46"/>
      <c r="L156" s="46"/>
      <c r="M156" s="46"/>
      <c r="N156" s="46"/>
    </row>
    <row r="157" spans="4:14">
      <c r="D157" s="615"/>
      <c r="E157" s="542"/>
      <c r="F157" s="577"/>
      <c r="G157" s="589"/>
      <c r="H157" s="589"/>
      <c r="I157" s="46"/>
      <c r="J157" s="46"/>
      <c r="K157" s="46"/>
      <c r="L157" s="46"/>
      <c r="M157" s="46"/>
      <c r="N157" s="615"/>
    </row>
    <row r="158" spans="4:14" ht="13.5" customHeight="1">
      <c r="D158" s="615"/>
      <c r="E158" s="542"/>
      <c r="F158" s="577"/>
      <c r="G158" s="589"/>
      <c r="H158" s="589"/>
      <c r="I158" s="46"/>
      <c r="J158" s="46"/>
      <c r="K158" s="46"/>
      <c r="L158" s="46"/>
      <c r="M158" s="46"/>
      <c r="N158" s="46"/>
    </row>
    <row r="159" spans="4:14">
      <c r="D159" s="615"/>
      <c r="E159" s="542"/>
      <c r="F159" s="577"/>
      <c r="G159" s="589"/>
      <c r="H159" s="589"/>
      <c r="I159" s="46"/>
      <c r="J159" s="46"/>
      <c r="K159" s="46"/>
      <c r="L159" s="46"/>
      <c r="M159" s="46"/>
      <c r="N159" s="46"/>
    </row>
    <row r="160" spans="4:14">
      <c r="D160" s="615"/>
      <c r="E160" s="542"/>
      <c r="F160" s="577"/>
      <c r="G160" s="577"/>
      <c r="H160" s="589"/>
      <c r="I160" s="46"/>
      <c r="J160" s="46"/>
      <c r="K160" s="46"/>
      <c r="L160" s="46"/>
      <c r="M160" s="46"/>
      <c r="N160" s="46"/>
    </row>
    <row r="161" spans="4:14">
      <c r="D161" s="615"/>
      <c r="E161" s="542"/>
      <c r="F161" s="577"/>
      <c r="G161" s="590"/>
      <c r="H161" s="589"/>
      <c r="I161" s="46"/>
      <c r="J161" s="46"/>
      <c r="K161" s="46"/>
      <c r="L161" s="46"/>
      <c r="M161" s="46"/>
      <c r="N161" s="46"/>
    </row>
    <row r="162" spans="4:14" ht="13.5" thickBot="1">
      <c r="D162" s="615"/>
      <c r="E162" s="542"/>
      <c r="F162" s="577"/>
      <c r="G162" s="589"/>
      <c r="H162" s="589"/>
      <c r="I162" s="46"/>
      <c r="J162" s="46"/>
      <c r="K162" s="46"/>
      <c r="L162" s="46"/>
      <c r="M162" s="46"/>
      <c r="N162" s="384"/>
    </row>
    <row r="163" spans="4:14" ht="13.5" thickBot="1">
      <c r="D163" s="67"/>
      <c r="E163" s="67"/>
      <c r="F163" s="67"/>
      <c r="G163" s="68"/>
      <c r="H163" s="69"/>
      <c r="I163" s="67"/>
      <c r="J163" s="67"/>
      <c r="K163" s="69"/>
      <c r="L163" s="267">
        <f>+SUM(L153:L162)</f>
        <v>0</v>
      </c>
      <c r="M163" s="70"/>
      <c r="N163" s="63"/>
    </row>
    <row r="164" spans="4:14">
      <c r="D164" s="97"/>
      <c r="E164" s="56"/>
      <c r="F164" s="57"/>
      <c r="G164" s="41"/>
      <c r="H164" s="41"/>
      <c r="K164" s="41"/>
    </row>
    <row r="165" spans="4:14">
      <c r="D165" s="100" t="s">
        <v>161</v>
      </c>
      <c r="E165" s="178"/>
      <c r="F165" s="39"/>
      <c r="G165" s="266">
        <f>+G167+G169+G171-G173-G175</f>
        <v>0</v>
      </c>
      <c r="K165" s="41"/>
    </row>
    <row r="166" spans="4:14" ht="13.5" thickBot="1">
      <c r="D166" s="97"/>
      <c r="E166" s="97"/>
      <c r="K166" s="41"/>
    </row>
    <row r="167" spans="4:14" ht="13.5" thickBot="1">
      <c r="D167" s="97"/>
      <c r="E167" s="103" t="s">
        <v>162</v>
      </c>
      <c r="G167" s="58"/>
      <c r="K167" s="41"/>
    </row>
    <row r="168" spans="4:14" ht="13.5" thickBot="1">
      <c r="D168" s="97"/>
      <c r="E168" s="103"/>
      <c r="K168" s="41"/>
    </row>
    <row r="169" spans="4:14" ht="13.5" thickBot="1">
      <c r="D169" s="97"/>
      <c r="E169" s="103" t="s">
        <v>127</v>
      </c>
      <c r="G169" s="58"/>
      <c r="K169" s="41"/>
    </row>
    <row r="170" spans="4:14" ht="13.5" thickBot="1">
      <c r="D170" s="97"/>
      <c r="E170" s="103"/>
      <c r="K170" s="41"/>
    </row>
    <row r="171" spans="4:14" ht="13.5" thickBot="1">
      <c r="D171" s="97"/>
      <c r="E171" s="103" t="s">
        <v>128</v>
      </c>
      <c r="G171" s="58"/>
      <c r="K171" s="41"/>
    </row>
    <row r="172" spans="4:14" ht="13.5" thickBot="1">
      <c r="D172" s="97"/>
      <c r="E172" s="103"/>
      <c r="K172" s="41"/>
    </row>
    <row r="173" spans="4:14" ht="13.5" thickBot="1">
      <c r="D173" s="97"/>
      <c r="E173" s="103" t="s">
        <v>129</v>
      </c>
      <c r="G173" s="58"/>
      <c r="K173" s="41"/>
    </row>
    <row r="174" spans="4:14" ht="13.5" thickBot="1">
      <c r="D174" s="97"/>
      <c r="E174" s="103"/>
      <c r="K174" s="41"/>
    </row>
    <row r="175" spans="4:14" ht="13.5" thickBot="1">
      <c r="D175" s="97"/>
      <c r="E175" s="103" t="s">
        <v>163</v>
      </c>
      <c r="G175" s="58">
        <v>0</v>
      </c>
      <c r="K175" s="41"/>
    </row>
    <row r="176" spans="4:14">
      <c r="D176" s="97"/>
      <c r="E176" s="103"/>
      <c r="G176" s="412"/>
      <c r="K176" s="41"/>
    </row>
    <row r="177" spans="4:11">
      <c r="D177" s="97"/>
      <c r="K177" s="41"/>
    </row>
    <row r="178" spans="4:11">
      <c r="D178" s="97"/>
      <c r="K178" s="41"/>
    </row>
    <row r="179" spans="4:11">
      <c r="D179" s="101" t="s">
        <v>164</v>
      </c>
      <c r="E179" s="55"/>
      <c r="F179" s="55"/>
      <c r="G179" s="59"/>
      <c r="I179" s="60"/>
      <c r="K179" s="41"/>
    </row>
    <row r="180" spans="4:11">
      <c r="D180" s="103"/>
      <c r="E180" s="54"/>
      <c r="F180" s="54"/>
      <c r="G180" s="54"/>
      <c r="I180" s="60"/>
      <c r="K180" s="41"/>
    </row>
    <row r="181" spans="4:11">
      <c r="D181" s="103"/>
      <c r="E181" s="54"/>
      <c r="G181" s="54"/>
      <c r="I181" s="60"/>
      <c r="K181" s="41"/>
    </row>
    <row r="182" spans="4:11">
      <c r="D182" s="103"/>
      <c r="E182" s="54"/>
      <c r="G182" s="54"/>
      <c r="I182" s="60"/>
      <c r="K182" s="41"/>
    </row>
    <row r="183" spans="4:11">
      <c r="D183" s="103"/>
      <c r="E183" s="54"/>
      <c r="G183" s="54"/>
      <c r="I183" s="60"/>
      <c r="K183" s="41"/>
    </row>
    <row r="184" spans="4:11">
      <c r="D184" s="103"/>
      <c r="E184" s="54"/>
      <c r="F184" s="41"/>
      <c r="G184" s="54"/>
      <c r="I184" s="60"/>
      <c r="K184" s="41"/>
    </row>
    <row r="185" spans="4:11" ht="13.5" thickBot="1">
      <c r="D185" s="97"/>
      <c r="F185" s="425"/>
      <c r="I185" s="418"/>
      <c r="K185" s="41"/>
    </row>
    <row r="186" spans="4:11" ht="13.5" thickBot="1">
      <c r="D186" s="104" t="s">
        <v>165</v>
      </c>
      <c r="E186" s="104" t="s">
        <v>166</v>
      </c>
      <c r="F186" s="104" t="s">
        <v>167</v>
      </c>
      <c r="G186" s="104" t="s">
        <v>168</v>
      </c>
      <c r="H186" s="104" t="s">
        <v>160</v>
      </c>
      <c r="I186" s="104" t="s">
        <v>148</v>
      </c>
      <c r="K186" s="41"/>
    </row>
    <row r="187" spans="4:11">
      <c r="D187" s="46"/>
      <c r="E187" s="615"/>
      <c r="F187" s="637"/>
      <c r="G187" s="46"/>
      <c r="H187" s="46"/>
      <c r="I187" s="46"/>
      <c r="K187" s="41"/>
    </row>
    <row r="188" spans="4:11">
      <c r="D188" s="46"/>
      <c r="E188" s="615"/>
      <c r="F188" s="638"/>
      <c r="G188" s="46"/>
      <c r="H188" s="46"/>
      <c r="I188" s="46"/>
      <c r="K188" s="41"/>
    </row>
    <row r="189" spans="4:11">
      <c r="D189" s="46"/>
      <c r="E189" s="615"/>
      <c r="F189" s="638"/>
      <c r="G189" s="46"/>
      <c r="H189" s="46"/>
      <c r="I189" s="46"/>
      <c r="K189" s="41"/>
    </row>
    <row r="190" spans="4:11">
      <c r="D190" s="46"/>
      <c r="E190" s="615"/>
      <c r="F190" s="638"/>
      <c r="G190" s="46"/>
      <c r="H190" s="46"/>
      <c r="I190" s="46"/>
      <c r="K190" s="41"/>
    </row>
    <row r="191" spans="4:11">
      <c r="D191" s="46"/>
      <c r="E191" s="615"/>
      <c r="F191" s="638"/>
      <c r="G191" s="46"/>
      <c r="H191" s="46"/>
      <c r="I191" s="46"/>
      <c r="K191" s="41"/>
    </row>
    <row r="192" spans="4:11" ht="13.5" thickBot="1">
      <c r="D192" s="46"/>
      <c r="E192" s="615"/>
      <c r="F192" s="638"/>
      <c r="G192" s="46"/>
      <c r="H192" s="46"/>
      <c r="I192" s="46"/>
      <c r="K192" s="41"/>
    </row>
    <row r="193" spans="4:14" ht="13.5" thickBot="1">
      <c r="D193" s="66"/>
      <c r="E193" s="71"/>
      <c r="F193" s="72">
        <f>+SUM(F187:F192)</f>
        <v>0</v>
      </c>
      <c r="G193" s="268">
        <f>+SUM(G187:G192)</f>
        <v>0</v>
      </c>
      <c r="H193" s="73"/>
      <c r="I193" s="63"/>
      <c r="K193" s="41"/>
    </row>
    <row r="194" spans="4:14">
      <c r="D194" s="97"/>
      <c r="E194" s="74"/>
      <c r="F194" s="75"/>
      <c r="G194" s="41"/>
      <c r="H194" s="41"/>
      <c r="K194" s="45"/>
      <c r="N194" s="41"/>
    </row>
    <row r="195" spans="4:14">
      <c r="D195" s="100" t="s">
        <v>169</v>
      </c>
      <c r="E195" s="178"/>
      <c r="F195" s="39"/>
      <c r="G195" s="266">
        <f>+G197+G199-G201+G203-G205</f>
        <v>0</v>
      </c>
      <c r="H195" s="41"/>
      <c r="K195" s="45"/>
      <c r="N195" s="41"/>
    </row>
    <row r="196" spans="4:14" ht="13.5" thickBot="1">
      <c r="D196" s="97"/>
      <c r="E196" s="394"/>
      <c r="F196" s="75"/>
      <c r="H196" s="41"/>
      <c r="I196" s="32"/>
      <c r="K196" s="41"/>
    </row>
    <row r="197" spans="4:14" ht="13.5" thickBot="1">
      <c r="D197" s="97"/>
      <c r="E197" s="395" t="s">
        <v>170</v>
      </c>
      <c r="F197" s="75"/>
      <c r="G197" s="58"/>
      <c r="H197" s="439"/>
      <c r="J197" s="353"/>
      <c r="K197" s="41"/>
    </row>
    <row r="198" spans="4:14" ht="13.5" thickBot="1">
      <c r="D198" s="97"/>
      <c r="E198" s="394"/>
      <c r="F198" s="75"/>
      <c r="H198" s="426"/>
      <c r="J198" s="32"/>
      <c r="K198" s="41"/>
    </row>
    <row r="199" spans="4:14" ht="13.5" thickBot="1">
      <c r="D199" s="97"/>
      <c r="E199" s="395" t="s">
        <v>128</v>
      </c>
      <c r="F199" s="75"/>
      <c r="G199" s="58"/>
      <c r="H199" s="32"/>
      <c r="J199" s="32"/>
      <c r="K199" s="41"/>
      <c r="M199" s="32"/>
    </row>
    <row r="200" spans="4:14" ht="13.5" thickBot="1">
      <c r="D200" s="97"/>
      <c r="E200" s="395"/>
      <c r="F200" s="75"/>
      <c r="H200" s="32"/>
      <c r="J200" s="32"/>
      <c r="K200" s="41"/>
      <c r="M200" s="32"/>
      <c r="N200" s="41"/>
    </row>
    <row r="201" spans="4:14" ht="13.5" thickBot="1">
      <c r="D201" s="97"/>
      <c r="E201" s="395" t="s">
        <v>129</v>
      </c>
      <c r="F201" s="75"/>
      <c r="G201" s="58"/>
      <c r="H201" s="32"/>
      <c r="J201" s="32"/>
    </row>
    <row r="202" spans="4:14" ht="13.5" thickBot="1">
      <c r="D202" s="97"/>
      <c r="E202" s="395"/>
      <c r="F202" s="75"/>
      <c r="H202" s="355"/>
      <c r="J202" s="355"/>
    </row>
    <row r="203" spans="4:14" ht="13.5" thickBot="1">
      <c r="D203" s="97"/>
      <c r="E203" s="395" t="s">
        <v>127</v>
      </c>
      <c r="F203" s="75"/>
      <c r="G203" s="58"/>
      <c r="H203" s="32"/>
      <c r="J203" s="32"/>
      <c r="K203" s="41"/>
    </row>
    <row r="204" spans="4:14" ht="13.5" thickBot="1">
      <c r="D204" s="97"/>
      <c r="E204" s="395"/>
      <c r="F204" s="75"/>
      <c r="H204" s="32"/>
      <c r="J204" s="32"/>
      <c r="K204" s="354"/>
    </row>
    <row r="205" spans="4:14" ht="13.5" thickBot="1">
      <c r="D205" s="97"/>
      <c r="E205" s="395" t="s">
        <v>171</v>
      </c>
      <c r="F205" s="75"/>
      <c r="G205" s="396">
        <f>+G215</f>
        <v>0</v>
      </c>
      <c r="H205" s="41"/>
      <c r="I205" s="41"/>
      <c r="J205" s="352"/>
      <c r="L205" s="41"/>
    </row>
    <row r="206" spans="4:14">
      <c r="E206" s="397"/>
      <c r="F206" s="75"/>
      <c r="H206" s="41"/>
      <c r="I206" s="41"/>
      <c r="J206" s="41"/>
      <c r="L206" s="41"/>
    </row>
    <row r="207" spans="4:14">
      <c r="D207" s="189" t="s">
        <v>172</v>
      </c>
      <c r="E207" s="398"/>
      <c r="F207" s="399"/>
      <c r="G207" s="400"/>
      <c r="H207" s="41"/>
      <c r="J207" s="32"/>
      <c r="K207" s="41"/>
    </row>
    <row r="208" spans="4:14" ht="13.5" thickBot="1">
      <c r="D208" s="97"/>
      <c r="E208" s="395"/>
      <c r="F208" s="75"/>
      <c r="H208" s="41"/>
      <c r="I208" s="32"/>
      <c r="J208" s="32"/>
      <c r="K208" s="41"/>
    </row>
    <row r="209" spans="1:11" ht="13.5" thickBot="1">
      <c r="D209" s="97"/>
      <c r="E209" s="395" t="s">
        <v>165</v>
      </c>
      <c r="F209" s="75"/>
      <c r="G209" s="592"/>
      <c r="H209" s="41"/>
      <c r="I209" s="32"/>
      <c r="J209" s="32"/>
      <c r="K209" s="41"/>
    </row>
    <row r="210" spans="1:11" ht="13.5" thickBot="1">
      <c r="D210" s="97"/>
      <c r="E210" s="395"/>
      <c r="F210" s="75"/>
      <c r="H210" s="41"/>
      <c r="I210" s="32"/>
      <c r="J210" s="32"/>
      <c r="K210" s="41"/>
    </row>
    <row r="211" spans="1:11" ht="13.5" thickBot="1">
      <c r="D211" s="97"/>
      <c r="E211" s="395" t="s">
        <v>173</v>
      </c>
      <c r="F211" s="75"/>
      <c r="G211" s="639"/>
      <c r="H211" s="41"/>
      <c r="K211" s="41"/>
    </row>
    <row r="212" spans="1:11" ht="13.5" thickBot="1">
      <c r="D212" s="97"/>
      <c r="E212" s="395"/>
      <c r="F212" s="75"/>
      <c r="H212" s="41"/>
      <c r="K212" s="41"/>
    </row>
    <row r="213" spans="1:11" ht="13.5" thickBot="1">
      <c r="D213" s="97"/>
      <c r="E213" s="395" t="s">
        <v>144</v>
      </c>
      <c r="F213" s="429"/>
      <c r="G213" s="440"/>
      <c r="H213" s="54"/>
      <c r="K213" s="41"/>
    </row>
    <row r="214" spans="1:11" ht="13.5" thickBot="1">
      <c r="D214" s="97"/>
      <c r="E214" s="428"/>
      <c r="F214" s="429"/>
      <c r="G214" s="415"/>
      <c r="H214" s="54"/>
      <c r="K214" s="41"/>
    </row>
    <row r="215" spans="1:11" ht="13.5" thickBot="1">
      <c r="D215" s="97"/>
      <c r="E215" s="395" t="s">
        <v>174</v>
      </c>
      <c r="F215" s="75"/>
      <c r="G215" s="535"/>
      <c r="H215" s="54"/>
      <c r="K215" s="41"/>
    </row>
    <row r="216" spans="1:11" ht="13.5" thickBot="1">
      <c r="D216" s="97"/>
      <c r="E216" s="395"/>
      <c r="F216" s="75"/>
      <c r="G216" s="427"/>
      <c r="H216" s="54"/>
      <c r="K216" s="41"/>
    </row>
    <row r="217" spans="1:11" ht="13.5" thickBot="1">
      <c r="D217" s="97"/>
      <c r="E217" s="395" t="s">
        <v>148</v>
      </c>
      <c r="F217" s="75"/>
      <c r="G217" s="58"/>
      <c r="H217" s="418"/>
      <c r="K217" s="41"/>
    </row>
    <row r="218" spans="1:11" ht="13.5" thickBot="1">
      <c r="D218" s="97"/>
      <c r="E218" s="395"/>
      <c r="F218" s="75"/>
      <c r="G218" s="41"/>
      <c r="H218" s="41"/>
      <c r="K218" s="41"/>
    </row>
    <row r="219" spans="1:11" ht="13.5" thickBot="1">
      <c r="D219" s="97"/>
      <c r="E219" s="395" t="s">
        <v>160</v>
      </c>
      <c r="F219" s="75"/>
      <c r="G219" s="58"/>
      <c r="H219" s="41"/>
      <c r="K219" s="41"/>
    </row>
    <row r="220" spans="1:11" ht="13.5" thickBot="1">
      <c r="A220" s="11" t="s">
        <v>105</v>
      </c>
      <c r="E220" s="75"/>
      <c r="F220" s="75"/>
      <c r="H220" s="41"/>
      <c r="K220" s="41"/>
    </row>
    <row r="221" spans="1:11" ht="13.5" thickBot="1">
      <c r="C221" s="98" t="s">
        <v>175</v>
      </c>
      <c r="D221" s="36"/>
      <c r="E221" s="36" t="s">
        <v>105</v>
      </c>
      <c r="F221" s="368"/>
      <c r="G221" s="360">
        <f>+G223+G236+G247+G258+G267+G277+G287+G289+G291+G293+G295+G297</f>
        <v>0</v>
      </c>
      <c r="H221" s="41"/>
    </row>
    <row r="222" spans="1:11">
      <c r="D222" s="97"/>
      <c r="E222" s="41" t="s">
        <v>105</v>
      </c>
      <c r="F222" s="41" t="s">
        <v>105</v>
      </c>
      <c r="H222" s="41"/>
    </row>
    <row r="223" spans="1:11">
      <c r="D223" s="100" t="s">
        <v>176</v>
      </c>
      <c r="E223" s="39" t="s">
        <v>105</v>
      </c>
      <c r="F223" s="39" t="s">
        <v>105</v>
      </c>
      <c r="G223" s="628">
        <f>+G234</f>
        <v>0</v>
      </c>
      <c r="H223" s="76"/>
      <c r="I223" s="76"/>
    </row>
    <row r="224" spans="1:11" ht="13.5" thickBot="1">
      <c r="D224" s="97"/>
      <c r="H224" s="76"/>
      <c r="I224" s="76"/>
    </row>
    <row r="225" spans="3:9" ht="13.5" thickBot="1">
      <c r="C225" s="106" t="s">
        <v>177</v>
      </c>
      <c r="D225" s="679" t="s">
        <v>178</v>
      </c>
      <c r="E225" s="680"/>
      <c r="F225" s="105" t="s">
        <v>179</v>
      </c>
      <c r="G225" s="105" t="s">
        <v>180</v>
      </c>
      <c r="H225" s="76"/>
    </row>
    <row r="226" spans="3:9">
      <c r="C226" s="441"/>
      <c r="D226" s="665"/>
      <c r="E226" s="666"/>
      <c r="F226" s="584"/>
      <c r="G226" s="77"/>
      <c r="H226" s="78"/>
      <c r="I226" s="45"/>
    </row>
    <row r="227" spans="3:9">
      <c r="C227" s="442"/>
      <c r="D227" s="683"/>
      <c r="E227" s="684"/>
      <c r="F227" s="584"/>
      <c r="G227" s="77"/>
      <c r="H227" s="78"/>
      <c r="I227" s="45"/>
    </row>
    <row r="228" spans="3:9">
      <c r="C228" s="442"/>
      <c r="D228" s="683"/>
      <c r="E228" s="684"/>
      <c r="F228" s="584"/>
      <c r="G228" s="77"/>
      <c r="H228" s="78"/>
      <c r="I228" s="45"/>
    </row>
    <row r="229" spans="3:9">
      <c r="C229" s="442"/>
      <c r="D229" s="683"/>
      <c r="E229" s="684"/>
      <c r="F229" s="584"/>
      <c r="G229" s="77"/>
      <c r="H229" s="78"/>
      <c r="I229" s="45"/>
    </row>
    <row r="230" spans="3:9">
      <c r="C230" s="442"/>
      <c r="D230" s="683"/>
      <c r="E230" s="684"/>
      <c r="F230" s="584"/>
      <c r="G230" s="77"/>
      <c r="H230" s="78"/>
      <c r="I230" s="45"/>
    </row>
    <row r="231" spans="3:9">
      <c r="C231" s="442"/>
      <c r="D231" s="683"/>
      <c r="E231" s="684"/>
      <c r="F231" s="584"/>
      <c r="G231" s="77"/>
      <c r="H231" s="78"/>
      <c r="I231" s="45"/>
    </row>
    <row r="232" spans="3:9">
      <c r="C232" s="442"/>
      <c r="D232" s="683"/>
      <c r="E232" s="684"/>
      <c r="F232" s="584"/>
      <c r="G232" s="77"/>
      <c r="H232" s="78"/>
      <c r="I232" s="45"/>
    </row>
    <row r="233" spans="3:9" ht="13.5" thickBot="1">
      <c r="C233" s="443"/>
      <c r="D233" s="685"/>
      <c r="E233" s="686"/>
      <c r="F233" s="585"/>
      <c r="G233" s="79"/>
      <c r="H233" s="78"/>
      <c r="I233" s="45"/>
    </row>
    <row r="234" spans="3:9" ht="13.5" thickBot="1">
      <c r="C234" s="80" t="s">
        <v>181</v>
      </c>
      <c r="D234" s="80"/>
      <c r="E234" s="445"/>
      <c r="F234" s="444"/>
      <c r="G234" s="269">
        <f>+SUM(G226:G233)</f>
        <v>0</v>
      </c>
      <c r="H234" s="82"/>
      <c r="I234" s="45"/>
    </row>
    <row r="235" spans="3:9">
      <c r="D235" s="97"/>
      <c r="E235" s="41" t="s">
        <v>105</v>
      </c>
      <c r="F235" s="41" t="s">
        <v>105</v>
      </c>
      <c r="G235" s="41"/>
      <c r="H235" s="41"/>
    </row>
    <row r="236" spans="3:9">
      <c r="D236" s="100" t="s">
        <v>182</v>
      </c>
      <c r="E236" s="39" t="s">
        <v>105</v>
      </c>
      <c r="F236" s="39" t="s">
        <v>105</v>
      </c>
      <c r="G236" s="628">
        <f>+G245</f>
        <v>0</v>
      </c>
      <c r="H236" s="76"/>
    </row>
    <row r="237" spans="3:9" ht="13.5" thickBot="1">
      <c r="D237" s="97"/>
      <c r="H237" s="351"/>
    </row>
    <row r="238" spans="3:9" ht="13.5" thickBot="1">
      <c r="C238" s="106" t="s">
        <v>177</v>
      </c>
      <c r="D238" s="679" t="s">
        <v>178</v>
      </c>
      <c r="E238" s="679"/>
      <c r="F238" s="105" t="s">
        <v>179</v>
      </c>
      <c r="G238" s="105" t="s">
        <v>180</v>
      </c>
      <c r="H238" s="82"/>
    </row>
    <row r="239" spans="3:9">
      <c r="C239" s="437"/>
      <c r="D239" s="683"/>
      <c r="E239" s="684"/>
      <c r="F239" s="584"/>
      <c r="G239" s="77"/>
      <c r="H239" s="348"/>
    </row>
    <row r="240" spans="3:9">
      <c r="C240" s="435"/>
      <c r="D240" s="667"/>
      <c r="E240" s="668"/>
      <c r="F240" s="584"/>
      <c r="G240" s="77"/>
      <c r="H240" s="78"/>
    </row>
    <row r="241" spans="3:8">
      <c r="C241" s="435"/>
      <c r="D241" s="667"/>
      <c r="E241" s="668"/>
      <c r="F241" s="584"/>
      <c r="G241" s="77"/>
      <c r="H241" s="78"/>
    </row>
    <row r="242" spans="3:8" ht="14.25" customHeight="1">
      <c r="C242" s="435"/>
      <c r="D242" s="667"/>
      <c r="E242" s="668"/>
      <c r="F242" s="584"/>
      <c r="G242" s="77"/>
      <c r="H242" s="78"/>
    </row>
    <row r="243" spans="3:8">
      <c r="C243" s="435"/>
      <c r="D243" s="667"/>
      <c r="E243" s="668"/>
      <c r="F243" s="584"/>
      <c r="G243" s="77"/>
      <c r="H243" s="78"/>
    </row>
    <row r="244" spans="3:8" ht="13.5" thickBot="1">
      <c r="C244" s="436"/>
      <c r="D244" s="675"/>
      <c r="E244" s="676"/>
      <c r="F244" s="585"/>
      <c r="G244" s="79"/>
      <c r="H244" s="78"/>
    </row>
    <row r="245" spans="3:8" ht="13.5" thickBot="1">
      <c r="C245" s="80" t="s">
        <v>181</v>
      </c>
      <c r="D245" s="80"/>
      <c r="E245" s="445"/>
      <c r="F245" s="444"/>
      <c r="G245" s="269">
        <f>+SUM(G239:G244)</f>
        <v>0</v>
      </c>
      <c r="H245" s="78"/>
    </row>
    <row r="246" spans="3:8">
      <c r="D246" s="181"/>
      <c r="E246" s="83"/>
      <c r="F246" s="84"/>
      <c r="G246" s="84"/>
      <c r="H246" s="85"/>
    </row>
    <row r="247" spans="3:8">
      <c r="D247" s="100" t="s">
        <v>183</v>
      </c>
      <c r="E247" s="39"/>
      <c r="F247" s="39"/>
      <c r="G247" s="628">
        <f>+G256</f>
        <v>0</v>
      </c>
      <c r="H247" s="76"/>
    </row>
    <row r="248" spans="3:8" ht="13.5" thickBot="1">
      <c r="D248" s="97"/>
      <c r="H248" s="76"/>
    </row>
    <row r="249" spans="3:8" ht="13.5" thickBot="1">
      <c r="C249" s="106" t="s">
        <v>177</v>
      </c>
      <c r="D249" s="679" t="s">
        <v>178</v>
      </c>
      <c r="E249" s="679"/>
      <c r="F249" s="105" t="s">
        <v>179</v>
      </c>
      <c r="G249" s="105" t="s">
        <v>180</v>
      </c>
      <c r="H249" s="85"/>
    </row>
    <row r="250" spans="3:8">
      <c r="C250" s="446"/>
      <c r="D250" s="690"/>
      <c r="E250" s="691"/>
      <c r="F250" s="584"/>
      <c r="G250" s="77"/>
      <c r="H250" s="85"/>
    </row>
    <row r="251" spans="3:8">
      <c r="C251" s="447"/>
      <c r="D251" s="667"/>
      <c r="E251" s="668"/>
      <c r="F251" s="584"/>
      <c r="G251" s="77"/>
      <c r="H251" s="85"/>
    </row>
    <row r="252" spans="3:8">
      <c r="C252" s="447"/>
      <c r="D252" s="667"/>
      <c r="E252" s="668"/>
      <c r="F252" s="584"/>
      <c r="G252" s="77"/>
      <c r="H252" s="85"/>
    </row>
    <row r="253" spans="3:8">
      <c r="C253" s="447"/>
      <c r="D253" s="667"/>
      <c r="E253" s="668"/>
      <c r="F253" s="584"/>
      <c r="G253" s="77"/>
      <c r="H253" s="85"/>
    </row>
    <row r="254" spans="3:8">
      <c r="C254" s="447"/>
      <c r="D254" s="687"/>
      <c r="E254" s="688"/>
      <c r="F254" s="584"/>
      <c r="G254" s="77"/>
      <c r="H254" s="85"/>
    </row>
    <row r="255" spans="3:8" ht="13.5" thickBot="1">
      <c r="C255" s="448"/>
      <c r="D255" s="675"/>
      <c r="E255" s="676"/>
      <c r="F255" s="586"/>
      <c r="G255" s="79"/>
      <c r="H255" s="85"/>
    </row>
    <row r="256" spans="3:8" ht="13.5" thickBot="1">
      <c r="C256" s="80" t="s">
        <v>181</v>
      </c>
      <c r="D256" s="699"/>
      <c r="E256" s="700"/>
      <c r="F256" s="444"/>
      <c r="G256" s="269">
        <f>+SUM(G250:G255)</f>
        <v>0</v>
      </c>
      <c r="H256" s="41"/>
    </row>
    <row r="257" spans="2:8">
      <c r="D257" s="180"/>
      <c r="E257" s="86"/>
      <c r="F257" s="87"/>
      <c r="G257" s="87"/>
      <c r="H257" s="41"/>
    </row>
    <row r="258" spans="2:8">
      <c r="D258" s="100" t="s">
        <v>184</v>
      </c>
      <c r="E258" s="39"/>
      <c r="F258" s="39"/>
      <c r="G258" s="628">
        <f>+G265</f>
        <v>0</v>
      </c>
      <c r="H258" s="41"/>
    </row>
    <row r="259" spans="2:8" ht="13.5" thickBot="1">
      <c r="D259" s="97"/>
      <c r="H259" s="41"/>
    </row>
    <row r="260" spans="2:8" ht="13.5" thickBot="1">
      <c r="C260" s="679" t="s">
        <v>177</v>
      </c>
      <c r="D260" s="680"/>
      <c r="E260" s="679" t="s">
        <v>178</v>
      </c>
      <c r="F260" s="694"/>
      <c r="G260" s="105" t="s">
        <v>180</v>
      </c>
      <c r="H260" s="41"/>
    </row>
    <row r="261" spans="2:8">
      <c r="C261" s="701"/>
      <c r="D261" s="702"/>
      <c r="E261" s="695"/>
      <c r="F261" s="696"/>
      <c r="G261" s="77"/>
      <c r="H261" s="41"/>
    </row>
    <row r="262" spans="2:8">
      <c r="C262" s="703"/>
      <c r="D262" s="704"/>
      <c r="E262" s="687"/>
      <c r="F262" s="688"/>
      <c r="G262" s="77"/>
      <c r="H262" s="41"/>
    </row>
    <row r="263" spans="2:8">
      <c r="C263" s="703"/>
      <c r="D263" s="704"/>
      <c r="E263" s="687"/>
      <c r="F263" s="688"/>
      <c r="G263" s="77"/>
      <c r="H263" s="41"/>
    </row>
    <row r="264" spans="2:8" ht="13.5" thickBot="1">
      <c r="C264" s="692"/>
      <c r="D264" s="693"/>
      <c r="E264" s="697"/>
      <c r="F264" s="698"/>
      <c r="G264" s="79"/>
      <c r="H264" s="41"/>
    </row>
    <row r="265" spans="2:8" ht="13.5" thickBot="1">
      <c r="C265" s="450" t="s">
        <v>181</v>
      </c>
      <c r="D265" s="452"/>
      <c r="E265" s="449"/>
      <c r="F265" s="451"/>
      <c r="G265" s="269">
        <f>+SUM(G261:G264)</f>
        <v>0</v>
      </c>
      <c r="H265" s="41"/>
    </row>
    <row r="266" spans="2:8">
      <c r="D266" s="180"/>
      <c r="E266" s="86"/>
      <c r="F266" s="87"/>
      <c r="G266" s="87"/>
      <c r="H266" s="41"/>
    </row>
    <row r="267" spans="2:8">
      <c r="D267" s="100" t="s">
        <v>185</v>
      </c>
      <c r="E267" s="39"/>
      <c r="F267" s="39"/>
      <c r="G267" s="628">
        <f>+G275</f>
        <v>0</v>
      </c>
      <c r="H267" s="41"/>
    </row>
    <row r="268" spans="2:8" ht="13.5" thickBot="1">
      <c r="D268" s="97"/>
      <c r="F268" s="17"/>
      <c r="H268" s="41"/>
    </row>
    <row r="269" spans="2:8" ht="13.5" thickBot="1">
      <c r="C269" s="679" t="s">
        <v>177</v>
      </c>
      <c r="D269" s="680"/>
      <c r="E269" s="679" t="s">
        <v>178</v>
      </c>
      <c r="F269" s="680"/>
      <c r="G269" s="106" t="s">
        <v>180</v>
      </c>
      <c r="H269" s="41"/>
    </row>
    <row r="270" spans="2:8">
      <c r="C270" s="703"/>
      <c r="D270" s="704"/>
      <c r="E270" s="690"/>
      <c r="F270" s="691"/>
      <c r="G270" s="77"/>
      <c r="H270" s="41"/>
    </row>
    <row r="271" spans="2:8">
      <c r="B271" s="91"/>
      <c r="C271" s="703"/>
      <c r="D271" s="704"/>
      <c r="E271" s="667"/>
      <c r="F271" s="668"/>
      <c r="G271" s="77"/>
      <c r="H271" s="41"/>
    </row>
    <row r="272" spans="2:8">
      <c r="B272" s="91"/>
      <c r="C272" s="703"/>
      <c r="D272" s="704"/>
      <c r="E272" s="667"/>
      <c r="F272" s="668"/>
      <c r="G272" s="77"/>
      <c r="H272" s="41"/>
    </row>
    <row r="273" spans="2:9">
      <c r="B273" s="91"/>
      <c r="C273" s="703"/>
      <c r="D273" s="704"/>
      <c r="E273" s="667"/>
      <c r="F273" s="668"/>
      <c r="G273" s="77"/>
      <c r="H273" s="41"/>
    </row>
    <row r="274" spans="2:9" ht="13.5" thickBot="1">
      <c r="B274" s="91"/>
      <c r="C274" s="692"/>
      <c r="D274" s="693"/>
      <c r="E274" s="705"/>
      <c r="F274" s="698"/>
      <c r="G274" s="79"/>
      <c r="H274" s="41"/>
    </row>
    <row r="275" spans="2:9" ht="13.5" thickBot="1">
      <c r="C275" s="80" t="s">
        <v>181</v>
      </c>
      <c r="D275" s="445"/>
      <c r="E275" s="449"/>
      <c r="F275" s="451"/>
      <c r="G275" s="269">
        <f>+SUM(G270:G274)</f>
        <v>0</v>
      </c>
      <c r="H275" s="41"/>
    </row>
    <row r="276" spans="2:9">
      <c r="D276" s="180"/>
      <c r="E276" s="86"/>
      <c r="F276" s="87"/>
      <c r="G276" s="87"/>
      <c r="H276" s="41"/>
    </row>
    <row r="277" spans="2:9">
      <c r="D277" s="100" t="s">
        <v>186</v>
      </c>
      <c r="E277" s="39"/>
      <c r="F277" s="39"/>
      <c r="G277" s="628">
        <f>+F285</f>
        <v>0</v>
      </c>
    </row>
    <row r="278" spans="2:9" ht="13.5" thickBot="1">
      <c r="D278" s="97"/>
    </row>
    <row r="279" spans="2:9" ht="13.5" thickBot="1">
      <c r="D279" s="689" t="s">
        <v>187</v>
      </c>
      <c r="E279" s="689" t="s">
        <v>180</v>
      </c>
      <c r="F279" s="677" t="s">
        <v>180</v>
      </c>
      <c r="G279" s="677"/>
      <c r="H279" s="41"/>
    </row>
    <row r="280" spans="2:9">
      <c r="D280" s="665"/>
      <c r="E280" s="666"/>
      <c r="F280" s="669"/>
      <c r="G280" s="670"/>
      <c r="H280" s="41"/>
    </row>
    <row r="281" spans="2:9">
      <c r="D281" s="667"/>
      <c r="E281" s="668"/>
      <c r="F281" s="671"/>
      <c r="G281" s="672"/>
      <c r="H281" s="41"/>
    </row>
    <row r="282" spans="2:9">
      <c r="D282" s="667"/>
      <c r="E282" s="668"/>
      <c r="F282" s="671"/>
      <c r="G282" s="672"/>
      <c r="H282" s="41"/>
    </row>
    <row r="283" spans="2:9">
      <c r="D283" s="667"/>
      <c r="E283" s="668"/>
      <c r="F283" s="671"/>
      <c r="G283" s="672"/>
      <c r="H283" s="41"/>
    </row>
    <row r="284" spans="2:9" ht="13.5" thickBot="1">
      <c r="D284" s="675"/>
      <c r="E284" s="676"/>
      <c r="F284" s="673"/>
      <c r="G284" s="674"/>
      <c r="H284" s="41"/>
    </row>
    <row r="285" spans="2:9" ht="13.5" thickBot="1">
      <c r="D285" s="80" t="s">
        <v>181</v>
      </c>
      <c r="E285" s="81"/>
      <c r="F285" s="681">
        <f>+SUM(F280:G284)</f>
        <v>0</v>
      </c>
      <c r="G285" s="682"/>
      <c r="H285" s="41"/>
    </row>
    <row r="286" spans="2:9">
      <c r="D286" s="179"/>
      <c r="E286" s="88"/>
      <c r="F286" s="89"/>
      <c r="G286" s="89"/>
      <c r="H286" s="41"/>
    </row>
    <row r="287" spans="2:9">
      <c r="D287" s="100" t="s">
        <v>188</v>
      </c>
      <c r="E287" s="39"/>
      <c r="F287" s="39"/>
      <c r="G287" s="627">
        <v>0</v>
      </c>
      <c r="H287" s="41"/>
      <c r="I287" s="41"/>
    </row>
    <row r="288" spans="2:9">
      <c r="D288" s="97"/>
      <c r="E288" s="41"/>
      <c r="F288" s="41"/>
      <c r="G288" s="344"/>
      <c r="H288" s="41"/>
      <c r="I288" s="41"/>
    </row>
    <row r="289" spans="4:9">
      <c r="D289" s="100" t="s">
        <v>189</v>
      </c>
      <c r="E289" s="39" t="s">
        <v>105</v>
      </c>
      <c r="F289" s="39" t="s">
        <v>105</v>
      </c>
      <c r="G289" s="627">
        <v>0</v>
      </c>
      <c r="H289" s="41"/>
      <c r="I289" s="41"/>
    </row>
    <row r="290" spans="4:9">
      <c r="D290" s="97"/>
      <c r="E290" s="41" t="s">
        <v>105</v>
      </c>
      <c r="F290" s="41" t="s">
        <v>105</v>
      </c>
      <c r="G290" s="344"/>
      <c r="H290" s="41"/>
      <c r="I290" s="41"/>
    </row>
    <row r="291" spans="4:9">
      <c r="D291" s="100" t="s">
        <v>190</v>
      </c>
      <c r="E291" s="39"/>
      <c r="F291" s="39"/>
      <c r="G291" s="627">
        <v>0</v>
      </c>
      <c r="H291" s="41"/>
      <c r="I291" s="41"/>
    </row>
    <row r="292" spans="4:9">
      <c r="D292" s="97"/>
      <c r="E292" s="41"/>
      <c r="F292" s="41"/>
      <c r="G292" s="344"/>
      <c r="H292" s="41"/>
      <c r="I292" s="41"/>
    </row>
    <row r="293" spans="4:9">
      <c r="D293" s="100" t="s">
        <v>191</v>
      </c>
      <c r="E293" s="39"/>
      <c r="F293" s="39"/>
      <c r="G293" s="627">
        <v>0</v>
      </c>
      <c r="H293" s="41"/>
      <c r="I293" s="41"/>
    </row>
    <row r="294" spans="4:9">
      <c r="D294" s="97"/>
      <c r="E294" s="41"/>
      <c r="F294" s="41"/>
      <c r="G294" s="344"/>
      <c r="H294" s="41"/>
      <c r="I294" s="41"/>
    </row>
    <row r="295" spans="4:9">
      <c r="D295" s="100" t="s">
        <v>192</v>
      </c>
      <c r="E295" s="39"/>
      <c r="F295" s="39"/>
      <c r="G295" s="627">
        <v>0</v>
      </c>
      <c r="H295" s="41"/>
      <c r="I295" s="41"/>
    </row>
    <row r="296" spans="4:9">
      <c r="D296" s="97"/>
      <c r="E296" s="41"/>
      <c r="F296" s="41"/>
      <c r="G296" s="344"/>
      <c r="H296" s="41"/>
      <c r="I296" s="41"/>
    </row>
    <row r="297" spans="4:9">
      <c r="D297" s="100" t="s">
        <v>193</v>
      </c>
      <c r="E297" s="39"/>
      <c r="F297" s="39"/>
      <c r="G297" s="628">
        <f>+G302</f>
        <v>0</v>
      </c>
      <c r="H297" s="41"/>
      <c r="I297" s="41"/>
    </row>
    <row r="298" spans="4:9">
      <c r="E298" s="41"/>
      <c r="F298" s="41"/>
      <c r="I298" s="41"/>
    </row>
    <row r="299" spans="4:9" ht="13.5" thickBot="1">
      <c r="D299" s="341" t="s">
        <v>194</v>
      </c>
      <c r="E299" s="678" t="s">
        <v>195</v>
      </c>
      <c r="F299" s="678"/>
      <c r="G299" s="533" t="s">
        <v>196</v>
      </c>
      <c r="H299" s="54"/>
    </row>
    <row r="300" spans="4:9">
      <c r="D300" s="602"/>
      <c r="E300" s="663"/>
      <c r="F300" s="664"/>
      <c r="G300" s="61"/>
    </row>
    <row r="301" spans="4:9" ht="13.5" thickBot="1">
      <c r="D301" s="93"/>
      <c r="E301" s="661"/>
      <c r="F301" s="662"/>
      <c r="G301" s="458"/>
    </row>
    <row r="302" spans="4:9">
      <c r="D302" s="531" t="s">
        <v>197</v>
      </c>
      <c r="E302" s="302"/>
      <c r="F302" s="532"/>
      <c r="G302" s="629">
        <f>+SUM(G300:G301)</f>
        <v>0</v>
      </c>
      <c r="I302" s="41" t="s">
        <v>105</v>
      </c>
    </row>
    <row r="303" spans="4:9" ht="6.75" customHeight="1">
      <c r="D303" s="97"/>
    </row>
    <row r="304" spans="4:9">
      <c r="D304" s="97"/>
    </row>
    <row r="305" spans="3:8" ht="13.5" thickBot="1">
      <c r="D305" s="97"/>
    </row>
    <row r="306" spans="3:8" ht="13.5" thickBot="1">
      <c r="C306" s="98" t="s">
        <v>198</v>
      </c>
      <c r="D306" s="36"/>
      <c r="E306" s="36" t="s">
        <v>105</v>
      </c>
      <c r="F306" s="36"/>
      <c r="G306" s="265">
        <f>+G308+G310+G312-G314-G316-G318</f>
        <v>0</v>
      </c>
      <c r="H306" s="344"/>
    </row>
    <row r="307" spans="3:8" ht="13.5" thickBot="1">
      <c r="E307" s="97"/>
    </row>
    <row r="308" spans="3:8" ht="13.5" thickBot="1">
      <c r="E308" s="103" t="s">
        <v>199</v>
      </c>
      <c r="G308" s="58"/>
    </row>
    <row r="309" spans="3:8" ht="13.5" thickBot="1">
      <c r="E309" s="103"/>
    </row>
    <row r="310" spans="3:8" ht="13.5" thickBot="1">
      <c r="E310" s="103" t="s">
        <v>127</v>
      </c>
      <c r="G310" s="58"/>
    </row>
    <row r="311" spans="3:8" ht="13.5" thickBot="1">
      <c r="E311" s="103"/>
    </row>
    <row r="312" spans="3:8" ht="13.5" thickBot="1">
      <c r="E312" s="103" t="s">
        <v>128</v>
      </c>
      <c r="G312" s="58"/>
    </row>
    <row r="313" spans="3:8" ht="13.5" thickBot="1">
      <c r="E313" s="103"/>
    </row>
    <row r="314" spans="3:8" ht="13.5" thickBot="1">
      <c r="E314" s="103" t="s">
        <v>200</v>
      </c>
      <c r="G314" s="58"/>
    </row>
    <row r="315" spans="3:8" ht="13.5" thickBot="1">
      <c r="E315" s="103"/>
    </row>
    <row r="316" spans="3:8" ht="13.5" thickBot="1">
      <c r="E316" s="103" t="s">
        <v>129</v>
      </c>
      <c r="G316" s="58"/>
    </row>
    <row r="317" spans="3:8" ht="13.5" thickBot="1">
      <c r="E317" s="103"/>
    </row>
    <row r="318" spans="3:8" ht="13.5" thickBot="1">
      <c r="E318" s="103" t="s">
        <v>201</v>
      </c>
      <c r="G318" s="58"/>
    </row>
    <row r="319" spans="3:8" ht="13.5" thickBot="1">
      <c r="E319" s="97"/>
    </row>
    <row r="320" spans="3:8" ht="13.5" thickBot="1">
      <c r="E320" s="103" t="s">
        <v>202</v>
      </c>
      <c r="G320" s="58"/>
    </row>
    <row r="321" spans="3:8" ht="13.5" thickBot="1">
      <c r="E321" s="97"/>
    </row>
    <row r="322" spans="3:8" ht="13.5" thickBot="1">
      <c r="E322" s="103" t="s">
        <v>203</v>
      </c>
      <c r="G322" s="58">
        <v>0</v>
      </c>
    </row>
    <row r="324" spans="3:8" ht="13.5" thickBot="1"/>
    <row r="325" spans="3:8" ht="13.5" thickBot="1">
      <c r="C325" s="359" t="s">
        <v>204</v>
      </c>
      <c r="D325" s="368"/>
      <c r="E325" s="368" t="s">
        <v>105</v>
      </c>
      <c r="F325" s="368"/>
      <c r="G325" s="360">
        <f>+G327-G329+G331+G411+G385</f>
        <v>0</v>
      </c>
      <c r="H325" s="75"/>
    </row>
    <row r="326" spans="3:8">
      <c r="D326" s="97"/>
    </row>
    <row r="327" spans="3:8">
      <c r="D327" s="100" t="s">
        <v>205</v>
      </c>
      <c r="E327" s="39"/>
      <c r="F327" s="39"/>
      <c r="G327" s="90"/>
      <c r="H327" s="75"/>
    </row>
    <row r="328" spans="3:8">
      <c r="D328" s="97"/>
    </row>
    <row r="329" spans="3:8">
      <c r="D329" s="100" t="s">
        <v>206</v>
      </c>
      <c r="E329" s="39"/>
      <c r="F329" s="39"/>
      <c r="G329" s="90"/>
      <c r="H329" s="344"/>
    </row>
    <row r="330" spans="3:8">
      <c r="D330" s="97"/>
    </row>
    <row r="331" spans="3:8">
      <c r="D331" s="100" t="s">
        <v>207</v>
      </c>
      <c r="E331" s="39"/>
      <c r="F331" s="39"/>
      <c r="G331" s="270">
        <f>+G333+G359</f>
        <v>0</v>
      </c>
    </row>
    <row r="332" spans="3:8">
      <c r="D332" s="97"/>
    </row>
    <row r="333" spans="3:8">
      <c r="D333" s="100" t="s">
        <v>208</v>
      </c>
      <c r="E333" s="39" t="s">
        <v>105</v>
      </c>
      <c r="F333" s="39"/>
      <c r="G333" s="270">
        <f>+G357</f>
        <v>0</v>
      </c>
    </row>
    <row r="334" spans="3:8" ht="13.5" thickBot="1">
      <c r="D334" s="97"/>
      <c r="E334" s="41"/>
      <c r="F334" s="41"/>
    </row>
    <row r="335" spans="3:8" ht="13.5" thickBot="1">
      <c r="D335" s="106"/>
      <c r="E335" s="107" t="s">
        <v>194</v>
      </c>
      <c r="F335" s="108" t="s">
        <v>195</v>
      </c>
      <c r="G335" s="109" t="s">
        <v>209</v>
      </c>
    </row>
    <row r="336" spans="3:8">
      <c r="D336" s="115">
        <v>1</v>
      </c>
      <c r="E336" s="527"/>
      <c r="F336" s="369"/>
      <c r="G336" s="401"/>
    </row>
    <row r="337" spans="4:7">
      <c r="D337" s="115">
        <v>2</v>
      </c>
      <c r="E337" s="366"/>
      <c r="F337" s="369"/>
      <c r="G337" s="401"/>
    </row>
    <row r="338" spans="4:7">
      <c r="D338" s="115">
        <v>3</v>
      </c>
      <c r="E338" s="366"/>
      <c r="F338" s="369"/>
      <c r="G338" s="401"/>
    </row>
    <row r="339" spans="4:7">
      <c r="D339" s="115">
        <v>4</v>
      </c>
      <c r="E339" s="366"/>
      <c r="F339" s="369"/>
      <c r="G339" s="401"/>
    </row>
    <row r="340" spans="4:7">
      <c r="D340" s="115">
        <v>5</v>
      </c>
      <c r="E340" s="366"/>
      <c r="F340" s="369"/>
      <c r="G340" s="401"/>
    </row>
    <row r="341" spans="4:7">
      <c r="D341" s="115">
        <v>6</v>
      </c>
      <c r="E341" s="366"/>
      <c r="F341" s="369"/>
      <c r="G341" s="401"/>
    </row>
    <row r="342" spans="4:7">
      <c r="D342" s="115">
        <v>7</v>
      </c>
      <c r="E342" s="366"/>
      <c r="F342" s="369"/>
      <c r="G342" s="401"/>
    </row>
    <row r="343" spans="4:7">
      <c r="D343" s="115">
        <v>8</v>
      </c>
      <c r="E343" s="366"/>
      <c r="F343" s="369"/>
      <c r="G343" s="401"/>
    </row>
    <row r="344" spans="4:7">
      <c r="D344" s="115">
        <v>9</v>
      </c>
      <c r="E344" s="366"/>
      <c r="F344" s="369"/>
      <c r="G344" s="401"/>
    </row>
    <row r="345" spans="4:7">
      <c r="D345" s="115">
        <v>10</v>
      </c>
      <c r="E345" s="366"/>
      <c r="F345" s="369"/>
      <c r="G345" s="401"/>
    </row>
    <row r="346" spans="4:7">
      <c r="D346" s="115">
        <v>11</v>
      </c>
      <c r="E346" s="366"/>
      <c r="F346" s="369"/>
      <c r="G346" s="401"/>
    </row>
    <row r="347" spans="4:7">
      <c r="D347" s="115">
        <v>12</v>
      </c>
      <c r="E347" s="366"/>
      <c r="F347" s="369"/>
      <c r="G347" s="401"/>
    </row>
    <row r="348" spans="4:7">
      <c r="D348" s="115">
        <v>13</v>
      </c>
      <c r="E348" s="366"/>
      <c r="F348" s="369"/>
      <c r="G348" s="401"/>
    </row>
    <row r="349" spans="4:7">
      <c r="D349" s="115">
        <v>14</v>
      </c>
      <c r="E349" s="366"/>
      <c r="F349" s="369"/>
      <c r="G349" s="401"/>
    </row>
    <row r="350" spans="4:7">
      <c r="D350" s="115">
        <v>15</v>
      </c>
      <c r="E350" s="366"/>
      <c r="F350" s="369"/>
      <c r="G350" s="401"/>
    </row>
    <row r="351" spans="4:7">
      <c r="D351" s="115">
        <v>16</v>
      </c>
      <c r="E351" s="366"/>
      <c r="F351" s="369"/>
      <c r="G351" s="401"/>
    </row>
    <row r="352" spans="4:7">
      <c r="D352" s="115">
        <v>17</v>
      </c>
      <c r="E352" s="366"/>
      <c r="F352" s="369"/>
      <c r="G352" s="401"/>
    </row>
    <row r="353" spans="4:8">
      <c r="D353" s="115">
        <v>18</v>
      </c>
      <c r="E353" s="366"/>
      <c r="F353" s="369"/>
      <c r="G353" s="401"/>
    </row>
    <row r="354" spans="4:8">
      <c r="D354" s="115">
        <v>19</v>
      </c>
      <c r="E354" s="366"/>
      <c r="F354" s="369"/>
      <c r="G354" s="401"/>
    </row>
    <row r="355" spans="4:8">
      <c r="D355" s="115">
        <v>20</v>
      </c>
      <c r="E355" s="366"/>
      <c r="F355" s="369"/>
      <c r="G355" s="401"/>
    </row>
    <row r="356" spans="4:8" ht="13.5" thickBot="1">
      <c r="D356" s="115">
        <v>21</v>
      </c>
      <c r="E356" s="366"/>
      <c r="F356" s="369"/>
      <c r="G356" s="401"/>
      <c r="H356" s="41"/>
    </row>
    <row r="357" spans="4:8" ht="13.5" thickBot="1">
      <c r="D357" s="92" t="s">
        <v>210</v>
      </c>
      <c r="E357" s="50"/>
      <c r="F357" s="50"/>
      <c r="G357" s="370">
        <f>SUM(G336:G356)</f>
        <v>0</v>
      </c>
    </row>
    <row r="358" spans="4:8">
      <c r="E358" s="41"/>
      <c r="F358" s="41"/>
    </row>
    <row r="359" spans="4:8">
      <c r="D359" s="100" t="s">
        <v>211</v>
      </c>
      <c r="E359" s="39"/>
      <c r="F359" s="39"/>
      <c r="G359" s="270">
        <f>+G383</f>
        <v>0</v>
      </c>
    </row>
    <row r="360" spans="4:8" ht="13.5" thickBot="1">
      <c r="D360" s="97"/>
      <c r="E360" s="41"/>
      <c r="F360" s="41"/>
    </row>
    <row r="361" spans="4:8" ht="13.5" thickBot="1">
      <c r="D361" s="106"/>
      <c r="E361" s="106" t="s">
        <v>194</v>
      </c>
      <c r="F361" s="108" t="s">
        <v>195</v>
      </c>
      <c r="G361" s="109" t="s">
        <v>209</v>
      </c>
    </row>
    <row r="362" spans="4:8">
      <c r="D362" s="116">
        <v>1</v>
      </c>
      <c r="E362" s="527"/>
      <c r="F362" s="46"/>
      <c r="G362" s="62"/>
    </row>
    <row r="363" spans="4:8">
      <c r="D363" s="116">
        <f>+D362+1</f>
        <v>2</v>
      </c>
      <c r="E363" s="366"/>
      <c r="F363" s="46"/>
      <c r="G363" s="62"/>
    </row>
    <row r="364" spans="4:8">
      <c r="D364" s="116">
        <f t="shared" ref="D364:D380" si="0">+D363+1</f>
        <v>3</v>
      </c>
      <c r="E364" s="366"/>
      <c r="F364" s="46"/>
      <c r="G364" s="62"/>
    </row>
    <row r="365" spans="4:8">
      <c r="D365" s="116">
        <f t="shared" si="0"/>
        <v>4</v>
      </c>
      <c r="E365" s="366"/>
      <c r="F365" s="46"/>
      <c r="G365" s="62"/>
    </row>
    <row r="366" spans="4:8">
      <c r="D366" s="116">
        <f t="shared" si="0"/>
        <v>5</v>
      </c>
      <c r="E366" s="366"/>
      <c r="F366" s="46"/>
      <c r="G366" s="62"/>
    </row>
    <row r="367" spans="4:8">
      <c r="D367" s="116">
        <f t="shared" si="0"/>
        <v>6</v>
      </c>
      <c r="E367" s="366"/>
      <c r="F367" s="46"/>
      <c r="G367" s="62"/>
    </row>
    <row r="368" spans="4:8">
      <c r="D368" s="116">
        <f t="shared" si="0"/>
        <v>7</v>
      </c>
      <c r="E368" s="366"/>
      <c r="F368" s="46"/>
      <c r="G368" s="62"/>
    </row>
    <row r="369" spans="4:9">
      <c r="D369" s="116">
        <f t="shared" si="0"/>
        <v>8</v>
      </c>
      <c r="E369" s="366"/>
      <c r="F369" s="46"/>
      <c r="G369" s="62"/>
    </row>
    <row r="370" spans="4:9">
      <c r="D370" s="116">
        <f t="shared" si="0"/>
        <v>9</v>
      </c>
      <c r="E370" s="366"/>
      <c r="F370" s="46"/>
      <c r="G370" s="62"/>
    </row>
    <row r="371" spans="4:9">
      <c r="D371" s="116">
        <f t="shared" si="0"/>
        <v>10</v>
      </c>
      <c r="E371" s="366"/>
      <c r="F371" s="46"/>
      <c r="G371" s="62"/>
    </row>
    <row r="372" spans="4:9">
      <c r="D372" s="116">
        <f t="shared" si="0"/>
        <v>11</v>
      </c>
      <c r="E372" s="366"/>
      <c r="F372" s="46"/>
      <c r="G372" s="62"/>
    </row>
    <row r="373" spans="4:9">
      <c r="D373" s="116">
        <f t="shared" si="0"/>
        <v>12</v>
      </c>
      <c r="E373" s="366"/>
      <c r="F373" s="46"/>
      <c r="G373" s="62"/>
    </row>
    <row r="374" spans="4:9">
      <c r="D374" s="116">
        <f t="shared" si="0"/>
        <v>13</v>
      </c>
      <c r="E374" s="366"/>
      <c r="F374" s="46"/>
      <c r="G374" s="62"/>
    </row>
    <row r="375" spans="4:9">
      <c r="D375" s="116">
        <f t="shared" si="0"/>
        <v>14</v>
      </c>
      <c r="E375" s="366"/>
      <c r="F375" s="46"/>
      <c r="G375" s="62"/>
    </row>
    <row r="376" spans="4:9">
      <c r="D376" s="116">
        <f t="shared" si="0"/>
        <v>15</v>
      </c>
      <c r="E376" s="366"/>
      <c r="F376" s="46"/>
      <c r="G376" s="62"/>
    </row>
    <row r="377" spans="4:9">
      <c r="D377" s="116">
        <f t="shared" si="0"/>
        <v>16</v>
      </c>
      <c r="E377" s="366"/>
      <c r="F377" s="46"/>
      <c r="G377" s="62"/>
    </row>
    <row r="378" spans="4:9">
      <c r="D378" s="116">
        <f t="shared" si="0"/>
        <v>17</v>
      </c>
      <c r="E378" s="366"/>
      <c r="F378" s="46"/>
      <c r="G378" s="62"/>
    </row>
    <row r="379" spans="4:9">
      <c r="D379" s="116">
        <f t="shared" si="0"/>
        <v>18</v>
      </c>
      <c r="E379" s="366"/>
      <c r="F379" s="46"/>
      <c r="G379" s="62"/>
    </row>
    <row r="380" spans="4:9">
      <c r="D380" s="116">
        <f t="shared" si="0"/>
        <v>19</v>
      </c>
      <c r="E380" s="366"/>
      <c r="F380" s="46"/>
      <c r="G380" s="62"/>
    </row>
    <row r="381" spans="4:9">
      <c r="D381" s="116">
        <f>+D380+1</f>
        <v>20</v>
      </c>
      <c r="E381" s="366"/>
      <c r="F381" s="46"/>
      <c r="G381" s="62"/>
    </row>
    <row r="382" spans="4:9" ht="13.5" thickBot="1">
      <c r="D382" s="117">
        <f>+D381+1</f>
        <v>21</v>
      </c>
      <c r="E382" s="111"/>
      <c r="F382" s="384"/>
      <c r="G382" s="458"/>
      <c r="I382" s="352"/>
    </row>
    <row r="383" spans="4:9" ht="13.5" thickBot="1">
      <c r="D383" s="93" t="s">
        <v>212</v>
      </c>
      <c r="E383" s="94"/>
      <c r="F383" s="94"/>
      <c r="G383" s="346">
        <f>+SUM(G362:G382)</f>
        <v>0</v>
      </c>
    </row>
    <row r="384" spans="4:9">
      <c r="E384" s="41"/>
      <c r="F384" s="41"/>
    </row>
    <row r="385" spans="4:7">
      <c r="D385" s="100" t="s">
        <v>213</v>
      </c>
      <c r="E385" s="39"/>
      <c r="F385" s="39"/>
      <c r="G385" s="270">
        <f>+G409</f>
        <v>0</v>
      </c>
    </row>
    <row r="386" spans="4:7" ht="13.5" thickBot="1">
      <c r="D386" s="97"/>
      <c r="E386" s="41"/>
      <c r="F386" s="41"/>
    </row>
    <row r="387" spans="4:7" ht="13.5" thickBot="1">
      <c r="D387" s="106"/>
      <c r="E387" s="106" t="s">
        <v>194</v>
      </c>
      <c r="F387" s="110" t="s">
        <v>119</v>
      </c>
      <c r="G387" s="109" t="s">
        <v>209</v>
      </c>
    </row>
    <row r="388" spans="4:7">
      <c r="D388" s="116">
        <v>1</v>
      </c>
      <c r="E388" s="527"/>
      <c r="F388" s="47"/>
      <c r="G388" s="62"/>
    </row>
    <row r="389" spans="4:7">
      <c r="D389" s="115">
        <f>+D388+1</f>
        <v>2</v>
      </c>
      <c r="E389" s="366"/>
      <c r="F389" s="47"/>
      <c r="G389" s="47"/>
    </row>
    <row r="390" spans="4:7">
      <c r="D390" s="115">
        <f t="shared" ref="D390:D406" si="1">+D389+1</f>
        <v>3</v>
      </c>
      <c r="E390" s="366"/>
      <c r="F390" s="47"/>
      <c r="G390" s="47"/>
    </row>
    <row r="391" spans="4:7">
      <c r="D391" s="115">
        <f t="shared" si="1"/>
        <v>4</v>
      </c>
      <c r="E391" s="366"/>
      <c r="F391" s="47"/>
      <c r="G391" s="47"/>
    </row>
    <row r="392" spans="4:7">
      <c r="D392" s="115">
        <f t="shared" si="1"/>
        <v>5</v>
      </c>
      <c r="E392" s="366"/>
      <c r="F392" s="47"/>
      <c r="G392" s="47"/>
    </row>
    <row r="393" spans="4:7">
      <c r="D393" s="115">
        <f t="shared" si="1"/>
        <v>6</v>
      </c>
      <c r="E393" s="366"/>
      <c r="F393" s="47"/>
      <c r="G393" s="47"/>
    </row>
    <row r="394" spans="4:7">
      <c r="D394" s="115">
        <f t="shared" si="1"/>
        <v>7</v>
      </c>
      <c r="E394" s="366"/>
      <c r="F394" s="47"/>
      <c r="G394" s="47"/>
    </row>
    <row r="395" spans="4:7">
      <c r="D395" s="115">
        <f t="shared" si="1"/>
        <v>8</v>
      </c>
      <c r="E395" s="366"/>
      <c r="F395" s="47"/>
      <c r="G395" s="47"/>
    </row>
    <row r="396" spans="4:7">
      <c r="D396" s="115">
        <f t="shared" si="1"/>
        <v>9</v>
      </c>
      <c r="E396" s="366"/>
      <c r="F396" s="47"/>
      <c r="G396" s="47"/>
    </row>
    <row r="397" spans="4:7">
      <c r="D397" s="115">
        <f t="shared" si="1"/>
        <v>10</v>
      </c>
      <c r="E397" s="366"/>
      <c r="F397" s="47"/>
      <c r="G397" s="47"/>
    </row>
    <row r="398" spans="4:7">
      <c r="D398" s="115">
        <f t="shared" si="1"/>
        <v>11</v>
      </c>
      <c r="E398" s="366"/>
      <c r="F398" s="47"/>
      <c r="G398" s="47"/>
    </row>
    <row r="399" spans="4:7">
      <c r="D399" s="115">
        <f t="shared" si="1"/>
        <v>12</v>
      </c>
      <c r="E399" s="366"/>
      <c r="F399" s="47"/>
      <c r="G399" s="47"/>
    </row>
    <row r="400" spans="4:7">
      <c r="D400" s="115">
        <f t="shared" si="1"/>
        <v>13</v>
      </c>
      <c r="E400" s="366"/>
      <c r="F400" s="47"/>
      <c r="G400" s="47"/>
    </row>
    <row r="401" spans="3:7">
      <c r="D401" s="115">
        <f t="shared" si="1"/>
        <v>14</v>
      </c>
      <c r="E401" s="366"/>
      <c r="F401" s="47"/>
      <c r="G401" s="47"/>
    </row>
    <row r="402" spans="3:7">
      <c r="D402" s="115">
        <f t="shared" si="1"/>
        <v>15</v>
      </c>
      <c r="E402" s="366"/>
      <c r="F402" s="47"/>
      <c r="G402" s="47"/>
    </row>
    <row r="403" spans="3:7">
      <c r="D403" s="115">
        <f t="shared" si="1"/>
        <v>16</v>
      </c>
      <c r="E403" s="366"/>
      <c r="F403" s="47"/>
      <c r="G403" s="47"/>
    </row>
    <row r="404" spans="3:7">
      <c r="D404" s="115">
        <f t="shared" si="1"/>
        <v>17</v>
      </c>
      <c r="E404" s="366"/>
      <c r="F404" s="47"/>
      <c r="G404" s="47"/>
    </row>
    <row r="405" spans="3:7">
      <c r="D405" s="115">
        <f t="shared" si="1"/>
        <v>18</v>
      </c>
      <c r="E405" s="366"/>
      <c r="F405" s="47"/>
      <c r="G405" s="47"/>
    </row>
    <row r="406" spans="3:7">
      <c r="D406" s="115">
        <f t="shared" si="1"/>
        <v>19</v>
      </c>
      <c r="E406" s="366"/>
      <c r="F406" s="47"/>
      <c r="G406" s="47"/>
    </row>
    <row r="407" spans="3:7">
      <c r="D407" s="116">
        <f>+D406+1</f>
        <v>20</v>
      </c>
      <c r="E407" s="366"/>
      <c r="F407" s="47"/>
      <c r="G407" s="47"/>
    </row>
    <row r="408" spans="3:7" ht="13.5" thickBot="1">
      <c r="D408" s="117">
        <f>+D407+1</f>
        <v>21</v>
      </c>
      <c r="E408" s="111"/>
      <c r="F408" s="47"/>
      <c r="G408" s="48"/>
    </row>
    <row r="409" spans="3:7" ht="13.5" thickBot="1">
      <c r="D409" s="95" t="s">
        <v>214</v>
      </c>
      <c r="E409" s="96"/>
      <c r="F409" s="96"/>
      <c r="G409" s="271">
        <f>+SUM(G388:G408)</f>
        <v>0</v>
      </c>
    </row>
    <row r="410" spans="3:7">
      <c r="C410" s="11" t="s">
        <v>215</v>
      </c>
      <c r="E410" s="41"/>
      <c r="F410" s="41"/>
    </row>
    <row r="411" spans="3:7">
      <c r="D411" s="100" t="s">
        <v>216</v>
      </c>
      <c r="E411" s="39"/>
      <c r="F411" s="39"/>
      <c r="G411" s="270">
        <f>+G435</f>
        <v>0</v>
      </c>
    </row>
    <row r="412" spans="3:7" ht="13.5" thickBot="1">
      <c r="D412" s="97"/>
      <c r="E412" s="41"/>
      <c r="F412" s="41"/>
    </row>
    <row r="413" spans="3:7" ht="13.5" thickBot="1">
      <c r="D413" s="112"/>
      <c r="E413" s="113" t="s">
        <v>194</v>
      </c>
      <c r="F413" s="529" t="s">
        <v>195</v>
      </c>
      <c r="G413" s="114" t="s">
        <v>209</v>
      </c>
    </row>
    <row r="414" spans="3:7">
      <c r="D414" s="115">
        <v>1</v>
      </c>
      <c r="E414" s="45"/>
      <c r="F414" s="44"/>
      <c r="G414" s="528"/>
    </row>
    <row r="415" spans="3:7">
      <c r="D415" s="115">
        <f>+D414+1</f>
        <v>2</v>
      </c>
      <c r="E415" s="45"/>
      <c r="F415" s="46"/>
      <c r="G415" s="526"/>
    </row>
    <row r="416" spans="3:7">
      <c r="D416" s="115">
        <f t="shared" ref="D416:D434" si="2">+D415+1</f>
        <v>3</v>
      </c>
      <c r="E416" s="45"/>
      <c r="F416" s="46"/>
      <c r="G416" s="526"/>
    </row>
    <row r="417" spans="4:7">
      <c r="D417" s="115">
        <f t="shared" si="2"/>
        <v>4</v>
      </c>
      <c r="E417" s="45"/>
      <c r="F417" s="46"/>
      <c r="G417" s="526"/>
    </row>
    <row r="418" spans="4:7">
      <c r="D418" s="115">
        <f t="shared" si="2"/>
        <v>5</v>
      </c>
      <c r="E418" s="45"/>
      <c r="F418" s="46"/>
      <c r="G418" s="526"/>
    </row>
    <row r="419" spans="4:7">
      <c r="D419" s="115">
        <f t="shared" si="2"/>
        <v>6</v>
      </c>
      <c r="E419" s="45"/>
      <c r="F419" s="46"/>
      <c r="G419" s="526"/>
    </row>
    <row r="420" spans="4:7">
      <c r="D420" s="115">
        <f t="shared" si="2"/>
        <v>7</v>
      </c>
      <c r="E420" s="45"/>
      <c r="F420" s="46"/>
      <c r="G420" s="526"/>
    </row>
    <row r="421" spans="4:7">
      <c r="D421" s="115">
        <f t="shared" si="2"/>
        <v>8</v>
      </c>
      <c r="E421" s="45"/>
      <c r="F421" s="46"/>
      <c r="G421" s="526"/>
    </row>
    <row r="422" spans="4:7">
      <c r="D422" s="115">
        <f t="shared" si="2"/>
        <v>9</v>
      </c>
      <c r="E422" s="45"/>
      <c r="F422" s="46"/>
      <c r="G422" s="526"/>
    </row>
    <row r="423" spans="4:7">
      <c r="D423" s="115">
        <f t="shared" si="2"/>
        <v>10</v>
      </c>
      <c r="E423" s="45"/>
      <c r="F423" s="46"/>
      <c r="G423" s="526"/>
    </row>
    <row r="424" spans="4:7">
      <c r="D424" s="115">
        <f t="shared" si="2"/>
        <v>11</v>
      </c>
      <c r="E424" s="45"/>
      <c r="F424" s="46"/>
      <c r="G424" s="526"/>
    </row>
    <row r="425" spans="4:7">
      <c r="D425" s="115">
        <f t="shared" si="2"/>
        <v>12</v>
      </c>
      <c r="E425" s="45"/>
      <c r="F425" s="46"/>
      <c r="G425" s="526"/>
    </row>
    <row r="426" spans="4:7">
      <c r="D426" s="115">
        <f t="shared" si="2"/>
        <v>13</v>
      </c>
      <c r="E426" s="45"/>
      <c r="F426" s="46"/>
      <c r="G426" s="526"/>
    </row>
    <row r="427" spans="4:7">
      <c r="D427" s="115">
        <f t="shared" si="2"/>
        <v>14</v>
      </c>
      <c r="E427" s="45"/>
      <c r="F427" s="46"/>
      <c r="G427" s="526"/>
    </row>
    <row r="428" spans="4:7">
      <c r="D428" s="115">
        <f t="shared" si="2"/>
        <v>15</v>
      </c>
      <c r="E428" s="45"/>
      <c r="F428" s="46"/>
      <c r="G428" s="526"/>
    </row>
    <row r="429" spans="4:7">
      <c r="D429" s="115">
        <f t="shared" si="2"/>
        <v>16</v>
      </c>
      <c r="E429" s="45"/>
      <c r="F429" s="46"/>
      <c r="G429" s="526"/>
    </row>
    <row r="430" spans="4:7">
      <c r="D430" s="115">
        <f t="shared" si="2"/>
        <v>17</v>
      </c>
      <c r="E430" s="45"/>
      <c r="F430" s="46"/>
      <c r="G430" s="526"/>
    </row>
    <row r="431" spans="4:7">
      <c r="D431" s="115">
        <f t="shared" si="2"/>
        <v>18</v>
      </c>
      <c r="E431" s="45"/>
      <c r="F431" s="46"/>
      <c r="G431" s="526"/>
    </row>
    <row r="432" spans="4:7">
      <c r="D432" s="115">
        <f t="shared" si="2"/>
        <v>19</v>
      </c>
      <c r="E432" s="45"/>
      <c r="F432" s="46"/>
      <c r="G432" s="526"/>
    </row>
    <row r="433" spans="3:9">
      <c r="D433" s="115">
        <f t="shared" si="2"/>
        <v>20</v>
      </c>
      <c r="E433" s="45"/>
      <c r="F433" s="46"/>
      <c r="G433" s="526"/>
    </row>
    <row r="434" spans="3:9" ht="13.5" thickBot="1">
      <c r="D434" s="115">
        <f t="shared" si="2"/>
        <v>21</v>
      </c>
      <c r="E434" s="371"/>
      <c r="F434" s="384"/>
      <c r="G434" s="526"/>
    </row>
    <row r="435" spans="3:9" ht="13.5" thickBot="1">
      <c r="D435" s="92" t="s">
        <v>217</v>
      </c>
      <c r="E435" s="50"/>
      <c r="F435" s="530"/>
      <c r="G435" s="263">
        <f>SUM(G414:G434)</f>
        <v>0</v>
      </c>
    </row>
    <row r="436" spans="3:9">
      <c r="E436" s="41"/>
      <c r="F436" s="41"/>
    </row>
    <row r="437" spans="3:9">
      <c r="E437" s="41"/>
      <c r="F437" s="41"/>
      <c r="I437" s="41"/>
    </row>
    <row r="438" spans="3:9" ht="13.5" thickBot="1">
      <c r="E438" s="41"/>
      <c r="F438" s="41"/>
    </row>
    <row r="439" spans="3:9" ht="13.5" thickBot="1">
      <c r="C439" s="359" t="s">
        <v>218</v>
      </c>
      <c r="D439" s="372"/>
      <c r="E439" s="372" t="s">
        <v>105</v>
      </c>
      <c r="F439" s="368"/>
      <c r="G439" s="360">
        <f>+G441+G443-G445</f>
        <v>0</v>
      </c>
    </row>
    <row r="440" spans="3:9" ht="13.5" thickBot="1">
      <c r="E440" s="177"/>
      <c r="F440" s="41"/>
    </row>
    <row r="441" spans="3:9" ht="13.5" thickBot="1">
      <c r="E441" s="103" t="s">
        <v>219</v>
      </c>
      <c r="G441" s="58"/>
    </row>
    <row r="442" spans="3:9" ht="13.5" thickBot="1">
      <c r="E442" s="177"/>
      <c r="F442" s="41"/>
    </row>
    <row r="443" spans="3:9" ht="13.5" thickBot="1">
      <c r="E443" s="371" t="s">
        <v>220</v>
      </c>
      <c r="F443" s="41"/>
      <c r="G443" s="58"/>
    </row>
    <row r="444" spans="3:9" ht="13.5" thickBot="1">
      <c r="E444" s="371"/>
      <c r="F444" s="41"/>
    </row>
    <row r="445" spans="3:9" ht="13.5" thickBot="1">
      <c r="E445" s="371" t="s">
        <v>221</v>
      </c>
      <c r="F445" s="41"/>
      <c r="G445" s="58"/>
    </row>
    <row r="446" spans="3:9" ht="13.5" thickBot="1">
      <c r="E446" s="177"/>
      <c r="F446" s="41"/>
    </row>
    <row r="447" spans="3:9" ht="13.5" thickBot="1">
      <c r="C447" s="98" t="s">
        <v>222</v>
      </c>
      <c r="D447" s="99"/>
      <c r="E447" s="99"/>
      <c r="F447" s="36"/>
      <c r="G447" s="265">
        <f>+G449+G451+G453+G455+G457</f>
        <v>0</v>
      </c>
    </row>
    <row r="448" spans="3:9">
      <c r="D448" s="97"/>
      <c r="E448" s="177"/>
      <c r="F448" s="41"/>
    </row>
    <row r="449" spans="4:7">
      <c r="D449" s="100" t="s">
        <v>223</v>
      </c>
      <c r="E449" s="178" t="s">
        <v>105</v>
      </c>
      <c r="F449" s="39"/>
      <c r="G449" s="90"/>
    </row>
    <row r="450" spans="4:7">
      <c r="D450" s="97"/>
      <c r="E450" s="177" t="s">
        <v>105</v>
      </c>
      <c r="F450" s="41"/>
    </row>
    <row r="451" spans="4:7">
      <c r="D451" s="100" t="s">
        <v>224</v>
      </c>
      <c r="E451" s="178"/>
      <c r="F451" s="39"/>
      <c r="G451" s="90"/>
    </row>
    <row r="452" spans="4:7">
      <c r="D452" s="97"/>
      <c r="E452" s="177"/>
      <c r="F452" s="41"/>
    </row>
    <row r="453" spans="4:7">
      <c r="D453" s="100" t="s">
        <v>225</v>
      </c>
      <c r="E453" s="178"/>
      <c r="F453" s="39"/>
      <c r="G453" s="90"/>
    </row>
    <row r="454" spans="4:7">
      <c r="D454" s="97"/>
      <c r="E454" s="177"/>
      <c r="F454" s="41"/>
    </row>
    <row r="455" spans="4:7">
      <c r="D455" s="100" t="s">
        <v>226</v>
      </c>
      <c r="E455" s="178" t="s">
        <v>105</v>
      </c>
      <c r="F455" s="39"/>
      <c r="G455" s="90"/>
    </row>
    <row r="456" spans="4:7">
      <c r="D456" s="97"/>
      <c r="E456" s="177"/>
      <c r="F456" s="41"/>
    </row>
    <row r="457" spans="4:7">
      <c r="D457" s="100" t="s">
        <v>227</v>
      </c>
      <c r="E457" s="178" t="s">
        <v>105</v>
      </c>
      <c r="F457" s="39"/>
      <c r="G457" s="90"/>
    </row>
    <row r="458" spans="4:7">
      <c r="E458" s="41"/>
      <c r="F458" s="41"/>
    </row>
  </sheetData>
  <dataConsolidate/>
  <mergeCells count="62">
    <mergeCell ref="C263:D263"/>
    <mergeCell ref="C274:D274"/>
    <mergeCell ref="E269:F269"/>
    <mergeCell ref="E270:F270"/>
    <mergeCell ref="E271:F271"/>
    <mergeCell ref="E272:F272"/>
    <mergeCell ref="E273:F273"/>
    <mergeCell ref="E274:F274"/>
    <mergeCell ref="C273:D273"/>
    <mergeCell ref="C269:D269"/>
    <mergeCell ref="C270:D270"/>
    <mergeCell ref="C271:D271"/>
    <mergeCell ref="C272:D272"/>
    <mergeCell ref="D279:E279"/>
    <mergeCell ref="D244:E244"/>
    <mergeCell ref="D250:E250"/>
    <mergeCell ref="D251:E251"/>
    <mergeCell ref="D252:E252"/>
    <mergeCell ref="D253:E253"/>
    <mergeCell ref="C264:D264"/>
    <mergeCell ref="E260:F260"/>
    <mergeCell ref="E261:F261"/>
    <mergeCell ref="E262:F262"/>
    <mergeCell ref="E263:F263"/>
    <mergeCell ref="E264:F264"/>
    <mergeCell ref="D256:E256"/>
    <mergeCell ref="C260:D260"/>
    <mergeCell ref="C261:D261"/>
    <mergeCell ref="C262:D262"/>
    <mergeCell ref="D241:E241"/>
    <mergeCell ref="D242:E242"/>
    <mergeCell ref="D243:E243"/>
    <mergeCell ref="D255:E255"/>
    <mergeCell ref="D254:E254"/>
    <mergeCell ref="F279:G279"/>
    <mergeCell ref="E299:F299"/>
    <mergeCell ref="D225:E225"/>
    <mergeCell ref="D238:E238"/>
    <mergeCell ref="D249:E249"/>
    <mergeCell ref="F285:G28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9:E239"/>
    <mergeCell ref="D240:E240"/>
    <mergeCell ref="E301:F301"/>
    <mergeCell ref="E300:F300"/>
    <mergeCell ref="D280:E280"/>
    <mergeCell ref="D281:E281"/>
    <mergeCell ref="F280:G280"/>
    <mergeCell ref="F281:G281"/>
    <mergeCell ref="F283:G283"/>
    <mergeCell ref="F284:G284"/>
    <mergeCell ref="D283:E283"/>
    <mergeCell ref="D284:E284"/>
    <mergeCell ref="D282:E282"/>
    <mergeCell ref="F282:G282"/>
  </mergeCells>
  <phoneticPr fontId="3" type="noConversion"/>
  <conditionalFormatting sqref="C226:G233">
    <cfRule type="expression" dxfId="144" priority="45">
      <formula>AND(LEN(TRIM($C226&amp;$D226&amp;$F226&amp;$G226))&gt;0,OR(AND(TRIM($C226)="Carga manual",OR(LEN(TRIM($D226))=0,LEN(TRIM($G226))=0)),AND(TRIM($C226)&lt;&gt;"Carga manual",LEN(TRIM($G226))=0)))</formula>
    </cfRule>
  </conditionalFormatting>
  <conditionalFormatting sqref="C239:G244">
    <cfRule type="expression" dxfId="143" priority="32">
      <formula>AND(LEN(TRIM($C239&amp;$D239&amp;$F239&amp;$G239))&gt;0,  OR(AND(TRIM($C239)="Carga manual",        OR(LEN(TRIM($D239))=0,           LEN(TRIM($G239))=0)),    AND(TRIM($C239)&lt;&gt;"Carga manual",        LEN(TRIM($G239))=0)))</formula>
    </cfRule>
  </conditionalFormatting>
  <conditionalFormatting sqref="C250:G255">
    <cfRule type="expression" dxfId="142" priority="31">
      <formula>AND(LEN(TRIM($C250&amp;$D250&amp;$F250&amp;$G250))&gt;0,OR(AND(TRIM($C250)="Carga manual",OR(LEN(TRIM($D250))=0,LEN(TRIM($G250))=0)),AND(TRIM($C250)&lt;&gt;"Carga manual",LEN(TRIM($G250))=0)))</formula>
    </cfRule>
  </conditionalFormatting>
  <conditionalFormatting sqref="C261:G264">
    <cfRule type="expression" dxfId="141" priority="30">
      <formula>AND(LEN(TRIM($C261&amp;$E261&amp;$G261))&gt;0,   OR(AND(TRIM($C261)="Carga manual",       OR(LEN(TRIM($E261))=0,         LEN(TRIM($G261))=0)),     AND(TRIM($C261)&lt;&gt;"Carga manual",       LEN(TRIM($G261))=0)))</formula>
    </cfRule>
  </conditionalFormatting>
  <conditionalFormatting sqref="C270:G274">
    <cfRule type="expression" dxfId="140" priority="29">
      <formula>AND(LEN(TRIM($C270&amp;$E270&amp;$G270))&gt;0,   OR(AND(TRIM($C270)="Carga manual",       OR(LEN(TRIM($E270))=0,         LEN(TRIM($G270))=0)),     AND(TRIM($C270)&lt;&gt;"Carga manual",       LEN(TRIM($G270))=0)))</formula>
    </cfRule>
  </conditionalFormatting>
  <conditionalFormatting sqref="D51:D66">
    <cfRule type="expression" dxfId="139" priority="20">
      <formula>OR(ISNUMBER(SEARCH("0",D51)),  ISNUMBER(SEARCH("1",D51)),  ISNUMBER(SEARCH("2",D51)),  ISNUMBER(SEARCH("3",D51)),  ISNUMBER(SEARCH("4",D51)),  ISNUMBER(SEARCH("5",D51)),  ISNUMBER(SEARCH("6",D51)),  ISNUMBER(SEARCH("7",D51)),  ISNUMBER(SEARCH("8",D51)),  ISNUMBER(SEARCH("9",D51)))</formula>
    </cfRule>
  </conditionalFormatting>
  <conditionalFormatting sqref="D121:D133">
    <cfRule type="expression" dxfId="138" priority="56">
      <formula>OR(RIGHT(A121,2)="00",RIGHT(A121,2)&gt;"12")</formula>
    </cfRule>
  </conditionalFormatting>
  <conditionalFormatting sqref="D153:D162">
    <cfRule type="expression" dxfId="137" priority="5">
      <formula>OR(RIGHT(A153,2)="00",RIGHT(A153,2)&gt;"12")</formula>
    </cfRule>
  </conditionalFormatting>
  <conditionalFormatting sqref="D154:D162">
    <cfRule type="expression" dxfId="136" priority="8">
      <formula>AND(LEN(TRIM($D154&amp;$E154&amp;$F154&amp;$G154&amp;$H154&amp;$I154&amp;$J154&amp;$K154&amp;$L154&amp;$M154&amp;$N154&amp;$O154&amp;$P154&amp;$Q154&amp;$R154&amp;$S154&amp;$T154))&gt;0, OR(LEN(TRIM($D154))=0, LEN(TRIM($E154))=0, LEN(TRIM($F154))=0, LEN(TRIM($G154))=0, LEN(TRIM($H154))=0, LEN(TRIM($I154))=0, LEN(TRIM($J154))=0, LEN(TRIM($K154))=0, LEN(TRIM($L154))=0, LEN(TRIM($M154))=0, LEN(TRIM($N154))=0, LEN(TRIM($O154))=0, LEN(TRIM($P154))=0, LEN(TRIM($R154))=0, LEN(TRIM($S154))=0,  IF(ISNUMBER(SEARCH("Ninguna Ley",$P154)), LEN(TRIM($Q154))=0, LEN(TRIM($T154))=0)))</formula>
    </cfRule>
  </conditionalFormatting>
  <conditionalFormatting sqref="D187:D192">
    <cfRule type="expression" dxfId="135" priority="11">
      <formula>OR(ISNUMBER(SEARCH("0",D187)),  ISNUMBER(SEARCH("1",D187)),  ISNUMBER(SEARCH("2",D187)),  ISNUMBER(SEARCH("3",D187)),  ISNUMBER(SEARCH("4",D187)),  ISNUMBER(SEARCH("5",D187)),  ISNUMBER(SEARCH("6",D187)),  ISNUMBER(SEARCH("7",D187)),  ISNUMBER(SEARCH("8",D187)),  ISNUMBER(SEARCH("9",D187)))</formula>
    </cfRule>
  </conditionalFormatting>
  <conditionalFormatting sqref="D226">
    <cfRule type="cellIs" dxfId="134" priority="123" operator="equal">
      <formula>"Carga manual$C$226"</formula>
    </cfRule>
  </conditionalFormatting>
  <conditionalFormatting sqref="D300:D301">
    <cfRule type="containsText" dxfId="133" priority="68" operator="containsText" text="6">
      <formula>NOT(ISERROR(SEARCH("6",D300)))</formula>
    </cfRule>
    <cfRule type="containsText" dxfId="132" priority="64" operator="containsText" text="0">
      <formula>NOT(ISERROR(SEARCH("0",D300)))</formula>
    </cfRule>
    <cfRule type="expression" dxfId="131" priority="16">
      <formula>OR(ISNUMBER(SEARCH("0",D300)),  ISNUMBER(SEARCH("1",D300)),  ISNUMBER(SEARCH("2",D300)),  ISNUMBER(SEARCH("3",D300)),  ISNUMBER(SEARCH("4",D300)),  ISNUMBER(SEARCH("5",D300)),  ISNUMBER(SEARCH("6",D300)),  ISNUMBER(SEARCH("7",D300)),  ISNUMBER(SEARCH("8",D300)),  ISNUMBER(SEARCH("9",D300)))</formula>
    </cfRule>
    <cfRule type="containsText" dxfId="130" priority="65" operator="containsText" text="9">
      <formula>NOT(ISERROR(SEARCH("9",D300)))</formula>
    </cfRule>
    <cfRule type="containsText" dxfId="129" priority="66" operator="containsText" text="8">
      <formula>NOT(ISERROR(SEARCH("8",D300)))</formula>
    </cfRule>
    <cfRule type="containsText" dxfId="128" priority="67" operator="containsText" text="7">
      <formula>NOT(ISERROR(SEARCH("7",D300)))</formula>
    </cfRule>
    <cfRule type="containsText" dxfId="127" priority="69" operator="containsText" text="5">
      <formula>NOT(ISERROR(SEARCH("5",D300)))</formula>
    </cfRule>
    <cfRule type="containsText" dxfId="126" priority="70" operator="containsText" text="4">
      <formula>NOT(ISERROR(SEARCH("4",D300)))</formula>
    </cfRule>
    <cfRule type="containsText" dxfId="125" priority="71" operator="containsText" text="3">
      <formula>NOT(ISERROR(SEARCH("3",D300)))</formula>
    </cfRule>
    <cfRule type="containsText" dxfId="124" priority="72" operator="containsText" text="2">
      <formula>NOT(ISERROR(SEARCH("2",D300)))</formula>
    </cfRule>
    <cfRule type="containsText" dxfId="123" priority="73" operator="containsText" text="1">
      <formula>NOT(ISERROR(SEARCH("1",D300)))</formula>
    </cfRule>
  </conditionalFormatting>
  <conditionalFormatting sqref="D226:E226">
    <cfRule type="containsText" dxfId="122" priority="122" operator="containsText" text="Carga manual">
      <formula>NOT(ISERROR(SEARCH("Carga manual",D226)))</formula>
    </cfRule>
    <cfRule type="colorScale" priority="121">
      <colorScale>
        <cfvo type="min"/>
        <cfvo type="max"/>
        <color rgb="FFFF7128"/>
        <color rgb="FFFFEF9C"/>
      </colorScale>
    </cfRule>
  </conditionalFormatting>
  <conditionalFormatting sqref="D280:E281 D282 D283:E284">
    <cfRule type="expression" dxfId="121" priority="17">
      <formula>OR(ISNUMBER(SEARCH("0",D280)),  ISNUMBER(SEARCH("1",D280)),  ISNUMBER(SEARCH("2",D280)),  ISNUMBER(SEARCH("3",D280)),  ISNUMBER(SEARCH("4",D280)),  ISNUMBER(SEARCH("5",D280)),  ISNUMBER(SEARCH("6",D280)),  ISNUMBER(SEARCH("7",D280)),  ISNUMBER(SEARCH("8",D280)),  ISNUMBER(SEARCH("9",D280)))</formula>
    </cfRule>
  </conditionalFormatting>
  <conditionalFormatting sqref="D31:F45">
    <cfRule type="expression" dxfId="120" priority="34">
      <formula>AND(LEN(TRIM($D31&amp;$E31&amp;$F31))&gt;0,   OR(LEN(TRIM($D31))=0,     LEN(TRIM($E31))=0,     LEN(TRIM($F31))=0))</formula>
    </cfRule>
  </conditionalFormatting>
  <conditionalFormatting sqref="D51:G66">
    <cfRule type="expression" dxfId="119" priority="33">
      <formula>AND(LEN(TRIM($D51&amp;$E51&amp;$F51&amp;$G51))&gt;0,   OR(LEN(TRIM($D51))=0,     LEN(TRIM($E51))=0,     LEN(TRIM($F51))=0,     LEN(TRIM($G51))=0))</formula>
    </cfRule>
  </conditionalFormatting>
  <conditionalFormatting sqref="D72:G79">
    <cfRule type="expression" dxfId="118" priority="53">
      <formula>AND(COUNTA($D72:$G72)&gt;0, COUNTBLANK($D72:$G72)&gt;0)</formula>
    </cfRule>
  </conditionalFormatting>
  <conditionalFormatting sqref="D86:G100">
    <cfRule type="expression" dxfId="117" priority="50">
      <formula>AND(COUNTA($D86:$G86)&gt;0, COUNTBLANK($D86:$G86)&gt;0)</formula>
    </cfRule>
  </conditionalFormatting>
  <conditionalFormatting sqref="D280:G281 D282 F282 D283:G284">
    <cfRule type="expression" dxfId="116" priority="35">
      <formula>AND(COUNTA($D280,$F280)&gt;0,   OR($D280="",$F280=""))</formula>
    </cfRule>
    <cfRule type="expression" dxfId="115" priority="28">
      <formula>AND(LEN(TRIM($D280&amp;$F280))&gt;0,   OR(LEN(TRIM($D280))=0,     LEN(TRIM($F280))=0))</formula>
    </cfRule>
  </conditionalFormatting>
  <conditionalFormatting sqref="D300:G301">
    <cfRule type="expression" dxfId="114" priority="42">
      <formula>AND(COUNTA($D300,$E300,$G300)&gt;0,   OR($D300="",$E300="",$G300=""))</formula>
    </cfRule>
  </conditionalFormatting>
  <conditionalFormatting sqref="D362:G382">
    <cfRule type="expression" dxfId="113" priority="39">
      <formula>AND(COUNTA($E362,$F362,$G362)&gt;0,   OR($E362="",$F362="",$G362=""))</formula>
    </cfRule>
  </conditionalFormatting>
  <conditionalFormatting sqref="D388:G408">
    <cfRule type="expression" dxfId="112" priority="37">
      <formula>AND(COUNTA($E388,$F388,$G388)&gt;0,   OR($E388="",$F388="",$G388=""))</formula>
    </cfRule>
  </conditionalFormatting>
  <conditionalFormatting sqref="D414:G434">
    <cfRule type="expression" dxfId="111" priority="36">
      <formula>AND(COUNTA($E414,$F414,$G414)&gt;0,   OR($E414="",$F414="",$G414=""))</formula>
    </cfRule>
  </conditionalFormatting>
  <conditionalFormatting sqref="D187:I192">
    <cfRule type="expression" dxfId="110" priority="2">
      <formula>AND(LEN(TRIM($D187&amp;$E187&amp;$F187&amp;$G187&amp;$H187&amp;$I187))&gt;0,OR(LEN(TRIM($E187))=0,LEN(TRIM($F187))=0,LEN(TRIM($H187))=0,IF(ISNUMBER(SEARCH("Ninguna Ley",$F187)),LEN(TRIM($G187))=0,LEN(TRIM($I187))=0)))</formula>
    </cfRule>
  </conditionalFormatting>
  <conditionalFormatting sqref="D153:N162">
    <cfRule type="expression" dxfId="109" priority="3">
      <formula>AND(LEN(TRIM($D153&amp;$E153&amp;$F153&amp;$G153&amp;$H153&amp;$I153&amp;$J153&amp;$K153&amp;$L153&amp;$M153&amp;$N153))&gt;0,OR(LEN(TRIM($D153))=0,LEN(TRIM($E153))=0,LEN(TRIM($F153))=0,LEN(TRIM($G153))=0,LEN(TRIM($H153))=0,LEN(TRIM($I153))=0,LEN(TRIM($J153))=0,LEN(TRIM($K153))=0,LEN(TRIM($M153))=0,IF(ISNUMBER(SEARCH("Ninguna Ley",$K153)),LEN(TRIM($L153))=0,LEN(TRIM($N153))=0)))</formula>
    </cfRule>
  </conditionalFormatting>
  <conditionalFormatting sqref="D121:T128 D129 F129:T130 D130:E130 D131:T133">
    <cfRule type="expression" dxfId="108" priority="49">
      <formula>AND(LEN(TRIM($D121&amp;$E121&amp;$F121&amp;$G121&amp;$H121&amp;$I121&amp;$J121&amp;$K121&amp;$L121&amp;$M121&amp;$N121&amp;$O121&amp;$P121&amp;$Q121&amp;$R121&amp;$S121&amp;$T121))&gt;0, OR(LEN(TRIM($D121))=0, LEN(TRIM($E121))=0, LEN(TRIM($F121))=0, LEN(TRIM($G121))=0, LEN(TRIM($H121))=0, LEN(TRIM($I121))=0, LEN(TRIM($J121))=0, LEN(TRIM($K121))=0, LEN(TRIM($L121))=0, LEN(TRIM($M121))=0, LEN(TRIM($N121))=0, LEN(TRIM($O121))=0, LEN(TRIM($P121))=0, LEN(TRIM($R121))=0, LEN(TRIM($S121))=0,  IF(ISNUMBER(SEARCH("Ninguna Ley",$P121)), LEN(TRIM($Q121))=0, LEN(TRIM($T121))=0)))</formula>
    </cfRule>
  </conditionalFormatting>
  <conditionalFormatting sqref="E86:E100">
    <cfRule type="expression" dxfId="107" priority="13">
      <formula>OR(ISNUMBER(SEARCH("0",E86)),  ISNUMBER(SEARCH("1",E86)),  ISNUMBER(SEARCH("2",E86)),  ISNUMBER(SEARCH("3",E86)),  ISNUMBER(SEARCH("4",E86)),  ISNUMBER(SEARCH("5",E86)),  ISNUMBER(SEARCH("6",E86)),  ISNUMBER(SEARCH("7",E86)),  ISNUMBER(SEARCH("8",E86)),  ISNUMBER(SEARCH("9",E86)))</formula>
    </cfRule>
    <cfRule type="expression" dxfId="106" priority="21">
      <formula>OR(ISNUMBER(SEARCH("0",E93)),  ISNUMBER(SEARCH("1",E93)),  ISNUMBER(SEARCH("2",E93)),  ISNUMBER(SEARCH("3",E93)),  ISNUMBER(SEARCH("4",E93)),  ISNUMBER(SEARCH("5",E93)),  ISNUMBER(SEARCH("6",E93)),  ISNUMBER(SEARCH("7",E93)),  ISNUMBER(SEARCH("8",E93)),  ISNUMBER(SEARCH("9",E93)))</formula>
    </cfRule>
  </conditionalFormatting>
  <conditionalFormatting sqref="E130">
    <cfRule type="expression" dxfId="105" priority="125">
      <formula>AND(COUNTA($D129:$T129)&gt;0,   COUNTBLANK($D129:$I129)+COUNTBLANK($L129:$P129)+COUNTBLANK($R129:$T129)&gt;0)</formula>
    </cfRule>
  </conditionalFormatting>
  <conditionalFormatting sqref="E187:E192">
    <cfRule type="expression" dxfId="104" priority="25">
      <formula>OR(RIGHT(B187,2)="00",RIGHT(B187,2)&gt;"12")</formula>
    </cfRule>
  </conditionalFormatting>
  <conditionalFormatting sqref="E336:E356 E362:E383 E388:E408 E414:E434">
    <cfRule type="expression" dxfId="103" priority="14">
      <formula>OR(ISNUMBER(SEARCH("0",E336)),  ISNUMBER(SEARCH("1",E336)),  ISNUMBER(SEARCH("2",E336)),  ISNUMBER(SEARCH("3",E336)),  ISNUMBER(SEARCH("4",E336)),  ISNUMBER(SEARCH("5",E336)),  ISNUMBER(SEARCH("6",E336)),  ISNUMBER(SEARCH("7",E336)),  ISNUMBER(SEARCH("8",E336)),  ISNUMBER(SEARCH("9",E336)))</formula>
    </cfRule>
  </conditionalFormatting>
  <conditionalFormatting sqref="E336:E356">
    <cfRule type="containsText" dxfId="102" priority="75" operator="containsText" text="0">
      <formula>NOT(ISERROR(SEARCH("0",E336)))</formula>
    </cfRule>
    <cfRule type="containsText" dxfId="101" priority="76" operator="containsText" text="9">
      <formula>NOT(ISERROR(SEARCH("9",E336)))</formula>
    </cfRule>
    <cfRule type="containsText" dxfId="100" priority="77" operator="containsText" text="8">
      <formula>NOT(ISERROR(SEARCH("8",E336)))</formula>
    </cfRule>
    <cfRule type="containsText" dxfId="99" priority="78" operator="containsText" text="7">
      <formula>NOT(ISERROR(SEARCH("7",E336)))</formula>
    </cfRule>
    <cfRule type="containsText" dxfId="98" priority="79" operator="containsText" text="6">
      <formula>NOT(ISERROR(SEARCH("6",E336)))</formula>
    </cfRule>
    <cfRule type="containsText" dxfId="97" priority="80" operator="containsText" text="5">
      <formula>NOT(ISERROR(SEARCH("5",E336)))</formula>
    </cfRule>
    <cfRule type="containsText" dxfId="96" priority="81" operator="containsText" text="4">
      <formula>NOT(ISERROR(SEARCH("4",E336)))</formula>
    </cfRule>
    <cfRule type="containsText" dxfId="95" priority="82" operator="containsText" text="3">
      <formula>NOT(ISERROR(SEARCH("3",E336)))</formula>
    </cfRule>
    <cfRule type="containsText" dxfId="94" priority="83" operator="containsText" text="2">
      <formula>NOT(ISERROR(SEARCH("2",E336)))</formula>
    </cfRule>
    <cfRule type="containsText" dxfId="93" priority="84" operator="containsText" text="1">
      <formula>NOT(ISERROR(SEARCH("1",E336)))</formula>
    </cfRule>
  </conditionalFormatting>
  <conditionalFormatting sqref="E362:E381">
    <cfRule type="containsText" dxfId="92" priority="86" operator="containsText" text="0">
      <formula>NOT(ISERROR(SEARCH("0",E362)))</formula>
    </cfRule>
    <cfRule type="containsText" dxfId="91" priority="87" operator="containsText" text="9">
      <formula>NOT(ISERROR(SEARCH("9",E362)))</formula>
    </cfRule>
    <cfRule type="containsText" dxfId="90" priority="88" operator="containsText" text="8">
      <formula>NOT(ISERROR(SEARCH("8",E362)))</formula>
    </cfRule>
    <cfRule type="containsText" dxfId="89" priority="89" operator="containsText" text="7">
      <formula>NOT(ISERROR(SEARCH("7",E362)))</formula>
    </cfRule>
    <cfRule type="containsText" dxfId="88" priority="90" operator="containsText" text="6">
      <formula>NOT(ISERROR(SEARCH("6",E362)))</formula>
    </cfRule>
    <cfRule type="containsText" dxfId="87" priority="91" operator="containsText" text="5">
      <formula>NOT(ISERROR(SEARCH("5",E362)))</formula>
    </cfRule>
    <cfRule type="containsText" dxfId="86" priority="92" operator="containsText" text="4">
      <formula>NOT(ISERROR(SEARCH("4",E362)))</formula>
    </cfRule>
    <cfRule type="containsText" dxfId="85" priority="93" operator="containsText" text="3">
      <formula>NOT(ISERROR(SEARCH("3",E362)))</formula>
    </cfRule>
    <cfRule type="containsText" dxfId="84" priority="94" operator="containsText" text="2">
      <formula>NOT(ISERROR(SEARCH("2",E362)))</formula>
    </cfRule>
    <cfRule type="containsText" dxfId="83" priority="95" operator="containsText" text="1">
      <formula>NOT(ISERROR(SEARCH("1",E362)))</formula>
    </cfRule>
  </conditionalFormatting>
  <conditionalFormatting sqref="E388:E407">
    <cfRule type="containsText" dxfId="82" priority="97" operator="containsText" text="0">
      <formula>NOT(ISERROR(SEARCH("0",E388)))</formula>
    </cfRule>
    <cfRule type="containsText" dxfId="81" priority="98" operator="containsText" text="9">
      <formula>NOT(ISERROR(SEARCH("9",E388)))</formula>
    </cfRule>
    <cfRule type="containsText" dxfId="80" priority="99" operator="containsText" text="8">
      <formula>NOT(ISERROR(SEARCH("8",E388)))</formula>
    </cfRule>
    <cfRule type="containsText" dxfId="79" priority="100" operator="containsText" text="7">
      <formula>NOT(ISERROR(SEARCH("7",E388)))</formula>
    </cfRule>
    <cfRule type="containsText" dxfId="78" priority="101" operator="containsText" text="6">
      <formula>NOT(ISERROR(SEARCH("6",E388)))</formula>
    </cfRule>
    <cfRule type="containsText" dxfId="77" priority="102" operator="containsText" text="5">
      <formula>NOT(ISERROR(SEARCH("5",E388)))</formula>
    </cfRule>
    <cfRule type="containsText" dxfId="76" priority="103" operator="containsText" text="4">
      <formula>NOT(ISERROR(SEARCH("4",E388)))</formula>
    </cfRule>
    <cfRule type="containsText" dxfId="75" priority="104" operator="containsText" text="3">
      <formula>NOT(ISERROR(SEARCH("3",E388)))</formula>
    </cfRule>
    <cfRule type="containsText" dxfId="74" priority="105" operator="containsText" text="2">
      <formula>NOT(ISERROR(SEARCH("2",E388)))</formula>
    </cfRule>
    <cfRule type="containsText" dxfId="73" priority="106" operator="containsText" text="1">
      <formula>NOT(ISERROR(SEARCH("1",E388)))</formula>
    </cfRule>
  </conditionalFormatting>
  <conditionalFormatting sqref="E414:E433">
    <cfRule type="containsText" dxfId="72" priority="109" operator="containsText" text="9">
      <formula>NOT(ISERROR(SEARCH("9",E414)))</formula>
    </cfRule>
    <cfRule type="containsText" dxfId="71" priority="110" operator="containsText" text="8">
      <formula>NOT(ISERROR(SEARCH("8",E414)))</formula>
    </cfRule>
    <cfRule type="containsText" dxfId="70" priority="108" operator="containsText" text="0">
      <formula>NOT(ISERROR(SEARCH("0",E414)))</formula>
    </cfRule>
    <cfRule type="containsText" dxfId="69" priority="112" operator="containsText" text="6">
      <formula>NOT(ISERROR(SEARCH("6",E414)))</formula>
    </cfRule>
    <cfRule type="containsText" dxfId="68" priority="113" operator="containsText" text="5">
      <formula>NOT(ISERROR(SEARCH("5",E414)))</formula>
    </cfRule>
    <cfRule type="containsText" dxfId="67" priority="114" operator="containsText" text="4">
      <formula>NOT(ISERROR(SEARCH("4",E414)))</formula>
    </cfRule>
    <cfRule type="containsText" dxfId="66" priority="115" operator="containsText" text="3">
      <formula>NOT(ISERROR(SEARCH("3",E414)))</formula>
    </cfRule>
    <cfRule type="containsText" dxfId="65" priority="116" operator="containsText" text="2">
      <formula>NOT(ISERROR(SEARCH("2",E414)))</formula>
    </cfRule>
    <cfRule type="containsText" dxfId="64" priority="117" operator="containsText" text="1">
      <formula>NOT(ISERROR(SEARCH("1",E414)))</formula>
    </cfRule>
    <cfRule type="containsText" dxfId="63" priority="111" operator="containsText" text="7">
      <formula>NOT(ISERROR(SEARCH("7",E414)))</formula>
    </cfRule>
  </conditionalFormatting>
  <conditionalFormatting sqref="E336:G356">
    <cfRule type="expression" dxfId="62" priority="40">
      <formula>AND(COUNTA($E336,$F336,$G336)&gt;0,   OR($E336="",$F336="",$G336=""))</formula>
    </cfRule>
  </conditionalFormatting>
  <conditionalFormatting sqref="E153:N162">
    <cfRule type="expression" dxfId="61" priority="47">
      <formula>AND(LEN(TRIM($D121&amp;$E121&amp;$F121&amp;$G121&amp;$H121&amp;$I121&amp;$J121&amp;$K121&amp;$L121&amp;$M121&amp;$N121))&gt;0,  OR(LEN(TRIM($D121))=0,   LEN(TRIM($E121))=0,   LEN(TRIM($F121))=0,   LEN(TRIM($G121))=0,   LEN(TRIM($H121))=0,   LEN(TRIM($I121))=0,   LEN(TRIM($J121))=0,   LEN(TRIM($K121))=0,   LEN(TRIM($M121))=0,    IF(ISNUMBER(SEARCH("Ninguna Ley",$K121)),     LEN(TRIM($L121))=0,     LEN(TRIM($N121))=0)))</formula>
    </cfRule>
  </conditionalFormatting>
  <conditionalFormatting sqref="F51:F66">
    <cfRule type="expression" dxfId="60" priority="1">
      <formula>OR(ISNUMBER(SEARCH("A",F51)),  ISNUMBER(SEARCH("B",F51)),  ISNUMBER(SEARCH("C",F51)),  ISNUMBER(SEARCH("D",F51)),  ISNUMBER(SEARCH("E",F51)),  ISNUMBER(SEARCH("F",F51)),  ISNUMBER(SEARCH("G",F51)),  ISNUMBER(SEARCH("H",F51)),  ISNUMBER(SEARCH("I",F51)),  ISNUMBER(SEARCH("J",F51)),  ISNUMBER(SEARCH("K",F51)),  ISNUMBER(SEARCH("L",F51)),  ISNUMBER(SEARCH("M",F51)),  ISNUMBER(SEARCH("N",F51)),  ISNUMBER(SEARCH("O",F51)),  ISNUMBER(SEARCH("P",F51)),  ISNUMBER(SEARCH("Q",F51)),  ISNUMBER(SEARCH("R",F51)),  ISNUMBER(SEARCH("S",F51)),  ISNUMBER(SEARCH("T",F51)),  ISNUMBER(SEARCH("U",F51)),  ISNUMBER(SEARCH("V",F51)),  ISNUMBER(SEARCH("W",F51)),  ISNUMBER(SEARCH("X",F51)),  ISNUMBER(SEARCH("Y",F51)),  ISNUMBER(SEARCH("Z",F51)))</formula>
    </cfRule>
  </conditionalFormatting>
  <conditionalFormatting sqref="F86:F100">
    <cfRule type="expression" dxfId="59" priority="12">
      <formula>OR(ISNUMBER(SEARCH("A",F86)),  ISNUMBER(SEARCH("B",F86)),  ISNUMBER(SEARCH("C",F86)),  ISNUMBER(SEARCH("D",F86)),  ISNUMBER(SEARCH("E",F86)),  ISNUMBER(SEARCH("F",F86)),  ISNUMBER(SEARCH("G",F86)),  ISNUMBER(SEARCH("H",F86)),  ISNUMBER(SEARCH("I",F86)),  ISNUMBER(SEARCH("J",F86)),  ISNUMBER(SEARCH("K",F86)),  ISNUMBER(SEARCH("L",F86)),  ISNUMBER(SEARCH("M",F86)),  ISNUMBER(SEARCH("N",F86)),  ISNUMBER(SEARCH("O",F86)),  ISNUMBER(SEARCH("P",F86)),  ISNUMBER(SEARCH("Q",F86)),  ISNUMBER(SEARCH("R",F86)),  ISNUMBER(SEARCH("S",F86)),  ISNUMBER(SEARCH("T",F86)),  ISNUMBER(SEARCH("U",F86)),  ISNUMBER(SEARCH("V",F86)),  ISNUMBER(SEARCH("W",F86)),  ISNUMBER(SEARCH("X",F86)),  ISNUMBER(SEARCH("Y",F86)),  ISNUMBER(SEARCH("Z",F86)))</formula>
    </cfRule>
  </conditionalFormatting>
  <conditionalFormatting sqref="G209">
    <cfRule type="expression" dxfId="58" priority="10">
      <formula>OR(ISNUMBER(SEARCH("0",G209)),  ISNUMBER(SEARCH("1",G209)),  ISNUMBER(SEARCH("2",G209)),  ISNUMBER(SEARCH("3",G209)),  ISNUMBER(SEARCH("4",G209)),  ISNUMBER(SEARCH("5",G209)),  ISNUMBER(SEARCH("6",G209)),  ISNUMBER(SEARCH("7",G209)),  ISNUMBER(SEARCH("8",G209)),  ISNUMBER(SEARCH("9",G209)))</formula>
    </cfRule>
  </conditionalFormatting>
  <dataValidations xWindow="490" yWindow="532" count="45">
    <dataValidation type="textLength" operator="lessThanOrEqual" allowBlank="1" showInputMessage="1" showErrorMessage="1" error="El texto debe contener como maximo 50 caracteres_x000a_" sqref="E414:E433 E388:E407 E362:E381 E336:E355 D301" xr:uid="{EB7AB3B9-CEED-45D3-BC21-E49EE7ECF3D8}">
      <formula1>50</formula1>
    </dataValidation>
    <dataValidation type="decimal" allowBlank="1" showInputMessage="1" showErrorMessage="1" error="El campo debe contener 11 digitos numericos_x000a_" sqref="G300" xr:uid="{137D83BE-5564-42A0-BABC-F6A1AF312CAC}">
      <formula1>-999999999999999000</formula1>
      <formula2>999999999999999000</formula2>
    </dataValidation>
    <dataValidation type="custom" allowBlank="1" showInputMessage="1" showErrorMessage="1" error="El campo debe contener 11 digitos numericos_x000a_" sqref="F414:F434 F388:F408 E300:F301 D86:D100" xr:uid="{6B3128C5-05D0-46E0-BD92-FE544B072137}">
      <formula1>"10000000000=OR(LOWER(TRIM($E388))=""otros"";  AND(ISNUMBER(--F388);   LEN(F388)=11))"</formula1>
    </dataValidation>
    <dataValidation type="date" allowBlank="1" showInputMessage="1" showErrorMessage="1" error="El campo debe estar entre 01/01/1900 y 31/12/2100" sqref="G211" xr:uid="{358A7FF3-9A80-4070-A99B-A238505ABD5F}">
      <formula1>1</formula1>
      <formula2>73050</formula2>
    </dataValidation>
    <dataValidation type="textLength" operator="lessThanOrEqual" allowBlank="1" showInputMessage="1" showErrorMessage="1" error="El campo debe contener un maximo de 15 caracteres_x000a_" sqref="G209 D187:D192" xr:uid="{6404E724-EF6C-44B4-A523-8AF1205E192C}">
      <formula1>15</formula1>
    </dataValidation>
    <dataValidation type="date" allowBlank="1" showInputMessage="1" showErrorMessage="1" error="El campo debe estar entre 01/01/1900 y 31/12/2100" sqref="D121:D133 D158:D162 F72:F79 D153:D156" xr:uid="{1409960B-9247-4A12-A8E9-7CB9C3D52B71}">
      <formula1>1</formula1>
      <formula2>73415</formula2>
    </dataValidation>
    <dataValidation type="decimal" allowBlank="1" showInputMessage="1" showErrorMessage="1" error="El campo debe estar entre 0 y 100" sqref="E153:E162" xr:uid="{B54D648C-D8DA-49C9-9CC8-1A1E9F606B6F}">
      <formula1>0</formula1>
      <formula2>100</formula2>
    </dataValidation>
    <dataValidation type="textLength" operator="lessThanOrEqual" allowBlank="1" showInputMessage="1" showErrorMessage="1" error="El campo debe tener como maximo 30 caracteres" sqref="H121:H133" xr:uid="{750D47C3-27C2-45D6-A648-6C4F51014582}">
      <formula1>30</formula1>
    </dataValidation>
    <dataValidation type="whole" allowBlank="1" showInputMessage="1" showErrorMessage="1" error="El campo debe tener como maximo 5 digitos numericos" sqref="I121:I133" xr:uid="{743403E1-FF46-4520-9F75-E6771ECB18A7}">
      <formula1>0</formula1>
      <formula2>99999</formula2>
    </dataValidation>
    <dataValidation type="textLength" operator="lessThanOrEqual" allowBlank="1" showInputMessage="1" showErrorMessage="1" error="El campo debe tener maximo 3 caracteres" sqref="J121:J133 I153:I162" xr:uid="{873B1271-8E61-4A9D-BB7E-EEA8F51EE45F}">
      <formula1>3</formula1>
    </dataValidation>
    <dataValidation type="textLength" operator="lessThanOrEqual" allowBlank="1" showInputMessage="1" showErrorMessage="1" error="El campo debe tener maximo 4 caracteres." sqref="K121:K133" xr:uid="{A7C2E888-850F-4A59-99C1-DB90C3EBE7C7}">
      <formula1>4</formula1>
    </dataValidation>
    <dataValidation type="textLength" operator="lessThanOrEqual" allowBlank="1" showInputMessage="1" showErrorMessage="1" error="El campo debe tener maximo 30 caracteres" sqref="L121:L133" xr:uid="{D961B1AE-3C95-4C83-AA6D-437AC5492CB3}">
      <formula1>30</formula1>
    </dataValidation>
    <dataValidation type="textLength" operator="lessThanOrEqual" allowBlank="1" showInputMessage="1" showErrorMessage="1" error="El campo debe tener maximo 8 caracteres" sqref="M121:M133" xr:uid="{6A550451-35B0-4147-A8BB-CA043B04F09E}">
      <formula1>8</formula1>
    </dataValidation>
    <dataValidation type="textLength" operator="lessThanOrEqual" allowBlank="1" showInputMessage="1" showErrorMessage="1" error="El campo debe tener maximo 98 caracteres" sqref="O121:O133" xr:uid="{9CA8697C-BBB7-4CE7-ACD3-508B8387E498}">
      <formula1>98</formula1>
    </dataValidation>
    <dataValidation type="decimal" allowBlank="1" showInputMessage="1" showErrorMessage="1" error="El campo debe tener maximo 9.999.999.999.999,99_x000a_" sqref="Q121:Q133" xr:uid="{E8A04215-F44A-4A78-934E-A6CC26B4C1D8}">
      <formula1>0</formula1>
      <formula2>99999999999999900</formula2>
    </dataValidation>
    <dataValidation type="textLength" operator="lessThanOrEqual" allowBlank="1" showInputMessage="1" showErrorMessage="1" error="El campo debe tener maximo 15 caracteres" sqref="F153:F162" xr:uid="{3748AC57-35B7-4E3D-B009-BD36F243ED74}">
      <formula1>15</formula1>
    </dataValidation>
    <dataValidation type="textLength" operator="lessThanOrEqual" allowBlank="1" showInputMessage="1" showErrorMessage="1" error="El campo debe tener maximo 40 caracteres" sqref="G153:H162" xr:uid="{E62B19AC-1506-4017-A3C2-B2D5A41008E9}">
      <formula1>40</formula1>
    </dataValidation>
    <dataValidation type="decimal" allowBlank="1" showInputMessage="1" showErrorMessage="1" error="El campo debe tener como maximo 9.999.999.999.999,99" sqref="G109 G111 G113 G141 G143 G145 G169 G171 G173 G199 G201 G203 G310 G312 G316 G318 G314 G322 G327 G329 G22 G24 G115 G205 G147 G175 F16 F18" xr:uid="{FE7A98C3-B9DA-4888-958D-C3A8F1330C55}">
      <formula1>0</formula1>
      <formula2>999999999999999</formula2>
    </dataValidation>
    <dataValidation type="textLength" operator="equal" allowBlank="1" showInputMessage="1" showErrorMessage="1" error="El campo requiere 22 caracteres numericos_x000a_" sqref="E31:E45" xr:uid="{3F10495D-6014-43F2-80C8-8005CCD52581}">
      <formula1>22</formula1>
    </dataValidation>
    <dataValidation type="decimal" allowBlank="1" showInputMessage="1" showErrorMessage="1" error="El campo debe tener como maximo 9.999.999.999.999,99_x000a_" sqref="F31:F45 G51:G66" xr:uid="{49EA1A96-B3A5-4D24-8BA6-7177354EBB64}">
      <formula1>0</formula1>
      <formula2>999999999999999</formula2>
    </dataValidation>
    <dataValidation type="decimal" allowBlank="1" showInputMessage="1" showErrorMessage="1" error="El campo debe tener como maximo 999.999.999.999.999,99." sqref="G86:G100" xr:uid="{83AE66E2-27C7-46CD-ADB9-CDE56B58BA34}">
      <formula1>0</formula1>
      <formula2>99999999999999900</formula2>
    </dataValidation>
    <dataValidation type="textLength" operator="equal" allowBlank="1" showInputMessage="1" showErrorMessage="1" error="El campo debe tener 22 digitos numericos" sqref="F86:F100" xr:uid="{C0B37572-EF1E-4CD3-820A-749DFC8B94DA}">
      <formula1>22</formula1>
    </dataValidation>
    <dataValidation type="textLength" operator="lessThanOrEqual" allowBlank="1" showInputMessage="1" showErrorMessage="1" error="El campo debe tener maximo 50 caracteres_x000a_" sqref="E86:E100 F226:F233 F239:F244 F250:F255" xr:uid="{544AE108-10AA-400A-A343-D72F3C002AE4}">
      <formula1>50</formula1>
    </dataValidation>
    <dataValidation type="decimal" allowBlank="1" showInputMessage="1" showErrorMessage="1" error="El campo debe tener maximo 999.999.999.999.999,99" sqref="G107 G139 G167 G197 G295 G289 G291 G297 G308" xr:uid="{CF220643-9A2A-4D6A-8B22-CEC5EBD34678}">
      <formula1>0</formula1>
      <formula2>99999999999999900</formula2>
    </dataValidation>
    <dataValidation type="decimal" allowBlank="1" showInputMessage="1" showErrorMessage="1" error="El campo debe tener maximo 9.999.999.999.999,99" sqref="R121:T133" xr:uid="{28647EFE-9A25-4F74-A6EF-B907F19D0D2F}">
      <formula1>0</formula1>
      <formula2>99999999999999900</formula2>
    </dataValidation>
    <dataValidation type="whole" allowBlank="1" showInputMessage="1" showErrorMessage="1" error="El campo debe estar entre 1900 y 2100" sqref="J153:J162" xr:uid="{8237EA5F-4F97-4245-8590-7A2CDBD5B6CF}">
      <formula1>1900</formula1>
      <formula2>2100</formula2>
    </dataValidation>
    <dataValidation type="whole" allowBlank="1" showInputMessage="1" showErrorMessage="1" error="El campo debe tener maximo 9.999.999.999.999,99" sqref="M153:N162" xr:uid="{07187603-70B7-4131-8FE2-C16F771C903C}">
      <formula1>0</formula1>
      <formula2>999999999999999</formula2>
    </dataValidation>
    <dataValidation type="decimal" allowBlank="1" showInputMessage="1" showErrorMessage="1" error="El campo debe tener un maximo de 9.999.999.999.999,99" sqref="G187:I192 G215 G217 G219" xr:uid="{FB7D50D9-8D3C-4525-8F51-CF156F61AE7A}">
      <formula1>0</formula1>
      <formula2>999999999999999</formula2>
    </dataValidation>
    <dataValidation type="textLength" operator="lessThanOrEqual" allowBlank="1" showInputMessage="1" showErrorMessage="1" error="El campo debe tener maximo 50 caracteres" sqref="D226:E233 D239:E244 D250:E255 E261:F264 E270:F274 D51:D66" xr:uid="{ABF79BA8-A900-4AD7-9130-5F552D4D6C8D}">
      <formula1>50</formula1>
    </dataValidation>
    <dataValidation type="decimal" allowBlank="1" showInputMessage="1" showErrorMessage="1" error="El campo debe tener maximo 9.999.999.999.999,99_x000a_" sqref="G226:G233 G239:G244 G250:G255 G261:G264 G270:G274 F280:F284 G280:G281 G283:G284" xr:uid="{D943BC0C-7404-4171-84D3-EA53FBE41287}">
      <formula1>0</formula1>
      <formula2>999999999999999</formula2>
    </dataValidation>
    <dataValidation type="textLength" operator="lessThanOrEqual" allowBlank="1" showInputMessage="1" showErrorMessage="1" error="El campo debe tener como maximo 40 caracteres" sqref="D280:D284 E280:E281 E283:E284" xr:uid="{587C8E46-B1E4-4ED2-963E-578D5E04EF81}">
      <formula1>40</formula1>
    </dataValidation>
    <dataValidation type="decimal" allowBlank="1" showInputMessage="1" showErrorMessage="1" error="El campo debe tener maximo 999.999.999.999.999,99" sqref="G293 G287" xr:uid="{B5EC7660-8805-4A6F-8D9A-F0290E57CC8C}">
      <formula1>0</formula1>
      <formula2>999999999999999</formula2>
    </dataValidation>
    <dataValidation type="textLength" operator="lessThanOrEqual" allowBlank="1" showInputMessage="1" showErrorMessage="1" error="El texto debe contener maximo 50 caracteres_x000a_" sqref="D300" xr:uid="{77C518EC-D94A-40E7-A49E-6F897F69F7A6}">
      <formula1>50</formula1>
    </dataValidation>
    <dataValidation type="decimal" allowBlank="1" showInputMessage="1" showErrorMessage="1" error="El campo debe tener maximo 999.999.999.999.999,99_x000a_" sqref="G301" xr:uid="{15A2222A-9DC8-4182-BEEA-0421E3C7F265}">
      <formula1>-999999999999999000</formula1>
      <formula2>99999999999999900</formula2>
    </dataValidation>
    <dataValidation type="decimal" allowBlank="1" showInputMessage="1" showErrorMessage="1" error="El campo debe contener 999.999.999.999.999,99" sqref="G336:G356 G362:G382 G388:G408 G414:G434" xr:uid="{5FE5AE9B-9AA8-43A3-8E3E-E8D8589D1267}">
      <formula1>-999999999999999000</formula1>
      <formula2>99999999999999900</formula2>
    </dataValidation>
    <dataValidation type="decimal" allowBlank="1" showInputMessage="1" showErrorMessage="1" error="EL campo debe tener maximo 999.999.999.999.999,99" sqref="G441" xr:uid="{19327B44-43A1-49C9-BF05-E58094A7F244}">
      <formula1>0</formula1>
      <formula2>99999999999999900</formula2>
    </dataValidation>
    <dataValidation type="decimal" allowBlank="1" showInputMessage="1" showErrorMessage="1" error="El campo debe tener maximo 9.999.999.999.999,99" sqref="G443 G445 L153:L162" xr:uid="{5AE5EEE1-F668-496A-844C-02C24FF011B3}">
      <formula1>0</formula1>
      <formula2>999999999999999</formula2>
    </dataValidation>
    <dataValidation type="decimal" allowBlank="1" showInputMessage="1" showErrorMessage="1" error="El campo debe tener maximo 999.999.999.999.999,99_x000a_" sqref="G449" xr:uid="{2F067369-48ED-4633-95B1-12517628CD97}">
      <formula1>0</formula1>
      <formula2>99999999999999900</formula2>
    </dataValidation>
    <dataValidation type="decimal" allowBlank="1" showInputMessage="1" showErrorMessage="1" error="El campo debe tener 9.999.999.999.999,99" sqref="G451 G453 G455 G457" xr:uid="{C573CD13-222D-4FDD-A998-18E5EBF40224}">
      <formula1>0</formula1>
      <formula2>999999999999999</formula2>
    </dataValidation>
    <dataValidation type="decimal" allowBlank="1" showInputMessage="1" showErrorMessage="1" error="El campo debe ir de 0 a 100" sqref="E121:E128 E130:E133" xr:uid="{A92F35C0-6330-42FE-9DE5-6324E3FB2B43}">
      <formula1>0</formula1>
      <formula2>100</formula2>
    </dataValidation>
    <dataValidation type="date" allowBlank="1" showInputMessage="1" showErrorMessage="1" error="El campo debe estar entre 01/01/1900 y 31/12/2100" sqref="D157" xr:uid="{128F1B1C-2F92-4F9B-A8F3-D2DEB085618F}">
      <formula1>1</formula1>
      <formula2>73385</formula2>
    </dataValidation>
    <dataValidation type="date" allowBlank="1" showInputMessage="1" showErrorMessage="1" error="El camapo debe estar entre 01/01/1900 y 31/12/2100" sqref="E187:E192" xr:uid="{A69C678A-B31C-4966-A411-C17446A1CF44}">
      <formula1>1</formula1>
      <formula2>73385</formula2>
    </dataValidation>
    <dataValidation type="decimal" allowBlank="1" showInputMessage="1" showErrorMessage="1" error="El campo debe tener como maximo 9.999.999.999.999,99_x000a_" sqref="E72:E79 G72:G79" xr:uid="{4C79172B-F261-4E89-B550-88647B16DBC5}">
      <formula1>0</formula1>
      <formula2>9999999999999</formula2>
    </dataValidation>
    <dataValidation type="textLength" operator="lessThanOrEqual" allowBlank="1" showInputMessage="1" showErrorMessage="1" error="El campo requiere 22 caracteres numericos_x000a_" sqref="F51:F66" xr:uid="{64E36A6B-B6BD-4C8D-AE08-2007208D7068}">
      <formula1>22</formula1>
    </dataValidation>
    <dataValidation type="custom" allowBlank="1" showInputMessage="1" showErrorMessage="1" error="El campo debe contener 11 digitos numericos_x000a_" sqref="F336:F356 F362:F382" xr:uid="{989F2ABE-C482-49B9-A071-C428965D3D8A}">
      <formula1>OR(LOWER(TRIM($E336))="otros",  AND(ISNUMBER(--F336),   LEN(F336)=11))</formula1>
    </dataValidation>
  </dataValidations>
  <printOptions horizontalCentered="1"/>
  <pageMargins left="0" right="0" top="0.43307086614173229" bottom="0.15748031496062992" header="0.18" footer="0"/>
  <pageSetup paperSize="9" scale="25" fitToHeight="10" orientation="portrait" r:id="rId1"/>
  <headerFooter alignWithMargins="0">
    <oddHeader>&amp;C
&amp;R&amp;"Arial,Bold"&amp;12&amp;KFF0000&amp;A</oddHeader>
    <oddFooter>Page &amp;P of &amp;N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0" operator="containsText" id="{B41184F5-BABA-476F-969B-F0A66483CE28}">
            <xm:f>NOT(ISERROR(SEARCH($C$226,D226)))</xm:f>
            <xm:f>$C$226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D226:E226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490" yWindow="532" count="15">
        <x14:dataValidation type="list" allowBlank="1" showInputMessage="1" showErrorMessage="1" xr:uid="{AAC4928E-C9CF-412C-B951-548710263B18}">
          <x14:formula1>
            <xm:f>SIAP!$A$3:$A$411</xm:f>
          </x14:formula1>
          <xm:sqref>D31:D45</xm:sqref>
        </x14:dataValidation>
        <x14:dataValidation type="list" allowBlank="1" showInputMessage="1" showErrorMessage="1" xr:uid="{BC2EED1F-9216-4922-B083-589FC9BA86EC}">
          <x14:formula1>
            <xm:f>SIAP!$C$3:$C$261</xm:f>
          </x14:formula1>
          <xm:sqref>E51:E66</xm:sqref>
        </x14:dataValidation>
        <x14:dataValidation type="list" allowBlank="1" showInputMessage="1" showErrorMessage="1" xr:uid="{F885E034-D028-4F81-9B5D-0D08B7BFC9CA}">
          <x14:formula1>
            <xm:f>SIAP!$H$3:$H$191</xm:f>
          </x14:formula1>
          <xm:sqref>D72:D79</xm:sqref>
        </x14:dataValidation>
        <x14:dataValidation type="list" allowBlank="1" showInputMessage="1" showErrorMessage="1" prompt="Seleccionar CARGA MANUAL en caso de no encontrar denominacion correcta de la inversion" xr:uid="{54844BBA-73AF-4833-9E3D-5F31DC82BB4D}">
          <x14:formula1>
            <xm:f>SIAP!$L$3:$L$992</xm:f>
          </x14:formula1>
          <xm:sqref>C239:C244</xm:sqref>
        </x14:dataValidation>
        <x14:dataValidation type="list" allowBlank="1" showInputMessage="1" showErrorMessage="1" prompt="Seleccionar CARGA MANUAL en caso de no encontrar denominacion correcta de la inversion" xr:uid="{C4706851-1BE6-495D-BA80-11E7BC5341E1}">
          <x14:formula1>
            <xm:f>SIAP!$N$3:$N$480</xm:f>
          </x14:formula1>
          <xm:sqref>C250:C255</xm:sqref>
        </x14:dataValidation>
        <x14:dataValidation type="list" allowBlank="1" showInputMessage="1" showErrorMessage="1" prompt="Seleccionar CARGA MANUAL en caso de no encontrar denominacion correcta de la inversion" xr:uid="{55A224E8-B666-4A84-8D2D-BCBCA4D4E5D9}">
          <x14:formula1>
            <xm:f>SIAP!$R$3:$R$1034</xm:f>
          </x14:formula1>
          <xm:sqref>C270:C274</xm:sqref>
        </x14:dataValidation>
        <x14:dataValidation type="list" allowBlank="1" showInputMessage="1" showErrorMessage="1" xr:uid="{7070F500-386D-4BC7-BCEA-8ED8D3710EF2}">
          <x14:formula1>
            <xm:f>SIAP!$E$61:$E$65</xm:f>
          </x14:formula1>
          <xm:sqref>G121:G133</xm:sqref>
        </x14:dataValidation>
        <x14:dataValidation type="list" allowBlank="1" showInputMessage="1" showErrorMessage="1" xr:uid="{46690E45-3F68-4534-9DF9-804A9AF7FEE5}">
          <x14:formula1>
            <xm:f>SIAP!$E$48:$E$58</xm:f>
          </x14:formula1>
          <xm:sqref>F121:F133</xm:sqref>
        </x14:dataValidation>
        <x14:dataValidation type="list" allowBlank="1" showInputMessage="1" showErrorMessage="1" xr:uid="{18CDD160-93B7-4B3A-8EC9-A50B408E03B3}">
          <x14:formula1>
            <xm:f>SIAP!$E$44:$E$45</xm:f>
          </x14:formula1>
          <xm:sqref>H3</xm:sqref>
        </x14:dataValidation>
        <x14:dataValidation type="list" allowBlank="1" showInputMessage="1" showErrorMessage="1" xr:uid="{140AEC6C-31AF-4933-9EE9-6856C3C91D8F}">
          <x14:formula1>
            <xm:f>SIAP!$H$193:$H$202</xm:f>
          </x14:formula1>
          <xm:sqref>D4</xm:sqref>
        </x14:dataValidation>
        <x14:dataValidation type="list" allowBlank="1" showInputMessage="1" showErrorMessage="1" xr:uid="{F20EBFF0-01FC-4FFE-8DF2-66D7D222008C}">
          <x14:formula1>
            <xm:f>SIAP!$T$3:$T$17</xm:f>
          </x14:formula1>
          <xm:sqref>G320 K153:K162 P121:P133</xm:sqref>
        </x14:dataValidation>
        <x14:dataValidation type="list" allowBlank="1" showInputMessage="1" showErrorMessage="1" prompt="Seleccionar CARGA MANUAL en caso de no encontrar denominacion correcta de la inversion" xr:uid="{6CD7AE0C-DC31-4A71-9C27-60EF5BFB287B}">
          <x14:formula1>
            <xm:f>SIAP!$J$3:$J$189</xm:f>
          </x14:formula1>
          <xm:sqref>C226:C233</xm:sqref>
        </x14:dataValidation>
        <x14:dataValidation type="list" allowBlank="1" showInputMessage="1" showErrorMessage="1" prompt="Seleccionar CARGA MANUAL en caso de no encontrar denominacion correcta de la inversion" xr:uid="{6DED8154-5E70-4789-AAEA-4B3CEEB822FD}">
          <x14:formula1>
            <xm:f>SIAP!$P$3:$P$90</xm:f>
          </x14:formula1>
          <xm:sqref>C261:C264</xm:sqref>
        </x14:dataValidation>
        <x14:dataValidation type="list" allowBlank="1" showInputMessage="1" showErrorMessage="1" error="Debe seleccionar una opción de la lista desplegable" xr:uid="{24840214-E2D7-448C-9A21-0B268709DE72}">
          <x14:formula1>
            <xm:f>SIAP!$T$3:$T$17</xm:f>
          </x14:formula1>
          <xm:sqref>G213 F187:F192</xm:sqref>
        </x14:dataValidation>
        <x14:dataValidation type="list" allowBlank="1" showInputMessage="1" showErrorMessage="1" xr:uid="{57DED89C-304C-4184-8300-211F1C633B30}">
          <x14:formula1>
            <xm:f>SIAP!$E$68:$E$91</xm:f>
          </x14:formula1>
          <xm:sqref>N123:N133 N121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D02-E8D5-422E-A943-A17EEA4621C1}">
  <sheetPr codeName="Sheet6">
    <tabColor rgb="FF92D050"/>
  </sheetPr>
  <dimension ref="A2:V1034"/>
  <sheetViews>
    <sheetView showGridLines="0" topLeftCell="R1" zoomScale="90" zoomScaleNormal="90" workbookViewId="0">
      <selection activeCell="V9" sqref="V9"/>
    </sheetView>
  </sheetViews>
  <sheetFormatPr defaultColWidth="8.85546875" defaultRowHeight="12.95"/>
  <cols>
    <col min="1" max="1" width="60.140625" style="1" bestFit="1" customWidth="1"/>
    <col min="2" max="2" width="8.85546875" style="1"/>
    <col min="3" max="3" width="60.140625" style="1" bestFit="1" customWidth="1"/>
    <col min="4" max="7" width="8.85546875" style="1"/>
    <col min="8" max="8" width="15.140625" style="1" customWidth="1"/>
    <col min="9" max="9" width="2.140625" style="1" customWidth="1"/>
    <col min="10" max="10" width="8.85546875" style="1"/>
    <col min="11" max="11" width="4" style="1" customWidth="1"/>
    <col min="12" max="17" width="8.85546875" style="1"/>
    <col min="18" max="18" width="47.85546875" style="1" bestFit="1" customWidth="1"/>
    <col min="19" max="19" width="8.85546875" style="1"/>
    <col min="20" max="20" width="105.85546875" style="1" bestFit="1" customWidth="1"/>
    <col min="21" max="16384" width="8.85546875" style="1"/>
  </cols>
  <sheetData>
    <row r="2" spans="1:22" ht="13.5" thickBot="1">
      <c r="A2" s="3" t="s">
        <v>228</v>
      </c>
      <c r="C2" s="4" t="s">
        <v>109</v>
      </c>
      <c r="E2" s="4" t="s">
        <v>229</v>
      </c>
      <c r="H2" s="4" t="s">
        <v>230</v>
      </c>
      <c r="J2" s="4" t="s">
        <v>231</v>
      </c>
      <c r="L2" s="4" t="s">
        <v>232</v>
      </c>
      <c r="N2" s="4" t="s">
        <v>233</v>
      </c>
      <c r="P2" s="4" t="s">
        <v>234</v>
      </c>
      <c r="R2" s="4" t="s">
        <v>235</v>
      </c>
      <c r="T2" s="4" t="s">
        <v>236</v>
      </c>
      <c r="V2" s="4" t="s">
        <v>237</v>
      </c>
    </row>
    <row r="3" spans="1:22" ht="15" thickTop="1">
      <c r="A3" s="1" t="s">
        <v>238</v>
      </c>
      <c r="C3" s="1" t="s">
        <v>239</v>
      </c>
      <c r="D3" s="1" t="s">
        <v>240</v>
      </c>
      <c r="E3" s="1" t="s">
        <v>241</v>
      </c>
      <c r="F3" s="2" t="s">
        <v>242</v>
      </c>
      <c r="H3" s="6" t="s">
        <v>243</v>
      </c>
      <c r="I3" s="6"/>
      <c r="J3" s="6" t="s">
        <v>244</v>
      </c>
      <c r="K3" s="6"/>
      <c r="L3" s="7" t="s">
        <v>245</v>
      </c>
      <c r="M3" s="7"/>
      <c r="N3" s="7" t="s">
        <v>246</v>
      </c>
      <c r="P3" s="7" t="s">
        <v>247</v>
      </c>
      <c r="R3" s="7" t="s">
        <v>248</v>
      </c>
      <c r="T3" s="7" t="s">
        <v>249</v>
      </c>
      <c r="V3" s="466" t="s">
        <v>250</v>
      </c>
    </row>
    <row r="4" spans="1:22" ht="14.45">
      <c r="A4" s="1" t="s">
        <v>251</v>
      </c>
      <c r="C4" s="1" t="s">
        <v>252</v>
      </c>
      <c r="D4" s="1" t="s">
        <v>253</v>
      </c>
      <c r="E4" s="1" t="s">
        <v>254</v>
      </c>
      <c r="F4" s="2" t="s">
        <v>254</v>
      </c>
      <c r="H4" s="7" t="s">
        <v>255</v>
      </c>
      <c r="I4" s="7"/>
      <c r="J4" s="6" t="s">
        <v>256</v>
      </c>
      <c r="K4" s="6"/>
      <c r="L4" s="7" t="s">
        <v>257</v>
      </c>
      <c r="M4" s="7"/>
      <c r="N4" s="7" t="s">
        <v>258</v>
      </c>
      <c r="P4" s="7" t="s">
        <v>259</v>
      </c>
      <c r="R4" s="7" t="s">
        <v>260</v>
      </c>
      <c r="T4" s="7" t="s">
        <v>261</v>
      </c>
      <c r="V4" s="466" t="s">
        <v>262</v>
      </c>
    </row>
    <row r="5" spans="1:22" ht="14.45">
      <c r="A5" s="1" t="s">
        <v>263</v>
      </c>
      <c r="C5" s="1" t="s">
        <v>264</v>
      </c>
      <c r="H5" s="7" t="s">
        <v>265</v>
      </c>
      <c r="I5" s="7"/>
      <c r="J5" s="6" t="s">
        <v>266</v>
      </c>
      <c r="K5" s="6"/>
      <c r="L5" s="7" t="s">
        <v>267</v>
      </c>
      <c r="M5" s="7"/>
      <c r="N5" s="7" t="s">
        <v>268</v>
      </c>
      <c r="P5" s="7" t="s">
        <v>269</v>
      </c>
      <c r="R5" s="7" t="s">
        <v>270</v>
      </c>
      <c r="T5" s="7" t="s">
        <v>271</v>
      </c>
      <c r="V5" s="466" t="s">
        <v>272</v>
      </c>
    </row>
    <row r="6" spans="1:22" ht="15" thickBot="1">
      <c r="A6" s="1" t="s">
        <v>273</v>
      </c>
      <c r="C6" s="1" t="s">
        <v>274</v>
      </c>
      <c r="E6" s="4" t="s">
        <v>275</v>
      </c>
      <c r="H6" s="7" t="s">
        <v>276</v>
      </c>
      <c r="I6" s="7"/>
      <c r="J6" s="6" t="s">
        <v>277</v>
      </c>
      <c r="K6" s="6"/>
      <c r="L6" s="7" t="s">
        <v>278</v>
      </c>
      <c r="M6" s="7"/>
      <c r="N6" s="7" t="s">
        <v>279</v>
      </c>
      <c r="P6" s="7" t="s">
        <v>280</v>
      </c>
      <c r="R6" s="7" t="s">
        <v>281</v>
      </c>
      <c r="T6" s="7" t="s">
        <v>282</v>
      </c>
      <c r="V6" s="466" t="s">
        <v>283</v>
      </c>
    </row>
    <row r="7" spans="1:22" ht="15" thickTop="1">
      <c r="A7" s="1" t="s">
        <v>284</v>
      </c>
      <c r="C7" s="1" t="s">
        <v>285</v>
      </c>
      <c r="E7" s="2" t="s">
        <v>286</v>
      </c>
      <c r="H7" s="7" t="s">
        <v>287</v>
      </c>
      <c r="I7" s="7"/>
      <c r="J7" s="6" t="s">
        <v>288</v>
      </c>
      <c r="K7" s="6"/>
      <c r="L7" s="7" t="s">
        <v>289</v>
      </c>
      <c r="M7" s="7"/>
      <c r="N7" s="7" t="s">
        <v>290</v>
      </c>
      <c r="P7" s="7" t="s">
        <v>291</v>
      </c>
      <c r="R7" s="7" t="s">
        <v>292</v>
      </c>
      <c r="T7" s="7" t="s">
        <v>293</v>
      </c>
      <c r="V7" s="466" t="s">
        <v>294</v>
      </c>
    </row>
    <row r="8" spans="1:22" ht="14.45">
      <c r="A8" s="1" t="s">
        <v>295</v>
      </c>
      <c r="C8" s="1" t="s">
        <v>296</v>
      </c>
      <c r="E8" s="2" t="s">
        <v>297</v>
      </c>
      <c r="H8" s="7" t="s">
        <v>298</v>
      </c>
      <c r="I8" s="7"/>
      <c r="J8" s="6" t="s">
        <v>299</v>
      </c>
      <c r="K8" s="6"/>
      <c r="L8" s="7" t="s">
        <v>300</v>
      </c>
      <c r="M8" s="7"/>
      <c r="N8" s="7" t="s">
        <v>301</v>
      </c>
      <c r="P8" s="7" t="s">
        <v>302</v>
      </c>
      <c r="R8" s="7" t="s">
        <v>303</v>
      </c>
      <c r="T8" s="7" t="s">
        <v>304</v>
      </c>
      <c r="V8" s="466" t="s">
        <v>305</v>
      </c>
    </row>
    <row r="9" spans="1:22" ht="14.45">
      <c r="A9" s="1" t="s">
        <v>306</v>
      </c>
      <c r="C9" s="1" t="s">
        <v>307</v>
      </c>
      <c r="E9" s="2" t="s">
        <v>308</v>
      </c>
      <c r="H9" s="7" t="s">
        <v>309</v>
      </c>
      <c r="I9" s="7"/>
      <c r="J9" s="6" t="s">
        <v>310</v>
      </c>
      <c r="K9" s="6"/>
      <c r="L9" s="7" t="s">
        <v>311</v>
      </c>
      <c r="M9" s="7"/>
      <c r="N9" s="7" t="s">
        <v>312</v>
      </c>
      <c r="P9" s="7" t="s">
        <v>313</v>
      </c>
      <c r="R9" s="7" t="s">
        <v>314</v>
      </c>
      <c r="T9" s="7" t="s">
        <v>315</v>
      </c>
      <c r="V9" s="466" t="s">
        <v>316</v>
      </c>
    </row>
    <row r="10" spans="1:22">
      <c r="A10" s="1" t="s">
        <v>317</v>
      </c>
      <c r="C10" s="1" t="s">
        <v>318</v>
      </c>
      <c r="H10" s="7" t="s">
        <v>319</v>
      </c>
      <c r="I10" s="7"/>
      <c r="J10" s="6" t="s">
        <v>320</v>
      </c>
      <c r="K10" s="6"/>
      <c r="L10" s="7" t="s">
        <v>321</v>
      </c>
      <c r="M10" s="7"/>
      <c r="N10" s="7" t="s">
        <v>322</v>
      </c>
      <c r="P10" s="7" t="s">
        <v>323</v>
      </c>
      <c r="R10" s="7" t="s">
        <v>324</v>
      </c>
      <c r="T10" s="7" t="s">
        <v>325</v>
      </c>
    </row>
    <row r="11" spans="1:22">
      <c r="A11" s="1" t="s">
        <v>326</v>
      </c>
      <c r="C11" s="1" t="s">
        <v>327</v>
      </c>
      <c r="H11" s="7" t="s">
        <v>328</v>
      </c>
      <c r="I11" s="7"/>
      <c r="J11" s="6" t="s">
        <v>329</v>
      </c>
      <c r="K11" s="6"/>
      <c r="L11" s="7" t="s">
        <v>330</v>
      </c>
      <c r="M11" s="7"/>
      <c r="N11" s="7" t="s">
        <v>331</v>
      </c>
      <c r="P11" s="7" t="s">
        <v>332</v>
      </c>
      <c r="R11" s="7" t="s">
        <v>333</v>
      </c>
      <c r="T11" s="7" t="s">
        <v>334</v>
      </c>
    </row>
    <row r="12" spans="1:22">
      <c r="A12" s="1" t="s">
        <v>335</v>
      </c>
      <c r="C12" s="1" t="s">
        <v>336</v>
      </c>
      <c r="E12" s="5" t="s">
        <v>337</v>
      </c>
      <c r="F12" s="5"/>
      <c r="H12" s="7" t="s">
        <v>338</v>
      </c>
      <c r="I12" s="7"/>
      <c r="J12" s="6" t="s">
        <v>339</v>
      </c>
      <c r="K12" s="6"/>
      <c r="L12" s="7" t="s">
        <v>340</v>
      </c>
      <c r="M12" s="7"/>
      <c r="N12" s="7" t="s">
        <v>341</v>
      </c>
      <c r="P12" s="7" t="s">
        <v>342</v>
      </c>
      <c r="R12" s="7" t="s">
        <v>343</v>
      </c>
      <c r="T12" s="7" t="s">
        <v>344</v>
      </c>
    </row>
    <row r="13" spans="1:22" ht="14.45">
      <c r="A13" s="1" t="s">
        <v>345</v>
      </c>
      <c r="C13" s="1" t="s">
        <v>346</v>
      </c>
      <c r="E13" s="2" t="s">
        <v>347</v>
      </c>
      <c r="H13" s="7" t="s">
        <v>348</v>
      </c>
      <c r="I13" s="7"/>
      <c r="J13" s="6" t="s">
        <v>349</v>
      </c>
      <c r="K13" s="6"/>
      <c r="L13" s="7" t="s">
        <v>350</v>
      </c>
      <c r="M13" s="7"/>
      <c r="N13" s="7" t="s">
        <v>351</v>
      </c>
      <c r="P13" s="7" t="s">
        <v>352</v>
      </c>
      <c r="R13" s="7" t="s">
        <v>353</v>
      </c>
      <c r="T13" s="7" t="s">
        <v>354</v>
      </c>
    </row>
    <row r="14" spans="1:22" ht="14.45">
      <c r="A14" s="1" t="s">
        <v>355</v>
      </c>
      <c r="C14" s="1" t="s">
        <v>356</v>
      </c>
      <c r="E14" s="2" t="s">
        <v>357</v>
      </c>
      <c r="H14" s="7" t="s">
        <v>358</v>
      </c>
      <c r="I14" s="7"/>
      <c r="J14" s="6" t="s">
        <v>359</v>
      </c>
      <c r="K14" s="6"/>
      <c r="L14" s="7" t="s">
        <v>360</v>
      </c>
      <c r="M14" s="7"/>
      <c r="N14" s="7" t="s">
        <v>361</v>
      </c>
      <c r="P14" s="7" t="s">
        <v>362</v>
      </c>
      <c r="R14" s="7" t="s">
        <v>363</v>
      </c>
      <c r="T14" s="7" t="s">
        <v>364</v>
      </c>
    </row>
    <row r="15" spans="1:22" ht="14.45">
      <c r="A15" s="1" t="s">
        <v>365</v>
      </c>
      <c r="C15" s="1" t="s">
        <v>366</v>
      </c>
      <c r="E15" s="2" t="s">
        <v>367</v>
      </c>
      <c r="H15" s="7" t="s">
        <v>368</v>
      </c>
      <c r="I15" s="7"/>
      <c r="J15" s="6" t="s">
        <v>369</v>
      </c>
      <c r="K15" s="6"/>
      <c r="L15" s="7" t="s">
        <v>370</v>
      </c>
      <c r="M15" s="7"/>
      <c r="N15" s="7" t="s">
        <v>371</v>
      </c>
      <c r="P15" s="7" t="s">
        <v>372</v>
      </c>
      <c r="R15" s="7" t="s">
        <v>373</v>
      </c>
      <c r="T15" s="7" t="s">
        <v>374</v>
      </c>
    </row>
    <row r="16" spans="1:22" ht="14.45">
      <c r="A16" s="1" t="s">
        <v>375</v>
      </c>
      <c r="C16" s="1" t="s">
        <v>376</v>
      </c>
      <c r="E16" s="2" t="s">
        <v>377</v>
      </c>
      <c r="H16" s="7" t="s">
        <v>378</v>
      </c>
      <c r="I16" s="7"/>
      <c r="J16" s="6" t="s">
        <v>379</v>
      </c>
      <c r="K16" s="6"/>
      <c r="L16" s="7" t="s">
        <v>380</v>
      </c>
      <c r="M16" s="7"/>
      <c r="N16" s="7" t="s">
        <v>381</v>
      </c>
      <c r="P16" s="7" t="s">
        <v>382</v>
      </c>
      <c r="R16" s="7" t="s">
        <v>383</v>
      </c>
      <c r="T16" s="7" t="s">
        <v>384</v>
      </c>
    </row>
    <row r="17" spans="1:20" ht="14.45">
      <c r="A17" s="1" t="s">
        <v>385</v>
      </c>
      <c r="C17" s="1" t="s">
        <v>386</v>
      </c>
      <c r="E17" s="2" t="s">
        <v>387</v>
      </c>
      <c r="H17" s="7" t="s">
        <v>388</v>
      </c>
      <c r="I17" s="7"/>
      <c r="J17" s="6" t="s">
        <v>389</v>
      </c>
      <c r="K17" s="6"/>
      <c r="L17" s="7" t="s">
        <v>390</v>
      </c>
      <c r="M17" s="7"/>
      <c r="N17" s="7" t="s">
        <v>391</v>
      </c>
      <c r="P17" s="7" t="s">
        <v>392</v>
      </c>
      <c r="R17" s="7" t="s">
        <v>393</v>
      </c>
      <c r="T17" s="7" t="s">
        <v>394</v>
      </c>
    </row>
    <row r="18" spans="1:20" ht="14.45">
      <c r="A18" s="1" t="s">
        <v>395</v>
      </c>
      <c r="C18" s="1" t="s">
        <v>396</v>
      </c>
      <c r="E18" s="2" t="s">
        <v>397</v>
      </c>
      <c r="H18" s="7" t="s">
        <v>398</v>
      </c>
      <c r="I18" s="7"/>
      <c r="J18" s="6" t="s">
        <v>399</v>
      </c>
      <c r="K18" s="6"/>
      <c r="L18" s="7" t="s">
        <v>400</v>
      </c>
      <c r="M18" s="7"/>
      <c r="N18" s="7" t="s">
        <v>401</v>
      </c>
      <c r="P18" s="7" t="s">
        <v>402</v>
      </c>
      <c r="R18" s="7" t="s">
        <v>403</v>
      </c>
    </row>
    <row r="19" spans="1:20" ht="14.45">
      <c r="A19" s="1" t="s">
        <v>404</v>
      </c>
      <c r="C19" s="1" t="s">
        <v>405</v>
      </c>
      <c r="E19" s="2" t="s">
        <v>406</v>
      </c>
      <c r="H19" s="7" t="s">
        <v>407</v>
      </c>
      <c r="I19" s="7"/>
      <c r="J19" s="6" t="s">
        <v>408</v>
      </c>
      <c r="K19" s="6"/>
      <c r="L19" s="7" t="s">
        <v>409</v>
      </c>
      <c r="M19" s="7"/>
      <c r="N19" s="7" t="s">
        <v>410</v>
      </c>
      <c r="P19" s="7" t="s">
        <v>411</v>
      </c>
      <c r="R19" s="7" t="s">
        <v>412</v>
      </c>
    </row>
    <row r="20" spans="1:20" ht="15" thickBot="1">
      <c r="A20" s="1" t="s">
        <v>413</v>
      </c>
      <c r="C20" s="1" t="s">
        <v>414</v>
      </c>
      <c r="E20" s="2" t="s">
        <v>415</v>
      </c>
      <c r="H20" s="7" t="s">
        <v>416</v>
      </c>
      <c r="I20" s="7"/>
      <c r="J20" s="6" t="s">
        <v>417</v>
      </c>
      <c r="K20" s="6"/>
      <c r="L20" s="7" t="s">
        <v>418</v>
      </c>
      <c r="M20" s="7"/>
      <c r="N20" s="7" t="s">
        <v>419</v>
      </c>
      <c r="P20" s="7" t="s">
        <v>420</v>
      </c>
      <c r="R20" s="7" t="s">
        <v>421</v>
      </c>
      <c r="T20" s="4" t="s">
        <v>422</v>
      </c>
    </row>
    <row r="21" spans="1:20" ht="15" thickTop="1">
      <c r="A21" s="1" t="s">
        <v>423</v>
      </c>
      <c r="C21" s="1" t="s">
        <v>424</v>
      </c>
      <c r="E21" s="2" t="s">
        <v>425</v>
      </c>
      <c r="H21" s="7" t="s">
        <v>426</v>
      </c>
      <c r="I21" s="7"/>
      <c r="J21" s="6" t="s">
        <v>427</v>
      </c>
      <c r="K21" s="6"/>
      <c r="L21" s="7" t="s">
        <v>428</v>
      </c>
      <c r="M21" s="7"/>
      <c r="N21" s="7" t="s">
        <v>429</v>
      </c>
      <c r="P21" s="7" t="s">
        <v>430</v>
      </c>
      <c r="R21" s="7" t="s">
        <v>431</v>
      </c>
      <c r="T21" s="1" t="s">
        <v>432</v>
      </c>
    </row>
    <row r="22" spans="1:20" ht="14.45">
      <c r="A22" s="1" t="s">
        <v>433</v>
      </c>
      <c r="C22" s="1" t="s">
        <v>434</v>
      </c>
      <c r="E22" s="2" t="s">
        <v>13</v>
      </c>
      <c r="H22" s="7" t="s">
        <v>435</v>
      </c>
      <c r="I22" s="7"/>
      <c r="J22" s="6" t="s">
        <v>436</v>
      </c>
      <c r="K22" s="6"/>
      <c r="L22" s="7" t="s">
        <v>437</v>
      </c>
      <c r="M22" s="7"/>
      <c r="N22" s="7" t="s">
        <v>438</v>
      </c>
      <c r="P22" s="7" t="s">
        <v>439</v>
      </c>
      <c r="R22" s="7" t="s">
        <v>440</v>
      </c>
      <c r="T22" s="1" t="s">
        <v>441</v>
      </c>
    </row>
    <row r="23" spans="1:20" ht="14.45">
      <c r="A23" s="1" t="s">
        <v>442</v>
      </c>
      <c r="C23" s="1" t="s">
        <v>443</v>
      </c>
      <c r="E23" s="10" t="s">
        <v>444</v>
      </c>
      <c r="H23" s="7" t="s">
        <v>445</v>
      </c>
      <c r="I23" s="7"/>
      <c r="J23" s="6" t="s">
        <v>446</v>
      </c>
      <c r="K23" s="6"/>
      <c r="L23" s="7" t="s">
        <v>447</v>
      </c>
      <c r="M23" s="7"/>
      <c r="N23" s="7" t="s">
        <v>448</v>
      </c>
      <c r="P23" s="7" t="s">
        <v>449</v>
      </c>
      <c r="R23" s="7" t="s">
        <v>450</v>
      </c>
      <c r="T23" s="1" t="s">
        <v>451</v>
      </c>
    </row>
    <row r="24" spans="1:20">
      <c r="A24" s="1" t="s">
        <v>452</v>
      </c>
      <c r="C24" s="1" t="s">
        <v>453</v>
      </c>
      <c r="H24" s="7" t="s">
        <v>454</v>
      </c>
      <c r="I24" s="7"/>
      <c r="J24" s="6" t="s">
        <v>455</v>
      </c>
      <c r="K24" s="6"/>
      <c r="L24" s="7" t="s">
        <v>456</v>
      </c>
      <c r="M24" s="7"/>
      <c r="N24" s="7" t="s">
        <v>457</v>
      </c>
      <c r="P24" s="7" t="s">
        <v>458</v>
      </c>
      <c r="R24" s="7" t="s">
        <v>459</v>
      </c>
      <c r="T24" s="1" t="s">
        <v>460</v>
      </c>
    </row>
    <row r="25" spans="1:20">
      <c r="A25" s="1" t="s">
        <v>461</v>
      </c>
      <c r="C25" s="1" t="s">
        <v>462</v>
      </c>
      <c r="E25" s="5" t="s">
        <v>463</v>
      </c>
      <c r="F25" s="5"/>
      <c r="H25" s="7" t="s">
        <v>464</v>
      </c>
      <c r="I25" s="7"/>
      <c r="J25" s="6" t="s">
        <v>465</v>
      </c>
      <c r="K25" s="6"/>
      <c r="L25" s="7" t="s">
        <v>466</v>
      </c>
      <c r="M25" s="7"/>
      <c r="N25" s="7" t="s">
        <v>467</v>
      </c>
      <c r="P25" s="7" t="s">
        <v>468</v>
      </c>
      <c r="R25" s="7" t="s">
        <v>469</v>
      </c>
      <c r="T25" s="1" t="s">
        <v>470</v>
      </c>
    </row>
    <row r="26" spans="1:20" ht="14.45">
      <c r="A26" s="1" t="s">
        <v>471</v>
      </c>
      <c r="C26" s="1" t="s">
        <v>472</v>
      </c>
      <c r="E26" s="2" t="s">
        <v>473</v>
      </c>
      <c r="H26" s="7" t="s">
        <v>474</v>
      </c>
      <c r="I26" s="7"/>
      <c r="J26" s="6" t="s">
        <v>475</v>
      </c>
      <c r="K26" s="6"/>
      <c r="L26" s="7" t="s">
        <v>476</v>
      </c>
      <c r="M26" s="7"/>
      <c r="N26" s="7" t="s">
        <v>477</v>
      </c>
      <c r="P26" s="7" t="s">
        <v>478</v>
      </c>
      <c r="R26" s="7" t="s">
        <v>479</v>
      </c>
      <c r="T26" s="1" t="s">
        <v>480</v>
      </c>
    </row>
    <row r="27" spans="1:20" ht="14.45">
      <c r="A27" s="1" t="s">
        <v>481</v>
      </c>
      <c r="C27" s="1" t="s">
        <v>482</v>
      </c>
      <c r="E27" s="2" t="s">
        <v>483</v>
      </c>
      <c r="H27" s="7" t="s">
        <v>484</v>
      </c>
      <c r="I27" s="7"/>
      <c r="J27" s="6" t="s">
        <v>485</v>
      </c>
      <c r="K27" s="6"/>
      <c r="L27" s="7" t="s">
        <v>486</v>
      </c>
      <c r="M27" s="7"/>
      <c r="N27" s="7" t="s">
        <v>487</v>
      </c>
      <c r="P27" s="7" t="s">
        <v>488</v>
      </c>
      <c r="R27" s="7" t="s">
        <v>489</v>
      </c>
      <c r="T27" s="1" t="s">
        <v>490</v>
      </c>
    </row>
    <row r="28" spans="1:20" ht="14.45">
      <c r="A28" s="1" t="s">
        <v>491</v>
      </c>
      <c r="C28" s="1" t="s">
        <v>492</v>
      </c>
      <c r="E28" s="2" t="s">
        <v>493</v>
      </c>
      <c r="H28" s="7" t="s">
        <v>494</v>
      </c>
      <c r="I28" s="7"/>
      <c r="J28" s="6" t="s">
        <v>495</v>
      </c>
      <c r="K28" s="6"/>
      <c r="L28" s="7" t="s">
        <v>496</v>
      </c>
      <c r="M28" s="7"/>
      <c r="N28" s="7" t="s">
        <v>497</v>
      </c>
      <c r="P28" s="7" t="s">
        <v>498</v>
      </c>
      <c r="R28" s="7" t="s">
        <v>499</v>
      </c>
      <c r="T28" s="1" t="s">
        <v>500</v>
      </c>
    </row>
    <row r="29" spans="1:20" ht="14.45">
      <c r="A29" s="1" t="s">
        <v>501</v>
      </c>
      <c r="C29" s="1" t="s">
        <v>502</v>
      </c>
      <c r="E29" s="2" t="s">
        <v>503</v>
      </c>
      <c r="H29" s="7" t="s">
        <v>504</v>
      </c>
      <c r="I29" s="7"/>
      <c r="J29" s="6" t="s">
        <v>505</v>
      </c>
      <c r="K29" s="6"/>
      <c r="L29" s="7" t="s">
        <v>506</v>
      </c>
      <c r="M29" s="7"/>
      <c r="N29" s="7" t="s">
        <v>507</v>
      </c>
      <c r="P29" s="7" t="s">
        <v>508</v>
      </c>
      <c r="R29" s="7" t="s">
        <v>509</v>
      </c>
      <c r="T29" s="1" t="s">
        <v>510</v>
      </c>
    </row>
    <row r="30" spans="1:20">
      <c r="A30" s="1" t="s">
        <v>511</v>
      </c>
      <c r="C30" s="1" t="s">
        <v>512</v>
      </c>
      <c r="H30" s="7" t="s">
        <v>513</v>
      </c>
      <c r="I30" s="7"/>
      <c r="J30" s="6" t="s">
        <v>514</v>
      </c>
      <c r="K30" s="6"/>
      <c r="L30" s="7" t="s">
        <v>515</v>
      </c>
      <c r="M30" s="7"/>
      <c r="N30" s="7" t="s">
        <v>516</v>
      </c>
      <c r="P30" s="7" t="s">
        <v>517</v>
      </c>
      <c r="R30" s="7" t="s">
        <v>518</v>
      </c>
      <c r="T30" s="1" t="s">
        <v>519</v>
      </c>
    </row>
    <row r="31" spans="1:20">
      <c r="A31" s="1" t="s">
        <v>520</v>
      </c>
      <c r="C31" s="1" t="s">
        <v>521</v>
      </c>
      <c r="E31" s="5" t="s">
        <v>522</v>
      </c>
      <c r="F31" s="5"/>
      <c r="H31" s="7" t="s">
        <v>523</v>
      </c>
      <c r="I31" s="7"/>
      <c r="J31" s="6" t="s">
        <v>524</v>
      </c>
      <c r="K31" s="6"/>
      <c r="L31" s="7" t="s">
        <v>525</v>
      </c>
      <c r="M31" s="7"/>
      <c r="N31" s="7" t="s">
        <v>526</v>
      </c>
      <c r="P31" s="7" t="s">
        <v>527</v>
      </c>
      <c r="R31" s="7" t="s">
        <v>528</v>
      </c>
      <c r="T31" s="1" t="s">
        <v>529</v>
      </c>
    </row>
    <row r="32" spans="1:20" ht="14.45">
      <c r="A32" s="1" t="s">
        <v>530</v>
      </c>
      <c r="C32" s="1" t="s">
        <v>531</v>
      </c>
      <c r="E32" s="2" t="s">
        <v>532</v>
      </c>
      <c r="H32" s="7" t="s">
        <v>533</v>
      </c>
      <c r="I32" s="7"/>
      <c r="J32" s="6" t="s">
        <v>534</v>
      </c>
      <c r="K32" s="6"/>
      <c r="L32" s="7" t="s">
        <v>535</v>
      </c>
      <c r="M32" s="7"/>
      <c r="N32" s="7" t="s">
        <v>536</v>
      </c>
      <c r="P32" s="7" t="s">
        <v>537</v>
      </c>
      <c r="R32" s="7" t="s">
        <v>538</v>
      </c>
      <c r="T32" s="1" t="s">
        <v>539</v>
      </c>
    </row>
    <row r="33" spans="1:20" ht="14.45">
      <c r="A33" s="1" t="s">
        <v>540</v>
      </c>
      <c r="C33" s="1" t="s">
        <v>541</v>
      </c>
      <c r="E33" s="2" t="s">
        <v>542</v>
      </c>
      <c r="H33" s="7" t="s">
        <v>543</v>
      </c>
      <c r="I33" s="7"/>
      <c r="J33" s="6" t="s">
        <v>544</v>
      </c>
      <c r="K33" s="6"/>
      <c r="L33" s="7" t="s">
        <v>545</v>
      </c>
      <c r="M33" s="7"/>
      <c r="N33" s="7" t="s">
        <v>546</v>
      </c>
      <c r="P33" s="7" t="s">
        <v>547</v>
      </c>
      <c r="R33" s="7" t="s">
        <v>548</v>
      </c>
    </row>
    <row r="34" spans="1:20">
      <c r="A34" s="1" t="s">
        <v>549</v>
      </c>
      <c r="C34" s="1" t="s">
        <v>550</v>
      </c>
      <c r="H34" s="7" t="s">
        <v>551</v>
      </c>
      <c r="I34" s="7"/>
      <c r="J34" s="6" t="s">
        <v>552</v>
      </c>
      <c r="K34" s="6"/>
      <c r="L34" s="7" t="s">
        <v>553</v>
      </c>
      <c r="M34" s="7"/>
      <c r="N34" s="7" t="s">
        <v>554</v>
      </c>
      <c r="P34" s="7" t="s">
        <v>555</v>
      </c>
      <c r="R34" s="7" t="s">
        <v>556</v>
      </c>
    </row>
    <row r="35" spans="1:20" ht="13.5" thickBot="1">
      <c r="A35" s="1" t="s">
        <v>557</v>
      </c>
      <c r="C35" s="1" t="s">
        <v>558</v>
      </c>
      <c r="E35" s="5" t="s">
        <v>559</v>
      </c>
      <c r="F35" s="5"/>
      <c r="H35" s="7" t="s">
        <v>560</v>
      </c>
      <c r="I35" s="7"/>
      <c r="J35" s="6" t="s">
        <v>561</v>
      </c>
      <c r="K35" s="6"/>
      <c r="L35" s="7" t="s">
        <v>562</v>
      </c>
      <c r="M35" s="7"/>
      <c r="N35" s="7" t="s">
        <v>563</v>
      </c>
      <c r="P35" s="7" t="s">
        <v>564</v>
      </c>
      <c r="R35" s="7" t="s">
        <v>565</v>
      </c>
      <c r="T35" s="4" t="s">
        <v>566</v>
      </c>
    </row>
    <row r="36" spans="1:20" ht="13.5" thickTop="1">
      <c r="A36" s="1" t="s">
        <v>567</v>
      </c>
      <c r="C36" s="1" t="s">
        <v>568</v>
      </c>
      <c r="H36" s="7" t="s">
        <v>569</v>
      </c>
      <c r="I36" s="7"/>
      <c r="J36" s="6" t="s">
        <v>570</v>
      </c>
      <c r="K36" s="6"/>
      <c r="L36" s="7" t="s">
        <v>571</v>
      </c>
      <c r="M36" s="7"/>
      <c r="N36" s="7" t="s">
        <v>572</v>
      </c>
      <c r="P36" s="7" t="s">
        <v>573</v>
      </c>
      <c r="R36" s="7" t="s">
        <v>574</v>
      </c>
      <c r="T36" s="594">
        <v>0.25</v>
      </c>
    </row>
    <row r="37" spans="1:20" ht="14.45">
      <c r="A37" s="1" t="s">
        <v>575</v>
      </c>
      <c r="C37" s="1" t="s">
        <v>576</v>
      </c>
      <c r="E37" s="2" t="s">
        <v>577</v>
      </c>
      <c r="H37" s="7" t="s">
        <v>578</v>
      </c>
      <c r="I37" s="7"/>
      <c r="J37" s="6" t="s">
        <v>579</v>
      </c>
      <c r="K37" s="6"/>
      <c r="L37" s="7" t="s">
        <v>580</v>
      </c>
      <c r="M37" s="7"/>
      <c r="N37" s="7" t="s">
        <v>581</v>
      </c>
      <c r="P37" s="7" t="s">
        <v>582</v>
      </c>
      <c r="R37" s="7" t="s">
        <v>583</v>
      </c>
      <c r="T37" s="594">
        <v>0.3</v>
      </c>
    </row>
    <row r="38" spans="1:20" ht="14.45">
      <c r="A38" s="1" t="s">
        <v>584</v>
      </c>
      <c r="C38" s="1" t="s">
        <v>585</v>
      </c>
      <c r="E38" s="2" t="s">
        <v>586</v>
      </c>
      <c r="H38" s="7" t="s">
        <v>587</v>
      </c>
      <c r="I38" s="7"/>
      <c r="J38" s="6" t="s">
        <v>588</v>
      </c>
      <c r="K38" s="6"/>
      <c r="L38" s="7" t="s">
        <v>589</v>
      </c>
      <c r="M38" s="7"/>
      <c r="N38" s="7" t="s">
        <v>590</v>
      </c>
      <c r="P38" s="7" t="s">
        <v>591</v>
      </c>
      <c r="R38" s="7" t="s">
        <v>592</v>
      </c>
      <c r="T38" s="594">
        <v>0.35</v>
      </c>
    </row>
    <row r="39" spans="1:20">
      <c r="A39" s="1" t="s">
        <v>593</v>
      </c>
      <c r="C39" s="1" t="s">
        <v>594</v>
      </c>
      <c r="H39" s="7" t="s">
        <v>595</v>
      </c>
      <c r="I39" s="7"/>
      <c r="J39" s="6" t="s">
        <v>596</v>
      </c>
      <c r="K39" s="6"/>
      <c r="L39" s="7" t="s">
        <v>597</v>
      </c>
      <c r="M39" s="7"/>
      <c r="N39" s="7" t="s">
        <v>598</v>
      </c>
      <c r="P39" s="7" t="s">
        <v>599</v>
      </c>
      <c r="R39" s="7" t="s">
        <v>600</v>
      </c>
    </row>
    <row r="40" spans="1:20" ht="13.5" thickBot="1">
      <c r="A40" s="1" t="s">
        <v>601</v>
      </c>
      <c r="C40" s="1" t="s">
        <v>602</v>
      </c>
      <c r="E40" s="5" t="s">
        <v>603</v>
      </c>
      <c r="F40" s="5"/>
      <c r="H40" s="7" t="s">
        <v>604</v>
      </c>
      <c r="I40" s="7"/>
      <c r="J40" s="6" t="s">
        <v>605</v>
      </c>
      <c r="K40" s="6"/>
      <c r="L40" s="7" t="s">
        <v>606</v>
      </c>
      <c r="M40" s="7"/>
      <c r="N40" s="7" t="s">
        <v>607</v>
      </c>
      <c r="P40" s="7" t="s">
        <v>608</v>
      </c>
      <c r="R40" s="7" t="s">
        <v>609</v>
      </c>
      <c r="T40" s="4" t="s">
        <v>610</v>
      </c>
    </row>
    <row r="41" spans="1:20" ht="15" thickTop="1">
      <c r="A41" s="1" t="s">
        <v>611</v>
      </c>
      <c r="C41" s="1" t="s">
        <v>612</v>
      </c>
      <c r="E41" s="2" t="s">
        <v>613</v>
      </c>
      <c r="H41" s="7" t="s">
        <v>614</v>
      </c>
      <c r="I41" s="7"/>
      <c r="J41" s="6" t="s">
        <v>615</v>
      </c>
      <c r="K41" s="6"/>
      <c r="L41" s="7" t="s">
        <v>616</v>
      </c>
      <c r="M41" s="7"/>
      <c r="N41" s="7" t="s">
        <v>617</v>
      </c>
      <c r="P41" s="7" t="s">
        <v>618</v>
      </c>
      <c r="R41" s="7" t="s">
        <v>619</v>
      </c>
      <c r="T41" s="1" t="s">
        <v>620</v>
      </c>
    </row>
    <row r="42" spans="1:20" ht="14.45">
      <c r="A42" s="1" t="s">
        <v>621</v>
      </c>
      <c r="C42" s="1" t="s">
        <v>622</v>
      </c>
      <c r="E42" s="2" t="s">
        <v>623</v>
      </c>
      <c r="H42" s="7" t="s">
        <v>624</v>
      </c>
      <c r="I42" s="7"/>
      <c r="J42" s="6" t="s">
        <v>625</v>
      </c>
      <c r="K42" s="6"/>
      <c r="L42" s="7" t="s">
        <v>626</v>
      </c>
      <c r="M42" s="7"/>
      <c r="N42" s="7" t="s">
        <v>627</v>
      </c>
      <c r="P42" s="7" t="s">
        <v>628</v>
      </c>
      <c r="R42" s="7" t="s">
        <v>629</v>
      </c>
      <c r="T42" s="1" t="s">
        <v>630</v>
      </c>
    </row>
    <row r="43" spans="1:20">
      <c r="A43" s="1" t="s">
        <v>631</v>
      </c>
      <c r="C43" s="1" t="s">
        <v>632</v>
      </c>
      <c r="H43" s="7" t="s">
        <v>633</v>
      </c>
      <c r="I43" s="7"/>
      <c r="J43" s="6" t="s">
        <v>634</v>
      </c>
      <c r="K43" s="6"/>
      <c r="L43" s="7" t="s">
        <v>635</v>
      </c>
      <c r="M43" s="7"/>
      <c r="N43" s="7" t="s">
        <v>636</v>
      </c>
      <c r="P43" s="7" t="s">
        <v>637</v>
      </c>
      <c r="R43" s="7" t="s">
        <v>638</v>
      </c>
      <c r="T43" s="1" t="s">
        <v>639</v>
      </c>
    </row>
    <row r="44" spans="1:20">
      <c r="A44" s="1" t="s">
        <v>640</v>
      </c>
      <c r="C44" s="1" t="s">
        <v>641</v>
      </c>
      <c r="E44" s="8" t="s">
        <v>642</v>
      </c>
      <c r="H44" s="7" t="s">
        <v>643</v>
      </c>
      <c r="I44" s="7"/>
      <c r="J44" s="6" t="s">
        <v>644</v>
      </c>
      <c r="K44" s="6"/>
      <c r="L44" s="7" t="s">
        <v>645</v>
      </c>
      <c r="M44" s="7"/>
      <c r="N44" s="7" t="s">
        <v>646</v>
      </c>
      <c r="P44" s="7" t="s">
        <v>647</v>
      </c>
      <c r="R44" s="7" t="s">
        <v>648</v>
      </c>
      <c r="T44" s="1" t="s">
        <v>649</v>
      </c>
    </row>
    <row r="45" spans="1:20">
      <c r="A45" s="1" t="s">
        <v>650</v>
      </c>
      <c r="C45" s="1" t="s">
        <v>651</v>
      </c>
      <c r="E45" s="1" t="s">
        <v>4</v>
      </c>
      <c r="H45" s="7" t="s">
        <v>652</v>
      </c>
      <c r="I45" s="7"/>
      <c r="J45" s="6" t="s">
        <v>653</v>
      </c>
      <c r="K45" s="6"/>
      <c r="L45" s="7" t="s">
        <v>654</v>
      </c>
      <c r="M45" s="7"/>
      <c r="N45" s="7" t="s">
        <v>655</v>
      </c>
      <c r="P45" s="7" t="s">
        <v>656</v>
      </c>
      <c r="R45" s="7" t="s">
        <v>657</v>
      </c>
      <c r="T45" s="1" t="s">
        <v>658</v>
      </c>
    </row>
    <row r="46" spans="1:20">
      <c r="A46" s="1" t="s">
        <v>659</v>
      </c>
      <c r="C46" s="1" t="s">
        <v>660</v>
      </c>
      <c r="H46" s="7" t="s">
        <v>661</v>
      </c>
      <c r="I46" s="7"/>
      <c r="J46" s="6" t="s">
        <v>662</v>
      </c>
      <c r="K46" s="6"/>
      <c r="L46" s="7" t="s">
        <v>663</v>
      </c>
      <c r="M46" s="7"/>
      <c r="N46" s="7" t="s">
        <v>664</v>
      </c>
      <c r="P46" s="7" t="s">
        <v>665</v>
      </c>
      <c r="R46" s="7" t="s">
        <v>666</v>
      </c>
      <c r="T46" s="1" t="s">
        <v>667</v>
      </c>
    </row>
    <row r="47" spans="1:20">
      <c r="A47" s="1" t="s">
        <v>668</v>
      </c>
      <c r="C47" s="1" t="s">
        <v>669</v>
      </c>
      <c r="E47" s="5" t="s">
        <v>670</v>
      </c>
      <c r="F47" s="5"/>
      <c r="H47" s="7" t="s">
        <v>671</v>
      </c>
      <c r="I47" s="7"/>
      <c r="J47" s="6" t="s">
        <v>672</v>
      </c>
      <c r="K47" s="6"/>
      <c r="L47" s="7" t="s">
        <v>673</v>
      </c>
      <c r="M47" s="7"/>
      <c r="N47" s="7" t="s">
        <v>674</v>
      </c>
      <c r="P47" s="7" t="s">
        <v>675</v>
      </c>
      <c r="R47" s="7" t="s">
        <v>676</v>
      </c>
      <c r="T47" s="1" t="s">
        <v>677</v>
      </c>
    </row>
    <row r="48" spans="1:20" ht="14.45">
      <c r="A48" s="1" t="s">
        <v>678</v>
      </c>
      <c r="C48" s="1" t="s">
        <v>679</v>
      </c>
      <c r="E48" s="2" t="s">
        <v>680</v>
      </c>
      <c r="H48" s="7" t="s">
        <v>681</v>
      </c>
      <c r="I48" s="7"/>
      <c r="J48" s="6" t="s">
        <v>682</v>
      </c>
      <c r="K48" s="6"/>
      <c r="L48" s="7" t="s">
        <v>683</v>
      </c>
      <c r="M48" s="7"/>
      <c r="N48" s="7" t="s">
        <v>684</v>
      </c>
      <c r="P48" s="7" t="s">
        <v>685</v>
      </c>
      <c r="R48" s="7" t="s">
        <v>686</v>
      </c>
      <c r="T48" s="1" t="s">
        <v>687</v>
      </c>
    </row>
    <row r="49" spans="1:20" ht="14.45">
      <c r="A49" s="1" t="s">
        <v>688</v>
      </c>
      <c r="C49" s="1" t="s">
        <v>689</v>
      </c>
      <c r="E49" s="2" t="s">
        <v>690</v>
      </c>
      <c r="H49" s="7" t="s">
        <v>691</v>
      </c>
      <c r="I49" s="7"/>
      <c r="J49" s="6" t="s">
        <v>692</v>
      </c>
      <c r="K49" s="6"/>
      <c r="L49" s="7" t="s">
        <v>693</v>
      </c>
      <c r="M49" s="7"/>
      <c r="N49" s="7" t="s">
        <v>694</v>
      </c>
      <c r="P49" s="7" t="s">
        <v>695</v>
      </c>
      <c r="R49" s="7" t="s">
        <v>696</v>
      </c>
      <c r="T49" s="1" t="s">
        <v>697</v>
      </c>
    </row>
    <row r="50" spans="1:20" ht="14.45">
      <c r="A50" s="1" t="s">
        <v>698</v>
      </c>
      <c r="C50" s="1" t="s">
        <v>699</v>
      </c>
      <c r="E50" s="2" t="s">
        <v>700</v>
      </c>
      <c r="H50" s="7" t="s">
        <v>701</v>
      </c>
      <c r="I50" s="7"/>
      <c r="J50" s="6" t="s">
        <v>702</v>
      </c>
      <c r="K50" s="6"/>
      <c r="L50" s="7" t="s">
        <v>703</v>
      </c>
      <c r="M50" s="7"/>
      <c r="N50" s="7" t="s">
        <v>704</v>
      </c>
      <c r="P50" s="7" t="s">
        <v>705</v>
      </c>
      <c r="R50" s="7" t="s">
        <v>706</v>
      </c>
      <c r="T50" s="1" t="s">
        <v>707</v>
      </c>
    </row>
    <row r="51" spans="1:20" ht="14.45">
      <c r="A51" s="1" t="s">
        <v>708</v>
      </c>
      <c r="C51" s="1" t="s">
        <v>709</v>
      </c>
      <c r="E51" s="2" t="s">
        <v>710</v>
      </c>
      <c r="H51" s="7" t="s">
        <v>711</v>
      </c>
      <c r="I51" s="7"/>
      <c r="J51" s="6" t="s">
        <v>712</v>
      </c>
      <c r="K51" s="6"/>
      <c r="L51" s="7" t="s">
        <v>713</v>
      </c>
      <c r="M51" s="7"/>
      <c r="N51" s="7" t="s">
        <v>714</v>
      </c>
      <c r="P51" s="7" t="s">
        <v>715</v>
      </c>
      <c r="R51" s="7" t="s">
        <v>716</v>
      </c>
      <c r="T51" s="1" t="s">
        <v>717</v>
      </c>
    </row>
    <row r="52" spans="1:20" ht="14.45">
      <c r="A52" s="1" t="s">
        <v>718</v>
      </c>
      <c r="C52" s="1" t="s">
        <v>719</v>
      </c>
      <c r="E52" s="2" t="s">
        <v>720</v>
      </c>
      <c r="H52" s="7" t="s">
        <v>721</v>
      </c>
      <c r="I52" s="7"/>
      <c r="J52" s="6" t="s">
        <v>722</v>
      </c>
      <c r="K52" s="6"/>
      <c r="L52" s="7" t="s">
        <v>723</v>
      </c>
      <c r="M52" s="7"/>
      <c r="N52" s="7" t="s">
        <v>724</v>
      </c>
      <c r="P52" s="7" t="s">
        <v>725</v>
      </c>
      <c r="R52" s="7" t="s">
        <v>726</v>
      </c>
      <c r="T52" s="1" t="s">
        <v>727</v>
      </c>
    </row>
    <row r="53" spans="1:20" ht="14.45">
      <c r="A53" s="1" t="s">
        <v>728</v>
      </c>
      <c r="C53" s="1" t="s">
        <v>729</v>
      </c>
      <c r="E53" s="2" t="s">
        <v>730</v>
      </c>
      <c r="H53" s="7" t="s">
        <v>731</v>
      </c>
      <c r="I53" s="7"/>
      <c r="J53" s="6" t="s">
        <v>732</v>
      </c>
      <c r="K53" s="6"/>
      <c r="L53" s="7" t="s">
        <v>733</v>
      </c>
      <c r="M53" s="7"/>
      <c r="N53" s="7" t="s">
        <v>734</v>
      </c>
      <c r="P53" s="7" t="s">
        <v>735</v>
      </c>
      <c r="R53" s="7" t="s">
        <v>736</v>
      </c>
      <c r="T53" s="1" t="s">
        <v>737</v>
      </c>
    </row>
    <row r="54" spans="1:20" ht="14.45">
      <c r="A54" s="1" t="s">
        <v>738</v>
      </c>
      <c r="C54" s="1" t="s">
        <v>739</v>
      </c>
      <c r="E54" s="2" t="s">
        <v>740</v>
      </c>
      <c r="H54" s="7" t="s">
        <v>741</v>
      </c>
      <c r="I54" s="7"/>
      <c r="J54" s="6" t="s">
        <v>742</v>
      </c>
      <c r="K54" s="6"/>
      <c r="L54" s="7" t="s">
        <v>743</v>
      </c>
      <c r="M54" s="7"/>
      <c r="N54" s="7" t="s">
        <v>744</v>
      </c>
      <c r="P54" s="7" t="s">
        <v>745</v>
      </c>
      <c r="R54" s="7" t="s">
        <v>746</v>
      </c>
      <c r="T54" s="1" t="s">
        <v>747</v>
      </c>
    </row>
    <row r="55" spans="1:20" ht="14.45">
      <c r="A55" s="1" t="s">
        <v>748</v>
      </c>
      <c r="C55" s="1" t="s">
        <v>749</v>
      </c>
      <c r="E55" s="2" t="s">
        <v>750</v>
      </c>
      <c r="H55" s="7" t="s">
        <v>751</v>
      </c>
      <c r="I55" s="7"/>
      <c r="J55" s="6" t="s">
        <v>752</v>
      </c>
      <c r="K55" s="6"/>
      <c r="L55" s="7" t="s">
        <v>753</v>
      </c>
      <c r="M55" s="7"/>
      <c r="N55" s="7" t="s">
        <v>754</v>
      </c>
      <c r="P55" s="7" t="s">
        <v>755</v>
      </c>
      <c r="R55" s="7" t="s">
        <v>756</v>
      </c>
    </row>
    <row r="56" spans="1:20" ht="15" thickBot="1">
      <c r="A56" s="1" t="s">
        <v>757</v>
      </c>
      <c r="C56" s="1" t="s">
        <v>758</v>
      </c>
      <c r="E56" s="2" t="s">
        <v>759</v>
      </c>
      <c r="H56" s="7" t="s">
        <v>760</v>
      </c>
      <c r="I56" s="7"/>
      <c r="J56" s="6" t="s">
        <v>761</v>
      </c>
      <c r="K56" s="6"/>
      <c r="L56" s="7" t="s">
        <v>762</v>
      </c>
      <c r="M56" s="7"/>
      <c r="N56" s="7" t="s">
        <v>763</v>
      </c>
      <c r="P56" s="7" t="s">
        <v>764</v>
      </c>
      <c r="R56" s="7" t="s">
        <v>765</v>
      </c>
      <c r="T56" s="4" t="s">
        <v>766</v>
      </c>
    </row>
    <row r="57" spans="1:20" ht="15" thickTop="1">
      <c r="A57" s="1" t="s">
        <v>767</v>
      </c>
      <c r="C57" s="1" t="s">
        <v>768</v>
      </c>
      <c r="E57" s="2" t="s">
        <v>769</v>
      </c>
      <c r="H57" s="7" t="s">
        <v>770</v>
      </c>
      <c r="I57" s="7"/>
      <c r="J57" s="6" t="s">
        <v>771</v>
      </c>
      <c r="K57" s="6"/>
      <c r="L57" s="7" t="s">
        <v>772</v>
      </c>
      <c r="M57" s="7"/>
      <c r="N57" s="7" t="s">
        <v>773</v>
      </c>
      <c r="P57" s="7" t="s">
        <v>774</v>
      </c>
      <c r="R57" s="7" t="s">
        <v>775</v>
      </c>
      <c r="T57" s="1" t="s">
        <v>776</v>
      </c>
    </row>
    <row r="58" spans="1:20" ht="14.45">
      <c r="A58" s="1" t="s">
        <v>777</v>
      </c>
      <c r="C58" s="1" t="s">
        <v>778</v>
      </c>
      <c r="E58" s="10" t="s">
        <v>779</v>
      </c>
      <c r="H58" s="7" t="s">
        <v>780</v>
      </c>
      <c r="I58" s="7"/>
      <c r="J58" s="6" t="s">
        <v>781</v>
      </c>
      <c r="K58" s="6"/>
      <c r="L58" s="7" t="s">
        <v>782</v>
      </c>
      <c r="M58" s="7"/>
      <c r="N58" s="7" t="s">
        <v>783</v>
      </c>
      <c r="P58" s="7" t="s">
        <v>784</v>
      </c>
      <c r="R58" s="7" t="s">
        <v>785</v>
      </c>
      <c r="T58" s="1" t="s">
        <v>786</v>
      </c>
    </row>
    <row r="59" spans="1:20">
      <c r="A59" s="1" t="s">
        <v>787</v>
      </c>
      <c r="C59" s="1" t="s">
        <v>788</v>
      </c>
      <c r="H59" s="7" t="s">
        <v>789</v>
      </c>
      <c r="I59" s="7"/>
      <c r="J59" s="6" t="s">
        <v>790</v>
      </c>
      <c r="K59" s="6"/>
      <c r="L59" s="7" t="s">
        <v>791</v>
      </c>
      <c r="M59" s="7"/>
      <c r="N59" s="7" t="s">
        <v>792</v>
      </c>
      <c r="P59" s="7" t="s">
        <v>793</v>
      </c>
      <c r="R59" s="7" t="s">
        <v>794</v>
      </c>
    </row>
    <row r="60" spans="1:20" ht="13.5" thickBot="1">
      <c r="A60" s="1" t="s">
        <v>795</v>
      </c>
      <c r="C60" s="1" t="s">
        <v>796</v>
      </c>
      <c r="E60" s="5" t="s">
        <v>797</v>
      </c>
      <c r="F60" s="5"/>
      <c r="H60" s="7" t="s">
        <v>798</v>
      </c>
      <c r="I60" s="7"/>
      <c r="J60" s="6" t="s">
        <v>799</v>
      </c>
      <c r="K60" s="6"/>
      <c r="L60" s="7" t="s">
        <v>800</v>
      </c>
      <c r="M60" s="7"/>
      <c r="N60" s="7" t="s">
        <v>801</v>
      </c>
      <c r="P60" s="7" t="s">
        <v>802</v>
      </c>
      <c r="R60" s="7" t="s">
        <v>803</v>
      </c>
      <c r="T60" s="4" t="s">
        <v>804</v>
      </c>
    </row>
    <row r="61" spans="1:20" ht="15" thickTop="1">
      <c r="A61" s="1" t="s">
        <v>805</v>
      </c>
      <c r="C61" s="1" t="s">
        <v>806</v>
      </c>
      <c r="E61" s="2" t="s">
        <v>807</v>
      </c>
      <c r="H61" s="7" t="s">
        <v>808</v>
      </c>
      <c r="I61" s="7"/>
      <c r="J61" s="6" t="s">
        <v>809</v>
      </c>
      <c r="K61" s="6"/>
      <c r="L61" s="7" t="s">
        <v>810</v>
      </c>
      <c r="M61" s="7"/>
      <c r="N61" s="7" t="s">
        <v>811</v>
      </c>
      <c r="P61" s="7" t="s">
        <v>812</v>
      </c>
      <c r="R61" s="7" t="s">
        <v>813</v>
      </c>
      <c r="T61" s="1" t="s">
        <v>814</v>
      </c>
    </row>
    <row r="62" spans="1:20" ht="14.45">
      <c r="A62" s="1" t="s">
        <v>815</v>
      </c>
      <c r="C62" s="1" t="s">
        <v>816</v>
      </c>
      <c r="E62" s="2" t="s">
        <v>817</v>
      </c>
      <c r="H62" s="7" t="s">
        <v>818</v>
      </c>
      <c r="I62" s="7"/>
      <c r="J62" s="6" t="s">
        <v>819</v>
      </c>
      <c r="K62" s="6"/>
      <c r="L62" s="7" t="s">
        <v>820</v>
      </c>
      <c r="M62" s="7"/>
      <c r="N62" s="7" t="s">
        <v>821</v>
      </c>
      <c r="P62" s="7" t="s">
        <v>822</v>
      </c>
      <c r="R62" s="7" t="s">
        <v>823</v>
      </c>
      <c r="T62" s="1" t="s">
        <v>824</v>
      </c>
    </row>
    <row r="63" spans="1:20" ht="14.45">
      <c r="A63" s="1" t="s">
        <v>825</v>
      </c>
      <c r="C63" s="1" t="s">
        <v>826</v>
      </c>
      <c r="E63" s="2" t="s">
        <v>827</v>
      </c>
      <c r="H63" s="7" t="s">
        <v>828</v>
      </c>
      <c r="I63" s="7"/>
      <c r="J63" s="6" t="s">
        <v>829</v>
      </c>
      <c r="K63" s="6"/>
      <c r="L63" s="7" t="s">
        <v>830</v>
      </c>
      <c r="M63" s="7"/>
      <c r="N63" s="7" t="s">
        <v>831</v>
      </c>
      <c r="P63" s="7" t="s">
        <v>832</v>
      </c>
      <c r="R63" s="7" t="s">
        <v>833</v>
      </c>
      <c r="T63" s="1" t="s">
        <v>834</v>
      </c>
    </row>
    <row r="64" spans="1:20" ht="14.45">
      <c r="A64" s="1" t="s">
        <v>835</v>
      </c>
      <c r="C64" s="1" t="s">
        <v>836</v>
      </c>
      <c r="E64" s="2" t="s">
        <v>837</v>
      </c>
      <c r="H64" s="7" t="s">
        <v>838</v>
      </c>
      <c r="I64" s="7"/>
      <c r="J64" s="6" t="s">
        <v>839</v>
      </c>
      <c r="K64" s="6"/>
      <c r="L64" s="7" t="s">
        <v>840</v>
      </c>
      <c r="M64" s="7"/>
      <c r="N64" s="7" t="s">
        <v>841</v>
      </c>
      <c r="P64" s="7" t="s">
        <v>842</v>
      </c>
      <c r="R64" s="7" t="s">
        <v>843</v>
      </c>
      <c r="T64" s="1" t="s">
        <v>844</v>
      </c>
    </row>
    <row r="65" spans="1:20" ht="14.45">
      <c r="A65" s="1" t="s">
        <v>845</v>
      </c>
      <c r="C65" s="1" t="s">
        <v>846</v>
      </c>
      <c r="E65" s="2" t="s">
        <v>847</v>
      </c>
      <c r="H65" s="7" t="s">
        <v>848</v>
      </c>
      <c r="I65" s="7"/>
      <c r="J65" s="6" t="s">
        <v>849</v>
      </c>
      <c r="K65" s="6"/>
      <c r="L65" s="7" t="s">
        <v>850</v>
      </c>
      <c r="M65" s="7"/>
      <c r="N65" s="7" t="s">
        <v>851</v>
      </c>
      <c r="P65" s="7" t="s">
        <v>852</v>
      </c>
      <c r="R65" s="7" t="s">
        <v>853</v>
      </c>
      <c r="T65" s="1" t="s">
        <v>854</v>
      </c>
    </row>
    <row r="66" spans="1:20">
      <c r="A66" s="1" t="s">
        <v>855</v>
      </c>
      <c r="C66" s="1" t="s">
        <v>856</v>
      </c>
      <c r="H66" s="7" t="s">
        <v>857</v>
      </c>
      <c r="I66" s="7"/>
      <c r="J66" s="6" t="s">
        <v>858</v>
      </c>
      <c r="K66" s="6"/>
      <c r="L66" s="7" t="s">
        <v>859</v>
      </c>
      <c r="M66" s="7"/>
      <c r="N66" s="7" t="s">
        <v>860</v>
      </c>
      <c r="P66" s="7" t="s">
        <v>861</v>
      </c>
      <c r="R66" s="7" t="s">
        <v>862</v>
      </c>
      <c r="T66" s="1" t="s">
        <v>863</v>
      </c>
    </row>
    <row r="67" spans="1:20">
      <c r="A67" s="1" t="s">
        <v>864</v>
      </c>
      <c r="C67" s="1" t="s">
        <v>865</v>
      </c>
      <c r="E67" s="5" t="s">
        <v>866</v>
      </c>
      <c r="H67" s="7" t="s">
        <v>867</v>
      </c>
      <c r="I67" s="7"/>
      <c r="J67" s="6" t="s">
        <v>868</v>
      </c>
      <c r="K67" s="6"/>
      <c r="L67" s="7" t="s">
        <v>869</v>
      </c>
      <c r="M67" s="7"/>
      <c r="N67" s="7" t="s">
        <v>870</v>
      </c>
      <c r="P67" s="7" t="s">
        <v>871</v>
      </c>
      <c r="R67" s="7" t="s">
        <v>872</v>
      </c>
      <c r="T67" s="1" t="s">
        <v>873</v>
      </c>
    </row>
    <row r="68" spans="1:20">
      <c r="A68" s="1" t="s">
        <v>874</v>
      </c>
      <c r="C68" s="1" t="s">
        <v>875</v>
      </c>
      <c r="E68" s="7" t="s">
        <v>876</v>
      </c>
      <c r="H68" s="7" t="s">
        <v>877</v>
      </c>
      <c r="I68" s="7"/>
      <c r="J68" s="6" t="s">
        <v>878</v>
      </c>
      <c r="K68" s="6"/>
      <c r="L68" s="7" t="s">
        <v>879</v>
      </c>
      <c r="M68" s="7"/>
      <c r="N68" s="7" t="s">
        <v>880</v>
      </c>
      <c r="P68" s="7" t="s">
        <v>881</v>
      </c>
      <c r="R68" s="7" t="s">
        <v>882</v>
      </c>
      <c r="T68" s="1" t="s">
        <v>883</v>
      </c>
    </row>
    <row r="69" spans="1:20">
      <c r="A69" s="1" t="s">
        <v>884</v>
      </c>
      <c r="C69" s="1" t="s">
        <v>885</v>
      </c>
      <c r="E69" s="7" t="s">
        <v>886</v>
      </c>
      <c r="H69" s="7" t="s">
        <v>887</v>
      </c>
      <c r="I69" s="7"/>
      <c r="J69" s="6" t="s">
        <v>888</v>
      </c>
      <c r="K69" s="6"/>
      <c r="L69" s="7" t="s">
        <v>889</v>
      </c>
      <c r="M69" s="7"/>
      <c r="N69" s="7" t="s">
        <v>890</v>
      </c>
      <c r="P69" s="7" t="s">
        <v>891</v>
      </c>
      <c r="R69" s="7" t="s">
        <v>892</v>
      </c>
      <c r="T69" s="1" t="s">
        <v>893</v>
      </c>
    </row>
    <row r="70" spans="1:20">
      <c r="A70" s="1" t="s">
        <v>894</v>
      </c>
      <c r="C70" s="1" t="s">
        <v>895</v>
      </c>
      <c r="E70" s="7" t="s">
        <v>896</v>
      </c>
      <c r="H70" s="7" t="s">
        <v>897</v>
      </c>
      <c r="I70" s="7"/>
      <c r="J70" s="6" t="s">
        <v>898</v>
      </c>
      <c r="K70" s="6"/>
      <c r="L70" s="7" t="s">
        <v>899</v>
      </c>
      <c r="M70" s="7"/>
      <c r="N70" s="7" t="s">
        <v>900</v>
      </c>
      <c r="P70" s="7" t="s">
        <v>901</v>
      </c>
      <c r="R70" s="7" t="s">
        <v>902</v>
      </c>
      <c r="T70" s="1" t="s">
        <v>903</v>
      </c>
    </row>
    <row r="71" spans="1:20">
      <c r="A71" s="1" t="s">
        <v>904</v>
      </c>
      <c r="C71" s="1" t="s">
        <v>905</v>
      </c>
      <c r="E71" s="7" t="s">
        <v>906</v>
      </c>
      <c r="H71" s="7" t="s">
        <v>907</v>
      </c>
      <c r="I71" s="7"/>
      <c r="J71" s="6" t="s">
        <v>908</v>
      </c>
      <c r="K71" s="6"/>
      <c r="L71" s="7" t="s">
        <v>909</v>
      </c>
      <c r="M71" s="7"/>
      <c r="N71" s="7" t="s">
        <v>910</v>
      </c>
      <c r="P71" s="7" t="s">
        <v>911</v>
      </c>
      <c r="R71" s="7" t="s">
        <v>912</v>
      </c>
      <c r="T71" s="1" t="s">
        <v>913</v>
      </c>
    </row>
    <row r="72" spans="1:20">
      <c r="A72" s="1" t="s">
        <v>914</v>
      </c>
      <c r="C72" s="1" t="s">
        <v>915</v>
      </c>
      <c r="E72" s="7" t="s">
        <v>916</v>
      </c>
      <c r="H72" s="7" t="s">
        <v>917</v>
      </c>
      <c r="I72" s="7"/>
      <c r="J72" s="6" t="s">
        <v>918</v>
      </c>
      <c r="K72" s="6"/>
      <c r="L72" s="7" t="s">
        <v>919</v>
      </c>
      <c r="M72" s="7"/>
      <c r="N72" s="7" t="s">
        <v>920</v>
      </c>
      <c r="P72" s="7" t="s">
        <v>852</v>
      </c>
      <c r="R72" s="7" t="s">
        <v>921</v>
      </c>
      <c r="T72" s="1" t="s">
        <v>922</v>
      </c>
    </row>
    <row r="73" spans="1:20">
      <c r="A73" s="1" t="s">
        <v>923</v>
      </c>
      <c r="C73" s="1" t="s">
        <v>924</v>
      </c>
      <c r="E73" s="7" t="s">
        <v>925</v>
      </c>
      <c r="H73" s="7" t="s">
        <v>926</v>
      </c>
      <c r="I73" s="7"/>
      <c r="J73" s="6" t="s">
        <v>927</v>
      </c>
      <c r="K73" s="6"/>
      <c r="L73" s="7" t="s">
        <v>928</v>
      </c>
      <c r="M73" s="7"/>
      <c r="N73" s="7" t="s">
        <v>929</v>
      </c>
      <c r="P73" s="7" t="s">
        <v>930</v>
      </c>
      <c r="R73" s="7" t="s">
        <v>931</v>
      </c>
      <c r="T73" s="1" t="s">
        <v>932</v>
      </c>
    </row>
    <row r="74" spans="1:20">
      <c r="A74" s="1" t="s">
        <v>933</v>
      </c>
      <c r="C74" s="1" t="s">
        <v>934</v>
      </c>
      <c r="E74" s="7" t="s">
        <v>935</v>
      </c>
      <c r="H74" s="7" t="s">
        <v>936</v>
      </c>
      <c r="I74" s="7"/>
      <c r="J74" s="6" t="s">
        <v>937</v>
      </c>
      <c r="K74" s="6"/>
      <c r="L74" s="7" t="s">
        <v>938</v>
      </c>
      <c r="M74" s="7"/>
      <c r="N74" s="7" t="s">
        <v>939</v>
      </c>
      <c r="P74" s="7" t="s">
        <v>940</v>
      </c>
      <c r="R74" s="7" t="s">
        <v>941</v>
      </c>
      <c r="T74" s="1" t="s">
        <v>942</v>
      </c>
    </row>
    <row r="75" spans="1:20">
      <c r="A75" s="1" t="s">
        <v>943</v>
      </c>
      <c r="C75" s="1" t="s">
        <v>944</v>
      </c>
      <c r="E75" s="7" t="s">
        <v>945</v>
      </c>
      <c r="H75" s="7" t="s">
        <v>946</v>
      </c>
      <c r="I75" s="7"/>
      <c r="J75" s="6" t="s">
        <v>947</v>
      </c>
      <c r="K75" s="6"/>
      <c r="L75" s="7" t="s">
        <v>948</v>
      </c>
      <c r="M75" s="7"/>
      <c r="N75" s="7" t="s">
        <v>949</v>
      </c>
      <c r="P75" s="7" t="s">
        <v>950</v>
      </c>
      <c r="R75" s="7" t="s">
        <v>951</v>
      </c>
      <c r="T75" s="1" t="s">
        <v>952</v>
      </c>
    </row>
    <row r="76" spans="1:20">
      <c r="A76" s="1" t="s">
        <v>953</v>
      </c>
      <c r="C76" s="1" t="s">
        <v>954</v>
      </c>
      <c r="E76" s="7" t="s">
        <v>955</v>
      </c>
      <c r="H76" s="7" t="s">
        <v>956</v>
      </c>
      <c r="I76" s="7"/>
      <c r="J76" s="6" t="s">
        <v>957</v>
      </c>
      <c r="K76" s="6"/>
      <c r="L76" s="7" t="s">
        <v>958</v>
      </c>
      <c r="M76" s="7"/>
      <c r="N76" s="7" t="s">
        <v>959</v>
      </c>
      <c r="P76" s="7" t="s">
        <v>960</v>
      </c>
      <c r="R76" s="7" t="s">
        <v>961</v>
      </c>
      <c r="T76" s="1" t="s">
        <v>962</v>
      </c>
    </row>
    <row r="77" spans="1:20">
      <c r="A77" s="1" t="s">
        <v>963</v>
      </c>
      <c r="C77" s="1" t="s">
        <v>964</v>
      </c>
      <c r="E77" s="7" t="s">
        <v>965</v>
      </c>
      <c r="H77" s="7" t="s">
        <v>956</v>
      </c>
      <c r="I77" s="7"/>
      <c r="J77" s="6" t="s">
        <v>966</v>
      </c>
      <c r="K77" s="6"/>
      <c r="L77" s="7" t="s">
        <v>967</v>
      </c>
      <c r="M77" s="7"/>
      <c r="N77" s="7" t="s">
        <v>968</v>
      </c>
      <c r="P77" s="7" t="s">
        <v>969</v>
      </c>
      <c r="R77" s="7" t="s">
        <v>970</v>
      </c>
      <c r="T77" s="1" t="s">
        <v>971</v>
      </c>
    </row>
    <row r="78" spans="1:20">
      <c r="A78" s="1" t="s">
        <v>972</v>
      </c>
      <c r="C78" s="1" t="s">
        <v>973</v>
      </c>
      <c r="E78" s="7" t="s">
        <v>974</v>
      </c>
      <c r="H78" s="7" t="s">
        <v>975</v>
      </c>
      <c r="I78" s="7"/>
      <c r="J78" s="6" t="s">
        <v>976</v>
      </c>
      <c r="K78" s="6"/>
      <c r="L78" s="7" t="s">
        <v>977</v>
      </c>
      <c r="M78" s="7"/>
      <c r="N78" s="7" t="s">
        <v>978</v>
      </c>
      <c r="P78" s="7" t="s">
        <v>979</v>
      </c>
      <c r="R78" s="7" t="s">
        <v>980</v>
      </c>
      <c r="T78" s="1" t="s">
        <v>981</v>
      </c>
    </row>
    <row r="79" spans="1:20">
      <c r="A79" s="1" t="s">
        <v>982</v>
      </c>
      <c r="C79" s="1" t="s">
        <v>983</v>
      </c>
      <c r="E79" s="7" t="s">
        <v>984</v>
      </c>
      <c r="H79" s="7" t="s">
        <v>985</v>
      </c>
      <c r="I79" s="7"/>
      <c r="J79" s="6" t="s">
        <v>986</v>
      </c>
      <c r="K79" s="6"/>
      <c r="L79" s="7" t="s">
        <v>987</v>
      </c>
      <c r="M79" s="7"/>
      <c r="N79" s="7" t="s">
        <v>988</v>
      </c>
      <c r="P79" s="7" t="s">
        <v>989</v>
      </c>
      <c r="R79" s="7" t="s">
        <v>990</v>
      </c>
      <c r="T79" s="1" t="s">
        <v>991</v>
      </c>
    </row>
    <row r="80" spans="1:20">
      <c r="A80" s="1" t="s">
        <v>992</v>
      </c>
      <c r="C80" s="1" t="s">
        <v>993</v>
      </c>
      <c r="E80" s="7" t="s">
        <v>994</v>
      </c>
      <c r="H80" s="7" t="s">
        <v>995</v>
      </c>
      <c r="I80" s="7"/>
      <c r="J80" s="6" t="s">
        <v>996</v>
      </c>
      <c r="K80" s="6"/>
      <c r="L80" s="7" t="s">
        <v>997</v>
      </c>
      <c r="M80" s="7"/>
      <c r="N80" s="7" t="s">
        <v>998</v>
      </c>
      <c r="P80" s="7" t="s">
        <v>999</v>
      </c>
      <c r="R80" s="7" t="s">
        <v>1000</v>
      </c>
      <c r="T80" s="1" t="s">
        <v>1001</v>
      </c>
    </row>
    <row r="81" spans="1:20">
      <c r="A81" s="1" t="s">
        <v>1002</v>
      </c>
      <c r="C81" s="1" t="s">
        <v>1003</v>
      </c>
      <c r="E81" s="7" t="s">
        <v>1004</v>
      </c>
      <c r="H81" s="7" t="s">
        <v>1005</v>
      </c>
      <c r="I81" s="7"/>
      <c r="J81" s="6" t="s">
        <v>1006</v>
      </c>
      <c r="K81" s="6"/>
      <c r="L81" s="7" t="s">
        <v>1007</v>
      </c>
      <c r="M81" s="7"/>
      <c r="N81" s="7" t="s">
        <v>1008</v>
      </c>
      <c r="P81" s="7" t="s">
        <v>1009</v>
      </c>
      <c r="R81" s="7" t="s">
        <v>1010</v>
      </c>
      <c r="T81" s="1" t="s">
        <v>1011</v>
      </c>
    </row>
    <row r="82" spans="1:20">
      <c r="A82" s="1" t="s">
        <v>1012</v>
      </c>
      <c r="C82" s="1" t="s">
        <v>1013</v>
      </c>
      <c r="E82" s="7" t="s">
        <v>1014</v>
      </c>
      <c r="H82" s="7" t="s">
        <v>1015</v>
      </c>
      <c r="I82" s="7"/>
      <c r="J82" s="6" t="s">
        <v>1016</v>
      </c>
      <c r="K82" s="6"/>
      <c r="L82" s="7" t="s">
        <v>1017</v>
      </c>
      <c r="M82" s="7"/>
      <c r="N82" s="7" t="s">
        <v>1018</v>
      </c>
      <c r="P82" s="7" t="s">
        <v>1019</v>
      </c>
      <c r="R82" s="7" t="s">
        <v>1020</v>
      </c>
      <c r="T82" s="1" t="s">
        <v>1021</v>
      </c>
    </row>
    <row r="83" spans="1:20">
      <c r="A83" s="1" t="s">
        <v>1022</v>
      </c>
      <c r="C83" s="1" t="s">
        <v>1023</v>
      </c>
      <c r="E83" s="7" t="s">
        <v>1024</v>
      </c>
      <c r="H83" s="7" t="s">
        <v>1025</v>
      </c>
      <c r="I83" s="7"/>
      <c r="J83" s="6" t="s">
        <v>1026</v>
      </c>
      <c r="K83" s="6"/>
      <c r="L83" s="7" t="s">
        <v>1027</v>
      </c>
      <c r="M83" s="7"/>
      <c r="N83" s="7" t="s">
        <v>1028</v>
      </c>
      <c r="P83" s="7" t="s">
        <v>1029</v>
      </c>
      <c r="R83" s="7" t="s">
        <v>1030</v>
      </c>
      <c r="T83" s="1" t="s">
        <v>1031</v>
      </c>
    </row>
    <row r="84" spans="1:20">
      <c r="A84" s="1" t="s">
        <v>1032</v>
      </c>
      <c r="C84" s="1" t="s">
        <v>1033</v>
      </c>
      <c r="E84" s="7" t="s">
        <v>1034</v>
      </c>
      <c r="H84" s="7" t="s">
        <v>1035</v>
      </c>
      <c r="I84" s="7"/>
      <c r="J84" s="6" t="s">
        <v>1036</v>
      </c>
      <c r="K84" s="6"/>
      <c r="L84" s="7" t="s">
        <v>1037</v>
      </c>
      <c r="M84" s="7"/>
      <c r="N84" s="7" t="s">
        <v>1038</v>
      </c>
      <c r="P84" s="7" t="s">
        <v>1039</v>
      </c>
      <c r="R84" s="7" t="s">
        <v>1040</v>
      </c>
      <c r="T84" s="1" t="s">
        <v>1041</v>
      </c>
    </row>
    <row r="85" spans="1:20">
      <c r="A85" s="1" t="s">
        <v>1042</v>
      </c>
      <c r="C85" s="1" t="s">
        <v>1043</v>
      </c>
      <c r="E85" s="7" t="s">
        <v>1044</v>
      </c>
      <c r="H85" s="7" t="s">
        <v>1045</v>
      </c>
      <c r="I85" s="7"/>
      <c r="J85" s="6" t="s">
        <v>1046</v>
      </c>
      <c r="K85" s="6"/>
      <c r="L85" s="7" t="s">
        <v>1047</v>
      </c>
      <c r="M85" s="7"/>
      <c r="N85" s="7" t="s">
        <v>1048</v>
      </c>
      <c r="P85" s="7" t="s">
        <v>1049</v>
      </c>
      <c r="R85" s="7" t="s">
        <v>1050</v>
      </c>
      <c r="T85" s="1" t="s">
        <v>1051</v>
      </c>
    </row>
    <row r="86" spans="1:20">
      <c r="A86" s="1" t="s">
        <v>1052</v>
      </c>
      <c r="C86" s="1" t="s">
        <v>1053</v>
      </c>
      <c r="E86" s="7" t="s">
        <v>1054</v>
      </c>
      <c r="H86" s="7" t="s">
        <v>1055</v>
      </c>
      <c r="I86" s="7"/>
      <c r="J86" s="6" t="s">
        <v>1056</v>
      </c>
      <c r="K86" s="6"/>
      <c r="L86" s="7" t="s">
        <v>1057</v>
      </c>
      <c r="M86" s="7"/>
      <c r="N86" s="7" t="s">
        <v>1058</v>
      </c>
      <c r="P86" s="7" t="s">
        <v>1059</v>
      </c>
      <c r="R86" s="7" t="s">
        <v>1060</v>
      </c>
      <c r="T86" s="1" t="s">
        <v>1061</v>
      </c>
    </row>
    <row r="87" spans="1:20">
      <c r="A87" s="1" t="s">
        <v>1062</v>
      </c>
      <c r="C87" s="1" t="s">
        <v>1063</v>
      </c>
      <c r="E87" s="7" t="s">
        <v>1064</v>
      </c>
      <c r="H87" s="7" t="s">
        <v>1065</v>
      </c>
      <c r="I87" s="7"/>
      <c r="J87" s="6" t="s">
        <v>1066</v>
      </c>
      <c r="K87" s="6"/>
      <c r="L87" s="7" t="s">
        <v>1067</v>
      </c>
      <c r="M87" s="7"/>
      <c r="N87" s="7" t="s">
        <v>1068</v>
      </c>
      <c r="P87" s="7" t="s">
        <v>1069</v>
      </c>
      <c r="R87" s="7" t="s">
        <v>1070</v>
      </c>
      <c r="T87" s="1" t="s">
        <v>1071</v>
      </c>
    </row>
    <row r="88" spans="1:20">
      <c r="A88" s="1" t="s">
        <v>1072</v>
      </c>
      <c r="C88" s="1" t="s">
        <v>1073</v>
      </c>
      <c r="E88" s="7" t="s">
        <v>1074</v>
      </c>
      <c r="H88" s="7" t="s">
        <v>1075</v>
      </c>
      <c r="I88" s="7"/>
      <c r="J88" s="6" t="s">
        <v>1076</v>
      </c>
      <c r="K88" s="6"/>
      <c r="L88" s="7" t="s">
        <v>1077</v>
      </c>
      <c r="M88" s="7"/>
      <c r="N88" s="7" t="s">
        <v>1078</v>
      </c>
      <c r="P88" s="7" t="s">
        <v>1079</v>
      </c>
      <c r="R88" s="7" t="s">
        <v>1080</v>
      </c>
      <c r="T88" s="1" t="s">
        <v>1081</v>
      </c>
    </row>
    <row r="89" spans="1:20">
      <c r="A89" s="1" t="s">
        <v>1082</v>
      </c>
      <c r="C89" s="1" t="s">
        <v>1083</v>
      </c>
      <c r="E89" s="7" t="s">
        <v>1084</v>
      </c>
      <c r="H89" s="7" t="s">
        <v>1085</v>
      </c>
      <c r="I89" s="7"/>
      <c r="J89" s="6" t="s">
        <v>1086</v>
      </c>
      <c r="K89" s="6"/>
      <c r="L89" s="7" t="s">
        <v>1087</v>
      </c>
      <c r="M89" s="7"/>
      <c r="N89" s="7" t="s">
        <v>1088</v>
      </c>
      <c r="P89" s="7" t="s">
        <v>1089</v>
      </c>
      <c r="R89" s="7" t="s">
        <v>1090</v>
      </c>
      <c r="T89" s="1" t="s">
        <v>1091</v>
      </c>
    </row>
    <row r="90" spans="1:20">
      <c r="A90" s="1" t="s">
        <v>1092</v>
      </c>
      <c r="C90" s="1" t="s">
        <v>1093</v>
      </c>
      <c r="E90" s="7" t="s">
        <v>1094</v>
      </c>
      <c r="H90" s="7" t="s">
        <v>1095</v>
      </c>
      <c r="I90" s="7"/>
      <c r="J90" s="6" t="s">
        <v>1096</v>
      </c>
      <c r="K90" s="6"/>
      <c r="L90" s="7" t="s">
        <v>1097</v>
      </c>
      <c r="M90" s="7"/>
      <c r="N90" s="7" t="s">
        <v>1098</v>
      </c>
      <c r="P90" s="1" t="s">
        <v>1099</v>
      </c>
      <c r="R90" s="7" t="s">
        <v>1100</v>
      </c>
      <c r="T90" s="1" t="s">
        <v>1101</v>
      </c>
    </row>
    <row r="91" spans="1:20">
      <c r="A91" s="1" t="s">
        <v>1102</v>
      </c>
      <c r="C91" s="1" t="s">
        <v>1103</v>
      </c>
      <c r="E91" s="7" t="s">
        <v>1104</v>
      </c>
      <c r="H91" s="7" t="s">
        <v>1105</v>
      </c>
      <c r="I91" s="7"/>
      <c r="J91" s="6" t="s">
        <v>1106</v>
      </c>
      <c r="K91" s="6"/>
      <c r="L91" s="7" t="s">
        <v>1107</v>
      </c>
      <c r="M91" s="7"/>
      <c r="N91" s="7" t="s">
        <v>1108</v>
      </c>
      <c r="R91" s="7" t="s">
        <v>1109</v>
      </c>
      <c r="T91" s="1" t="s">
        <v>1110</v>
      </c>
    </row>
    <row r="92" spans="1:20">
      <c r="A92" s="1" t="s">
        <v>1111</v>
      </c>
      <c r="C92" s="1" t="s">
        <v>1112</v>
      </c>
      <c r="H92" s="7" t="s">
        <v>1113</v>
      </c>
      <c r="I92" s="7"/>
      <c r="J92" s="6" t="s">
        <v>1114</v>
      </c>
      <c r="K92" s="6"/>
      <c r="L92" s="7" t="s">
        <v>1115</v>
      </c>
      <c r="M92" s="7"/>
      <c r="N92" s="7" t="s">
        <v>1116</v>
      </c>
      <c r="R92" s="7" t="s">
        <v>1117</v>
      </c>
      <c r="T92" s="1" t="s">
        <v>1118</v>
      </c>
    </row>
    <row r="93" spans="1:20">
      <c r="A93" s="1" t="s">
        <v>1119</v>
      </c>
      <c r="C93" s="1" t="s">
        <v>1120</v>
      </c>
      <c r="E93" s="5" t="s">
        <v>1121</v>
      </c>
      <c r="H93" s="7" t="s">
        <v>1122</v>
      </c>
      <c r="I93" s="7"/>
      <c r="J93" s="6" t="s">
        <v>1123</v>
      </c>
      <c r="K93" s="6"/>
      <c r="L93" s="7" t="s">
        <v>1124</v>
      </c>
      <c r="M93" s="7"/>
      <c r="N93" s="7" t="s">
        <v>1125</v>
      </c>
      <c r="R93" s="7" t="s">
        <v>1126</v>
      </c>
      <c r="T93" s="1" t="s">
        <v>1127</v>
      </c>
    </row>
    <row r="94" spans="1:20">
      <c r="A94" s="1" t="s">
        <v>1128</v>
      </c>
      <c r="C94" s="1" t="s">
        <v>1129</v>
      </c>
      <c r="E94" s="7" t="s">
        <v>1130</v>
      </c>
      <c r="H94" s="7" t="s">
        <v>1131</v>
      </c>
      <c r="I94" s="7"/>
      <c r="J94" s="6" t="s">
        <v>1132</v>
      </c>
      <c r="K94" s="6"/>
      <c r="L94" s="7" t="s">
        <v>1133</v>
      </c>
      <c r="M94" s="7"/>
      <c r="N94" s="7" t="s">
        <v>1134</v>
      </c>
      <c r="R94" s="7" t="s">
        <v>1135</v>
      </c>
      <c r="T94" s="1" t="s">
        <v>1136</v>
      </c>
    </row>
    <row r="95" spans="1:20">
      <c r="A95" s="1" t="s">
        <v>1137</v>
      </c>
      <c r="C95" s="1" t="s">
        <v>1138</v>
      </c>
      <c r="E95" s="7" t="s">
        <v>1139</v>
      </c>
      <c r="H95" s="7" t="s">
        <v>1140</v>
      </c>
      <c r="I95" s="7"/>
      <c r="J95" s="6" t="s">
        <v>1141</v>
      </c>
      <c r="K95" s="6"/>
      <c r="L95" s="7" t="s">
        <v>1142</v>
      </c>
      <c r="M95" s="7"/>
      <c r="N95" s="7" t="s">
        <v>1143</v>
      </c>
      <c r="R95" s="7" t="s">
        <v>1144</v>
      </c>
      <c r="T95" s="1" t="s">
        <v>1145</v>
      </c>
    </row>
    <row r="96" spans="1:20">
      <c r="A96" s="1" t="s">
        <v>1146</v>
      </c>
      <c r="C96" s="1" t="s">
        <v>1147</v>
      </c>
      <c r="E96" s="7" t="s">
        <v>1148</v>
      </c>
      <c r="H96" s="7" t="s">
        <v>1149</v>
      </c>
      <c r="I96" s="7"/>
      <c r="J96" s="6" t="s">
        <v>1150</v>
      </c>
      <c r="K96" s="6"/>
      <c r="L96" s="7" t="s">
        <v>1151</v>
      </c>
      <c r="M96" s="7"/>
      <c r="N96" s="7" t="s">
        <v>1152</v>
      </c>
      <c r="R96" s="7" t="s">
        <v>1153</v>
      </c>
      <c r="T96" s="1" t="s">
        <v>1154</v>
      </c>
    </row>
    <row r="97" spans="1:20">
      <c r="A97" s="1" t="s">
        <v>1155</v>
      </c>
      <c r="C97" s="1" t="s">
        <v>1156</v>
      </c>
      <c r="E97" s="7" t="s">
        <v>1157</v>
      </c>
      <c r="H97" s="7" t="s">
        <v>1158</v>
      </c>
      <c r="I97" s="7"/>
      <c r="J97" s="6" t="s">
        <v>1159</v>
      </c>
      <c r="K97" s="6"/>
      <c r="L97" s="7" t="s">
        <v>1160</v>
      </c>
      <c r="M97" s="7"/>
      <c r="N97" s="7" t="s">
        <v>1161</v>
      </c>
      <c r="R97" s="7" t="s">
        <v>1162</v>
      </c>
      <c r="T97" s="1" t="s">
        <v>1163</v>
      </c>
    </row>
    <row r="98" spans="1:20">
      <c r="A98" s="1" t="s">
        <v>1164</v>
      </c>
      <c r="C98" s="1" t="s">
        <v>1165</v>
      </c>
      <c r="E98" s="7" t="s">
        <v>1166</v>
      </c>
      <c r="H98" s="7" t="s">
        <v>1167</v>
      </c>
      <c r="I98" s="7"/>
      <c r="J98" s="6" t="s">
        <v>1168</v>
      </c>
      <c r="K98" s="6"/>
      <c r="L98" s="7" t="s">
        <v>1169</v>
      </c>
      <c r="M98" s="7"/>
      <c r="N98" s="7" t="s">
        <v>1170</v>
      </c>
      <c r="R98" s="7" t="s">
        <v>1171</v>
      </c>
      <c r="T98" s="1" t="s">
        <v>1172</v>
      </c>
    </row>
    <row r="99" spans="1:20">
      <c r="A99" s="1" t="s">
        <v>1173</v>
      </c>
      <c r="C99" s="1" t="s">
        <v>1174</v>
      </c>
      <c r="E99" s="7" t="s">
        <v>1175</v>
      </c>
      <c r="H99" s="7" t="s">
        <v>1176</v>
      </c>
      <c r="I99" s="7"/>
      <c r="J99" s="6" t="s">
        <v>1177</v>
      </c>
      <c r="K99" s="6"/>
      <c r="L99" s="7" t="s">
        <v>1178</v>
      </c>
      <c r="M99" s="7"/>
      <c r="N99" s="7" t="s">
        <v>1179</v>
      </c>
      <c r="R99" s="7" t="s">
        <v>1180</v>
      </c>
      <c r="T99" s="1" t="s">
        <v>1181</v>
      </c>
    </row>
    <row r="100" spans="1:20">
      <c r="A100" s="1" t="s">
        <v>1182</v>
      </c>
      <c r="C100" s="1" t="s">
        <v>1183</v>
      </c>
      <c r="E100" s="7" t="s">
        <v>1184</v>
      </c>
      <c r="H100" s="7" t="s">
        <v>1185</v>
      </c>
      <c r="I100" s="7"/>
      <c r="J100" s="6" t="s">
        <v>1186</v>
      </c>
      <c r="K100" s="6"/>
      <c r="L100" s="7" t="s">
        <v>1187</v>
      </c>
      <c r="M100" s="7"/>
      <c r="N100" s="7" t="s">
        <v>1188</v>
      </c>
      <c r="R100" s="7" t="s">
        <v>1189</v>
      </c>
      <c r="T100" s="1" t="s">
        <v>1190</v>
      </c>
    </row>
    <row r="101" spans="1:20">
      <c r="A101" s="1" t="s">
        <v>1191</v>
      </c>
      <c r="C101" s="1" t="s">
        <v>1192</v>
      </c>
      <c r="E101" s="7" t="s">
        <v>1193</v>
      </c>
      <c r="H101" s="7" t="s">
        <v>1194</v>
      </c>
      <c r="I101" s="7"/>
      <c r="J101" s="6" t="s">
        <v>1195</v>
      </c>
      <c r="K101" s="6"/>
      <c r="L101" s="7" t="s">
        <v>1196</v>
      </c>
      <c r="M101" s="7"/>
      <c r="N101" s="7" t="s">
        <v>1197</v>
      </c>
      <c r="R101" s="7" t="s">
        <v>1198</v>
      </c>
      <c r="T101" s="1" t="s">
        <v>1199</v>
      </c>
    </row>
    <row r="102" spans="1:20">
      <c r="A102" s="1" t="s">
        <v>1200</v>
      </c>
      <c r="C102" s="1" t="s">
        <v>1201</v>
      </c>
      <c r="E102" s="7" t="s">
        <v>1202</v>
      </c>
      <c r="H102" s="7" t="s">
        <v>1203</v>
      </c>
      <c r="I102" s="7"/>
      <c r="J102" s="6" t="s">
        <v>1204</v>
      </c>
      <c r="K102" s="6"/>
      <c r="L102" s="7" t="s">
        <v>1205</v>
      </c>
      <c r="M102" s="7"/>
      <c r="N102" s="7" t="s">
        <v>1206</v>
      </c>
      <c r="R102" s="7" t="s">
        <v>1207</v>
      </c>
      <c r="T102" s="1" t="s">
        <v>1208</v>
      </c>
    </row>
    <row r="103" spans="1:20">
      <c r="A103" s="1" t="s">
        <v>1209</v>
      </c>
      <c r="C103" s="1" t="s">
        <v>1210</v>
      </c>
      <c r="E103" s="7" t="s">
        <v>1211</v>
      </c>
      <c r="H103" s="7" t="s">
        <v>1212</v>
      </c>
      <c r="I103" s="7"/>
      <c r="J103" s="6" t="s">
        <v>1213</v>
      </c>
      <c r="K103" s="6"/>
      <c r="L103" s="7" t="s">
        <v>1214</v>
      </c>
      <c r="M103" s="7"/>
      <c r="N103" s="7" t="s">
        <v>1215</v>
      </c>
      <c r="R103" s="7" t="s">
        <v>1216</v>
      </c>
      <c r="T103" s="1" t="s">
        <v>1217</v>
      </c>
    </row>
    <row r="104" spans="1:20">
      <c r="A104" s="1" t="s">
        <v>1218</v>
      </c>
      <c r="C104" s="1" t="s">
        <v>1219</v>
      </c>
      <c r="E104" s="7" t="s">
        <v>1220</v>
      </c>
      <c r="H104" s="7" t="s">
        <v>1221</v>
      </c>
      <c r="I104" s="7"/>
      <c r="J104" s="6" t="s">
        <v>1222</v>
      </c>
      <c r="K104" s="6"/>
      <c r="L104" s="7" t="s">
        <v>1223</v>
      </c>
      <c r="M104" s="7"/>
      <c r="N104" s="7" t="s">
        <v>1224</v>
      </c>
      <c r="R104" s="7" t="s">
        <v>1225</v>
      </c>
      <c r="T104" s="1" t="s">
        <v>1226</v>
      </c>
    </row>
    <row r="105" spans="1:20">
      <c r="A105" s="1" t="s">
        <v>1227</v>
      </c>
      <c r="C105" s="1" t="s">
        <v>1228</v>
      </c>
      <c r="E105" s="7" t="s">
        <v>847</v>
      </c>
      <c r="H105" s="7" t="s">
        <v>1229</v>
      </c>
      <c r="I105" s="7"/>
      <c r="J105" s="6" t="s">
        <v>1230</v>
      </c>
      <c r="K105" s="6"/>
      <c r="L105" s="7" t="s">
        <v>1231</v>
      </c>
      <c r="M105" s="7"/>
      <c r="N105" s="7" t="s">
        <v>1232</v>
      </c>
      <c r="R105" s="7" t="s">
        <v>1233</v>
      </c>
      <c r="T105" s="1" t="s">
        <v>1234</v>
      </c>
    </row>
    <row r="106" spans="1:20">
      <c r="A106" s="1" t="s">
        <v>1235</v>
      </c>
      <c r="C106" s="1" t="s">
        <v>1236</v>
      </c>
      <c r="H106" s="7" t="s">
        <v>1237</v>
      </c>
      <c r="I106" s="7"/>
      <c r="J106" s="6" t="s">
        <v>1238</v>
      </c>
      <c r="K106" s="6"/>
      <c r="L106" s="7" t="s">
        <v>1239</v>
      </c>
      <c r="M106" s="7"/>
      <c r="N106" s="7" t="s">
        <v>1240</v>
      </c>
      <c r="R106" s="7" t="s">
        <v>1241</v>
      </c>
      <c r="T106" s="1" t="s">
        <v>1242</v>
      </c>
    </row>
    <row r="107" spans="1:20">
      <c r="A107" s="1" t="s">
        <v>1243</v>
      </c>
      <c r="C107" s="1" t="s">
        <v>1244</v>
      </c>
      <c r="E107" s="5" t="s">
        <v>1245</v>
      </c>
      <c r="H107" s="7" t="s">
        <v>1246</v>
      </c>
      <c r="I107" s="7"/>
      <c r="J107" s="6" t="s">
        <v>1247</v>
      </c>
      <c r="K107" s="6"/>
      <c r="L107" s="7" t="s">
        <v>1248</v>
      </c>
      <c r="M107" s="7"/>
      <c r="N107" s="7" t="s">
        <v>1249</v>
      </c>
      <c r="R107" s="7" t="s">
        <v>1250</v>
      </c>
      <c r="T107" s="1" t="s">
        <v>1251</v>
      </c>
    </row>
    <row r="108" spans="1:20" ht="14.45">
      <c r="A108" s="1" t="s">
        <v>1252</v>
      </c>
      <c r="C108" s="1" t="s">
        <v>1253</v>
      </c>
      <c r="E108" s="2" t="s">
        <v>1254</v>
      </c>
      <c r="H108" s="7" t="s">
        <v>1255</v>
      </c>
      <c r="I108" s="7"/>
      <c r="J108" s="6" t="s">
        <v>1256</v>
      </c>
      <c r="K108" s="6"/>
      <c r="L108" s="7" t="s">
        <v>1257</v>
      </c>
      <c r="M108" s="7"/>
      <c r="N108" s="7" t="s">
        <v>1258</v>
      </c>
      <c r="R108" s="7" t="s">
        <v>1259</v>
      </c>
      <c r="T108" s="1" t="s">
        <v>1260</v>
      </c>
    </row>
    <row r="109" spans="1:20">
      <c r="A109" s="1" t="s">
        <v>1261</v>
      </c>
      <c r="C109" s="1" t="s">
        <v>1262</v>
      </c>
      <c r="E109" s="7" t="s">
        <v>1263</v>
      </c>
      <c r="H109" s="7" t="s">
        <v>1264</v>
      </c>
      <c r="I109" s="7"/>
      <c r="J109" s="6" t="s">
        <v>1265</v>
      </c>
      <c r="K109" s="6"/>
      <c r="L109" s="7" t="s">
        <v>1266</v>
      </c>
      <c r="M109" s="7"/>
      <c r="N109" s="7" t="s">
        <v>1267</v>
      </c>
      <c r="R109" s="7" t="s">
        <v>1268</v>
      </c>
      <c r="T109" s="1" t="s">
        <v>1269</v>
      </c>
    </row>
    <row r="110" spans="1:20">
      <c r="A110" s="1" t="s">
        <v>1270</v>
      </c>
      <c r="C110" s="1" t="s">
        <v>1271</v>
      </c>
      <c r="H110" s="7" t="s">
        <v>1272</v>
      </c>
      <c r="I110" s="7"/>
      <c r="J110" s="6" t="s">
        <v>1273</v>
      </c>
      <c r="K110" s="6"/>
      <c r="L110" s="7" t="s">
        <v>1274</v>
      </c>
      <c r="M110" s="7"/>
      <c r="N110" s="7" t="s">
        <v>1275</v>
      </c>
      <c r="R110" s="7" t="s">
        <v>1276</v>
      </c>
      <c r="T110" s="1" t="s">
        <v>1277</v>
      </c>
    </row>
    <row r="111" spans="1:20">
      <c r="A111" s="1" t="s">
        <v>1278</v>
      </c>
      <c r="C111" s="1" t="s">
        <v>1279</v>
      </c>
      <c r="H111" s="7" t="s">
        <v>1280</v>
      </c>
      <c r="I111" s="7"/>
      <c r="J111" s="6" t="s">
        <v>1281</v>
      </c>
      <c r="K111" s="6"/>
      <c r="L111" s="7" t="s">
        <v>1282</v>
      </c>
      <c r="M111" s="7"/>
      <c r="N111" s="7" t="s">
        <v>1283</v>
      </c>
      <c r="R111" s="7" t="s">
        <v>1284</v>
      </c>
      <c r="T111" s="1" t="s">
        <v>1285</v>
      </c>
    </row>
    <row r="112" spans="1:20">
      <c r="A112" s="1" t="s">
        <v>1286</v>
      </c>
      <c r="C112" s="1" t="s">
        <v>1287</v>
      </c>
      <c r="H112" s="7" t="s">
        <v>1288</v>
      </c>
      <c r="I112" s="7"/>
      <c r="J112" s="6" t="s">
        <v>1289</v>
      </c>
      <c r="K112" s="6"/>
      <c r="L112" s="7" t="s">
        <v>1290</v>
      </c>
      <c r="M112" s="7"/>
      <c r="N112" s="7" t="s">
        <v>1291</v>
      </c>
      <c r="R112" s="7" t="s">
        <v>1292</v>
      </c>
      <c r="T112" s="1" t="s">
        <v>1293</v>
      </c>
    </row>
    <row r="113" spans="1:20">
      <c r="A113" s="1" t="s">
        <v>1294</v>
      </c>
      <c r="C113" s="1" t="s">
        <v>1295</v>
      </c>
      <c r="H113" s="7" t="s">
        <v>1296</v>
      </c>
      <c r="I113" s="7"/>
      <c r="J113" s="6" t="s">
        <v>1297</v>
      </c>
      <c r="K113" s="6"/>
      <c r="L113" s="7" t="s">
        <v>1298</v>
      </c>
      <c r="M113" s="7"/>
      <c r="N113" s="7" t="s">
        <v>1299</v>
      </c>
      <c r="R113" s="7" t="s">
        <v>1300</v>
      </c>
      <c r="T113" s="1" t="s">
        <v>1301</v>
      </c>
    </row>
    <row r="114" spans="1:20">
      <c r="A114" s="1" t="s">
        <v>1302</v>
      </c>
      <c r="C114" s="1" t="s">
        <v>1303</v>
      </c>
      <c r="H114" s="7" t="s">
        <v>1304</v>
      </c>
      <c r="I114" s="7"/>
      <c r="J114" s="6" t="s">
        <v>1305</v>
      </c>
      <c r="K114" s="6"/>
      <c r="L114" s="7" t="s">
        <v>1306</v>
      </c>
      <c r="M114" s="7"/>
      <c r="N114" s="7" t="s">
        <v>1307</v>
      </c>
      <c r="R114" s="7" t="s">
        <v>1308</v>
      </c>
      <c r="T114" s="1" t="s">
        <v>1309</v>
      </c>
    </row>
    <row r="115" spans="1:20">
      <c r="A115" s="1" t="s">
        <v>1310</v>
      </c>
      <c r="C115" s="1" t="s">
        <v>1311</v>
      </c>
      <c r="H115" s="7" t="s">
        <v>1312</v>
      </c>
      <c r="I115" s="7"/>
      <c r="J115" s="6" t="s">
        <v>1313</v>
      </c>
      <c r="K115" s="6"/>
      <c r="L115" s="7" t="s">
        <v>1314</v>
      </c>
      <c r="M115" s="7"/>
      <c r="N115" s="7" t="s">
        <v>1315</v>
      </c>
      <c r="R115" s="7" t="s">
        <v>1316</v>
      </c>
      <c r="T115" s="1" t="s">
        <v>1317</v>
      </c>
    </row>
    <row r="116" spans="1:20">
      <c r="A116" s="1" t="s">
        <v>1318</v>
      </c>
      <c r="C116" s="1" t="s">
        <v>1319</v>
      </c>
      <c r="H116" s="7" t="s">
        <v>1320</v>
      </c>
      <c r="I116" s="7"/>
      <c r="J116" s="6" t="s">
        <v>1321</v>
      </c>
      <c r="K116" s="6"/>
      <c r="L116" s="7" t="s">
        <v>1322</v>
      </c>
      <c r="M116" s="7"/>
      <c r="N116" s="7" t="s">
        <v>1323</v>
      </c>
      <c r="R116" s="7" t="s">
        <v>1324</v>
      </c>
      <c r="T116" s="1" t="s">
        <v>1325</v>
      </c>
    </row>
    <row r="117" spans="1:20">
      <c r="A117" s="1" t="s">
        <v>1326</v>
      </c>
      <c r="C117" s="1" t="s">
        <v>1327</v>
      </c>
      <c r="H117" s="7" t="s">
        <v>1328</v>
      </c>
      <c r="I117" s="7"/>
      <c r="J117" s="6" t="s">
        <v>1329</v>
      </c>
      <c r="K117" s="6"/>
      <c r="L117" s="7" t="s">
        <v>1330</v>
      </c>
      <c r="M117" s="7"/>
      <c r="N117" s="7" t="s">
        <v>1331</v>
      </c>
      <c r="R117" s="7" t="s">
        <v>1332</v>
      </c>
      <c r="T117" s="1" t="s">
        <v>1333</v>
      </c>
    </row>
    <row r="118" spans="1:20">
      <c r="A118" s="1" t="s">
        <v>1334</v>
      </c>
      <c r="C118" s="1" t="s">
        <v>1335</v>
      </c>
      <c r="H118" s="7" t="s">
        <v>1336</v>
      </c>
      <c r="I118" s="7"/>
      <c r="J118" s="6" t="s">
        <v>1337</v>
      </c>
      <c r="K118" s="6"/>
      <c r="L118" s="7" t="s">
        <v>1338</v>
      </c>
      <c r="M118" s="7"/>
      <c r="N118" s="7" t="s">
        <v>1339</v>
      </c>
      <c r="R118" s="7" t="s">
        <v>1340</v>
      </c>
      <c r="T118" s="1" t="s">
        <v>1341</v>
      </c>
    </row>
    <row r="119" spans="1:20">
      <c r="A119" s="1" t="s">
        <v>1342</v>
      </c>
      <c r="C119" s="1" t="s">
        <v>1343</v>
      </c>
      <c r="H119" s="7" t="s">
        <v>1344</v>
      </c>
      <c r="I119" s="7"/>
      <c r="J119" s="6" t="s">
        <v>1345</v>
      </c>
      <c r="K119" s="6"/>
      <c r="L119" s="7" t="s">
        <v>1346</v>
      </c>
      <c r="M119" s="7"/>
      <c r="N119" s="7" t="s">
        <v>1347</v>
      </c>
      <c r="R119" s="7" t="s">
        <v>1348</v>
      </c>
      <c r="T119" s="1" t="s">
        <v>1349</v>
      </c>
    </row>
    <row r="120" spans="1:20">
      <c r="A120" s="1" t="s">
        <v>1350</v>
      </c>
      <c r="C120" s="1" t="s">
        <v>1351</v>
      </c>
      <c r="H120" s="7" t="s">
        <v>1352</v>
      </c>
      <c r="I120" s="7"/>
      <c r="J120" s="6" t="s">
        <v>1353</v>
      </c>
      <c r="K120" s="6"/>
      <c r="L120" s="7" t="s">
        <v>1354</v>
      </c>
      <c r="M120" s="7"/>
      <c r="N120" s="7" t="s">
        <v>1355</v>
      </c>
      <c r="R120" s="7" t="s">
        <v>1356</v>
      </c>
      <c r="T120" s="1" t="s">
        <v>1357</v>
      </c>
    </row>
    <row r="121" spans="1:20">
      <c r="A121" s="1" t="s">
        <v>1358</v>
      </c>
      <c r="C121" s="1" t="s">
        <v>1359</v>
      </c>
      <c r="H121" s="7" t="s">
        <v>1360</v>
      </c>
      <c r="I121" s="7"/>
      <c r="J121" s="6" t="s">
        <v>1361</v>
      </c>
      <c r="K121" s="6"/>
      <c r="L121" s="7" t="s">
        <v>1362</v>
      </c>
      <c r="M121" s="7"/>
      <c r="N121" s="7" t="s">
        <v>1363</v>
      </c>
      <c r="R121" s="7" t="s">
        <v>1364</v>
      </c>
      <c r="T121" s="1" t="s">
        <v>1365</v>
      </c>
    </row>
    <row r="122" spans="1:20">
      <c r="A122" s="1" t="s">
        <v>1366</v>
      </c>
      <c r="C122" s="1" t="s">
        <v>1367</v>
      </c>
      <c r="H122" s="7" t="s">
        <v>1368</v>
      </c>
      <c r="I122" s="7"/>
      <c r="J122" s="6" t="s">
        <v>1369</v>
      </c>
      <c r="K122" s="6"/>
      <c r="L122" s="7" t="s">
        <v>1370</v>
      </c>
      <c r="M122" s="7"/>
      <c r="N122" s="7" t="s">
        <v>1371</v>
      </c>
      <c r="R122" s="7" t="s">
        <v>1372</v>
      </c>
      <c r="T122" s="1" t="s">
        <v>1373</v>
      </c>
    </row>
    <row r="123" spans="1:20">
      <c r="A123" s="1" t="s">
        <v>1374</v>
      </c>
      <c r="C123" s="1" t="s">
        <v>1375</v>
      </c>
      <c r="H123" s="7" t="s">
        <v>1376</v>
      </c>
      <c r="I123" s="7"/>
      <c r="J123" s="6" t="s">
        <v>1377</v>
      </c>
      <c r="K123" s="6"/>
      <c r="L123" s="7" t="s">
        <v>1378</v>
      </c>
      <c r="M123" s="7"/>
      <c r="N123" s="7" t="s">
        <v>1379</v>
      </c>
      <c r="R123" s="7" t="s">
        <v>1380</v>
      </c>
      <c r="T123" s="1" t="s">
        <v>1381</v>
      </c>
    </row>
    <row r="124" spans="1:20">
      <c r="A124" s="1" t="s">
        <v>1382</v>
      </c>
      <c r="C124" s="1" t="s">
        <v>1383</v>
      </c>
      <c r="H124" s="7" t="s">
        <v>1384</v>
      </c>
      <c r="I124" s="7"/>
      <c r="J124" s="6" t="s">
        <v>1385</v>
      </c>
      <c r="K124" s="6"/>
      <c r="L124" s="7" t="s">
        <v>1386</v>
      </c>
      <c r="M124" s="7"/>
      <c r="N124" s="7" t="s">
        <v>1387</v>
      </c>
      <c r="R124" s="7" t="s">
        <v>1388</v>
      </c>
      <c r="T124" s="1" t="s">
        <v>1389</v>
      </c>
    </row>
    <row r="125" spans="1:20">
      <c r="A125" s="1" t="s">
        <v>1390</v>
      </c>
      <c r="C125" s="1" t="s">
        <v>1391</v>
      </c>
      <c r="H125" s="7" t="s">
        <v>1392</v>
      </c>
      <c r="I125" s="7"/>
      <c r="J125" s="6" t="s">
        <v>1393</v>
      </c>
      <c r="K125" s="6"/>
      <c r="L125" s="7" t="s">
        <v>1394</v>
      </c>
      <c r="M125" s="7"/>
      <c r="N125" s="7" t="s">
        <v>1395</v>
      </c>
      <c r="R125" s="7" t="s">
        <v>1396</v>
      </c>
      <c r="T125" s="1" t="s">
        <v>1397</v>
      </c>
    </row>
    <row r="126" spans="1:20">
      <c r="A126" s="1" t="s">
        <v>1398</v>
      </c>
      <c r="C126" s="1" t="s">
        <v>1399</v>
      </c>
      <c r="H126" s="7" t="s">
        <v>1400</v>
      </c>
      <c r="I126" s="7"/>
      <c r="J126" s="6" t="s">
        <v>1401</v>
      </c>
      <c r="K126" s="6"/>
      <c r="L126" s="7" t="s">
        <v>1402</v>
      </c>
      <c r="M126" s="7"/>
      <c r="N126" s="7" t="s">
        <v>1403</v>
      </c>
      <c r="R126" s="7" t="s">
        <v>1404</v>
      </c>
      <c r="T126" s="1" t="s">
        <v>1405</v>
      </c>
    </row>
    <row r="127" spans="1:20">
      <c r="A127" s="1" t="s">
        <v>1406</v>
      </c>
      <c r="C127" s="1" t="s">
        <v>1407</v>
      </c>
      <c r="H127" s="7" t="s">
        <v>1408</v>
      </c>
      <c r="I127" s="7"/>
      <c r="J127" s="6" t="s">
        <v>1409</v>
      </c>
      <c r="K127" s="6"/>
      <c r="L127" s="7" t="s">
        <v>1410</v>
      </c>
      <c r="M127" s="7"/>
      <c r="N127" s="7" t="s">
        <v>1411</v>
      </c>
      <c r="R127" s="7" t="s">
        <v>1412</v>
      </c>
      <c r="T127" s="1" t="s">
        <v>1413</v>
      </c>
    </row>
    <row r="128" spans="1:20">
      <c r="A128" s="1" t="s">
        <v>1414</v>
      </c>
      <c r="C128" s="1" t="s">
        <v>1415</v>
      </c>
      <c r="H128" s="7" t="s">
        <v>1416</v>
      </c>
      <c r="I128" s="7"/>
      <c r="J128" s="6" t="s">
        <v>1417</v>
      </c>
      <c r="K128" s="6"/>
      <c r="L128" s="7" t="s">
        <v>1418</v>
      </c>
      <c r="M128" s="7"/>
      <c r="N128" s="7" t="s">
        <v>1419</v>
      </c>
      <c r="R128" s="7" t="s">
        <v>1420</v>
      </c>
      <c r="T128" s="1" t="s">
        <v>1421</v>
      </c>
    </row>
    <row r="129" spans="1:20">
      <c r="A129" s="1" t="s">
        <v>1422</v>
      </c>
      <c r="C129" s="1" t="s">
        <v>1423</v>
      </c>
      <c r="H129" s="7" t="s">
        <v>1424</v>
      </c>
      <c r="I129" s="7"/>
      <c r="J129" s="6" t="s">
        <v>1425</v>
      </c>
      <c r="K129" s="6"/>
      <c r="L129" s="7" t="s">
        <v>1426</v>
      </c>
      <c r="M129" s="7"/>
      <c r="N129" s="7" t="s">
        <v>1427</v>
      </c>
      <c r="R129" s="7" t="s">
        <v>1428</v>
      </c>
      <c r="T129" s="1" t="s">
        <v>1429</v>
      </c>
    </row>
    <row r="130" spans="1:20">
      <c r="A130" s="1" t="s">
        <v>1430</v>
      </c>
      <c r="C130" s="1" t="s">
        <v>1431</v>
      </c>
      <c r="H130" s="7" t="s">
        <v>1432</v>
      </c>
      <c r="I130" s="7"/>
      <c r="J130" s="6" t="s">
        <v>1433</v>
      </c>
      <c r="K130" s="6"/>
      <c r="L130" s="7" t="s">
        <v>1434</v>
      </c>
      <c r="M130" s="7"/>
      <c r="N130" s="7" t="s">
        <v>1435</v>
      </c>
      <c r="R130" s="7" t="s">
        <v>1436</v>
      </c>
      <c r="T130" s="1" t="s">
        <v>1437</v>
      </c>
    </row>
    <row r="131" spans="1:20">
      <c r="A131" s="1" t="s">
        <v>1438</v>
      </c>
      <c r="C131" s="1" t="s">
        <v>1439</v>
      </c>
      <c r="H131" s="7" t="s">
        <v>1440</v>
      </c>
      <c r="I131" s="7"/>
      <c r="J131" s="6" t="s">
        <v>1441</v>
      </c>
      <c r="K131" s="6"/>
      <c r="L131" s="7" t="s">
        <v>1442</v>
      </c>
      <c r="M131" s="7"/>
      <c r="N131" s="7" t="s">
        <v>1443</v>
      </c>
      <c r="R131" s="7" t="s">
        <v>1444</v>
      </c>
      <c r="T131" s="1" t="s">
        <v>1445</v>
      </c>
    </row>
    <row r="132" spans="1:20">
      <c r="A132" s="1" t="s">
        <v>1446</v>
      </c>
      <c r="C132" s="1" t="s">
        <v>1447</v>
      </c>
      <c r="H132" s="7" t="s">
        <v>1448</v>
      </c>
      <c r="I132" s="7"/>
      <c r="J132" s="6" t="s">
        <v>1449</v>
      </c>
      <c r="K132" s="6"/>
      <c r="L132" s="7" t="s">
        <v>1450</v>
      </c>
      <c r="M132" s="7"/>
      <c r="N132" s="7" t="s">
        <v>1451</v>
      </c>
      <c r="R132" s="7" t="s">
        <v>1452</v>
      </c>
      <c r="T132" s="1" t="s">
        <v>1453</v>
      </c>
    </row>
    <row r="133" spans="1:20">
      <c r="A133" s="1" t="s">
        <v>1454</v>
      </c>
      <c r="C133" s="1" t="s">
        <v>1455</v>
      </c>
      <c r="H133" s="7" t="s">
        <v>1456</v>
      </c>
      <c r="I133" s="7"/>
      <c r="J133" s="6" t="s">
        <v>1457</v>
      </c>
      <c r="K133" s="6"/>
      <c r="L133" s="7" t="s">
        <v>1458</v>
      </c>
      <c r="M133" s="7"/>
      <c r="N133" s="7" t="s">
        <v>1459</v>
      </c>
      <c r="R133" s="7" t="s">
        <v>1460</v>
      </c>
      <c r="T133" s="1" t="s">
        <v>1461</v>
      </c>
    </row>
    <row r="134" spans="1:20">
      <c r="A134" s="1" t="s">
        <v>1462</v>
      </c>
      <c r="C134" s="1" t="s">
        <v>1463</v>
      </c>
      <c r="H134" s="7" t="s">
        <v>1464</v>
      </c>
      <c r="I134" s="7"/>
      <c r="J134" s="6" t="s">
        <v>1465</v>
      </c>
      <c r="K134" s="6"/>
      <c r="L134" s="7" t="s">
        <v>1466</v>
      </c>
      <c r="M134" s="7"/>
      <c r="N134" s="7" t="s">
        <v>1467</v>
      </c>
      <c r="R134" s="7" t="s">
        <v>1468</v>
      </c>
      <c r="T134" s="1" t="s">
        <v>1469</v>
      </c>
    </row>
    <row r="135" spans="1:20">
      <c r="A135" s="1" t="s">
        <v>1470</v>
      </c>
      <c r="C135" s="1" t="s">
        <v>1471</v>
      </c>
      <c r="H135" s="7" t="s">
        <v>1472</v>
      </c>
      <c r="I135" s="7"/>
      <c r="J135" s="6" t="s">
        <v>1473</v>
      </c>
      <c r="K135" s="6"/>
      <c r="L135" s="7" t="s">
        <v>1474</v>
      </c>
      <c r="M135" s="7"/>
      <c r="N135" s="7" t="s">
        <v>1475</v>
      </c>
      <c r="R135" s="7" t="s">
        <v>1476</v>
      </c>
      <c r="T135" s="1" t="s">
        <v>1477</v>
      </c>
    </row>
    <row r="136" spans="1:20">
      <c r="A136" s="1" t="s">
        <v>1478</v>
      </c>
      <c r="C136" s="1" t="s">
        <v>1479</v>
      </c>
      <c r="H136" s="7" t="s">
        <v>1480</v>
      </c>
      <c r="I136" s="7"/>
      <c r="J136" s="6" t="s">
        <v>1481</v>
      </c>
      <c r="K136" s="6"/>
      <c r="L136" s="7" t="s">
        <v>1482</v>
      </c>
      <c r="M136" s="7"/>
      <c r="N136" s="7" t="s">
        <v>1483</v>
      </c>
      <c r="R136" s="7" t="s">
        <v>1484</v>
      </c>
      <c r="T136" s="1" t="s">
        <v>1485</v>
      </c>
    </row>
    <row r="137" spans="1:20">
      <c r="A137" s="1" t="s">
        <v>1486</v>
      </c>
      <c r="C137" s="1" t="s">
        <v>1487</v>
      </c>
      <c r="H137" s="7" t="s">
        <v>1488</v>
      </c>
      <c r="I137" s="7"/>
      <c r="J137" s="6" t="s">
        <v>1489</v>
      </c>
      <c r="K137" s="6"/>
      <c r="L137" s="7" t="s">
        <v>1490</v>
      </c>
      <c r="M137" s="7"/>
      <c r="N137" s="7" t="s">
        <v>1491</v>
      </c>
      <c r="R137" s="7" t="s">
        <v>1492</v>
      </c>
      <c r="T137" s="1" t="s">
        <v>1493</v>
      </c>
    </row>
    <row r="138" spans="1:20">
      <c r="A138" s="1" t="s">
        <v>1494</v>
      </c>
      <c r="C138" s="1" t="s">
        <v>1495</v>
      </c>
      <c r="H138" s="7" t="s">
        <v>1496</v>
      </c>
      <c r="I138" s="7"/>
      <c r="J138" s="6" t="s">
        <v>1497</v>
      </c>
      <c r="K138" s="6"/>
      <c r="L138" s="7" t="s">
        <v>1498</v>
      </c>
      <c r="M138" s="7"/>
      <c r="N138" s="7" t="s">
        <v>1499</v>
      </c>
      <c r="R138" s="7" t="s">
        <v>1500</v>
      </c>
      <c r="T138" s="1" t="s">
        <v>1501</v>
      </c>
    </row>
    <row r="139" spans="1:20">
      <c r="A139" s="1" t="s">
        <v>1502</v>
      </c>
      <c r="C139" s="1" t="s">
        <v>1503</v>
      </c>
      <c r="H139" s="7" t="s">
        <v>1504</v>
      </c>
      <c r="I139" s="7"/>
      <c r="J139" s="6" t="s">
        <v>1505</v>
      </c>
      <c r="K139" s="6"/>
      <c r="L139" s="7" t="s">
        <v>1506</v>
      </c>
      <c r="M139" s="7"/>
      <c r="N139" s="7" t="s">
        <v>1507</v>
      </c>
      <c r="R139" s="7" t="s">
        <v>1508</v>
      </c>
    </row>
    <row r="140" spans="1:20">
      <c r="A140" s="1" t="s">
        <v>1509</v>
      </c>
      <c r="C140" s="1" t="s">
        <v>1510</v>
      </c>
      <c r="H140" s="7" t="s">
        <v>1511</v>
      </c>
      <c r="I140" s="7"/>
      <c r="J140" s="6" t="s">
        <v>1512</v>
      </c>
      <c r="K140" s="6"/>
      <c r="L140" s="7" t="s">
        <v>1513</v>
      </c>
      <c r="M140" s="7"/>
      <c r="N140" s="7" t="s">
        <v>1514</v>
      </c>
      <c r="R140" s="7" t="s">
        <v>1515</v>
      </c>
    </row>
    <row r="141" spans="1:20">
      <c r="A141" s="1" t="s">
        <v>1516</v>
      </c>
      <c r="C141" s="1" t="s">
        <v>1517</v>
      </c>
      <c r="H141" s="7" t="s">
        <v>1518</v>
      </c>
      <c r="I141" s="7"/>
      <c r="J141" s="6" t="s">
        <v>1519</v>
      </c>
      <c r="K141" s="6"/>
      <c r="L141" s="7" t="s">
        <v>1520</v>
      </c>
      <c r="M141" s="7"/>
      <c r="N141" s="7" t="s">
        <v>1521</v>
      </c>
      <c r="R141" s="7" t="s">
        <v>1522</v>
      </c>
    </row>
    <row r="142" spans="1:20">
      <c r="A142" s="1" t="s">
        <v>1523</v>
      </c>
      <c r="C142" s="1" t="s">
        <v>1524</v>
      </c>
      <c r="H142" s="7" t="s">
        <v>1525</v>
      </c>
      <c r="I142" s="7"/>
      <c r="J142" s="6" t="s">
        <v>1526</v>
      </c>
      <c r="K142" s="6"/>
      <c r="L142" s="7" t="s">
        <v>1527</v>
      </c>
      <c r="M142" s="7"/>
      <c r="N142" s="7" t="s">
        <v>1528</v>
      </c>
      <c r="R142" s="7" t="s">
        <v>1529</v>
      </c>
    </row>
    <row r="143" spans="1:20">
      <c r="A143" s="1" t="s">
        <v>1530</v>
      </c>
      <c r="C143" s="1" t="s">
        <v>1531</v>
      </c>
      <c r="H143" s="7" t="s">
        <v>1532</v>
      </c>
      <c r="I143" s="7"/>
      <c r="J143" s="6" t="s">
        <v>1533</v>
      </c>
      <c r="K143" s="6"/>
      <c r="L143" s="7" t="s">
        <v>1534</v>
      </c>
      <c r="M143" s="7"/>
      <c r="N143" s="7" t="s">
        <v>1535</v>
      </c>
      <c r="R143" s="7" t="s">
        <v>1536</v>
      </c>
    </row>
    <row r="144" spans="1:20">
      <c r="A144" s="1" t="s">
        <v>1537</v>
      </c>
      <c r="C144" s="1" t="s">
        <v>1538</v>
      </c>
      <c r="H144" s="7" t="s">
        <v>1539</v>
      </c>
      <c r="I144" s="7"/>
      <c r="J144" s="6" t="s">
        <v>1540</v>
      </c>
      <c r="K144" s="6"/>
      <c r="L144" s="7" t="s">
        <v>1541</v>
      </c>
      <c r="M144" s="7"/>
      <c r="N144" s="7" t="s">
        <v>1542</v>
      </c>
      <c r="R144" s="7" t="s">
        <v>1543</v>
      </c>
    </row>
    <row r="145" spans="1:18">
      <c r="A145" s="1" t="s">
        <v>1544</v>
      </c>
      <c r="C145" s="1" t="s">
        <v>1545</v>
      </c>
      <c r="H145" s="7" t="s">
        <v>1546</v>
      </c>
      <c r="I145" s="7"/>
      <c r="J145" s="6" t="s">
        <v>1547</v>
      </c>
      <c r="K145" s="6"/>
      <c r="L145" s="7" t="s">
        <v>1548</v>
      </c>
      <c r="M145" s="7"/>
      <c r="N145" s="7" t="s">
        <v>1549</v>
      </c>
      <c r="R145" s="7" t="s">
        <v>1550</v>
      </c>
    </row>
    <row r="146" spans="1:18">
      <c r="A146" s="1" t="s">
        <v>1551</v>
      </c>
      <c r="C146" s="1" t="s">
        <v>1552</v>
      </c>
      <c r="H146" s="7" t="s">
        <v>1553</v>
      </c>
      <c r="I146" s="7"/>
      <c r="J146" s="6" t="s">
        <v>1554</v>
      </c>
      <c r="K146" s="6"/>
      <c r="L146" s="7" t="s">
        <v>1555</v>
      </c>
      <c r="M146" s="7"/>
      <c r="N146" s="7" t="s">
        <v>1556</v>
      </c>
      <c r="R146" s="7" t="s">
        <v>1557</v>
      </c>
    </row>
    <row r="147" spans="1:18">
      <c r="A147" s="1" t="s">
        <v>1558</v>
      </c>
      <c r="C147" s="1" t="s">
        <v>1559</v>
      </c>
      <c r="H147" s="7" t="s">
        <v>1560</v>
      </c>
      <c r="I147" s="7"/>
      <c r="J147" s="6" t="s">
        <v>1561</v>
      </c>
      <c r="K147" s="6"/>
      <c r="L147" s="7" t="s">
        <v>1562</v>
      </c>
      <c r="M147" s="7"/>
      <c r="N147" s="7" t="s">
        <v>1563</v>
      </c>
      <c r="R147" s="7" t="s">
        <v>1564</v>
      </c>
    </row>
    <row r="148" spans="1:18">
      <c r="A148" s="1" t="s">
        <v>1565</v>
      </c>
      <c r="C148" s="1" t="s">
        <v>1566</v>
      </c>
      <c r="H148" s="7" t="s">
        <v>1567</v>
      </c>
      <c r="I148" s="7"/>
      <c r="J148" s="6" t="s">
        <v>1568</v>
      </c>
      <c r="K148" s="6"/>
      <c r="L148" s="7" t="s">
        <v>1569</v>
      </c>
      <c r="M148" s="7"/>
      <c r="N148" s="7" t="s">
        <v>1570</v>
      </c>
      <c r="R148" s="7" t="s">
        <v>1571</v>
      </c>
    </row>
    <row r="149" spans="1:18">
      <c r="A149" s="1" t="s">
        <v>1572</v>
      </c>
      <c r="C149" s="1" t="s">
        <v>1573</v>
      </c>
      <c r="H149" s="7" t="s">
        <v>1574</v>
      </c>
      <c r="I149" s="7"/>
      <c r="J149" s="6" t="s">
        <v>1575</v>
      </c>
      <c r="K149" s="6"/>
      <c r="L149" s="7" t="s">
        <v>1576</v>
      </c>
      <c r="M149" s="7"/>
      <c r="N149" s="7" t="s">
        <v>1577</v>
      </c>
      <c r="R149" s="7" t="s">
        <v>1578</v>
      </c>
    </row>
    <row r="150" spans="1:18">
      <c r="A150" s="1" t="s">
        <v>1579</v>
      </c>
      <c r="C150" s="1" t="s">
        <v>1580</v>
      </c>
      <c r="H150" s="7" t="s">
        <v>1581</v>
      </c>
      <c r="I150" s="7"/>
      <c r="J150" s="6" t="s">
        <v>1582</v>
      </c>
      <c r="K150" s="6"/>
      <c r="L150" s="7" t="s">
        <v>1583</v>
      </c>
      <c r="M150" s="7"/>
      <c r="N150" s="7" t="s">
        <v>1584</v>
      </c>
      <c r="R150" s="7" t="s">
        <v>1585</v>
      </c>
    </row>
    <row r="151" spans="1:18">
      <c r="A151" s="1" t="s">
        <v>1586</v>
      </c>
      <c r="C151" s="1" t="s">
        <v>1587</v>
      </c>
      <c r="H151" s="7" t="s">
        <v>1588</v>
      </c>
      <c r="I151" s="7"/>
      <c r="J151" s="6" t="s">
        <v>1589</v>
      </c>
      <c r="K151" s="6"/>
      <c r="L151" s="7" t="s">
        <v>1590</v>
      </c>
      <c r="M151" s="7"/>
      <c r="N151" s="7" t="s">
        <v>1591</v>
      </c>
      <c r="R151" s="7" t="s">
        <v>1592</v>
      </c>
    </row>
    <row r="152" spans="1:18">
      <c r="A152" s="1" t="s">
        <v>1593</v>
      </c>
      <c r="C152" s="1" t="s">
        <v>1594</v>
      </c>
      <c r="H152" s="7" t="s">
        <v>1595</v>
      </c>
      <c r="I152" s="7"/>
      <c r="J152" s="6" t="s">
        <v>1596</v>
      </c>
      <c r="K152" s="6"/>
      <c r="L152" s="7" t="s">
        <v>1597</v>
      </c>
      <c r="M152" s="7"/>
      <c r="N152" s="7" t="s">
        <v>1598</v>
      </c>
      <c r="R152" s="7" t="s">
        <v>1599</v>
      </c>
    </row>
    <row r="153" spans="1:18">
      <c r="A153" s="1" t="s">
        <v>1600</v>
      </c>
      <c r="C153" s="1" t="s">
        <v>1601</v>
      </c>
      <c r="H153" s="7" t="s">
        <v>1602</v>
      </c>
      <c r="I153" s="7"/>
      <c r="J153" s="6" t="s">
        <v>1603</v>
      </c>
      <c r="K153" s="6"/>
      <c r="L153" s="7" t="s">
        <v>1604</v>
      </c>
      <c r="M153" s="7"/>
      <c r="N153" s="7" t="s">
        <v>1605</v>
      </c>
      <c r="R153" s="7" t="s">
        <v>1606</v>
      </c>
    </row>
    <row r="154" spans="1:18">
      <c r="A154" s="1" t="s">
        <v>1607</v>
      </c>
      <c r="C154" s="1" t="s">
        <v>1608</v>
      </c>
      <c r="H154" s="7" t="s">
        <v>1609</v>
      </c>
      <c r="I154" s="7"/>
      <c r="J154" s="6" t="s">
        <v>1610</v>
      </c>
      <c r="K154" s="6"/>
      <c r="L154" s="7" t="s">
        <v>1611</v>
      </c>
      <c r="M154" s="7"/>
      <c r="N154" s="7" t="s">
        <v>1612</v>
      </c>
      <c r="R154" s="7" t="s">
        <v>1613</v>
      </c>
    </row>
    <row r="155" spans="1:18">
      <c r="A155" s="1" t="s">
        <v>1614</v>
      </c>
      <c r="C155" s="1" t="s">
        <v>1615</v>
      </c>
      <c r="H155" s="7" t="s">
        <v>1616</v>
      </c>
      <c r="I155" s="7"/>
      <c r="J155" s="6" t="s">
        <v>1617</v>
      </c>
      <c r="K155" s="6"/>
      <c r="L155" s="7" t="s">
        <v>1618</v>
      </c>
      <c r="M155" s="7"/>
      <c r="N155" s="7" t="s">
        <v>1619</v>
      </c>
      <c r="R155" s="7" t="s">
        <v>1620</v>
      </c>
    </row>
    <row r="156" spans="1:18">
      <c r="A156" s="1" t="s">
        <v>1621</v>
      </c>
      <c r="C156" s="1" t="s">
        <v>1622</v>
      </c>
      <c r="H156" s="7" t="s">
        <v>1623</v>
      </c>
      <c r="I156" s="7"/>
      <c r="J156" s="6" t="s">
        <v>1624</v>
      </c>
      <c r="K156" s="6"/>
      <c r="L156" s="7" t="s">
        <v>1625</v>
      </c>
      <c r="M156" s="7"/>
      <c r="N156" s="7" t="s">
        <v>1626</v>
      </c>
      <c r="R156" s="7" t="s">
        <v>1627</v>
      </c>
    </row>
    <row r="157" spans="1:18">
      <c r="A157" s="1" t="s">
        <v>1628</v>
      </c>
      <c r="C157" s="1" t="s">
        <v>1629</v>
      </c>
      <c r="H157" s="7" t="s">
        <v>1630</v>
      </c>
      <c r="I157" s="7"/>
      <c r="J157" s="6" t="s">
        <v>1631</v>
      </c>
      <c r="K157" s="6"/>
      <c r="L157" s="7" t="s">
        <v>1632</v>
      </c>
      <c r="M157" s="7"/>
      <c r="N157" s="7" t="s">
        <v>1633</v>
      </c>
      <c r="R157" s="7" t="s">
        <v>1634</v>
      </c>
    </row>
    <row r="158" spans="1:18">
      <c r="A158" s="1" t="s">
        <v>1635</v>
      </c>
      <c r="C158" s="1" t="s">
        <v>1636</v>
      </c>
      <c r="H158" s="7" t="s">
        <v>1637</v>
      </c>
      <c r="I158" s="7"/>
      <c r="J158" s="6" t="s">
        <v>1638</v>
      </c>
      <c r="K158" s="6"/>
      <c r="L158" s="7" t="s">
        <v>1639</v>
      </c>
      <c r="M158" s="7"/>
      <c r="N158" s="7" t="s">
        <v>1640</v>
      </c>
      <c r="R158" s="7" t="s">
        <v>1641</v>
      </c>
    </row>
    <row r="159" spans="1:18">
      <c r="A159" s="1" t="s">
        <v>1642</v>
      </c>
      <c r="C159" s="1" t="s">
        <v>1643</v>
      </c>
      <c r="H159" s="7" t="s">
        <v>1644</v>
      </c>
      <c r="I159" s="7"/>
      <c r="J159" s="6" t="s">
        <v>1645</v>
      </c>
      <c r="K159" s="6"/>
      <c r="L159" s="7" t="s">
        <v>1646</v>
      </c>
      <c r="M159" s="7"/>
      <c r="N159" s="7" t="s">
        <v>1647</v>
      </c>
      <c r="R159" s="7" t="s">
        <v>1648</v>
      </c>
    </row>
    <row r="160" spans="1:18">
      <c r="A160" s="1" t="s">
        <v>1649</v>
      </c>
      <c r="C160" s="1" t="s">
        <v>1650</v>
      </c>
      <c r="H160" s="7" t="s">
        <v>1651</v>
      </c>
      <c r="I160" s="7"/>
      <c r="J160" s="6" t="s">
        <v>1652</v>
      </c>
      <c r="K160" s="6"/>
      <c r="L160" s="7" t="s">
        <v>1653</v>
      </c>
      <c r="M160" s="7"/>
      <c r="N160" s="7" t="s">
        <v>1654</v>
      </c>
      <c r="R160" s="7" t="s">
        <v>1655</v>
      </c>
    </row>
    <row r="161" spans="1:18">
      <c r="A161" s="1" t="s">
        <v>1656</v>
      </c>
      <c r="C161" s="1" t="s">
        <v>1657</v>
      </c>
      <c r="H161" s="7" t="s">
        <v>1658</v>
      </c>
      <c r="I161" s="7"/>
      <c r="J161" s="6" t="s">
        <v>1659</v>
      </c>
      <c r="K161" s="6"/>
      <c r="L161" s="7" t="s">
        <v>1660</v>
      </c>
      <c r="M161" s="7"/>
      <c r="N161" s="7" t="s">
        <v>1661</v>
      </c>
      <c r="R161" s="7" t="s">
        <v>1662</v>
      </c>
    </row>
    <row r="162" spans="1:18">
      <c r="A162" s="1" t="s">
        <v>1663</v>
      </c>
      <c r="C162" s="1" t="s">
        <v>1664</v>
      </c>
      <c r="H162" s="7" t="s">
        <v>1665</v>
      </c>
      <c r="I162" s="7"/>
      <c r="J162" s="6" t="s">
        <v>1666</v>
      </c>
      <c r="K162" s="6"/>
      <c r="L162" s="7" t="s">
        <v>1667</v>
      </c>
      <c r="M162" s="7"/>
      <c r="N162" s="7" t="s">
        <v>1668</v>
      </c>
      <c r="R162" s="7" t="s">
        <v>1669</v>
      </c>
    </row>
    <row r="163" spans="1:18">
      <c r="A163" s="1" t="s">
        <v>1670</v>
      </c>
      <c r="C163" s="1" t="s">
        <v>1671</v>
      </c>
      <c r="H163" s="7" t="s">
        <v>1672</v>
      </c>
      <c r="I163" s="7"/>
      <c r="J163" s="6" t="s">
        <v>1673</v>
      </c>
      <c r="K163" s="6"/>
      <c r="L163" s="7" t="s">
        <v>1674</v>
      </c>
      <c r="M163" s="7"/>
      <c r="N163" s="7" t="s">
        <v>1675</v>
      </c>
      <c r="R163" s="7" t="s">
        <v>1676</v>
      </c>
    </row>
    <row r="164" spans="1:18">
      <c r="A164" s="1" t="s">
        <v>1677</v>
      </c>
      <c r="C164" s="1" t="s">
        <v>1678</v>
      </c>
      <c r="H164" s="7" t="s">
        <v>1672</v>
      </c>
      <c r="I164" s="7"/>
      <c r="J164" s="6" t="s">
        <v>1679</v>
      </c>
      <c r="K164" s="6"/>
      <c r="L164" s="7" t="s">
        <v>1680</v>
      </c>
      <c r="M164" s="7"/>
      <c r="N164" s="7" t="s">
        <v>1681</v>
      </c>
      <c r="R164" s="7" t="s">
        <v>1682</v>
      </c>
    </row>
    <row r="165" spans="1:18">
      <c r="A165" s="1" t="s">
        <v>1683</v>
      </c>
      <c r="C165" s="1" t="s">
        <v>1684</v>
      </c>
      <c r="H165" s="7" t="s">
        <v>1685</v>
      </c>
      <c r="I165" s="7"/>
      <c r="J165" s="6" t="s">
        <v>1686</v>
      </c>
      <c r="K165" s="6"/>
      <c r="L165" s="7" t="s">
        <v>1687</v>
      </c>
      <c r="M165" s="7"/>
      <c r="N165" s="7" t="s">
        <v>1688</v>
      </c>
      <c r="R165" s="7" t="s">
        <v>1689</v>
      </c>
    </row>
    <row r="166" spans="1:18">
      <c r="A166" s="1" t="s">
        <v>1690</v>
      </c>
      <c r="C166" s="1" t="s">
        <v>1691</v>
      </c>
      <c r="H166" s="7" t="s">
        <v>1692</v>
      </c>
      <c r="I166" s="7"/>
      <c r="J166" s="6" t="s">
        <v>1693</v>
      </c>
      <c r="K166" s="6"/>
      <c r="L166" s="7" t="s">
        <v>1694</v>
      </c>
      <c r="M166" s="7"/>
      <c r="N166" s="7" t="s">
        <v>1695</v>
      </c>
      <c r="R166" s="7" t="s">
        <v>1696</v>
      </c>
    </row>
    <row r="167" spans="1:18">
      <c r="A167" s="1" t="s">
        <v>1697</v>
      </c>
      <c r="C167" s="1" t="s">
        <v>1698</v>
      </c>
      <c r="H167" s="7" t="s">
        <v>1699</v>
      </c>
      <c r="I167" s="7"/>
      <c r="J167" s="6" t="s">
        <v>1700</v>
      </c>
      <c r="K167" s="6"/>
      <c r="L167" s="7" t="s">
        <v>1701</v>
      </c>
      <c r="M167" s="7"/>
      <c r="N167" s="7" t="s">
        <v>1702</v>
      </c>
      <c r="R167" s="7" t="s">
        <v>1703</v>
      </c>
    </row>
    <row r="168" spans="1:18">
      <c r="A168" s="1" t="s">
        <v>1704</v>
      </c>
      <c r="C168" s="1" t="s">
        <v>1705</v>
      </c>
      <c r="H168" s="7" t="s">
        <v>1706</v>
      </c>
      <c r="I168" s="7"/>
      <c r="J168" s="6" t="s">
        <v>1707</v>
      </c>
      <c r="K168" s="6"/>
      <c r="L168" s="7" t="s">
        <v>1708</v>
      </c>
      <c r="M168" s="7"/>
      <c r="N168" s="7" t="s">
        <v>1709</v>
      </c>
      <c r="R168" s="7" t="s">
        <v>1710</v>
      </c>
    </row>
    <row r="169" spans="1:18">
      <c r="A169" s="1" t="s">
        <v>1711</v>
      </c>
      <c r="C169" s="1" t="s">
        <v>1712</v>
      </c>
      <c r="H169" s="7" t="s">
        <v>1713</v>
      </c>
      <c r="I169" s="7"/>
      <c r="J169" s="6" t="s">
        <v>1714</v>
      </c>
      <c r="K169" s="6"/>
      <c r="L169" s="7" t="s">
        <v>1715</v>
      </c>
      <c r="M169" s="7"/>
      <c r="N169" s="7" t="s">
        <v>1716</v>
      </c>
      <c r="R169" s="7" t="s">
        <v>1717</v>
      </c>
    </row>
    <row r="170" spans="1:18">
      <c r="A170" s="1" t="s">
        <v>1718</v>
      </c>
      <c r="C170" s="1" t="s">
        <v>1719</v>
      </c>
      <c r="H170" s="7" t="s">
        <v>1720</v>
      </c>
      <c r="I170" s="7"/>
      <c r="J170" s="6" t="s">
        <v>1721</v>
      </c>
      <c r="K170" s="6"/>
      <c r="L170" s="7" t="s">
        <v>1722</v>
      </c>
      <c r="M170" s="7"/>
      <c r="N170" s="7" t="s">
        <v>1723</v>
      </c>
      <c r="R170" s="7" t="s">
        <v>1724</v>
      </c>
    </row>
    <row r="171" spans="1:18">
      <c r="A171" s="1" t="s">
        <v>1725</v>
      </c>
      <c r="C171" s="1" t="s">
        <v>1726</v>
      </c>
      <c r="H171" s="7" t="s">
        <v>1727</v>
      </c>
      <c r="I171" s="7"/>
      <c r="J171" s="6" t="s">
        <v>1728</v>
      </c>
      <c r="K171" s="6"/>
      <c r="L171" s="7" t="s">
        <v>1729</v>
      </c>
      <c r="M171" s="7"/>
      <c r="N171" s="7" t="s">
        <v>1730</v>
      </c>
      <c r="R171" s="7" t="s">
        <v>1731</v>
      </c>
    </row>
    <row r="172" spans="1:18">
      <c r="A172" s="1" t="s">
        <v>1732</v>
      </c>
      <c r="C172" s="1" t="s">
        <v>1733</v>
      </c>
      <c r="H172" s="7" t="s">
        <v>1734</v>
      </c>
      <c r="I172" s="7"/>
      <c r="J172" s="6" t="s">
        <v>1735</v>
      </c>
      <c r="K172" s="6"/>
      <c r="L172" s="7" t="s">
        <v>1736</v>
      </c>
      <c r="M172" s="7"/>
      <c r="N172" s="7" t="s">
        <v>1737</v>
      </c>
      <c r="R172" s="7" t="s">
        <v>1738</v>
      </c>
    </row>
    <row r="173" spans="1:18">
      <c r="A173" s="1" t="s">
        <v>1739</v>
      </c>
      <c r="C173" s="1" t="s">
        <v>1740</v>
      </c>
      <c r="H173" s="7" t="s">
        <v>1741</v>
      </c>
      <c r="I173" s="7"/>
      <c r="J173" s="6" t="s">
        <v>1742</v>
      </c>
      <c r="K173" s="6"/>
      <c r="L173" s="7" t="s">
        <v>1743</v>
      </c>
      <c r="M173" s="7"/>
      <c r="N173" s="7" t="s">
        <v>1744</v>
      </c>
      <c r="R173" s="7" t="s">
        <v>1745</v>
      </c>
    </row>
    <row r="174" spans="1:18">
      <c r="A174" s="1" t="s">
        <v>1746</v>
      </c>
      <c r="C174" s="1" t="s">
        <v>1747</v>
      </c>
      <c r="H174" s="7" t="s">
        <v>1748</v>
      </c>
      <c r="I174" s="7"/>
      <c r="J174" s="6" t="s">
        <v>1749</v>
      </c>
      <c r="K174" s="6"/>
      <c r="L174" s="7" t="s">
        <v>1750</v>
      </c>
      <c r="M174" s="7"/>
      <c r="N174" s="7" t="s">
        <v>1751</v>
      </c>
      <c r="R174" s="7" t="s">
        <v>1752</v>
      </c>
    </row>
    <row r="175" spans="1:18">
      <c r="A175" s="1" t="s">
        <v>1753</v>
      </c>
      <c r="C175" s="1" t="s">
        <v>1754</v>
      </c>
      <c r="H175" s="7" t="s">
        <v>1755</v>
      </c>
      <c r="I175" s="7"/>
      <c r="J175" s="6" t="s">
        <v>1756</v>
      </c>
      <c r="K175" s="6"/>
      <c r="L175" s="7" t="s">
        <v>1757</v>
      </c>
      <c r="M175" s="7"/>
      <c r="N175" s="7" t="s">
        <v>1758</v>
      </c>
      <c r="R175" s="7" t="s">
        <v>1759</v>
      </c>
    </row>
    <row r="176" spans="1:18">
      <c r="A176" s="1" t="s">
        <v>1760</v>
      </c>
      <c r="C176" s="1" t="s">
        <v>1761</v>
      </c>
      <c r="H176" s="7" t="s">
        <v>1762</v>
      </c>
      <c r="I176" s="7"/>
      <c r="J176" s="6" t="s">
        <v>1763</v>
      </c>
      <c r="K176" s="6"/>
      <c r="L176" s="7" t="s">
        <v>1764</v>
      </c>
      <c r="M176" s="7"/>
      <c r="N176" s="7" t="s">
        <v>1765</v>
      </c>
      <c r="R176" s="7" t="s">
        <v>1766</v>
      </c>
    </row>
    <row r="177" spans="1:18">
      <c r="A177" s="1" t="s">
        <v>1767</v>
      </c>
      <c r="C177" s="1" t="s">
        <v>1768</v>
      </c>
      <c r="H177" s="7" t="s">
        <v>1769</v>
      </c>
      <c r="I177" s="7"/>
      <c r="J177" s="6" t="s">
        <v>1770</v>
      </c>
      <c r="K177" s="6"/>
      <c r="L177" s="7" t="s">
        <v>1771</v>
      </c>
      <c r="M177" s="7"/>
      <c r="N177" s="7" t="s">
        <v>1772</v>
      </c>
      <c r="R177" s="7" t="s">
        <v>1773</v>
      </c>
    </row>
    <row r="178" spans="1:18">
      <c r="A178" s="1" t="s">
        <v>1774</v>
      </c>
      <c r="C178" s="1" t="s">
        <v>1775</v>
      </c>
      <c r="H178" s="7" t="s">
        <v>1776</v>
      </c>
      <c r="I178" s="7"/>
      <c r="J178" s="6" t="s">
        <v>1777</v>
      </c>
      <c r="K178" s="6"/>
      <c r="L178" s="7" t="s">
        <v>1778</v>
      </c>
      <c r="M178" s="7"/>
      <c r="N178" s="7" t="s">
        <v>1779</v>
      </c>
      <c r="R178" s="7" t="s">
        <v>1780</v>
      </c>
    </row>
    <row r="179" spans="1:18">
      <c r="A179" s="1" t="s">
        <v>1781</v>
      </c>
      <c r="C179" s="1" t="s">
        <v>1782</v>
      </c>
      <c r="H179" s="7" t="s">
        <v>1783</v>
      </c>
      <c r="I179" s="7"/>
      <c r="J179" s="6" t="s">
        <v>1784</v>
      </c>
      <c r="K179" s="6"/>
      <c r="L179" s="7" t="s">
        <v>1785</v>
      </c>
      <c r="M179" s="7"/>
      <c r="N179" s="7" t="s">
        <v>1786</v>
      </c>
      <c r="R179" s="7" t="s">
        <v>1787</v>
      </c>
    </row>
    <row r="180" spans="1:18">
      <c r="A180" s="1" t="s">
        <v>1788</v>
      </c>
      <c r="C180" s="1" t="s">
        <v>1789</v>
      </c>
      <c r="H180" s="7" t="s">
        <v>1790</v>
      </c>
      <c r="I180" s="7"/>
      <c r="J180" s="6" t="s">
        <v>1791</v>
      </c>
      <c r="K180" s="6"/>
      <c r="L180" s="7" t="s">
        <v>1792</v>
      </c>
      <c r="M180" s="7"/>
      <c r="N180" s="7" t="s">
        <v>1793</v>
      </c>
      <c r="R180" s="7" t="s">
        <v>1794</v>
      </c>
    </row>
    <row r="181" spans="1:18">
      <c r="A181" s="1" t="s">
        <v>1795</v>
      </c>
      <c r="C181" s="1" t="s">
        <v>1796</v>
      </c>
      <c r="H181" s="7" t="s">
        <v>1797</v>
      </c>
      <c r="I181" s="7"/>
      <c r="J181" s="6" t="s">
        <v>1798</v>
      </c>
      <c r="K181" s="6"/>
      <c r="L181" s="7" t="s">
        <v>1799</v>
      </c>
      <c r="M181" s="7"/>
      <c r="N181" s="7" t="s">
        <v>1800</v>
      </c>
      <c r="R181" s="7" t="s">
        <v>1801</v>
      </c>
    </row>
    <row r="182" spans="1:18">
      <c r="A182" s="1" t="s">
        <v>1802</v>
      </c>
      <c r="C182" s="1" t="s">
        <v>1803</v>
      </c>
      <c r="H182" s="7" t="s">
        <v>1804</v>
      </c>
      <c r="I182" s="7"/>
      <c r="J182" s="6" t="s">
        <v>1805</v>
      </c>
      <c r="K182" s="6"/>
      <c r="L182" s="7" t="s">
        <v>1806</v>
      </c>
      <c r="M182" s="7"/>
      <c r="N182" s="7" t="s">
        <v>1807</v>
      </c>
      <c r="R182" s="7" t="s">
        <v>1808</v>
      </c>
    </row>
    <row r="183" spans="1:18">
      <c r="A183" s="1" t="s">
        <v>1809</v>
      </c>
      <c r="C183" s="1" t="s">
        <v>1810</v>
      </c>
      <c r="H183" s="7" t="s">
        <v>1811</v>
      </c>
      <c r="I183" s="7"/>
      <c r="J183" s="6" t="s">
        <v>1812</v>
      </c>
      <c r="K183" s="6"/>
      <c r="L183" s="7" t="s">
        <v>1813</v>
      </c>
      <c r="M183" s="7"/>
      <c r="N183" s="7" t="s">
        <v>1814</v>
      </c>
      <c r="R183" s="7" t="s">
        <v>1815</v>
      </c>
    </row>
    <row r="184" spans="1:18">
      <c r="A184" s="1" t="s">
        <v>1816</v>
      </c>
      <c r="C184" s="1" t="s">
        <v>1817</v>
      </c>
      <c r="H184" s="7" t="s">
        <v>1818</v>
      </c>
      <c r="I184" s="7"/>
      <c r="J184" s="6" t="s">
        <v>1819</v>
      </c>
      <c r="K184" s="6"/>
      <c r="L184" s="7" t="s">
        <v>1820</v>
      </c>
      <c r="M184" s="7"/>
      <c r="N184" s="7" t="s">
        <v>1821</v>
      </c>
      <c r="R184" s="7" t="s">
        <v>1822</v>
      </c>
    </row>
    <row r="185" spans="1:18">
      <c r="A185" s="1" t="s">
        <v>1823</v>
      </c>
      <c r="C185" s="1" t="s">
        <v>1824</v>
      </c>
      <c r="H185" s="7" t="s">
        <v>1825</v>
      </c>
      <c r="I185" s="7"/>
      <c r="J185" s="6" t="s">
        <v>1826</v>
      </c>
      <c r="K185" s="6"/>
      <c r="L185" s="7" t="s">
        <v>1827</v>
      </c>
      <c r="M185" s="7"/>
      <c r="N185" s="7" t="s">
        <v>1828</v>
      </c>
      <c r="R185" s="7" t="s">
        <v>1829</v>
      </c>
    </row>
    <row r="186" spans="1:18">
      <c r="A186" s="1" t="s">
        <v>1830</v>
      </c>
      <c r="C186" s="1" t="s">
        <v>1831</v>
      </c>
      <c r="H186" s="7" t="s">
        <v>1832</v>
      </c>
      <c r="I186" s="7"/>
      <c r="J186" s="6" t="s">
        <v>1833</v>
      </c>
      <c r="K186" s="6"/>
      <c r="L186" s="7" t="s">
        <v>1834</v>
      </c>
      <c r="M186" s="7"/>
      <c r="N186" s="7" t="s">
        <v>1835</v>
      </c>
      <c r="R186" s="7" t="s">
        <v>1836</v>
      </c>
    </row>
    <row r="187" spans="1:18">
      <c r="A187" s="1" t="s">
        <v>1837</v>
      </c>
      <c r="C187" s="1" t="s">
        <v>1838</v>
      </c>
      <c r="H187" s="7" t="s">
        <v>1839</v>
      </c>
      <c r="I187" s="7"/>
      <c r="J187" s="6" t="s">
        <v>1840</v>
      </c>
      <c r="K187" s="6"/>
      <c r="L187" s="7" t="s">
        <v>1841</v>
      </c>
      <c r="M187" s="7"/>
      <c r="N187" s="7" t="s">
        <v>1842</v>
      </c>
      <c r="R187" s="7" t="s">
        <v>1843</v>
      </c>
    </row>
    <row r="188" spans="1:18">
      <c r="A188" s="1" t="s">
        <v>1844</v>
      </c>
      <c r="C188" s="1" t="s">
        <v>1845</v>
      </c>
      <c r="H188" s="7" t="s">
        <v>1846</v>
      </c>
      <c r="I188" s="7"/>
      <c r="J188" s="6" t="s">
        <v>1847</v>
      </c>
      <c r="K188" s="6"/>
      <c r="L188" s="7" t="s">
        <v>1848</v>
      </c>
      <c r="M188" s="7"/>
      <c r="N188" s="7" t="s">
        <v>1849</v>
      </c>
      <c r="R188" s="7" t="s">
        <v>1850</v>
      </c>
    </row>
    <row r="189" spans="1:18">
      <c r="A189" s="1" t="s">
        <v>1851</v>
      </c>
      <c r="C189" s="1" t="s">
        <v>1852</v>
      </c>
      <c r="H189" s="7" t="s">
        <v>1853</v>
      </c>
      <c r="I189" s="7"/>
      <c r="J189" s="9" t="s">
        <v>1099</v>
      </c>
      <c r="K189" s="9"/>
      <c r="L189" s="7" t="s">
        <v>1854</v>
      </c>
      <c r="M189" s="7"/>
      <c r="N189" s="7" t="s">
        <v>1855</v>
      </c>
      <c r="R189" s="7" t="s">
        <v>1856</v>
      </c>
    </row>
    <row r="190" spans="1:18">
      <c r="A190" s="1" t="s">
        <v>1857</v>
      </c>
      <c r="C190" s="1" t="s">
        <v>1858</v>
      </c>
      <c r="H190" s="7" t="s">
        <v>1859</v>
      </c>
      <c r="I190" s="7"/>
      <c r="L190" s="7" t="s">
        <v>1860</v>
      </c>
      <c r="M190" s="7"/>
      <c r="N190" s="7" t="s">
        <v>1861</v>
      </c>
      <c r="R190" s="7" t="s">
        <v>1862</v>
      </c>
    </row>
    <row r="191" spans="1:18">
      <c r="A191" s="1" t="s">
        <v>1863</v>
      </c>
      <c r="C191" s="1" t="s">
        <v>1864</v>
      </c>
      <c r="H191" s="1" t="s">
        <v>1865</v>
      </c>
      <c r="L191" s="7" t="s">
        <v>1866</v>
      </c>
      <c r="M191" s="7"/>
      <c r="N191" s="7" t="s">
        <v>1867</v>
      </c>
      <c r="R191" s="7" t="s">
        <v>1868</v>
      </c>
    </row>
    <row r="192" spans="1:18">
      <c r="A192" s="1" t="s">
        <v>1869</v>
      </c>
      <c r="C192" s="1" t="s">
        <v>1870</v>
      </c>
      <c r="L192" s="7" t="s">
        <v>1871</v>
      </c>
      <c r="M192" s="7"/>
      <c r="N192" s="7" t="s">
        <v>1872</v>
      </c>
      <c r="R192" s="7" t="s">
        <v>1873</v>
      </c>
    </row>
    <row r="193" spans="1:18" ht="14.45">
      <c r="A193" s="1" t="s">
        <v>1874</v>
      </c>
      <c r="C193" s="1" t="s">
        <v>1875</v>
      </c>
      <c r="H193" s="2" t="s">
        <v>86</v>
      </c>
      <c r="L193" s="7" t="s">
        <v>1876</v>
      </c>
      <c r="M193" s="7"/>
      <c r="N193" s="7" t="s">
        <v>1877</v>
      </c>
      <c r="R193" s="7" t="s">
        <v>1878</v>
      </c>
    </row>
    <row r="194" spans="1:18" ht="14.45">
      <c r="A194" s="1" t="s">
        <v>1879</v>
      </c>
      <c r="C194" s="1" t="s">
        <v>1880</v>
      </c>
      <c r="H194" s="2" t="s">
        <v>1881</v>
      </c>
      <c r="L194" s="7" t="s">
        <v>1882</v>
      </c>
      <c r="M194" s="7"/>
      <c r="N194" s="7" t="s">
        <v>1883</v>
      </c>
      <c r="R194" s="7" t="s">
        <v>1884</v>
      </c>
    </row>
    <row r="195" spans="1:18" ht="14.45">
      <c r="A195" s="1" t="s">
        <v>1885</v>
      </c>
      <c r="C195" s="1" t="s">
        <v>1886</v>
      </c>
      <c r="H195" s="2" t="s">
        <v>1887</v>
      </c>
      <c r="L195" s="7" t="s">
        <v>1888</v>
      </c>
      <c r="M195" s="7"/>
      <c r="N195" s="7" t="s">
        <v>1889</v>
      </c>
      <c r="R195" s="7" t="s">
        <v>1890</v>
      </c>
    </row>
    <row r="196" spans="1:18" ht="14.45">
      <c r="A196" s="1" t="s">
        <v>1891</v>
      </c>
      <c r="C196" s="1" t="s">
        <v>1892</v>
      </c>
      <c r="H196" s="2" t="s">
        <v>1893</v>
      </c>
      <c r="L196" s="7" t="s">
        <v>1894</v>
      </c>
      <c r="M196" s="7"/>
      <c r="N196" s="7" t="s">
        <v>1895</v>
      </c>
      <c r="R196" s="7" t="s">
        <v>1896</v>
      </c>
    </row>
    <row r="197" spans="1:18" ht="14.45">
      <c r="A197" s="1" t="s">
        <v>1897</v>
      </c>
      <c r="C197" s="1" t="s">
        <v>1898</v>
      </c>
      <c r="H197" s="2" t="s">
        <v>1899</v>
      </c>
      <c r="L197" s="7" t="s">
        <v>1900</v>
      </c>
      <c r="M197" s="7"/>
      <c r="N197" s="7" t="s">
        <v>1901</v>
      </c>
      <c r="R197" s="7" t="s">
        <v>1902</v>
      </c>
    </row>
    <row r="198" spans="1:18" ht="14.45">
      <c r="A198" s="1" t="s">
        <v>1903</v>
      </c>
      <c r="C198" s="1" t="s">
        <v>1904</v>
      </c>
      <c r="H198" s="2" t="s">
        <v>1905</v>
      </c>
      <c r="L198" s="7" t="s">
        <v>1906</v>
      </c>
      <c r="M198" s="7"/>
      <c r="N198" s="7" t="s">
        <v>1907</v>
      </c>
      <c r="R198" s="7" t="s">
        <v>1908</v>
      </c>
    </row>
    <row r="199" spans="1:18" ht="14.45">
      <c r="A199" s="1" t="s">
        <v>1909</v>
      </c>
      <c r="C199" s="1" t="s">
        <v>1910</v>
      </c>
      <c r="H199" s="2" t="s">
        <v>1911</v>
      </c>
      <c r="L199" s="7" t="s">
        <v>1912</v>
      </c>
      <c r="M199" s="7"/>
      <c r="N199" s="7" t="s">
        <v>1913</v>
      </c>
      <c r="R199" s="7" t="s">
        <v>1914</v>
      </c>
    </row>
    <row r="200" spans="1:18" ht="14.45">
      <c r="A200" s="1" t="s">
        <v>1915</v>
      </c>
      <c r="C200" s="1" t="s">
        <v>1916</v>
      </c>
      <c r="H200" s="2" t="s">
        <v>1917</v>
      </c>
      <c r="L200" s="7" t="s">
        <v>1918</v>
      </c>
      <c r="M200" s="7"/>
      <c r="N200" s="7" t="s">
        <v>1919</v>
      </c>
      <c r="R200" s="7" t="s">
        <v>1920</v>
      </c>
    </row>
    <row r="201" spans="1:18" ht="14.45">
      <c r="A201" s="1" t="s">
        <v>1921</v>
      </c>
      <c r="C201" s="1" t="s">
        <v>1922</v>
      </c>
      <c r="H201" s="2" t="s">
        <v>1923</v>
      </c>
      <c r="L201" s="7" t="s">
        <v>1924</v>
      </c>
      <c r="M201" s="7"/>
      <c r="N201" s="7" t="s">
        <v>1925</v>
      </c>
      <c r="R201" s="7" t="s">
        <v>1926</v>
      </c>
    </row>
    <row r="202" spans="1:18" ht="14.45">
      <c r="A202" s="1" t="s">
        <v>1927</v>
      </c>
      <c r="C202" s="1" t="s">
        <v>1928</v>
      </c>
      <c r="H202" s="10" t="s">
        <v>1929</v>
      </c>
      <c r="L202" s="7" t="s">
        <v>1930</v>
      </c>
      <c r="M202" s="7"/>
      <c r="N202" s="7" t="s">
        <v>1931</v>
      </c>
      <c r="R202" s="7" t="s">
        <v>1932</v>
      </c>
    </row>
    <row r="203" spans="1:18">
      <c r="A203" s="1" t="s">
        <v>1933</v>
      </c>
      <c r="C203" s="1" t="s">
        <v>1934</v>
      </c>
      <c r="L203" s="7" t="s">
        <v>1935</v>
      </c>
      <c r="M203" s="7"/>
      <c r="N203" s="7" t="s">
        <v>1936</v>
      </c>
      <c r="R203" s="7" t="s">
        <v>1937</v>
      </c>
    </row>
    <row r="204" spans="1:18">
      <c r="A204" s="1" t="s">
        <v>1938</v>
      </c>
      <c r="C204" s="1" t="s">
        <v>1939</v>
      </c>
      <c r="L204" s="7" t="s">
        <v>1940</v>
      </c>
      <c r="M204" s="7"/>
      <c r="N204" s="7" t="s">
        <v>1941</v>
      </c>
      <c r="R204" s="7" t="s">
        <v>1942</v>
      </c>
    </row>
    <row r="205" spans="1:18">
      <c r="A205" s="1" t="s">
        <v>1943</v>
      </c>
      <c r="C205" s="1" t="s">
        <v>1944</v>
      </c>
      <c r="L205" s="7" t="s">
        <v>1945</v>
      </c>
      <c r="M205" s="7"/>
      <c r="N205" s="7" t="s">
        <v>1946</v>
      </c>
      <c r="R205" s="7" t="s">
        <v>1947</v>
      </c>
    </row>
    <row r="206" spans="1:18">
      <c r="A206" s="1" t="s">
        <v>1948</v>
      </c>
      <c r="C206" s="1" t="s">
        <v>1949</v>
      </c>
      <c r="L206" s="7" t="s">
        <v>1950</v>
      </c>
      <c r="M206" s="7"/>
      <c r="N206" s="7" t="s">
        <v>1951</v>
      </c>
      <c r="R206" s="7" t="s">
        <v>1952</v>
      </c>
    </row>
    <row r="207" spans="1:18">
      <c r="A207" s="1" t="s">
        <v>1953</v>
      </c>
      <c r="C207" s="1" t="s">
        <v>1954</v>
      </c>
      <c r="L207" s="7" t="s">
        <v>1955</v>
      </c>
      <c r="M207" s="7"/>
      <c r="N207" s="7" t="s">
        <v>1956</v>
      </c>
      <c r="R207" s="7" t="s">
        <v>1957</v>
      </c>
    </row>
    <row r="208" spans="1:18">
      <c r="A208" s="1" t="s">
        <v>1958</v>
      </c>
      <c r="C208" s="1" t="s">
        <v>1959</v>
      </c>
      <c r="L208" s="7" t="s">
        <v>1960</v>
      </c>
      <c r="M208" s="7"/>
      <c r="N208" s="7" t="s">
        <v>1961</v>
      </c>
      <c r="R208" s="7" t="s">
        <v>1962</v>
      </c>
    </row>
    <row r="209" spans="1:18">
      <c r="A209" s="1" t="s">
        <v>1963</v>
      </c>
      <c r="C209" s="1" t="s">
        <v>1964</v>
      </c>
      <c r="L209" s="7" t="s">
        <v>1965</v>
      </c>
      <c r="M209" s="7"/>
      <c r="N209" s="7" t="s">
        <v>1966</v>
      </c>
      <c r="R209" s="7" t="s">
        <v>1967</v>
      </c>
    </row>
    <row r="210" spans="1:18">
      <c r="A210" s="1" t="s">
        <v>1968</v>
      </c>
      <c r="C210" s="1" t="s">
        <v>1969</v>
      </c>
      <c r="L210" s="7" t="s">
        <v>1970</v>
      </c>
      <c r="M210" s="7"/>
      <c r="N210" s="7" t="s">
        <v>1971</v>
      </c>
      <c r="R210" s="7" t="s">
        <v>1972</v>
      </c>
    </row>
    <row r="211" spans="1:18">
      <c r="A211" s="1" t="s">
        <v>1973</v>
      </c>
      <c r="C211" s="1" t="s">
        <v>1974</v>
      </c>
      <c r="L211" s="7" t="s">
        <v>1975</v>
      </c>
      <c r="M211" s="7"/>
      <c r="N211" s="7" t="s">
        <v>1976</v>
      </c>
      <c r="R211" s="7" t="s">
        <v>1977</v>
      </c>
    </row>
    <row r="212" spans="1:18">
      <c r="A212" s="1" t="s">
        <v>1978</v>
      </c>
      <c r="C212" s="1" t="s">
        <v>1979</v>
      </c>
      <c r="L212" s="7" t="s">
        <v>1980</v>
      </c>
      <c r="M212" s="7"/>
      <c r="N212" s="7" t="s">
        <v>1981</v>
      </c>
      <c r="R212" s="7" t="s">
        <v>1982</v>
      </c>
    </row>
    <row r="213" spans="1:18">
      <c r="A213" s="1" t="s">
        <v>1983</v>
      </c>
      <c r="C213" s="1" t="s">
        <v>1984</v>
      </c>
      <c r="L213" s="7" t="s">
        <v>1985</v>
      </c>
      <c r="M213" s="7"/>
      <c r="N213" s="7" t="s">
        <v>1986</v>
      </c>
      <c r="R213" s="7" t="s">
        <v>1987</v>
      </c>
    </row>
    <row r="214" spans="1:18">
      <c r="A214" s="1" t="s">
        <v>1988</v>
      </c>
      <c r="C214" s="1" t="s">
        <v>1989</v>
      </c>
      <c r="L214" s="7" t="s">
        <v>1990</v>
      </c>
      <c r="M214" s="7"/>
      <c r="N214" s="7" t="s">
        <v>1991</v>
      </c>
      <c r="R214" s="7" t="s">
        <v>1992</v>
      </c>
    </row>
    <row r="215" spans="1:18">
      <c r="A215" s="1" t="s">
        <v>1993</v>
      </c>
      <c r="C215" s="1" t="s">
        <v>1994</v>
      </c>
      <c r="L215" s="7" t="s">
        <v>1995</v>
      </c>
      <c r="M215" s="7"/>
      <c r="N215" s="7" t="s">
        <v>1996</v>
      </c>
      <c r="R215" s="7" t="s">
        <v>1997</v>
      </c>
    </row>
    <row r="216" spans="1:18">
      <c r="A216" s="1" t="s">
        <v>1998</v>
      </c>
      <c r="C216" s="1" t="s">
        <v>1999</v>
      </c>
      <c r="L216" s="7" t="s">
        <v>2000</v>
      </c>
      <c r="M216" s="7"/>
      <c r="N216" s="7" t="s">
        <v>2001</v>
      </c>
      <c r="R216" s="7" t="s">
        <v>2002</v>
      </c>
    </row>
    <row r="217" spans="1:18">
      <c r="A217" s="1" t="s">
        <v>2003</v>
      </c>
      <c r="C217" s="1" t="s">
        <v>2004</v>
      </c>
      <c r="L217" s="7" t="s">
        <v>2005</v>
      </c>
      <c r="M217" s="7"/>
      <c r="N217" s="7" t="s">
        <v>2006</v>
      </c>
      <c r="R217" s="7" t="s">
        <v>2007</v>
      </c>
    </row>
    <row r="218" spans="1:18">
      <c r="A218" s="1" t="s">
        <v>2008</v>
      </c>
      <c r="C218" s="1" t="s">
        <v>2009</v>
      </c>
      <c r="L218" s="7" t="s">
        <v>2010</v>
      </c>
      <c r="M218" s="7"/>
      <c r="N218" s="7" t="s">
        <v>2011</v>
      </c>
      <c r="R218" s="7" t="s">
        <v>2012</v>
      </c>
    </row>
    <row r="219" spans="1:18">
      <c r="A219" s="1" t="s">
        <v>2013</v>
      </c>
      <c r="C219" s="1" t="s">
        <v>2014</v>
      </c>
      <c r="L219" s="7" t="s">
        <v>2015</v>
      </c>
      <c r="M219" s="7"/>
      <c r="N219" s="7" t="s">
        <v>2016</v>
      </c>
      <c r="R219" s="7" t="s">
        <v>2017</v>
      </c>
    </row>
    <row r="220" spans="1:18">
      <c r="A220" s="1" t="s">
        <v>2018</v>
      </c>
      <c r="C220" s="1" t="s">
        <v>2019</v>
      </c>
      <c r="L220" s="7" t="s">
        <v>2020</v>
      </c>
      <c r="M220" s="7"/>
      <c r="N220" s="7" t="s">
        <v>2021</v>
      </c>
      <c r="R220" s="7" t="s">
        <v>2022</v>
      </c>
    </row>
    <row r="221" spans="1:18">
      <c r="A221" s="1" t="s">
        <v>2023</v>
      </c>
      <c r="C221" s="1" t="s">
        <v>2024</v>
      </c>
      <c r="L221" s="7" t="s">
        <v>2025</v>
      </c>
      <c r="M221" s="7"/>
      <c r="N221" s="7" t="s">
        <v>2026</v>
      </c>
      <c r="R221" s="7" t="s">
        <v>2027</v>
      </c>
    </row>
    <row r="222" spans="1:18">
      <c r="A222" s="1" t="s">
        <v>2028</v>
      </c>
      <c r="C222" s="1" t="s">
        <v>2029</v>
      </c>
      <c r="L222" s="7" t="s">
        <v>2030</v>
      </c>
      <c r="M222" s="7"/>
      <c r="N222" s="7" t="s">
        <v>2031</v>
      </c>
      <c r="R222" s="7" t="s">
        <v>2032</v>
      </c>
    </row>
    <row r="223" spans="1:18">
      <c r="A223" s="1" t="s">
        <v>2033</v>
      </c>
      <c r="C223" s="1" t="s">
        <v>2034</v>
      </c>
      <c r="L223" s="7" t="s">
        <v>2035</v>
      </c>
      <c r="M223" s="7"/>
      <c r="N223" s="7" t="s">
        <v>2036</v>
      </c>
      <c r="R223" s="7" t="s">
        <v>2037</v>
      </c>
    </row>
    <row r="224" spans="1:18">
      <c r="A224" s="1" t="s">
        <v>2038</v>
      </c>
      <c r="C224" s="1" t="s">
        <v>2039</v>
      </c>
      <c r="L224" s="7" t="s">
        <v>2040</v>
      </c>
      <c r="M224" s="7"/>
      <c r="N224" s="7" t="s">
        <v>2041</v>
      </c>
      <c r="R224" s="7" t="s">
        <v>2042</v>
      </c>
    </row>
    <row r="225" spans="1:18">
      <c r="A225" s="1" t="s">
        <v>2043</v>
      </c>
      <c r="C225" s="1" t="s">
        <v>2044</v>
      </c>
      <c r="L225" s="7" t="s">
        <v>2045</v>
      </c>
      <c r="M225" s="7"/>
      <c r="N225" s="7" t="s">
        <v>2046</v>
      </c>
      <c r="R225" s="7" t="s">
        <v>2047</v>
      </c>
    </row>
    <row r="226" spans="1:18">
      <c r="A226" s="1" t="s">
        <v>2048</v>
      </c>
      <c r="C226" s="1" t="s">
        <v>2049</v>
      </c>
      <c r="L226" s="7" t="s">
        <v>2050</v>
      </c>
      <c r="M226" s="7"/>
      <c r="N226" s="7" t="s">
        <v>2051</v>
      </c>
      <c r="R226" s="7" t="s">
        <v>2052</v>
      </c>
    </row>
    <row r="227" spans="1:18">
      <c r="A227" s="1" t="s">
        <v>2053</v>
      </c>
      <c r="C227" s="1" t="s">
        <v>2054</v>
      </c>
      <c r="L227" s="7" t="s">
        <v>2055</v>
      </c>
      <c r="M227" s="7"/>
      <c r="N227" s="7" t="s">
        <v>2056</v>
      </c>
      <c r="R227" s="7" t="s">
        <v>2057</v>
      </c>
    </row>
    <row r="228" spans="1:18">
      <c r="A228" s="1" t="s">
        <v>2058</v>
      </c>
      <c r="C228" s="1" t="s">
        <v>2059</v>
      </c>
      <c r="L228" s="7" t="s">
        <v>2060</v>
      </c>
      <c r="M228" s="7"/>
      <c r="N228" s="7" t="s">
        <v>2061</v>
      </c>
      <c r="R228" s="7" t="s">
        <v>2062</v>
      </c>
    </row>
    <row r="229" spans="1:18">
      <c r="A229" s="1" t="s">
        <v>2063</v>
      </c>
      <c r="C229" s="1" t="s">
        <v>2064</v>
      </c>
      <c r="L229" s="7" t="s">
        <v>2065</v>
      </c>
      <c r="M229" s="7"/>
      <c r="N229" s="7" t="s">
        <v>2066</v>
      </c>
      <c r="R229" s="7" t="s">
        <v>2067</v>
      </c>
    </row>
    <row r="230" spans="1:18">
      <c r="A230" s="1" t="s">
        <v>2068</v>
      </c>
      <c r="C230" s="1" t="s">
        <v>2069</v>
      </c>
      <c r="L230" s="7" t="s">
        <v>2070</v>
      </c>
      <c r="M230" s="7"/>
      <c r="N230" s="7" t="s">
        <v>2071</v>
      </c>
      <c r="R230" s="7" t="s">
        <v>2072</v>
      </c>
    </row>
    <row r="231" spans="1:18">
      <c r="A231" s="1" t="s">
        <v>2073</v>
      </c>
      <c r="C231" s="1" t="s">
        <v>2074</v>
      </c>
      <c r="L231" s="7" t="s">
        <v>2075</v>
      </c>
      <c r="M231" s="7"/>
      <c r="N231" s="7" t="s">
        <v>2076</v>
      </c>
      <c r="R231" s="7" t="s">
        <v>2077</v>
      </c>
    </row>
    <row r="232" spans="1:18">
      <c r="A232" s="1" t="s">
        <v>2078</v>
      </c>
      <c r="C232" s="1" t="s">
        <v>2079</v>
      </c>
      <c r="L232" s="7" t="s">
        <v>2080</v>
      </c>
      <c r="M232" s="7"/>
      <c r="N232" s="7" t="s">
        <v>2081</v>
      </c>
      <c r="R232" s="7" t="s">
        <v>2082</v>
      </c>
    </row>
    <row r="233" spans="1:18">
      <c r="A233" s="1" t="s">
        <v>2083</v>
      </c>
      <c r="C233" s="1" t="s">
        <v>2084</v>
      </c>
      <c r="L233" s="7" t="s">
        <v>2085</v>
      </c>
      <c r="M233" s="7"/>
      <c r="N233" s="7" t="s">
        <v>2086</v>
      </c>
      <c r="R233" s="7" t="s">
        <v>2087</v>
      </c>
    </row>
    <row r="234" spans="1:18">
      <c r="A234" s="1" t="s">
        <v>2088</v>
      </c>
      <c r="C234" s="1" t="s">
        <v>2089</v>
      </c>
      <c r="L234" s="7" t="s">
        <v>2090</v>
      </c>
      <c r="M234" s="7"/>
      <c r="N234" s="7" t="s">
        <v>2091</v>
      </c>
      <c r="R234" s="7" t="s">
        <v>2092</v>
      </c>
    </row>
    <row r="235" spans="1:18">
      <c r="A235" s="1" t="s">
        <v>2093</v>
      </c>
      <c r="C235" s="1" t="s">
        <v>2094</v>
      </c>
      <c r="L235" s="7" t="s">
        <v>2095</v>
      </c>
      <c r="M235" s="7"/>
      <c r="N235" s="7" t="s">
        <v>2096</v>
      </c>
      <c r="R235" s="7" t="s">
        <v>2097</v>
      </c>
    </row>
    <row r="236" spans="1:18">
      <c r="A236" s="1" t="s">
        <v>2098</v>
      </c>
      <c r="C236" s="1" t="s">
        <v>2099</v>
      </c>
      <c r="L236" s="7" t="s">
        <v>2100</v>
      </c>
      <c r="M236" s="7"/>
      <c r="N236" s="7" t="s">
        <v>2101</v>
      </c>
      <c r="R236" s="7" t="s">
        <v>2102</v>
      </c>
    </row>
    <row r="237" spans="1:18">
      <c r="A237" s="1" t="s">
        <v>2103</v>
      </c>
      <c r="C237" s="1" t="s">
        <v>2104</v>
      </c>
      <c r="L237" s="7" t="s">
        <v>2105</v>
      </c>
      <c r="M237" s="7"/>
      <c r="N237" s="7" t="s">
        <v>2106</v>
      </c>
      <c r="R237" s="7" t="s">
        <v>2107</v>
      </c>
    </row>
    <row r="238" spans="1:18">
      <c r="A238" s="1" t="s">
        <v>2108</v>
      </c>
      <c r="C238" s="1" t="s">
        <v>2109</v>
      </c>
      <c r="L238" s="7" t="s">
        <v>2110</v>
      </c>
      <c r="M238" s="7"/>
      <c r="N238" s="7" t="s">
        <v>2111</v>
      </c>
      <c r="R238" s="7" t="s">
        <v>2112</v>
      </c>
    </row>
    <row r="239" spans="1:18">
      <c r="A239" s="1" t="s">
        <v>2113</v>
      </c>
      <c r="C239" s="1" t="s">
        <v>2114</v>
      </c>
      <c r="L239" s="7" t="s">
        <v>2115</v>
      </c>
      <c r="M239" s="7"/>
      <c r="N239" s="7" t="s">
        <v>2116</v>
      </c>
      <c r="R239" s="7" t="s">
        <v>2117</v>
      </c>
    </row>
    <row r="240" spans="1:18">
      <c r="A240" s="1" t="s">
        <v>2118</v>
      </c>
      <c r="C240" s="1" t="s">
        <v>2119</v>
      </c>
      <c r="L240" s="7" t="s">
        <v>2120</v>
      </c>
      <c r="M240" s="7"/>
      <c r="N240" s="7" t="s">
        <v>2121</v>
      </c>
      <c r="R240" s="7" t="s">
        <v>2122</v>
      </c>
    </row>
    <row r="241" spans="1:18">
      <c r="A241" s="1" t="s">
        <v>2123</v>
      </c>
      <c r="C241" s="1" t="s">
        <v>2124</v>
      </c>
      <c r="L241" s="7" t="s">
        <v>2125</v>
      </c>
      <c r="M241" s="7"/>
      <c r="N241" s="7" t="s">
        <v>2126</v>
      </c>
      <c r="R241" s="7" t="s">
        <v>2127</v>
      </c>
    </row>
    <row r="242" spans="1:18">
      <c r="A242" s="1" t="s">
        <v>2128</v>
      </c>
      <c r="C242" s="1" t="s">
        <v>2129</v>
      </c>
      <c r="L242" s="7" t="s">
        <v>2130</v>
      </c>
      <c r="M242" s="7"/>
      <c r="N242" s="7" t="s">
        <v>2131</v>
      </c>
      <c r="R242" s="7" t="s">
        <v>2132</v>
      </c>
    </row>
    <row r="243" spans="1:18">
      <c r="A243" s="1" t="s">
        <v>2133</v>
      </c>
      <c r="C243" s="1" t="s">
        <v>2134</v>
      </c>
      <c r="L243" s="7" t="s">
        <v>2135</v>
      </c>
      <c r="M243" s="7"/>
      <c r="N243" s="7" t="s">
        <v>2136</v>
      </c>
      <c r="R243" s="7" t="s">
        <v>2137</v>
      </c>
    </row>
    <row r="244" spans="1:18">
      <c r="A244" s="1" t="s">
        <v>2138</v>
      </c>
      <c r="C244" s="1" t="s">
        <v>2139</v>
      </c>
      <c r="L244" s="7" t="s">
        <v>2140</v>
      </c>
      <c r="M244" s="7"/>
      <c r="N244" s="7" t="s">
        <v>2141</v>
      </c>
      <c r="R244" s="7" t="s">
        <v>2142</v>
      </c>
    </row>
    <row r="245" spans="1:18">
      <c r="A245" s="1" t="s">
        <v>2143</v>
      </c>
      <c r="C245" s="1" t="s">
        <v>2144</v>
      </c>
      <c r="L245" s="7" t="s">
        <v>2145</v>
      </c>
      <c r="M245" s="7"/>
      <c r="N245" s="7" t="s">
        <v>2146</v>
      </c>
      <c r="R245" s="7" t="s">
        <v>2147</v>
      </c>
    </row>
    <row r="246" spans="1:18">
      <c r="A246" s="1" t="s">
        <v>2148</v>
      </c>
      <c r="C246" s="1" t="s">
        <v>2149</v>
      </c>
      <c r="L246" s="7" t="s">
        <v>2150</v>
      </c>
      <c r="M246" s="7"/>
      <c r="N246" s="7" t="s">
        <v>2151</v>
      </c>
      <c r="R246" s="7" t="s">
        <v>2152</v>
      </c>
    </row>
    <row r="247" spans="1:18">
      <c r="A247" s="1" t="s">
        <v>2153</v>
      </c>
      <c r="C247" s="1" t="s">
        <v>2154</v>
      </c>
      <c r="L247" s="7" t="s">
        <v>2155</v>
      </c>
      <c r="M247" s="7"/>
      <c r="N247" s="7" t="s">
        <v>2156</v>
      </c>
      <c r="R247" s="7" t="s">
        <v>2157</v>
      </c>
    </row>
    <row r="248" spans="1:18">
      <c r="A248" s="1" t="s">
        <v>2153</v>
      </c>
      <c r="C248" s="1" t="s">
        <v>2158</v>
      </c>
      <c r="L248" s="7" t="s">
        <v>2159</v>
      </c>
      <c r="M248" s="7"/>
      <c r="N248" s="7" t="s">
        <v>2160</v>
      </c>
      <c r="R248" s="7" t="s">
        <v>2161</v>
      </c>
    </row>
    <row r="249" spans="1:18">
      <c r="A249" s="1" t="s">
        <v>2162</v>
      </c>
      <c r="C249" s="1" t="s">
        <v>2163</v>
      </c>
      <c r="L249" s="7" t="s">
        <v>2164</v>
      </c>
      <c r="M249" s="7"/>
      <c r="N249" s="7" t="s">
        <v>2165</v>
      </c>
      <c r="R249" s="7" t="s">
        <v>2166</v>
      </c>
    </row>
    <row r="250" spans="1:18">
      <c r="A250" s="1" t="s">
        <v>2167</v>
      </c>
      <c r="C250" s="1" t="s">
        <v>2168</v>
      </c>
      <c r="L250" s="7" t="s">
        <v>2169</v>
      </c>
      <c r="M250" s="7"/>
      <c r="N250" s="7" t="s">
        <v>2170</v>
      </c>
      <c r="R250" s="7" t="s">
        <v>2171</v>
      </c>
    </row>
    <row r="251" spans="1:18">
      <c r="A251" s="1" t="s">
        <v>2172</v>
      </c>
      <c r="C251" s="1" t="s">
        <v>2173</v>
      </c>
      <c r="L251" s="7" t="s">
        <v>2174</v>
      </c>
      <c r="M251" s="7"/>
      <c r="N251" s="7" t="s">
        <v>2175</v>
      </c>
      <c r="R251" s="7" t="s">
        <v>2176</v>
      </c>
    </row>
    <row r="252" spans="1:18">
      <c r="A252" s="1" t="s">
        <v>2177</v>
      </c>
      <c r="C252" s="1" t="s">
        <v>2178</v>
      </c>
      <c r="L252" s="7" t="s">
        <v>2179</v>
      </c>
      <c r="M252" s="7"/>
      <c r="N252" s="7" t="s">
        <v>2180</v>
      </c>
      <c r="R252" s="7" t="s">
        <v>2181</v>
      </c>
    </row>
    <row r="253" spans="1:18">
      <c r="A253" s="1" t="s">
        <v>2182</v>
      </c>
      <c r="C253" s="1" t="s">
        <v>2183</v>
      </c>
      <c r="L253" s="7" t="s">
        <v>2184</v>
      </c>
      <c r="M253" s="7"/>
      <c r="N253" s="7" t="s">
        <v>2185</v>
      </c>
      <c r="R253" s="7" t="s">
        <v>2186</v>
      </c>
    </row>
    <row r="254" spans="1:18">
      <c r="A254" s="1" t="s">
        <v>2187</v>
      </c>
      <c r="C254" s="1" t="s">
        <v>2188</v>
      </c>
      <c r="L254" s="7" t="s">
        <v>2189</v>
      </c>
      <c r="M254" s="7"/>
      <c r="N254" s="7" t="s">
        <v>2190</v>
      </c>
      <c r="R254" s="7" t="s">
        <v>2191</v>
      </c>
    </row>
    <row r="255" spans="1:18">
      <c r="A255" s="1" t="s">
        <v>2192</v>
      </c>
      <c r="C255" s="1" t="s">
        <v>2193</v>
      </c>
      <c r="L255" s="7" t="s">
        <v>2194</v>
      </c>
      <c r="M255" s="7"/>
      <c r="N255" s="7" t="s">
        <v>2195</v>
      </c>
      <c r="R255" s="7" t="s">
        <v>2196</v>
      </c>
    </row>
    <row r="256" spans="1:18">
      <c r="A256" s="1" t="s">
        <v>2197</v>
      </c>
      <c r="C256" s="1" t="s">
        <v>2198</v>
      </c>
      <c r="L256" s="7" t="s">
        <v>2199</v>
      </c>
      <c r="M256" s="7"/>
      <c r="N256" s="7" t="s">
        <v>2200</v>
      </c>
      <c r="R256" s="7" t="s">
        <v>2201</v>
      </c>
    </row>
    <row r="257" spans="1:18">
      <c r="A257" s="1" t="s">
        <v>2202</v>
      </c>
      <c r="C257" s="1" t="s">
        <v>2203</v>
      </c>
      <c r="L257" s="7" t="s">
        <v>2204</v>
      </c>
      <c r="M257" s="7"/>
      <c r="N257" s="7" t="s">
        <v>2205</v>
      </c>
      <c r="R257" s="7" t="s">
        <v>2206</v>
      </c>
    </row>
    <row r="258" spans="1:18">
      <c r="A258" s="1" t="s">
        <v>2207</v>
      </c>
      <c r="C258" s="1" t="s">
        <v>2208</v>
      </c>
      <c r="L258" s="7" t="s">
        <v>2209</v>
      </c>
      <c r="M258" s="7"/>
      <c r="N258" s="7" t="s">
        <v>2210</v>
      </c>
      <c r="R258" s="7" t="s">
        <v>2211</v>
      </c>
    </row>
    <row r="259" spans="1:18">
      <c r="A259" s="1" t="s">
        <v>2212</v>
      </c>
      <c r="C259" s="1" t="s">
        <v>2213</v>
      </c>
      <c r="L259" s="7" t="s">
        <v>2214</v>
      </c>
      <c r="M259" s="7"/>
      <c r="N259" s="7" t="s">
        <v>2215</v>
      </c>
      <c r="R259" s="7" t="s">
        <v>2216</v>
      </c>
    </row>
    <row r="260" spans="1:18">
      <c r="A260" s="1" t="s">
        <v>2217</v>
      </c>
      <c r="C260" s="1" t="s">
        <v>2218</v>
      </c>
      <c r="L260" s="7" t="s">
        <v>2219</v>
      </c>
      <c r="M260" s="7"/>
      <c r="N260" s="7" t="s">
        <v>2220</v>
      </c>
      <c r="R260" s="7" t="s">
        <v>2221</v>
      </c>
    </row>
    <row r="261" spans="1:18">
      <c r="A261" s="1" t="s">
        <v>2222</v>
      </c>
      <c r="C261" s="1" t="s">
        <v>2223</v>
      </c>
      <c r="L261" s="7" t="s">
        <v>2224</v>
      </c>
      <c r="M261" s="7"/>
      <c r="N261" s="7" t="s">
        <v>2225</v>
      </c>
      <c r="R261" s="7" t="s">
        <v>2226</v>
      </c>
    </row>
    <row r="262" spans="1:18">
      <c r="A262" s="1" t="s">
        <v>2227</v>
      </c>
      <c r="L262" s="7" t="s">
        <v>2228</v>
      </c>
      <c r="M262" s="7"/>
      <c r="N262" s="7" t="s">
        <v>2229</v>
      </c>
      <c r="R262" s="7" t="s">
        <v>2230</v>
      </c>
    </row>
    <row r="263" spans="1:18">
      <c r="A263" s="1" t="s">
        <v>2231</v>
      </c>
      <c r="L263" s="7" t="s">
        <v>2232</v>
      </c>
      <c r="M263" s="7"/>
      <c r="N263" s="7" t="s">
        <v>2233</v>
      </c>
      <c r="R263" s="7" t="s">
        <v>2234</v>
      </c>
    </row>
    <row r="264" spans="1:18">
      <c r="A264" s="1" t="s">
        <v>2235</v>
      </c>
      <c r="L264" s="7" t="s">
        <v>2236</v>
      </c>
      <c r="M264" s="7"/>
      <c r="N264" s="7" t="s">
        <v>2237</v>
      </c>
      <c r="R264" s="7" t="s">
        <v>2238</v>
      </c>
    </row>
    <row r="265" spans="1:18">
      <c r="A265" s="1" t="s">
        <v>2239</v>
      </c>
      <c r="L265" s="7" t="s">
        <v>2240</v>
      </c>
      <c r="M265" s="7"/>
      <c r="N265" s="7" t="s">
        <v>2241</v>
      </c>
      <c r="R265" s="7" t="s">
        <v>2242</v>
      </c>
    </row>
    <row r="266" spans="1:18">
      <c r="A266" s="1" t="s">
        <v>2243</v>
      </c>
      <c r="L266" s="7" t="s">
        <v>2244</v>
      </c>
      <c r="M266" s="7"/>
      <c r="N266" s="7" t="s">
        <v>2245</v>
      </c>
      <c r="R266" s="7" t="s">
        <v>2246</v>
      </c>
    </row>
    <row r="267" spans="1:18">
      <c r="A267" s="1" t="s">
        <v>2247</v>
      </c>
      <c r="L267" s="7" t="s">
        <v>2248</v>
      </c>
      <c r="M267" s="7"/>
      <c r="N267" s="7" t="s">
        <v>2249</v>
      </c>
      <c r="R267" s="7" t="s">
        <v>2250</v>
      </c>
    </row>
    <row r="268" spans="1:18">
      <c r="A268" s="1" t="s">
        <v>2251</v>
      </c>
      <c r="L268" s="7" t="s">
        <v>2252</v>
      </c>
      <c r="M268" s="7"/>
      <c r="N268" s="7" t="s">
        <v>2253</v>
      </c>
      <c r="R268" s="7" t="s">
        <v>2254</v>
      </c>
    </row>
    <row r="269" spans="1:18">
      <c r="A269" s="1" t="s">
        <v>2255</v>
      </c>
      <c r="L269" s="7" t="s">
        <v>2256</v>
      </c>
      <c r="M269" s="7"/>
      <c r="N269" s="7" t="s">
        <v>2257</v>
      </c>
      <c r="R269" s="7" t="s">
        <v>2258</v>
      </c>
    </row>
    <row r="270" spans="1:18">
      <c r="A270" s="1" t="s">
        <v>2259</v>
      </c>
      <c r="L270" s="7" t="s">
        <v>2260</v>
      </c>
      <c r="M270" s="7"/>
      <c r="N270" s="7" t="s">
        <v>2261</v>
      </c>
      <c r="R270" s="7" t="s">
        <v>2262</v>
      </c>
    </row>
    <row r="271" spans="1:18">
      <c r="A271" s="1" t="s">
        <v>2263</v>
      </c>
      <c r="L271" s="7" t="s">
        <v>2264</v>
      </c>
      <c r="M271" s="7"/>
      <c r="N271" s="7" t="s">
        <v>2265</v>
      </c>
      <c r="R271" s="7" t="s">
        <v>2266</v>
      </c>
    </row>
    <row r="272" spans="1:18">
      <c r="A272" s="1" t="s">
        <v>2267</v>
      </c>
      <c r="L272" s="7" t="s">
        <v>2268</v>
      </c>
      <c r="M272" s="7"/>
      <c r="N272" s="7" t="s">
        <v>2269</v>
      </c>
      <c r="R272" s="7" t="s">
        <v>2270</v>
      </c>
    </row>
    <row r="273" spans="1:18">
      <c r="A273" s="1" t="s">
        <v>2271</v>
      </c>
      <c r="L273" s="7" t="s">
        <v>2272</v>
      </c>
      <c r="M273" s="7"/>
      <c r="N273" s="7" t="s">
        <v>2273</v>
      </c>
      <c r="R273" s="7" t="s">
        <v>2274</v>
      </c>
    </row>
    <row r="274" spans="1:18">
      <c r="A274" s="1" t="s">
        <v>2275</v>
      </c>
      <c r="L274" s="7" t="s">
        <v>2276</v>
      </c>
      <c r="M274" s="7"/>
      <c r="N274" s="7" t="s">
        <v>2277</v>
      </c>
      <c r="R274" s="7" t="s">
        <v>2278</v>
      </c>
    </row>
    <row r="275" spans="1:18">
      <c r="A275" s="1" t="s">
        <v>2279</v>
      </c>
      <c r="L275" s="7" t="s">
        <v>2280</v>
      </c>
      <c r="M275" s="7"/>
      <c r="N275" s="7" t="s">
        <v>2281</v>
      </c>
      <c r="R275" s="7" t="s">
        <v>2282</v>
      </c>
    </row>
    <row r="276" spans="1:18">
      <c r="A276" s="1" t="s">
        <v>2283</v>
      </c>
      <c r="L276" s="7" t="s">
        <v>2284</v>
      </c>
      <c r="M276" s="7"/>
      <c r="N276" s="7" t="s">
        <v>2285</v>
      </c>
      <c r="R276" s="7" t="s">
        <v>2286</v>
      </c>
    </row>
    <row r="277" spans="1:18">
      <c r="A277" s="1" t="s">
        <v>2287</v>
      </c>
      <c r="L277" s="7" t="s">
        <v>2288</v>
      </c>
      <c r="M277" s="7"/>
      <c r="N277" s="7" t="s">
        <v>2289</v>
      </c>
      <c r="R277" s="7" t="s">
        <v>2290</v>
      </c>
    </row>
    <row r="278" spans="1:18">
      <c r="A278" s="1" t="s">
        <v>2291</v>
      </c>
      <c r="L278" s="7" t="s">
        <v>2292</v>
      </c>
      <c r="M278" s="7"/>
      <c r="N278" s="7" t="s">
        <v>2293</v>
      </c>
      <c r="R278" s="7" t="s">
        <v>2294</v>
      </c>
    </row>
    <row r="279" spans="1:18">
      <c r="A279" s="1" t="s">
        <v>2295</v>
      </c>
      <c r="L279" s="7" t="s">
        <v>2296</v>
      </c>
      <c r="M279" s="7"/>
      <c r="N279" s="7" t="s">
        <v>2297</v>
      </c>
      <c r="R279" s="7" t="s">
        <v>2298</v>
      </c>
    </row>
    <row r="280" spans="1:18">
      <c r="A280" s="1" t="s">
        <v>2299</v>
      </c>
      <c r="L280" s="7" t="s">
        <v>2300</v>
      </c>
      <c r="M280" s="7"/>
      <c r="N280" s="7" t="s">
        <v>2301</v>
      </c>
      <c r="R280" s="7" t="s">
        <v>2302</v>
      </c>
    </row>
    <row r="281" spans="1:18">
      <c r="A281" s="1" t="s">
        <v>2299</v>
      </c>
      <c r="L281" s="7" t="s">
        <v>2303</v>
      </c>
      <c r="M281" s="7"/>
      <c r="N281" s="7" t="s">
        <v>2304</v>
      </c>
      <c r="R281" s="7" t="s">
        <v>2305</v>
      </c>
    </row>
    <row r="282" spans="1:18">
      <c r="A282" s="1" t="s">
        <v>2306</v>
      </c>
      <c r="L282" s="7" t="s">
        <v>2307</v>
      </c>
      <c r="M282" s="7"/>
      <c r="N282" s="7" t="s">
        <v>2308</v>
      </c>
      <c r="R282" s="7" t="s">
        <v>2309</v>
      </c>
    </row>
    <row r="283" spans="1:18">
      <c r="A283" s="1" t="s">
        <v>2310</v>
      </c>
      <c r="L283" s="7" t="s">
        <v>2311</v>
      </c>
      <c r="M283" s="7"/>
      <c r="N283" s="7" t="s">
        <v>2312</v>
      </c>
      <c r="R283" s="7" t="s">
        <v>2313</v>
      </c>
    </row>
    <row r="284" spans="1:18">
      <c r="A284" s="1" t="s">
        <v>2314</v>
      </c>
      <c r="L284" s="7" t="s">
        <v>2315</v>
      </c>
      <c r="M284" s="7"/>
      <c r="N284" s="7" t="s">
        <v>2316</v>
      </c>
      <c r="R284" s="7" t="s">
        <v>2317</v>
      </c>
    </row>
    <row r="285" spans="1:18">
      <c r="A285" s="1" t="s">
        <v>2318</v>
      </c>
      <c r="L285" s="7" t="s">
        <v>2319</v>
      </c>
      <c r="M285" s="7"/>
      <c r="N285" s="7" t="s">
        <v>2320</v>
      </c>
      <c r="R285" s="7" t="s">
        <v>2321</v>
      </c>
    </row>
    <row r="286" spans="1:18">
      <c r="A286" s="1" t="s">
        <v>2322</v>
      </c>
      <c r="L286" s="7" t="s">
        <v>2323</v>
      </c>
      <c r="M286" s="7"/>
      <c r="N286" s="7" t="s">
        <v>2324</v>
      </c>
      <c r="R286" s="7" t="s">
        <v>2325</v>
      </c>
    </row>
    <row r="287" spans="1:18">
      <c r="A287" s="1" t="s">
        <v>2326</v>
      </c>
      <c r="L287" s="7" t="s">
        <v>2327</v>
      </c>
      <c r="M287" s="7"/>
      <c r="N287" s="7" t="s">
        <v>2328</v>
      </c>
      <c r="R287" s="7" t="s">
        <v>2329</v>
      </c>
    </row>
    <row r="288" spans="1:18">
      <c r="A288" s="1" t="s">
        <v>2330</v>
      </c>
      <c r="L288" s="7" t="s">
        <v>2331</v>
      </c>
      <c r="M288" s="7"/>
      <c r="N288" s="7" t="s">
        <v>2332</v>
      </c>
      <c r="R288" s="7" t="s">
        <v>2333</v>
      </c>
    </row>
    <row r="289" spans="1:18">
      <c r="A289" s="1" t="s">
        <v>2334</v>
      </c>
      <c r="L289" s="7" t="s">
        <v>2335</v>
      </c>
      <c r="M289" s="7"/>
      <c r="N289" s="7" t="s">
        <v>2336</v>
      </c>
      <c r="R289" s="7" t="s">
        <v>2337</v>
      </c>
    </row>
    <row r="290" spans="1:18">
      <c r="A290" s="1" t="s">
        <v>2338</v>
      </c>
      <c r="L290" s="7" t="s">
        <v>2339</v>
      </c>
      <c r="M290" s="7"/>
      <c r="N290" s="7" t="s">
        <v>2340</v>
      </c>
      <c r="R290" s="7" t="s">
        <v>2341</v>
      </c>
    </row>
    <row r="291" spans="1:18">
      <c r="A291" s="1" t="s">
        <v>2342</v>
      </c>
      <c r="L291" s="7" t="s">
        <v>2343</v>
      </c>
      <c r="M291" s="7"/>
      <c r="N291" s="7" t="s">
        <v>2344</v>
      </c>
      <c r="R291" s="7" t="s">
        <v>2345</v>
      </c>
    </row>
    <row r="292" spans="1:18">
      <c r="A292" s="1" t="s">
        <v>2346</v>
      </c>
      <c r="L292" s="7" t="s">
        <v>2347</v>
      </c>
      <c r="M292" s="7"/>
      <c r="N292" s="7" t="s">
        <v>2348</v>
      </c>
      <c r="R292" s="7" t="s">
        <v>2349</v>
      </c>
    </row>
    <row r="293" spans="1:18">
      <c r="A293" s="1" t="s">
        <v>2350</v>
      </c>
      <c r="L293" s="7" t="s">
        <v>2351</v>
      </c>
      <c r="M293" s="7"/>
      <c r="N293" s="7" t="s">
        <v>2352</v>
      </c>
      <c r="R293" s="7" t="s">
        <v>2353</v>
      </c>
    </row>
    <row r="294" spans="1:18">
      <c r="A294" s="1" t="s">
        <v>2354</v>
      </c>
      <c r="L294" s="7" t="s">
        <v>2355</v>
      </c>
      <c r="M294" s="7"/>
      <c r="N294" s="7" t="s">
        <v>2356</v>
      </c>
      <c r="R294" s="7" t="s">
        <v>2357</v>
      </c>
    </row>
    <row r="295" spans="1:18">
      <c r="A295" s="1" t="s">
        <v>2358</v>
      </c>
      <c r="L295" s="7" t="s">
        <v>2359</v>
      </c>
      <c r="M295" s="7"/>
      <c r="N295" s="7" t="s">
        <v>2360</v>
      </c>
      <c r="R295" s="7" t="s">
        <v>2361</v>
      </c>
    </row>
    <row r="296" spans="1:18">
      <c r="A296" s="1" t="s">
        <v>2362</v>
      </c>
      <c r="L296" s="7" t="s">
        <v>2363</v>
      </c>
      <c r="M296" s="7"/>
      <c r="N296" s="7" t="s">
        <v>2364</v>
      </c>
      <c r="R296" s="7" t="s">
        <v>2365</v>
      </c>
    </row>
    <row r="297" spans="1:18">
      <c r="A297" s="1" t="s">
        <v>2366</v>
      </c>
      <c r="L297" s="7" t="s">
        <v>2367</v>
      </c>
      <c r="M297" s="7"/>
      <c r="N297" s="7" t="s">
        <v>2368</v>
      </c>
      <c r="R297" s="7" t="s">
        <v>2369</v>
      </c>
    </row>
    <row r="298" spans="1:18">
      <c r="A298" s="1" t="s">
        <v>2370</v>
      </c>
      <c r="L298" s="7" t="s">
        <v>2371</v>
      </c>
      <c r="M298" s="7"/>
      <c r="N298" s="7" t="s">
        <v>2372</v>
      </c>
      <c r="R298" s="7" t="s">
        <v>2373</v>
      </c>
    </row>
    <row r="299" spans="1:18">
      <c r="A299" s="1" t="s">
        <v>2374</v>
      </c>
      <c r="L299" s="7" t="s">
        <v>2375</v>
      </c>
      <c r="M299" s="7"/>
      <c r="N299" s="7" t="s">
        <v>2376</v>
      </c>
      <c r="R299" s="7" t="s">
        <v>2377</v>
      </c>
    </row>
    <row r="300" spans="1:18">
      <c r="A300" s="1" t="s">
        <v>2378</v>
      </c>
      <c r="L300" s="7" t="s">
        <v>2379</v>
      </c>
      <c r="M300" s="7"/>
      <c r="N300" s="7" t="s">
        <v>2380</v>
      </c>
      <c r="R300" s="7" t="s">
        <v>2381</v>
      </c>
    </row>
    <row r="301" spans="1:18">
      <c r="A301" s="1" t="s">
        <v>2382</v>
      </c>
      <c r="L301" s="7" t="s">
        <v>2383</v>
      </c>
      <c r="M301" s="7"/>
      <c r="N301" s="7" t="s">
        <v>2384</v>
      </c>
      <c r="R301" s="7" t="s">
        <v>2385</v>
      </c>
    </row>
    <row r="302" spans="1:18">
      <c r="A302" s="1" t="s">
        <v>2386</v>
      </c>
      <c r="L302" s="7" t="s">
        <v>2387</v>
      </c>
      <c r="M302" s="7"/>
      <c r="N302" s="7" t="s">
        <v>2388</v>
      </c>
      <c r="R302" s="7" t="s">
        <v>2389</v>
      </c>
    </row>
    <row r="303" spans="1:18">
      <c r="A303" s="1" t="s">
        <v>2390</v>
      </c>
      <c r="L303" s="7" t="s">
        <v>2391</v>
      </c>
      <c r="M303" s="7"/>
      <c r="N303" s="7" t="s">
        <v>2392</v>
      </c>
      <c r="R303" s="7" t="s">
        <v>2393</v>
      </c>
    </row>
    <row r="304" spans="1:18">
      <c r="A304" s="1" t="s">
        <v>2394</v>
      </c>
      <c r="L304" s="7" t="s">
        <v>2395</v>
      </c>
      <c r="M304" s="7"/>
      <c r="N304" s="7" t="s">
        <v>2396</v>
      </c>
      <c r="R304" s="7" t="s">
        <v>2397</v>
      </c>
    </row>
    <row r="305" spans="1:18">
      <c r="A305" s="1" t="s">
        <v>2398</v>
      </c>
      <c r="L305" s="7" t="s">
        <v>2399</v>
      </c>
      <c r="M305" s="7"/>
      <c r="N305" s="7" t="s">
        <v>2400</v>
      </c>
      <c r="R305" s="7" t="s">
        <v>2401</v>
      </c>
    </row>
    <row r="306" spans="1:18">
      <c r="A306" s="1" t="s">
        <v>2402</v>
      </c>
      <c r="L306" s="7" t="s">
        <v>2403</v>
      </c>
      <c r="M306" s="7"/>
      <c r="N306" s="7" t="s">
        <v>2404</v>
      </c>
      <c r="R306" s="7" t="s">
        <v>2405</v>
      </c>
    </row>
    <row r="307" spans="1:18">
      <c r="A307" s="1" t="s">
        <v>2406</v>
      </c>
      <c r="L307" s="7" t="s">
        <v>2407</v>
      </c>
      <c r="M307" s="7"/>
      <c r="N307" s="7" t="s">
        <v>2408</v>
      </c>
      <c r="R307" s="7" t="s">
        <v>2409</v>
      </c>
    </row>
    <row r="308" spans="1:18">
      <c r="A308" s="1" t="s">
        <v>2410</v>
      </c>
      <c r="L308" s="7" t="s">
        <v>2411</v>
      </c>
      <c r="M308" s="7"/>
      <c r="N308" s="7" t="s">
        <v>2412</v>
      </c>
      <c r="R308" s="7" t="s">
        <v>2413</v>
      </c>
    </row>
    <row r="309" spans="1:18">
      <c r="A309" s="1" t="s">
        <v>2414</v>
      </c>
      <c r="L309" s="7" t="s">
        <v>2415</v>
      </c>
      <c r="M309" s="7"/>
      <c r="N309" s="7" t="s">
        <v>2416</v>
      </c>
      <c r="R309" s="7" t="s">
        <v>2417</v>
      </c>
    </row>
    <row r="310" spans="1:18">
      <c r="A310" s="1" t="s">
        <v>2418</v>
      </c>
      <c r="L310" s="7" t="s">
        <v>2419</v>
      </c>
      <c r="M310" s="7"/>
      <c r="N310" s="7" t="s">
        <v>2420</v>
      </c>
      <c r="R310" s="7" t="s">
        <v>2421</v>
      </c>
    </row>
    <row r="311" spans="1:18">
      <c r="A311" s="1" t="s">
        <v>2422</v>
      </c>
      <c r="L311" s="7" t="s">
        <v>2423</v>
      </c>
      <c r="M311" s="7"/>
      <c r="N311" s="7" t="s">
        <v>2424</v>
      </c>
      <c r="R311" s="7" t="s">
        <v>2425</v>
      </c>
    </row>
    <row r="312" spans="1:18">
      <c r="A312" s="1" t="s">
        <v>2426</v>
      </c>
      <c r="L312" s="7" t="s">
        <v>2427</v>
      </c>
      <c r="M312" s="7"/>
      <c r="N312" s="7" t="s">
        <v>2428</v>
      </c>
      <c r="R312" s="7" t="s">
        <v>2429</v>
      </c>
    </row>
    <row r="313" spans="1:18">
      <c r="A313" s="1" t="s">
        <v>2430</v>
      </c>
      <c r="L313" s="7" t="s">
        <v>2431</v>
      </c>
      <c r="M313" s="7"/>
      <c r="N313" s="7" t="s">
        <v>2432</v>
      </c>
      <c r="R313" s="7" t="s">
        <v>2433</v>
      </c>
    </row>
    <row r="314" spans="1:18">
      <c r="A314" s="1" t="s">
        <v>2434</v>
      </c>
      <c r="L314" s="7" t="s">
        <v>2435</v>
      </c>
      <c r="M314" s="7"/>
      <c r="N314" s="7" t="s">
        <v>2436</v>
      </c>
      <c r="R314" s="7" t="s">
        <v>2437</v>
      </c>
    </row>
    <row r="315" spans="1:18">
      <c r="A315" s="1" t="s">
        <v>2438</v>
      </c>
      <c r="L315" s="7" t="s">
        <v>2439</v>
      </c>
      <c r="M315" s="7"/>
      <c r="N315" s="7" t="s">
        <v>2440</v>
      </c>
      <c r="R315" s="7" t="s">
        <v>2441</v>
      </c>
    </row>
    <row r="316" spans="1:18">
      <c r="A316" s="1" t="s">
        <v>2442</v>
      </c>
      <c r="L316" s="7" t="s">
        <v>2443</v>
      </c>
      <c r="M316" s="7"/>
      <c r="N316" s="7" t="s">
        <v>2444</v>
      </c>
      <c r="R316" s="7" t="s">
        <v>2445</v>
      </c>
    </row>
    <row r="317" spans="1:18">
      <c r="A317" s="1" t="s">
        <v>2446</v>
      </c>
      <c r="L317" s="7" t="s">
        <v>2447</v>
      </c>
      <c r="M317" s="7"/>
      <c r="N317" s="7" t="s">
        <v>2448</v>
      </c>
      <c r="R317" s="7" t="s">
        <v>2449</v>
      </c>
    </row>
    <row r="318" spans="1:18">
      <c r="A318" s="1" t="s">
        <v>2450</v>
      </c>
      <c r="L318" s="7" t="s">
        <v>2451</v>
      </c>
      <c r="M318" s="7"/>
      <c r="N318" s="7" t="s">
        <v>2452</v>
      </c>
      <c r="R318" s="7" t="s">
        <v>2453</v>
      </c>
    </row>
    <row r="319" spans="1:18">
      <c r="A319" s="1" t="s">
        <v>2454</v>
      </c>
      <c r="L319" s="7" t="s">
        <v>2455</v>
      </c>
      <c r="M319" s="7"/>
      <c r="N319" s="7" t="s">
        <v>2456</v>
      </c>
      <c r="R319" s="7" t="s">
        <v>2457</v>
      </c>
    </row>
    <row r="320" spans="1:18">
      <c r="A320" s="1" t="s">
        <v>2458</v>
      </c>
      <c r="L320" s="7" t="s">
        <v>2459</v>
      </c>
      <c r="M320" s="7"/>
      <c r="N320" s="7" t="s">
        <v>2460</v>
      </c>
      <c r="R320" s="7" t="s">
        <v>2461</v>
      </c>
    </row>
    <row r="321" spans="1:18">
      <c r="A321" s="1" t="s">
        <v>2462</v>
      </c>
      <c r="L321" s="7" t="s">
        <v>2463</v>
      </c>
      <c r="M321" s="7"/>
      <c r="N321" s="7" t="s">
        <v>2464</v>
      </c>
      <c r="R321" s="7" t="s">
        <v>2465</v>
      </c>
    </row>
    <row r="322" spans="1:18">
      <c r="A322" s="1" t="s">
        <v>2466</v>
      </c>
      <c r="L322" s="7" t="s">
        <v>2467</v>
      </c>
      <c r="M322" s="7"/>
      <c r="N322" s="7" t="s">
        <v>2468</v>
      </c>
      <c r="R322" s="7" t="s">
        <v>2469</v>
      </c>
    </row>
    <row r="323" spans="1:18">
      <c r="A323" s="1" t="s">
        <v>2470</v>
      </c>
      <c r="L323" s="7" t="s">
        <v>2471</v>
      </c>
      <c r="M323" s="7"/>
      <c r="N323" s="7" t="s">
        <v>2472</v>
      </c>
      <c r="R323" s="7" t="s">
        <v>2473</v>
      </c>
    </row>
    <row r="324" spans="1:18">
      <c r="A324" s="1" t="s">
        <v>2474</v>
      </c>
      <c r="L324" s="7" t="s">
        <v>2475</v>
      </c>
      <c r="M324" s="7"/>
      <c r="N324" s="7" t="s">
        <v>2476</v>
      </c>
      <c r="R324" s="7" t="s">
        <v>2477</v>
      </c>
    </row>
    <row r="325" spans="1:18">
      <c r="A325" s="1" t="s">
        <v>2478</v>
      </c>
      <c r="L325" s="7" t="s">
        <v>2479</v>
      </c>
      <c r="M325" s="7"/>
      <c r="N325" s="7" t="s">
        <v>2480</v>
      </c>
      <c r="R325" s="7" t="s">
        <v>2481</v>
      </c>
    </row>
    <row r="326" spans="1:18">
      <c r="A326" s="1" t="s">
        <v>2482</v>
      </c>
      <c r="L326" s="7" t="s">
        <v>2483</v>
      </c>
      <c r="M326" s="7"/>
      <c r="N326" s="7" t="s">
        <v>2484</v>
      </c>
      <c r="R326" s="7" t="s">
        <v>2485</v>
      </c>
    </row>
    <row r="327" spans="1:18">
      <c r="A327" s="1" t="s">
        <v>2486</v>
      </c>
      <c r="L327" s="7" t="s">
        <v>2487</v>
      </c>
      <c r="M327" s="7"/>
      <c r="N327" s="7" t="s">
        <v>2488</v>
      </c>
      <c r="R327" s="7" t="s">
        <v>2489</v>
      </c>
    </row>
    <row r="328" spans="1:18">
      <c r="A328" s="1" t="s">
        <v>2490</v>
      </c>
      <c r="L328" s="7" t="s">
        <v>2491</v>
      </c>
      <c r="M328" s="7"/>
      <c r="N328" s="7" t="s">
        <v>2492</v>
      </c>
      <c r="R328" s="7" t="s">
        <v>2493</v>
      </c>
    </row>
    <row r="329" spans="1:18">
      <c r="A329" s="1" t="s">
        <v>2494</v>
      </c>
      <c r="L329" s="7" t="s">
        <v>2495</v>
      </c>
      <c r="M329" s="7"/>
      <c r="N329" s="7" t="s">
        <v>2496</v>
      </c>
      <c r="R329" s="7" t="s">
        <v>2497</v>
      </c>
    </row>
    <row r="330" spans="1:18">
      <c r="A330" s="1" t="s">
        <v>2498</v>
      </c>
      <c r="L330" s="7" t="s">
        <v>2499</v>
      </c>
      <c r="M330" s="7"/>
      <c r="N330" s="7" t="s">
        <v>2500</v>
      </c>
      <c r="R330" s="7" t="s">
        <v>2501</v>
      </c>
    </row>
    <row r="331" spans="1:18">
      <c r="A331" s="1" t="s">
        <v>2502</v>
      </c>
      <c r="L331" s="7" t="s">
        <v>2503</v>
      </c>
      <c r="M331" s="7"/>
      <c r="N331" s="7" t="s">
        <v>2504</v>
      </c>
      <c r="R331" s="7" t="s">
        <v>2505</v>
      </c>
    </row>
    <row r="332" spans="1:18">
      <c r="A332" s="1" t="s">
        <v>2506</v>
      </c>
      <c r="L332" s="7" t="s">
        <v>2507</v>
      </c>
      <c r="M332" s="7"/>
      <c r="N332" s="7" t="s">
        <v>2508</v>
      </c>
      <c r="R332" s="7" t="s">
        <v>2509</v>
      </c>
    </row>
    <row r="333" spans="1:18">
      <c r="A333" s="1" t="s">
        <v>2510</v>
      </c>
      <c r="L333" s="7" t="s">
        <v>2511</v>
      </c>
      <c r="M333" s="7"/>
      <c r="N333" s="7" t="s">
        <v>2512</v>
      </c>
      <c r="R333" s="7" t="s">
        <v>2513</v>
      </c>
    </row>
    <row r="334" spans="1:18">
      <c r="A334" s="1" t="s">
        <v>2514</v>
      </c>
      <c r="L334" s="7" t="s">
        <v>2515</v>
      </c>
      <c r="M334" s="7"/>
      <c r="N334" s="7" t="s">
        <v>2516</v>
      </c>
      <c r="R334" s="7" t="s">
        <v>2517</v>
      </c>
    </row>
    <row r="335" spans="1:18">
      <c r="A335" s="1" t="s">
        <v>2518</v>
      </c>
      <c r="L335" s="7" t="s">
        <v>2519</v>
      </c>
      <c r="M335" s="7"/>
      <c r="N335" s="7" t="s">
        <v>2520</v>
      </c>
      <c r="R335" s="7" t="s">
        <v>2521</v>
      </c>
    </row>
    <row r="336" spans="1:18">
      <c r="A336" s="1" t="s">
        <v>2522</v>
      </c>
      <c r="L336" s="7" t="s">
        <v>2523</v>
      </c>
      <c r="M336" s="7"/>
      <c r="N336" s="7" t="s">
        <v>2524</v>
      </c>
      <c r="R336" s="7" t="s">
        <v>2525</v>
      </c>
    </row>
    <row r="337" spans="1:18">
      <c r="A337" s="1" t="s">
        <v>2526</v>
      </c>
      <c r="L337" s="7" t="s">
        <v>2527</v>
      </c>
      <c r="M337" s="7"/>
      <c r="N337" s="7" t="s">
        <v>2528</v>
      </c>
      <c r="R337" s="7" t="s">
        <v>2529</v>
      </c>
    </row>
    <row r="338" spans="1:18">
      <c r="A338" s="1" t="s">
        <v>2530</v>
      </c>
      <c r="L338" s="7" t="s">
        <v>2531</v>
      </c>
      <c r="M338" s="7"/>
      <c r="N338" s="7" t="s">
        <v>2532</v>
      </c>
      <c r="R338" s="7" t="s">
        <v>2533</v>
      </c>
    </row>
    <row r="339" spans="1:18">
      <c r="A339" s="1" t="s">
        <v>2534</v>
      </c>
      <c r="L339" s="7" t="s">
        <v>2535</v>
      </c>
      <c r="M339" s="7"/>
      <c r="N339" s="7" t="s">
        <v>2536</v>
      </c>
      <c r="R339" s="7" t="s">
        <v>2537</v>
      </c>
    </row>
    <row r="340" spans="1:18">
      <c r="A340" s="1" t="s">
        <v>2538</v>
      </c>
      <c r="L340" s="7" t="s">
        <v>2539</v>
      </c>
      <c r="M340" s="7"/>
      <c r="N340" s="7" t="s">
        <v>2540</v>
      </c>
      <c r="R340" s="7" t="s">
        <v>2541</v>
      </c>
    </row>
    <row r="341" spans="1:18">
      <c r="A341" s="1" t="s">
        <v>2542</v>
      </c>
      <c r="L341" s="7" t="s">
        <v>2543</v>
      </c>
      <c r="M341" s="7"/>
      <c r="N341" s="7" t="s">
        <v>2544</v>
      </c>
      <c r="R341" s="7" t="s">
        <v>2545</v>
      </c>
    </row>
    <row r="342" spans="1:18">
      <c r="A342" s="1" t="s">
        <v>2546</v>
      </c>
      <c r="L342" s="7" t="s">
        <v>2547</v>
      </c>
      <c r="M342" s="7"/>
      <c r="N342" s="7" t="s">
        <v>2548</v>
      </c>
      <c r="R342" s="7" t="s">
        <v>2549</v>
      </c>
    </row>
    <row r="343" spans="1:18">
      <c r="A343" s="1" t="s">
        <v>2550</v>
      </c>
      <c r="L343" s="7" t="s">
        <v>2551</v>
      </c>
      <c r="M343" s="7"/>
      <c r="N343" s="7" t="s">
        <v>2552</v>
      </c>
      <c r="R343" s="7" t="s">
        <v>2553</v>
      </c>
    </row>
    <row r="344" spans="1:18">
      <c r="A344" s="1" t="s">
        <v>2554</v>
      </c>
      <c r="L344" s="7" t="s">
        <v>2555</v>
      </c>
      <c r="M344" s="7"/>
      <c r="N344" s="7" t="s">
        <v>2556</v>
      </c>
      <c r="R344" s="7" t="s">
        <v>2557</v>
      </c>
    </row>
    <row r="345" spans="1:18">
      <c r="A345" s="1" t="s">
        <v>2558</v>
      </c>
      <c r="L345" s="7" t="s">
        <v>2559</v>
      </c>
      <c r="M345" s="7"/>
      <c r="N345" s="7" t="s">
        <v>2560</v>
      </c>
      <c r="R345" s="7" t="s">
        <v>2561</v>
      </c>
    </row>
    <row r="346" spans="1:18">
      <c r="A346" s="1" t="s">
        <v>2562</v>
      </c>
      <c r="L346" s="7" t="s">
        <v>2563</v>
      </c>
      <c r="M346" s="7"/>
      <c r="N346" s="7" t="s">
        <v>2564</v>
      </c>
      <c r="R346" s="7" t="s">
        <v>2565</v>
      </c>
    </row>
    <row r="347" spans="1:18">
      <c r="A347" s="1" t="s">
        <v>2566</v>
      </c>
      <c r="L347" s="7" t="s">
        <v>2567</v>
      </c>
      <c r="M347" s="7"/>
      <c r="N347" s="7" t="s">
        <v>2568</v>
      </c>
      <c r="R347" s="7" t="s">
        <v>2569</v>
      </c>
    </row>
    <row r="348" spans="1:18">
      <c r="A348" s="1" t="s">
        <v>2570</v>
      </c>
      <c r="L348" s="7" t="s">
        <v>2571</v>
      </c>
      <c r="M348" s="7"/>
      <c r="N348" s="7" t="s">
        <v>2572</v>
      </c>
      <c r="R348" s="7" t="s">
        <v>2573</v>
      </c>
    </row>
    <row r="349" spans="1:18">
      <c r="A349" s="1" t="s">
        <v>2574</v>
      </c>
      <c r="L349" s="7" t="s">
        <v>2575</v>
      </c>
      <c r="M349" s="7"/>
      <c r="N349" s="7" t="s">
        <v>2576</v>
      </c>
      <c r="R349" s="7" t="s">
        <v>2577</v>
      </c>
    </row>
    <row r="350" spans="1:18">
      <c r="A350" s="1" t="s">
        <v>2578</v>
      </c>
      <c r="L350" s="7" t="s">
        <v>2579</v>
      </c>
      <c r="M350" s="7"/>
      <c r="N350" s="7" t="s">
        <v>2580</v>
      </c>
      <c r="R350" s="7" t="s">
        <v>2581</v>
      </c>
    </row>
    <row r="351" spans="1:18">
      <c r="A351" s="1" t="s">
        <v>2582</v>
      </c>
      <c r="L351" s="7" t="s">
        <v>2583</v>
      </c>
      <c r="M351" s="7"/>
      <c r="N351" s="7" t="s">
        <v>2584</v>
      </c>
      <c r="R351" s="7" t="s">
        <v>2585</v>
      </c>
    </row>
    <row r="352" spans="1:18">
      <c r="A352" s="1" t="s">
        <v>2586</v>
      </c>
      <c r="L352" s="7" t="s">
        <v>2587</v>
      </c>
      <c r="M352" s="7"/>
      <c r="N352" s="7" t="s">
        <v>2588</v>
      </c>
      <c r="R352" s="7" t="s">
        <v>2589</v>
      </c>
    </row>
    <row r="353" spans="1:18">
      <c r="A353" s="1" t="s">
        <v>2590</v>
      </c>
      <c r="L353" s="7" t="s">
        <v>2591</v>
      </c>
      <c r="M353" s="7"/>
      <c r="N353" s="7" t="s">
        <v>2592</v>
      </c>
      <c r="R353" s="7" t="s">
        <v>2593</v>
      </c>
    </row>
    <row r="354" spans="1:18">
      <c r="A354" s="1" t="s">
        <v>2594</v>
      </c>
      <c r="L354" s="7" t="s">
        <v>2595</v>
      </c>
      <c r="M354" s="7"/>
      <c r="N354" s="7" t="s">
        <v>2596</v>
      </c>
      <c r="R354" s="7" t="s">
        <v>2597</v>
      </c>
    </row>
    <row r="355" spans="1:18">
      <c r="A355" s="1" t="s">
        <v>2598</v>
      </c>
      <c r="L355" s="7" t="s">
        <v>2599</v>
      </c>
      <c r="M355" s="7"/>
      <c r="N355" s="7" t="s">
        <v>2600</v>
      </c>
      <c r="R355" s="7" t="s">
        <v>2601</v>
      </c>
    </row>
    <row r="356" spans="1:18">
      <c r="A356" s="1" t="s">
        <v>2602</v>
      </c>
      <c r="L356" s="7" t="s">
        <v>2603</v>
      </c>
      <c r="M356" s="7"/>
      <c r="N356" s="7" t="s">
        <v>2604</v>
      </c>
      <c r="R356" s="7" t="s">
        <v>2605</v>
      </c>
    </row>
    <row r="357" spans="1:18">
      <c r="A357" s="1" t="s">
        <v>2606</v>
      </c>
      <c r="L357" s="7" t="s">
        <v>2607</v>
      </c>
      <c r="M357" s="7"/>
      <c r="N357" s="7" t="s">
        <v>2608</v>
      </c>
      <c r="R357" s="7" t="s">
        <v>2609</v>
      </c>
    </row>
    <row r="358" spans="1:18">
      <c r="A358" s="1" t="s">
        <v>2610</v>
      </c>
      <c r="L358" s="7" t="s">
        <v>2611</v>
      </c>
      <c r="M358" s="7"/>
      <c r="N358" s="7" t="s">
        <v>2612</v>
      </c>
      <c r="R358" s="7" t="s">
        <v>2613</v>
      </c>
    </row>
    <row r="359" spans="1:18">
      <c r="A359" s="1" t="s">
        <v>2614</v>
      </c>
      <c r="L359" s="7" t="s">
        <v>2615</v>
      </c>
      <c r="M359" s="7"/>
      <c r="N359" s="7" t="s">
        <v>2616</v>
      </c>
      <c r="R359" s="7" t="s">
        <v>2617</v>
      </c>
    </row>
    <row r="360" spans="1:18">
      <c r="A360" s="1" t="s">
        <v>2618</v>
      </c>
      <c r="L360" s="7" t="s">
        <v>2619</v>
      </c>
      <c r="M360" s="7"/>
      <c r="N360" s="7" t="s">
        <v>2620</v>
      </c>
      <c r="R360" s="7" t="s">
        <v>2621</v>
      </c>
    </row>
    <row r="361" spans="1:18">
      <c r="A361" s="1" t="s">
        <v>2622</v>
      </c>
      <c r="L361" s="7" t="s">
        <v>2623</v>
      </c>
      <c r="M361" s="7"/>
      <c r="N361" s="7" t="s">
        <v>2624</v>
      </c>
      <c r="R361" s="7" t="s">
        <v>2625</v>
      </c>
    </row>
    <row r="362" spans="1:18">
      <c r="A362" s="1" t="s">
        <v>2626</v>
      </c>
      <c r="L362" s="7" t="s">
        <v>2627</v>
      </c>
      <c r="M362" s="7"/>
      <c r="N362" s="7" t="s">
        <v>2628</v>
      </c>
      <c r="R362" s="7" t="s">
        <v>2629</v>
      </c>
    </row>
    <row r="363" spans="1:18">
      <c r="A363" s="1" t="s">
        <v>2630</v>
      </c>
      <c r="L363" s="7" t="s">
        <v>2631</v>
      </c>
      <c r="M363" s="7"/>
      <c r="N363" s="7" t="s">
        <v>2632</v>
      </c>
      <c r="R363" s="7" t="s">
        <v>2633</v>
      </c>
    </row>
    <row r="364" spans="1:18">
      <c r="A364" s="1" t="s">
        <v>2634</v>
      </c>
      <c r="L364" s="7" t="s">
        <v>2635</v>
      </c>
      <c r="M364" s="7"/>
      <c r="N364" s="7" t="s">
        <v>2636</v>
      </c>
      <c r="R364" s="7" t="s">
        <v>2637</v>
      </c>
    </row>
    <row r="365" spans="1:18">
      <c r="A365" s="1" t="s">
        <v>2638</v>
      </c>
      <c r="L365" s="7" t="s">
        <v>2639</v>
      </c>
      <c r="M365" s="7"/>
      <c r="N365" s="7" t="s">
        <v>2640</v>
      </c>
      <c r="R365" s="7" t="s">
        <v>2641</v>
      </c>
    </row>
    <row r="366" spans="1:18">
      <c r="A366" s="1" t="s">
        <v>2642</v>
      </c>
      <c r="L366" s="7" t="s">
        <v>2643</v>
      </c>
      <c r="M366" s="7"/>
      <c r="N366" s="7" t="s">
        <v>2644</v>
      </c>
      <c r="R366" s="7" t="s">
        <v>2645</v>
      </c>
    </row>
    <row r="367" spans="1:18">
      <c r="A367" s="1" t="s">
        <v>2646</v>
      </c>
      <c r="L367" s="7" t="s">
        <v>2647</v>
      </c>
      <c r="M367" s="7"/>
      <c r="N367" s="7" t="s">
        <v>2648</v>
      </c>
      <c r="R367" s="7" t="s">
        <v>2649</v>
      </c>
    </row>
    <row r="368" spans="1:18">
      <c r="A368" s="1" t="s">
        <v>2650</v>
      </c>
      <c r="L368" s="7" t="s">
        <v>2651</v>
      </c>
      <c r="M368" s="7"/>
      <c r="N368" s="7" t="s">
        <v>2652</v>
      </c>
      <c r="R368" s="7" t="s">
        <v>2653</v>
      </c>
    </row>
    <row r="369" spans="1:18">
      <c r="A369" s="1" t="s">
        <v>2654</v>
      </c>
      <c r="L369" s="7" t="s">
        <v>2655</v>
      </c>
      <c r="M369" s="7"/>
      <c r="N369" s="7" t="s">
        <v>2656</v>
      </c>
      <c r="R369" s="7" t="s">
        <v>2657</v>
      </c>
    </row>
    <row r="370" spans="1:18">
      <c r="A370" s="1" t="s">
        <v>2658</v>
      </c>
      <c r="L370" s="7" t="s">
        <v>2659</v>
      </c>
      <c r="M370" s="7"/>
      <c r="N370" s="7" t="s">
        <v>2660</v>
      </c>
      <c r="R370" s="7" t="s">
        <v>2661</v>
      </c>
    </row>
    <row r="371" spans="1:18">
      <c r="A371" s="1" t="s">
        <v>2662</v>
      </c>
      <c r="L371" s="7" t="s">
        <v>2663</v>
      </c>
      <c r="M371" s="7"/>
      <c r="N371" s="7" t="s">
        <v>2664</v>
      </c>
      <c r="R371" s="7" t="s">
        <v>2665</v>
      </c>
    </row>
    <row r="372" spans="1:18">
      <c r="A372" s="1" t="s">
        <v>2666</v>
      </c>
      <c r="L372" s="7" t="s">
        <v>2667</v>
      </c>
      <c r="M372" s="7"/>
      <c r="N372" s="7" t="s">
        <v>2668</v>
      </c>
      <c r="R372" s="7" t="s">
        <v>2669</v>
      </c>
    </row>
    <row r="373" spans="1:18">
      <c r="A373" s="1" t="s">
        <v>2670</v>
      </c>
      <c r="L373" s="7" t="s">
        <v>2671</v>
      </c>
      <c r="M373" s="7"/>
      <c r="N373" s="7" t="s">
        <v>2672</v>
      </c>
      <c r="R373" s="7" t="s">
        <v>2673</v>
      </c>
    </row>
    <row r="374" spans="1:18">
      <c r="A374" s="1" t="s">
        <v>2674</v>
      </c>
      <c r="L374" s="7" t="s">
        <v>2675</v>
      </c>
      <c r="M374" s="7"/>
      <c r="N374" s="7" t="s">
        <v>2676</v>
      </c>
      <c r="R374" s="7" t="s">
        <v>2677</v>
      </c>
    </row>
    <row r="375" spans="1:18">
      <c r="A375" s="1" t="s">
        <v>2678</v>
      </c>
      <c r="L375" s="7" t="s">
        <v>2679</v>
      </c>
      <c r="M375" s="7"/>
      <c r="N375" s="7" t="s">
        <v>2680</v>
      </c>
      <c r="R375" s="7" t="s">
        <v>2681</v>
      </c>
    </row>
    <row r="376" spans="1:18">
      <c r="A376" s="1" t="s">
        <v>2682</v>
      </c>
      <c r="L376" s="7" t="s">
        <v>2683</v>
      </c>
      <c r="M376" s="7"/>
      <c r="N376" s="7" t="s">
        <v>2684</v>
      </c>
      <c r="R376" s="7" t="s">
        <v>2685</v>
      </c>
    </row>
    <row r="377" spans="1:18">
      <c r="A377" s="1" t="s">
        <v>2686</v>
      </c>
      <c r="L377" s="7" t="s">
        <v>2687</v>
      </c>
      <c r="M377" s="7"/>
      <c r="N377" s="7" t="s">
        <v>2688</v>
      </c>
      <c r="R377" s="7" t="s">
        <v>2689</v>
      </c>
    </row>
    <row r="378" spans="1:18">
      <c r="A378" s="1" t="s">
        <v>2690</v>
      </c>
      <c r="L378" s="7" t="s">
        <v>2691</v>
      </c>
      <c r="M378" s="7"/>
      <c r="N378" s="7" t="s">
        <v>2692</v>
      </c>
      <c r="R378" s="7" t="s">
        <v>2693</v>
      </c>
    </row>
    <row r="379" spans="1:18">
      <c r="A379" s="1" t="s">
        <v>2694</v>
      </c>
      <c r="L379" s="7" t="s">
        <v>2695</v>
      </c>
      <c r="M379" s="7"/>
      <c r="N379" s="7" t="s">
        <v>2696</v>
      </c>
      <c r="R379" s="7" t="s">
        <v>2697</v>
      </c>
    </row>
    <row r="380" spans="1:18">
      <c r="A380" s="1" t="s">
        <v>2698</v>
      </c>
      <c r="L380" s="7" t="s">
        <v>2699</v>
      </c>
      <c r="M380" s="7"/>
      <c r="N380" s="7" t="s">
        <v>2700</v>
      </c>
      <c r="R380" s="7" t="s">
        <v>2701</v>
      </c>
    </row>
    <row r="381" spans="1:18">
      <c r="A381" s="1" t="s">
        <v>2702</v>
      </c>
      <c r="L381" s="7" t="s">
        <v>2703</v>
      </c>
      <c r="M381" s="7"/>
      <c r="N381" s="7" t="s">
        <v>2704</v>
      </c>
      <c r="R381" s="7" t="s">
        <v>2705</v>
      </c>
    </row>
    <row r="382" spans="1:18">
      <c r="A382" s="1" t="s">
        <v>2706</v>
      </c>
      <c r="L382" s="7" t="s">
        <v>2707</v>
      </c>
      <c r="M382" s="7"/>
      <c r="N382" s="7" t="s">
        <v>2708</v>
      </c>
      <c r="R382" s="7" t="s">
        <v>2709</v>
      </c>
    </row>
    <row r="383" spans="1:18">
      <c r="A383" s="1" t="s">
        <v>2710</v>
      </c>
      <c r="L383" s="7" t="s">
        <v>2711</v>
      </c>
      <c r="M383" s="7"/>
      <c r="N383" s="7" t="s">
        <v>2712</v>
      </c>
      <c r="R383" s="7" t="s">
        <v>2713</v>
      </c>
    </row>
    <row r="384" spans="1:18">
      <c r="A384" s="1" t="s">
        <v>2714</v>
      </c>
      <c r="L384" s="7" t="s">
        <v>2715</v>
      </c>
      <c r="M384" s="7"/>
      <c r="N384" s="7" t="s">
        <v>2716</v>
      </c>
      <c r="R384" s="7" t="s">
        <v>2717</v>
      </c>
    </row>
    <row r="385" spans="1:18">
      <c r="A385" s="1" t="s">
        <v>2718</v>
      </c>
      <c r="L385" s="7" t="s">
        <v>2719</v>
      </c>
      <c r="M385" s="7"/>
      <c r="N385" s="7" t="s">
        <v>2720</v>
      </c>
      <c r="R385" s="7" t="s">
        <v>2721</v>
      </c>
    </row>
    <row r="386" spans="1:18">
      <c r="A386" s="1" t="s">
        <v>2722</v>
      </c>
      <c r="L386" s="7" t="s">
        <v>2723</v>
      </c>
      <c r="M386" s="7"/>
      <c r="N386" s="7" t="s">
        <v>2724</v>
      </c>
      <c r="R386" s="7" t="s">
        <v>2725</v>
      </c>
    </row>
    <row r="387" spans="1:18">
      <c r="A387" s="1" t="s">
        <v>2726</v>
      </c>
      <c r="L387" s="7" t="s">
        <v>2727</v>
      </c>
      <c r="M387" s="7"/>
      <c r="N387" s="7" t="s">
        <v>2728</v>
      </c>
      <c r="R387" s="7" t="s">
        <v>2729</v>
      </c>
    </row>
    <row r="388" spans="1:18">
      <c r="A388" s="1" t="s">
        <v>2730</v>
      </c>
      <c r="L388" s="7" t="s">
        <v>2731</v>
      </c>
      <c r="M388" s="7"/>
      <c r="N388" s="7" t="s">
        <v>2732</v>
      </c>
      <c r="R388" s="7" t="s">
        <v>2733</v>
      </c>
    </row>
    <row r="389" spans="1:18">
      <c r="A389" s="1" t="s">
        <v>2734</v>
      </c>
      <c r="L389" s="7" t="s">
        <v>2735</v>
      </c>
      <c r="M389" s="7"/>
      <c r="N389" s="7" t="s">
        <v>2736</v>
      </c>
      <c r="R389" s="7" t="s">
        <v>2737</v>
      </c>
    </row>
    <row r="390" spans="1:18">
      <c r="A390" s="1" t="s">
        <v>2738</v>
      </c>
      <c r="L390" s="7" t="s">
        <v>2739</v>
      </c>
      <c r="M390" s="7"/>
      <c r="N390" s="7" t="s">
        <v>2740</v>
      </c>
      <c r="R390" s="7" t="s">
        <v>2741</v>
      </c>
    </row>
    <row r="391" spans="1:18">
      <c r="A391" s="1" t="s">
        <v>2738</v>
      </c>
      <c r="L391" s="7" t="s">
        <v>2742</v>
      </c>
      <c r="M391" s="7"/>
      <c r="N391" s="7" t="s">
        <v>2743</v>
      </c>
      <c r="R391" s="7" t="s">
        <v>2744</v>
      </c>
    </row>
    <row r="392" spans="1:18">
      <c r="A392" s="1" t="s">
        <v>2745</v>
      </c>
      <c r="L392" s="7" t="s">
        <v>2746</v>
      </c>
      <c r="M392" s="7"/>
      <c r="N392" s="7" t="s">
        <v>2747</v>
      </c>
      <c r="R392" s="7" t="s">
        <v>2748</v>
      </c>
    </row>
    <row r="393" spans="1:18">
      <c r="A393" s="1" t="s">
        <v>2749</v>
      </c>
      <c r="L393" s="7" t="s">
        <v>2750</v>
      </c>
      <c r="M393" s="7"/>
      <c r="N393" s="7" t="s">
        <v>2751</v>
      </c>
      <c r="R393" s="7" t="s">
        <v>2752</v>
      </c>
    </row>
    <row r="394" spans="1:18">
      <c r="A394" s="1" t="s">
        <v>2753</v>
      </c>
      <c r="L394" s="7" t="s">
        <v>2754</v>
      </c>
      <c r="M394" s="7"/>
      <c r="N394" s="7" t="s">
        <v>2755</v>
      </c>
      <c r="R394" s="7" t="s">
        <v>2756</v>
      </c>
    </row>
    <row r="395" spans="1:18">
      <c r="A395" s="1" t="s">
        <v>2757</v>
      </c>
      <c r="L395" s="7" t="s">
        <v>2758</v>
      </c>
      <c r="M395" s="7"/>
      <c r="N395" s="7" t="s">
        <v>2759</v>
      </c>
      <c r="R395" s="7" t="s">
        <v>2760</v>
      </c>
    </row>
    <row r="396" spans="1:18">
      <c r="A396" s="1" t="s">
        <v>2761</v>
      </c>
      <c r="L396" s="7" t="s">
        <v>2762</v>
      </c>
      <c r="M396" s="7"/>
      <c r="N396" s="7" t="s">
        <v>2763</v>
      </c>
      <c r="R396" s="7" t="s">
        <v>2764</v>
      </c>
    </row>
    <row r="397" spans="1:18">
      <c r="A397" s="1" t="s">
        <v>2765</v>
      </c>
      <c r="L397" s="7" t="s">
        <v>2766</v>
      </c>
      <c r="M397" s="7"/>
      <c r="N397" s="7" t="s">
        <v>2767</v>
      </c>
      <c r="R397" s="7" t="s">
        <v>2768</v>
      </c>
    </row>
    <row r="398" spans="1:18">
      <c r="A398" s="1" t="s">
        <v>2769</v>
      </c>
      <c r="L398" s="7" t="s">
        <v>2770</v>
      </c>
      <c r="M398" s="7"/>
      <c r="N398" s="7" t="s">
        <v>2771</v>
      </c>
      <c r="R398" s="7" t="s">
        <v>2772</v>
      </c>
    </row>
    <row r="399" spans="1:18">
      <c r="A399" s="1" t="s">
        <v>2773</v>
      </c>
      <c r="L399" s="7" t="s">
        <v>2774</v>
      </c>
      <c r="M399" s="7"/>
      <c r="N399" s="7" t="s">
        <v>2775</v>
      </c>
      <c r="R399" s="7" t="s">
        <v>2776</v>
      </c>
    </row>
    <row r="400" spans="1:18">
      <c r="A400" s="1" t="s">
        <v>2777</v>
      </c>
      <c r="L400" s="7" t="s">
        <v>2778</v>
      </c>
      <c r="M400" s="7"/>
      <c r="N400" s="7" t="s">
        <v>2779</v>
      </c>
      <c r="R400" s="7" t="s">
        <v>2780</v>
      </c>
    </row>
    <row r="401" spans="1:18">
      <c r="A401" s="1" t="s">
        <v>2781</v>
      </c>
      <c r="L401" s="7" t="s">
        <v>2782</v>
      </c>
      <c r="M401" s="7"/>
      <c r="N401" s="7" t="s">
        <v>2783</v>
      </c>
      <c r="R401" s="7" t="s">
        <v>2784</v>
      </c>
    </row>
    <row r="402" spans="1:18">
      <c r="A402" s="1" t="s">
        <v>2785</v>
      </c>
      <c r="L402" s="7" t="s">
        <v>2786</v>
      </c>
      <c r="M402" s="7"/>
      <c r="N402" s="7" t="s">
        <v>2787</v>
      </c>
      <c r="R402" s="7" t="s">
        <v>2788</v>
      </c>
    </row>
    <row r="403" spans="1:18">
      <c r="A403" s="1" t="s">
        <v>2789</v>
      </c>
      <c r="L403" s="7" t="s">
        <v>2790</v>
      </c>
      <c r="M403" s="7"/>
      <c r="N403" s="7" t="s">
        <v>2791</v>
      </c>
      <c r="R403" s="7" t="s">
        <v>2792</v>
      </c>
    </row>
    <row r="404" spans="1:18">
      <c r="A404" s="1" t="s">
        <v>2793</v>
      </c>
      <c r="L404" s="7" t="s">
        <v>2794</v>
      </c>
      <c r="M404" s="7"/>
      <c r="N404" s="7" t="s">
        <v>2795</v>
      </c>
      <c r="R404" s="7" t="s">
        <v>2796</v>
      </c>
    </row>
    <row r="405" spans="1:18">
      <c r="A405" s="1" t="s">
        <v>2797</v>
      </c>
      <c r="L405" s="7" t="s">
        <v>2798</v>
      </c>
      <c r="M405" s="7"/>
      <c r="N405" s="7" t="s">
        <v>2799</v>
      </c>
      <c r="R405" s="7" t="s">
        <v>2800</v>
      </c>
    </row>
    <row r="406" spans="1:18">
      <c r="A406" s="1" t="s">
        <v>2801</v>
      </c>
      <c r="L406" s="7" t="s">
        <v>2802</v>
      </c>
      <c r="M406" s="7"/>
      <c r="N406" s="7" t="s">
        <v>2803</v>
      </c>
      <c r="R406" s="7" t="s">
        <v>2804</v>
      </c>
    </row>
    <row r="407" spans="1:18">
      <c r="A407" s="1" t="s">
        <v>2805</v>
      </c>
      <c r="L407" s="7" t="s">
        <v>2806</v>
      </c>
      <c r="M407" s="7"/>
      <c r="N407" s="7" t="s">
        <v>2807</v>
      </c>
      <c r="R407" s="7" t="s">
        <v>2808</v>
      </c>
    </row>
    <row r="408" spans="1:18">
      <c r="A408" s="1" t="s">
        <v>2809</v>
      </c>
      <c r="L408" s="7" t="s">
        <v>2810</v>
      </c>
      <c r="M408" s="7"/>
      <c r="N408" s="7" t="s">
        <v>2811</v>
      </c>
      <c r="R408" s="7" t="s">
        <v>2812</v>
      </c>
    </row>
    <row r="409" spans="1:18">
      <c r="A409" s="1" t="s">
        <v>2813</v>
      </c>
      <c r="L409" s="7" t="s">
        <v>2814</v>
      </c>
      <c r="M409" s="7"/>
      <c r="N409" s="7" t="s">
        <v>2815</v>
      </c>
      <c r="R409" s="7" t="s">
        <v>2816</v>
      </c>
    </row>
    <row r="410" spans="1:18">
      <c r="A410" s="1" t="s">
        <v>2817</v>
      </c>
      <c r="L410" s="7" t="s">
        <v>2818</v>
      </c>
      <c r="M410" s="7"/>
      <c r="N410" s="7" t="s">
        <v>2819</v>
      </c>
      <c r="R410" s="7" t="s">
        <v>2820</v>
      </c>
    </row>
    <row r="411" spans="1:18">
      <c r="A411" s="1" t="s">
        <v>2821</v>
      </c>
      <c r="L411" s="7" t="s">
        <v>2822</v>
      </c>
      <c r="M411" s="7"/>
      <c r="N411" s="7" t="s">
        <v>2823</v>
      </c>
      <c r="R411" s="7" t="s">
        <v>2824</v>
      </c>
    </row>
    <row r="412" spans="1:18">
      <c r="L412" s="7" t="s">
        <v>2825</v>
      </c>
      <c r="M412" s="7"/>
      <c r="N412" s="7" t="s">
        <v>2826</v>
      </c>
      <c r="R412" s="7" t="s">
        <v>2827</v>
      </c>
    </row>
    <row r="413" spans="1:18">
      <c r="L413" s="7" t="s">
        <v>2828</v>
      </c>
      <c r="M413" s="7"/>
      <c r="N413" s="7" t="s">
        <v>2829</v>
      </c>
      <c r="R413" s="7" t="s">
        <v>2830</v>
      </c>
    </row>
    <row r="414" spans="1:18">
      <c r="L414" s="7" t="s">
        <v>2831</v>
      </c>
      <c r="M414" s="7"/>
      <c r="N414" s="7" t="s">
        <v>2832</v>
      </c>
      <c r="R414" s="7" t="s">
        <v>2833</v>
      </c>
    </row>
    <row r="415" spans="1:18">
      <c r="L415" s="7" t="s">
        <v>2834</v>
      </c>
      <c r="M415" s="7"/>
      <c r="N415" s="7" t="s">
        <v>2835</v>
      </c>
      <c r="R415" s="7" t="s">
        <v>2836</v>
      </c>
    </row>
    <row r="416" spans="1:18">
      <c r="L416" s="7" t="s">
        <v>2837</v>
      </c>
      <c r="M416" s="7"/>
      <c r="N416" s="7" t="s">
        <v>2838</v>
      </c>
      <c r="R416" s="7" t="s">
        <v>2839</v>
      </c>
    </row>
    <row r="417" spans="12:18">
      <c r="L417" s="7" t="s">
        <v>2840</v>
      </c>
      <c r="M417" s="7"/>
      <c r="N417" s="7" t="s">
        <v>2841</v>
      </c>
      <c r="R417" s="7" t="s">
        <v>2842</v>
      </c>
    </row>
    <row r="418" spans="12:18">
      <c r="L418" s="7" t="s">
        <v>2843</v>
      </c>
      <c r="M418" s="7"/>
      <c r="N418" s="7" t="s">
        <v>2844</v>
      </c>
      <c r="R418" s="7" t="s">
        <v>2845</v>
      </c>
    </row>
    <row r="419" spans="12:18">
      <c r="L419" s="7" t="s">
        <v>2846</v>
      </c>
      <c r="M419" s="7"/>
      <c r="N419" s="7" t="s">
        <v>2847</v>
      </c>
      <c r="R419" s="7" t="s">
        <v>2848</v>
      </c>
    </row>
    <row r="420" spans="12:18">
      <c r="L420" s="7" t="s">
        <v>2849</v>
      </c>
      <c r="M420" s="7"/>
      <c r="N420" s="7" t="s">
        <v>2850</v>
      </c>
      <c r="R420" s="7" t="s">
        <v>2851</v>
      </c>
    </row>
    <row r="421" spans="12:18">
      <c r="L421" s="7" t="s">
        <v>2852</v>
      </c>
      <c r="M421" s="7"/>
      <c r="N421" s="7" t="s">
        <v>2853</v>
      </c>
      <c r="R421" s="7" t="s">
        <v>2854</v>
      </c>
    </row>
    <row r="422" spans="12:18">
      <c r="L422" s="7" t="s">
        <v>2855</v>
      </c>
      <c r="M422" s="7"/>
      <c r="N422" s="7" t="s">
        <v>2856</v>
      </c>
      <c r="R422" s="7" t="s">
        <v>2857</v>
      </c>
    </row>
    <row r="423" spans="12:18">
      <c r="L423" s="7" t="s">
        <v>2858</v>
      </c>
      <c r="M423" s="7"/>
      <c r="N423" s="7" t="s">
        <v>2859</v>
      </c>
      <c r="R423" s="7" t="s">
        <v>2860</v>
      </c>
    </row>
    <row r="424" spans="12:18">
      <c r="L424" s="7" t="s">
        <v>2861</v>
      </c>
      <c r="M424" s="7"/>
      <c r="N424" s="7" t="s">
        <v>2862</v>
      </c>
      <c r="R424" s="7" t="s">
        <v>2863</v>
      </c>
    </row>
    <row r="425" spans="12:18">
      <c r="L425" s="7" t="s">
        <v>2864</v>
      </c>
      <c r="M425" s="7"/>
      <c r="N425" s="7" t="s">
        <v>2865</v>
      </c>
      <c r="R425" s="7" t="s">
        <v>2866</v>
      </c>
    </row>
    <row r="426" spans="12:18">
      <c r="L426" s="7" t="s">
        <v>2867</v>
      </c>
      <c r="M426" s="7"/>
      <c r="N426" s="7" t="s">
        <v>2868</v>
      </c>
      <c r="R426" s="7" t="s">
        <v>2869</v>
      </c>
    </row>
    <row r="427" spans="12:18">
      <c r="L427" s="7" t="s">
        <v>2870</v>
      </c>
      <c r="M427" s="7"/>
      <c r="N427" s="7" t="s">
        <v>2871</v>
      </c>
      <c r="R427" s="7" t="s">
        <v>2872</v>
      </c>
    </row>
    <row r="428" spans="12:18">
      <c r="L428" s="7" t="s">
        <v>2873</v>
      </c>
      <c r="M428" s="7"/>
      <c r="N428" s="7" t="s">
        <v>2874</v>
      </c>
      <c r="R428" s="7" t="s">
        <v>2875</v>
      </c>
    </row>
    <row r="429" spans="12:18">
      <c r="L429" s="7" t="s">
        <v>2876</v>
      </c>
      <c r="M429" s="7"/>
      <c r="N429" s="7" t="s">
        <v>2877</v>
      </c>
      <c r="R429" s="7" t="s">
        <v>2878</v>
      </c>
    </row>
    <row r="430" spans="12:18">
      <c r="L430" s="7" t="s">
        <v>2879</v>
      </c>
      <c r="M430" s="7"/>
      <c r="N430" s="7" t="s">
        <v>2880</v>
      </c>
      <c r="R430" s="7" t="s">
        <v>2881</v>
      </c>
    </row>
    <row r="431" spans="12:18">
      <c r="L431" s="7" t="s">
        <v>2882</v>
      </c>
      <c r="M431" s="7"/>
      <c r="N431" s="7" t="s">
        <v>2883</v>
      </c>
      <c r="R431" s="7" t="s">
        <v>2884</v>
      </c>
    </row>
    <row r="432" spans="12:18">
      <c r="L432" s="7" t="s">
        <v>2885</v>
      </c>
      <c r="M432" s="7"/>
      <c r="N432" s="7" t="s">
        <v>2886</v>
      </c>
      <c r="R432" s="7" t="s">
        <v>2887</v>
      </c>
    </row>
    <row r="433" spans="12:18">
      <c r="L433" s="7" t="s">
        <v>2888</v>
      </c>
      <c r="M433" s="7"/>
      <c r="N433" s="7" t="s">
        <v>2889</v>
      </c>
      <c r="R433" s="7" t="s">
        <v>2890</v>
      </c>
    </row>
    <row r="434" spans="12:18">
      <c r="L434" s="7" t="s">
        <v>2891</v>
      </c>
      <c r="M434" s="7"/>
      <c r="N434" s="7" t="s">
        <v>2892</v>
      </c>
      <c r="R434" s="7" t="s">
        <v>2893</v>
      </c>
    </row>
    <row r="435" spans="12:18">
      <c r="L435" s="7" t="s">
        <v>2894</v>
      </c>
      <c r="M435" s="7"/>
      <c r="N435" s="7" t="s">
        <v>2895</v>
      </c>
      <c r="R435" s="7" t="s">
        <v>2896</v>
      </c>
    </row>
    <row r="436" spans="12:18">
      <c r="L436" s="7" t="s">
        <v>2897</v>
      </c>
      <c r="M436" s="7"/>
      <c r="N436" s="7" t="s">
        <v>2898</v>
      </c>
      <c r="R436" s="7" t="s">
        <v>2899</v>
      </c>
    </row>
    <row r="437" spans="12:18">
      <c r="L437" s="7" t="s">
        <v>2900</v>
      </c>
      <c r="M437" s="7"/>
      <c r="N437" s="7" t="s">
        <v>2901</v>
      </c>
      <c r="R437" s="7" t="s">
        <v>2902</v>
      </c>
    </row>
    <row r="438" spans="12:18">
      <c r="L438" s="7" t="s">
        <v>2903</v>
      </c>
      <c r="M438" s="7"/>
      <c r="N438" s="7" t="s">
        <v>2904</v>
      </c>
      <c r="R438" s="7" t="s">
        <v>2905</v>
      </c>
    </row>
    <row r="439" spans="12:18">
      <c r="L439" s="7" t="s">
        <v>2906</v>
      </c>
      <c r="M439" s="7"/>
      <c r="N439" s="7" t="s">
        <v>2907</v>
      </c>
      <c r="R439" s="7" t="s">
        <v>2908</v>
      </c>
    </row>
    <row r="440" spans="12:18">
      <c r="L440" s="7" t="s">
        <v>2909</v>
      </c>
      <c r="M440" s="7"/>
      <c r="N440" s="7" t="s">
        <v>2910</v>
      </c>
      <c r="R440" s="7" t="s">
        <v>2911</v>
      </c>
    </row>
    <row r="441" spans="12:18">
      <c r="L441" s="7" t="s">
        <v>2912</v>
      </c>
      <c r="M441" s="7"/>
      <c r="N441" s="7" t="s">
        <v>2913</v>
      </c>
      <c r="R441" s="7" t="s">
        <v>2914</v>
      </c>
    </row>
    <row r="442" spans="12:18">
      <c r="L442" s="7" t="s">
        <v>2915</v>
      </c>
      <c r="M442" s="7"/>
      <c r="N442" s="7" t="s">
        <v>2916</v>
      </c>
      <c r="R442" s="7" t="s">
        <v>2917</v>
      </c>
    </row>
    <row r="443" spans="12:18">
      <c r="L443" s="7" t="s">
        <v>2918</v>
      </c>
      <c r="M443" s="7"/>
      <c r="N443" s="7" t="s">
        <v>2919</v>
      </c>
      <c r="R443" s="7" t="s">
        <v>2920</v>
      </c>
    </row>
    <row r="444" spans="12:18">
      <c r="L444" s="7" t="s">
        <v>2921</v>
      </c>
      <c r="M444" s="7"/>
      <c r="N444" s="7" t="s">
        <v>2922</v>
      </c>
      <c r="R444" s="7" t="s">
        <v>2923</v>
      </c>
    </row>
    <row r="445" spans="12:18">
      <c r="L445" s="7" t="s">
        <v>2924</v>
      </c>
      <c r="M445" s="7"/>
      <c r="N445" s="7" t="s">
        <v>2925</v>
      </c>
      <c r="R445" s="7" t="s">
        <v>2926</v>
      </c>
    </row>
    <row r="446" spans="12:18">
      <c r="L446" s="7" t="s">
        <v>2927</v>
      </c>
      <c r="M446" s="7"/>
      <c r="N446" s="7" t="s">
        <v>2928</v>
      </c>
      <c r="R446" s="7" t="s">
        <v>2929</v>
      </c>
    </row>
    <row r="447" spans="12:18">
      <c r="L447" s="7" t="s">
        <v>2930</v>
      </c>
      <c r="M447" s="7"/>
      <c r="N447" s="7" t="s">
        <v>2931</v>
      </c>
      <c r="R447" s="7" t="s">
        <v>2932</v>
      </c>
    </row>
    <row r="448" spans="12:18">
      <c r="L448" s="7" t="s">
        <v>2933</v>
      </c>
      <c r="M448" s="7"/>
      <c r="N448" s="7" t="s">
        <v>2934</v>
      </c>
      <c r="R448" s="7" t="s">
        <v>2935</v>
      </c>
    </row>
    <row r="449" spans="12:18">
      <c r="L449" s="7" t="s">
        <v>2936</v>
      </c>
      <c r="M449" s="7"/>
      <c r="N449" s="7" t="s">
        <v>2937</v>
      </c>
      <c r="R449" s="7" t="s">
        <v>2938</v>
      </c>
    </row>
    <row r="450" spans="12:18">
      <c r="L450" s="7" t="s">
        <v>2939</v>
      </c>
      <c r="M450" s="7"/>
      <c r="N450" s="7" t="s">
        <v>2940</v>
      </c>
      <c r="R450" s="7" t="s">
        <v>2941</v>
      </c>
    </row>
    <row r="451" spans="12:18">
      <c r="L451" s="7" t="s">
        <v>2942</v>
      </c>
      <c r="M451" s="7"/>
      <c r="N451" s="7" t="s">
        <v>2943</v>
      </c>
      <c r="R451" s="7" t="s">
        <v>2944</v>
      </c>
    </row>
    <row r="452" spans="12:18">
      <c r="L452" s="7" t="s">
        <v>2945</v>
      </c>
      <c r="M452" s="7"/>
      <c r="N452" s="7" t="s">
        <v>2946</v>
      </c>
      <c r="R452" s="7" t="s">
        <v>2947</v>
      </c>
    </row>
    <row r="453" spans="12:18">
      <c r="L453" s="7" t="s">
        <v>2948</v>
      </c>
      <c r="M453" s="7"/>
      <c r="N453" s="7" t="s">
        <v>2949</v>
      </c>
      <c r="R453" s="7" t="s">
        <v>2950</v>
      </c>
    </row>
    <row r="454" spans="12:18">
      <c r="L454" s="7" t="s">
        <v>2951</v>
      </c>
      <c r="M454" s="7"/>
      <c r="N454" s="7" t="s">
        <v>2952</v>
      </c>
      <c r="R454" s="7" t="s">
        <v>2953</v>
      </c>
    </row>
    <row r="455" spans="12:18">
      <c r="L455" s="7" t="s">
        <v>2954</v>
      </c>
      <c r="M455" s="7"/>
      <c r="N455" s="7" t="s">
        <v>2955</v>
      </c>
      <c r="R455" s="7" t="s">
        <v>2956</v>
      </c>
    </row>
    <row r="456" spans="12:18">
      <c r="L456" s="7" t="s">
        <v>2957</v>
      </c>
      <c r="M456" s="7"/>
      <c r="N456" s="7" t="s">
        <v>2958</v>
      </c>
      <c r="R456" s="7" t="s">
        <v>2959</v>
      </c>
    </row>
    <row r="457" spans="12:18">
      <c r="L457" s="7" t="s">
        <v>2960</v>
      </c>
      <c r="M457" s="7"/>
      <c r="N457" s="7" t="s">
        <v>2961</v>
      </c>
      <c r="R457" s="7" t="s">
        <v>2962</v>
      </c>
    </row>
    <row r="458" spans="12:18">
      <c r="L458" s="7" t="s">
        <v>2963</v>
      </c>
      <c r="M458" s="7"/>
      <c r="N458" s="7" t="s">
        <v>2964</v>
      </c>
      <c r="R458" s="7" t="s">
        <v>2965</v>
      </c>
    </row>
    <row r="459" spans="12:18">
      <c r="L459" s="7" t="s">
        <v>2966</v>
      </c>
      <c r="M459" s="7"/>
      <c r="N459" s="7" t="s">
        <v>2967</v>
      </c>
      <c r="R459" s="7" t="s">
        <v>2968</v>
      </c>
    </row>
    <row r="460" spans="12:18">
      <c r="L460" s="7" t="s">
        <v>2969</v>
      </c>
      <c r="M460" s="7"/>
      <c r="N460" s="7" t="s">
        <v>2970</v>
      </c>
      <c r="R460" s="7" t="s">
        <v>2971</v>
      </c>
    </row>
    <row r="461" spans="12:18">
      <c r="L461" s="7" t="s">
        <v>2972</v>
      </c>
      <c r="M461" s="7"/>
      <c r="N461" s="7" t="s">
        <v>2973</v>
      </c>
      <c r="R461" s="7" t="s">
        <v>2974</v>
      </c>
    </row>
    <row r="462" spans="12:18">
      <c r="L462" s="7" t="s">
        <v>2975</v>
      </c>
      <c r="M462" s="7"/>
      <c r="N462" s="7" t="s">
        <v>2976</v>
      </c>
      <c r="R462" s="7" t="s">
        <v>2977</v>
      </c>
    </row>
    <row r="463" spans="12:18">
      <c r="L463" s="7" t="s">
        <v>2978</v>
      </c>
      <c r="M463" s="7"/>
      <c r="N463" s="7" t="s">
        <v>2979</v>
      </c>
      <c r="R463" s="7" t="s">
        <v>2980</v>
      </c>
    </row>
    <row r="464" spans="12:18">
      <c r="L464" s="7" t="s">
        <v>2981</v>
      </c>
      <c r="M464" s="7"/>
      <c r="N464" s="7" t="s">
        <v>2982</v>
      </c>
      <c r="R464" s="7" t="s">
        <v>2983</v>
      </c>
    </row>
    <row r="465" spans="12:18">
      <c r="L465" s="7" t="s">
        <v>2984</v>
      </c>
      <c r="M465" s="7"/>
      <c r="N465" s="7" t="s">
        <v>2985</v>
      </c>
      <c r="R465" s="7" t="s">
        <v>2986</v>
      </c>
    </row>
    <row r="466" spans="12:18">
      <c r="L466" s="7" t="s">
        <v>2987</v>
      </c>
      <c r="M466" s="7"/>
      <c r="N466" s="7" t="s">
        <v>2988</v>
      </c>
      <c r="R466" s="7" t="s">
        <v>2989</v>
      </c>
    </row>
    <row r="467" spans="12:18">
      <c r="L467" s="7" t="s">
        <v>2990</v>
      </c>
      <c r="M467" s="7"/>
      <c r="N467" s="7" t="s">
        <v>2991</v>
      </c>
      <c r="R467" s="7" t="s">
        <v>2992</v>
      </c>
    </row>
    <row r="468" spans="12:18">
      <c r="L468" s="7" t="s">
        <v>2993</v>
      </c>
      <c r="M468" s="7"/>
      <c r="N468" s="7" t="s">
        <v>2994</v>
      </c>
      <c r="R468" s="7" t="s">
        <v>2995</v>
      </c>
    </row>
    <row r="469" spans="12:18">
      <c r="L469" s="7" t="s">
        <v>2996</v>
      </c>
      <c r="M469" s="7"/>
      <c r="N469" s="7" t="s">
        <v>2997</v>
      </c>
      <c r="R469" s="7" t="s">
        <v>2998</v>
      </c>
    </row>
    <row r="470" spans="12:18">
      <c r="L470" s="7" t="s">
        <v>2999</v>
      </c>
      <c r="M470" s="7"/>
      <c r="N470" s="7" t="s">
        <v>3000</v>
      </c>
      <c r="R470" s="7" t="s">
        <v>3001</v>
      </c>
    </row>
    <row r="471" spans="12:18">
      <c r="L471" s="7" t="s">
        <v>3002</v>
      </c>
      <c r="M471" s="7"/>
      <c r="N471" s="7" t="s">
        <v>3003</v>
      </c>
      <c r="R471" s="7" t="s">
        <v>3004</v>
      </c>
    </row>
    <row r="472" spans="12:18">
      <c r="L472" s="7" t="s">
        <v>3005</v>
      </c>
      <c r="M472" s="7"/>
      <c r="N472" s="7" t="s">
        <v>3006</v>
      </c>
      <c r="R472" s="7" t="s">
        <v>3007</v>
      </c>
    </row>
    <row r="473" spans="12:18">
      <c r="L473" s="7" t="s">
        <v>3008</v>
      </c>
      <c r="M473" s="7"/>
      <c r="N473" s="7" t="s">
        <v>3009</v>
      </c>
      <c r="R473" s="7" t="s">
        <v>3010</v>
      </c>
    </row>
    <row r="474" spans="12:18">
      <c r="L474" s="7" t="s">
        <v>3011</v>
      </c>
      <c r="M474" s="7"/>
      <c r="N474" s="7" t="s">
        <v>3012</v>
      </c>
      <c r="R474" s="7" t="s">
        <v>3013</v>
      </c>
    </row>
    <row r="475" spans="12:18">
      <c r="L475" s="7" t="s">
        <v>3014</v>
      </c>
      <c r="M475" s="7"/>
      <c r="N475" s="7" t="s">
        <v>3015</v>
      </c>
      <c r="R475" s="7" t="s">
        <v>3016</v>
      </c>
    </row>
    <row r="476" spans="12:18">
      <c r="L476" s="7" t="s">
        <v>3017</v>
      </c>
      <c r="M476" s="7"/>
      <c r="N476" s="7" t="s">
        <v>3018</v>
      </c>
      <c r="R476" s="7" t="s">
        <v>3019</v>
      </c>
    </row>
    <row r="477" spans="12:18">
      <c r="L477" s="7" t="s">
        <v>3020</v>
      </c>
      <c r="M477" s="7"/>
      <c r="N477" s="7" t="s">
        <v>3021</v>
      </c>
      <c r="R477" s="7" t="s">
        <v>3022</v>
      </c>
    </row>
    <row r="478" spans="12:18">
      <c r="L478" s="7" t="s">
        <v>3023</v>
      </c>
      <c r="M478" s="7"/>
      <c r="N478" s="7" t="s">
        <v>3024</v>
      </c>
      <c r="R478" s="7" t="s">
        <v>3025</v>
      </c>
    </row>
    <row r="479" spans="12:18">
      <c r="L479" s="7" t="s">
        <v>3026</v>
      </c>
      <c r="M479" s="7"/>
      <c r="N479" s="7" t="s">
        <v>3027</v>
      </c>
      <c r="R479" s="7" t="s">
        <v>3028</v>
      </c>
    </row>
    <row r="480" spans="12:18">
      <c r="L480" s="7" t="s">
        <v>3029</v>
      </c>
      <c r="M480" s="7"/>
      <c r="N480" s="7" t="s">
        <v>1099</v>
      </c>
      <c r="R480" s="7" t="s">
        <v>3030</v>
      </c>
    </row>
    <row r="481" spans="12:18">
      <c r="L481" s="7" t="s">
        <v>3031</v>
      </c>
      <c r="M481" s="7"/>
      <c r="R481" s="7" t="s">
        <v>3032</v>
      </c>
    </row>
    <row r="482" spans="12:18">
      <c r="L482" s="7" t="s">
        <v>3033</v>
      </c>
      <c r="M482" s="7"/>
      <c r="R482" s="7" t="s">
        <v>3034</v>
      </c>
    </row>
    <row r="483" spans="12:18">
      <c r="L483" s="7" t="s">
        <v>3035</v>
      </c>
      <c r="M483" s="7"/>
      <c r="R483" s="7" t="s">
        <v>3036</v>
      </c>
    </row>
    <row r="484" spans="12:18">
      <c r="L484" s="7" t="s">
        <v>3037</v>
      </c>
      <c r="M484" s="7"/>
      <c r="R484" s="7" t="s">
        <v>3038</v>
      </c>
    </row>
    <row r="485" spans="12:18">
      <c r="L485" s="7" t="s">
        <v>3039</v>
      </c>
      <c r="M485" s="7"/>
      <c r="R485" s="7" t="s">
        <v>3040</v>
      </c>
    </row>
    <row r="486" spans="12:18">
      <c r="L486" s="7" t="s">
        <v>3041</v>
      </c>
      <c r="M486" s="7"/>
      <c r="R486" s="7" t="s">
        <v>3042</v>
      </c>
    </row>
    <row r="487" spans="12:18">
      <c r="L487" s="7" t="s">
        <v>3043</v>
      </c>
      <c r="M487" s="7"/>
      <c r="R487" s="7" t="s">
        <v>3044</v>
      </c>
    </row>
    <row r="488" spans="12:18">
      <c r="L488" s="7" t="s">
        <v>3045</v>
      </c>
      <c r="M488" s="7"/>
      <c r="R488" s="7" t="s">
        <v>3046</v>
      </c>
    </row>
    <row r="489" spans="12:18">
      <c r="L489" s="7" t="s">
        <v>3047</v>
      </c>
      <c r="M489" s="7"/>
      <c r="R489" s="7" t="s">
        <v>3048</v>
      </c>
    </row>
    <row r="490" spans="12:18">
      <c r="L490" s="7" t="s">
        <v>3049</v>
      </c>
      <c r="M490" s="7"/>
      <c r="R490" s="7" t="s">
        <v>3050</v>
      </c>
    </row>
    <row r="491" spans="12:18">
      <c r="L491" s="7" t="s">
        <v>3051</v>
      </c>
      <c r="M491" s="7"/>
      <c r="R491" s="7" t="s">
        <v>3052</v>
      </c>
    </row>
    <row r="492" spans="12:18">
      <c r="L492" s="7" t="s">
        <v>3053</v>
      </c>
      <c r="M492" s="7"/>
      <c r="R492" s="7" t="s">
        <v>3054</v>
      </c>
    </row>
    <row r="493" spans="12:18">
      <c r="L493" s="7" t="s">
        <v>3055</v>
      </c>
      <c r="M493" s="7"/>
      <c r="R493" s="7" t="s">
        <v>3056</v>
      </c>
    </row>
    <row r="494" spans="12:18">
      <c r="L494" s="7" t="s">
        <v>3057</v>
      </c>
      <c r="M494" s="7"/>
      <c r="R494" s="7" t="s">
        <v>3058</v>
      </c>
    </row>
    <row r="495" spans="12:18">
      <c r="L495" s="7" t="s">
        <v>3059</v>
      </c>
      <c r="M495" s="7"/>
      <c r="R495" s="7" t="s">
        <v>3060</v>
      </c>
    </row>
    <row r="496" spans="12:18">
      <c r="L496" s="7" t="s">
        <v>3061</v>
      </c>
      <c r="M496" s="7"/>
      <c r="R496" s="7" t="s">
        <v>3062</v>
      </c>
    </row>
    <row r="497" spans="12:18">
      <c r="L497" s="7" t="s">
        <v>3063</v>
      </c>
      <c r="M497" s="7"/>
      <c r="R497" s="7" t="s">
        <v>3064</v>
      </c>
    </row>
    <row r="498" spans="12:18">
      <c r="L498" s="7" t="s">
        <v>3065</v>
      </c>
      <c r="M498" s="7"/>
      <c r="R498" s="7" t="s">
        <v>3066</v>
      </c>
    </row>
    <row r="499" spans="12:18">
      <c r="L499" s="7" t="s">
        <v>3067</v>
      </c>
      <c r="M499" s="7"/>
      <c r="R499" s="7" t="s">
        <v>3068</v>
      </c>
    </row>
    <row r="500" spans="12:18">
      <c r="L500" s="7" t="s">
        <v>3069</v>
      </c>
      <c r="M500" s="7"/>
      <c r="R500" s="7" t="s">
        <v>3070</v>
      </c>
    </row>
    <row r="501" spans="12:18">
      <c r="L501" s="7" t="s">
        <v>3071</v>
      </c>
      <c r="M501" s="7"/>
      <c r="R501" s="7" t="s">
        <v>3072</v>
      </c>
    </row>
    <row r="502" spans="12:18">
      <c r="L502" s="7" t="s">
        <v>3073</v>
      </c>
      <c r="M502" s="7"/>
      <c r="R502" s="7" t="s">
        <v>3074</v>
      </c>
    </row>
    <row r="503" spans="12:18">
      <c r="L503" s="7" t="s">
        <v>3075</v>
      </c>
      <c r="M503" s="7"/>
      <c r="R503" s="7" t="s">
        <v>3076</v>
      </c>
    </row>
    <row r="504" spans="12:18">
      <c r="L504" s="7" t="s">
        <v>3077</v>
      </c>
      <c r="M504" s="7"/>
      <c r="R504" s="7" t="s">
        <v>3078</v>
      </c>
    </row>
    <row r="505" spans="12:18">
      <c r="L505" s="7" t="s">
        <v>3079</v>
      </c>
      <c r="M505" s="7"/>
      <c r="R505" s="7" t="s">
        <v>3080</v>
      </c>
    </row>
    <row r="506" spans="12:18">
      <c r="L506" s="7" t="s">
        <v>3081</v>
      </c>
      <c r="M506" s="7"/>
      <c r="R506" s="7" t="s">
        <v>3082</v>
      </c>
    </row>
    <row r="507" spans="12:18">
      <c r="L507" s="7" t="s">
        <v>3083</v>
      </c>
      <c r="M507" s="7"/>
      <c r="R507" s="7" t="s">
        <v>3084</v>
      </c>
    </row>
    <row r="508" spans="12:18">
      <c r="L508" s="7" t="s">
        <v>3085</v>
      </c>
      <c r="M508" s="7"/>
      <c r="R508" s="7" t="s">
        <v>3086</v>
      </c>
    </row>
    <row r="509" spans="12:18">
      <c r="L509" s="7" t="s">
        <v>3087</v>
      </c>
      <c r="M509" s="7"/>
      <c r="R509" s="7" t="s">
        <v>3088</v>
      </c>
    </row>
    <row r="510" spans="12:18">
      <c r="L510" s="7" t="s">
        <v>3089</v>
      </c>
      <c r="M510" s="7"/>
      <c r="R510" s="7" t="s">
        <v>3090</v>
      </c>
    </row>
    <row r="511" spans="12:18">
      <c r="L511" s="7" t="s">
        <v>3091</v>
      </c>
      <c r="M511" s="7"/>
      <c r="R511" s="7" t="s">
        <v>3092</v>
      </c>
    </row>
    <row r="512" spans="12:18">
      <c r="L512" s="7" t="s">
        <v>3093</v>
      </c>
      <c r="M512" s="7"/>
      <c r="R512" s="7" t="s">
        <v>3094</v>
      </c>
    </row>
    <row r="513" spans="12:18">
      <c r="L513" s="7" t="s">
        <v>3095</v>
      </c>
      <c r="M513" s="7"/>
      <c r="R513" s="7" t="s">
        <v>3096</v>
      </c>
    </row>
    <row r="514" spans="12:18">
      <c r="L514" s="7" t="s">
        <v>3097</v>
      </c>
      <c r="M514" s="7"/>
      <c r="R514" s="7" t="s">
        <v>3098</v>
      </c>
    </row>
    <row r="515" spans="12:18">
      <c r="L515" s="7" t="s">
        <v>3099</v>
      </c>
      <c r="M515" s="7"/>
      <c r="R515" s="7" t="s">
        <v>3100</v>
      </c>
    </row>
    <row r="516" spans="12:18">
      <c r="L516" s="7" t="s">
        <v>3101</v>
      </c>
      <c r="M516" s="7"/>
      <c r="R516" s="7" t="s">
        <v>3102</v>
      </c>
    </row>
    <row r="517" spans="12:18">
      <c r="L517" s="7" t="s">
        <v>3103</v>
      </c>
      <c r="M517" s="7"/>
      <c r="R517" s="7" t="s">
        <v>3104</v>
      </c>
    </row>
    <row r="518" spans="12:18">
      <c r="L518" s="7" t="s">
        <v>3105</v>
      </c>
      <c r="M518" s="7"/>
      <c r="R518" s="7" t="s">
        <v>3106</v>
      </c>
    </row>
    <row r="519" spans="12:18">
      <c r="L519" s="7" t="s">
        <v>3107</v>
      </c>
      <c r="M519" s="7"/>
      <c r="R519" s="7" t="s">
        <v>3108</v>
      </c>
    </row>
    <row r="520" spans="12:18">
      <c r="L520" s="7" t="s">
        <v>3109</v>
      </c>
      <c r="M520" s="7"/>
      <c r="R520" s="7" t="s">
        <v>3110</v>
      </c>
    </row>
    <row r="521" spans="12:18">
      <c r="L521" s="7" t="s">
        <v>3111</v>
      </c>
      <c r="M521" s="7"/>
      <c r="R521" s="7" t="s">
        <v>3112</v>
      </c>
    </row>
    <row r="522" spans="12:18">
      <c r="L522" s="7" t="s">
        <v>3113</v>
      </c>
      <c r="M522" s="7"/>
      <c r="R522" s="7" t="s">
        <v>3114</v>
      </c>
    </row>
    <row r="523" spans="12:18">
      <c r="L523" s="7" t="s">
        <v>3115</v>
      </c>
      <c r="M523" s="7"/>
      <c r="R523" s="7" t="s">
        <v>3116</v>
      </c>
    </row>
    <row r="524" spans="12:18">
      <c r="L524" s="7" t="s">
        <v>3117</v>
      </c>
      <c r="M524" s="7"/>
      <c r="R524" s="7" t="s">
        <v>3118</v>
      </c>
    </row>
    <row r="525" spans="12:18">
      <c r="L525" s="7" t="s">
        <v>3119</v>
      </c>
      <c r="M525" s="7"/>
      <c r="R525" s="7" t="s">
        <v>3120</v>
      </c>
    </row>
    <row r="526" spans="12:18">
      <c r="L526" s="7" t="s">
        <v>3121</v>
      </c>
      <c r="M526" s="7"/>
      <c r="R526" s="7" t="s">
        <v>3122</v>
      </c>
    </row>
    <row r="527" spans="12:18">
      <c r="L527" s="7" t="s">
        <v>3123</v>
      </c>
      <c r="M527" s="7"/>
      <c r="R527" s="7" t="s">
        <v>3124</v>
      </c>
    </row>
    <row r="528" spans="12:18">
      <c r="L528" s="7" t="s">
        <v>3125</v>
      </c>
      <c r="M528" s="7"/>
      <c r="R528" s="7" t="s">
        <v>3126</v>
      </c>
    </row>
    <row r="529" spans="12:18">
      <c r="L529" s="7" t="s">
        <v>3127</v>
      </c>
      <c r="M529" s="7"/>
      <c r="R529" s="7" t="s">
        <v>3128</v>
      </c>
    </row>
    <row r="530" spans="12:18">
      <c r="L530" s="7" t="s">
        <v>3129</v>
      </c>
      <c r="M530" s="7"/>
      <c r="R530" s="7" t="s">
        <v>3130</v>
      </c>
    </row>
    <row r="531" spans="12:18">
      <c r="L531" s="7" t="s">
        <v>3131</v>
      </c>
      <c r="M531" s="7"/>
      <c r="R531" s="7" t="s">
        <v>3132</v>
      </c>
    </row>
    <row r="532" spans="12:18">
      <c r="L532" s="7" t="s">
        <v>3133</v>
      </c>
      <c r="M532" s="7"/>
      <c r="R532" s="7" t="s">
        <v>3134</v>
      </c>
    </row>
    <row r="533" spans="12:18">
      <c r="L533" s="7" t="s">
        <v>3135</v>
      </c>
      <c r="M533" s="7"/>
      <c r="R533" s="7" t="s">
        <v>3136</v>
      </c>
    </row>
    <row r="534" spans="12:18">
      <c r="L534" s="7" t="s">
        <v>3137</v>
      </c>
      <c r="M534" s="7"/>
      <c r="R534" s="7" t="s">
        <v>3138</v>
      </c>
    </row>
    <row r="535" spans="12:18">
      <c r="L535" s="7" t="s">
        <v>3139</v>
      </c>
      <c r="M535" s="7"/>
      <c r="R535" s="7" t="s">
        <v>3140</v>
      </c>
    </row>
    <row r="536" spans="12:18">
      <c r="L536" s="7" t="s">
        <v>3141</v>
      </c>
      <c r="M536" s="7"/>
      <c r="R536" s="7" t="s">
        <v>3142</v>
      </c>
    </row>
    <row r="537" spans="12:18">
      <c r="L537" s="7" t="s">
        <v>3143</v>
      </c>
      <c r="M537" s="7"/>
      <c r="R537" s="7" t="s">
        <v>3144</v>
      </c>
    </row>
    <row r="538" spans="12:18">
      <c r="L538" s="7" t="s">
        <v>3145</v>
      </c>
      <c r="M538" s="7"/>
      <c r="R538" s="7" t="s">
        <v>3146</v>
      </c>
    </row>
    <row r="539" spans="12:18">
      <c r="L539" s="7" t="s">
        <v>3147</v>
      </c>
      <c r="M539" s="7"/>
      <c r="R539" s="7" t="s">
        <v>3148</v>
      </c>
    </row>
    <row r="540" spans="12:18">
      <c r="L540" s="7" t="s">
        <v>3149</v>
      </c>
      <c r="M540" s="7"/>
      <c r="R540" s="7" t="s">
        <v>3150</v>
      </c>
    </row>
    <row r="541" spans="12:18">
      <c r="L541" s="7" t="s">
        <v>3151</v>
      </c>
      <c r="M541" s="7"/>
      <c r="R541" s="7" t="s">
        <v>3152</v>
      </c>
    </row>
    <row r="542" spans="12:18">
      <c r="L542" s="7" t="s">
        <v>3153</v>
      </c>
      <c r="M542" s="7"/>
      <c r="R542" s="7" t="s">
        <v>3154</v>
      </c>
    </row>
    <row r="543" spans="12:18">
      <c r="L543" s="7" t="s">
        <v>3155</v>
      </c>
      <c r="M543" s="7"/>
      <c r="R543" s="7" t="s">
        <v>3156</v>
      </c>
    </row>
    <row r="544" spans="12:18">
      <c r="L544" s="7" t="s">
        <v>3157</v>
      </c>
      <c r="M544" s="7"/>
      <c r="R544" s="7" t="s">
        <v>3158</v>
      </c>
    </row>
    <row r="545" spans="12:18">
      <c r="L545" s="7" t="s">
        <v>3159</v>
      </c>
      <c r="M545" s="7"/>
      <c r="R545" s="7" t="s">
        <v>3160</v>
      </c>
    </row>
    <row r="546" spans="12:18">
      <c r="L546" s="7" t="s">
        <v>3161</v>
      </c>
      <c r="M546" s="7"/>
      <c r="R546" s="7" t="s">
        <v>3162</v>
      </c>
    </row>
    <row r="547" spans="12:18">
      <c r="L547" s="7" t="s">
        <v>3163</v>
      </c>
      <c r="M547" s="7"/>
      <c r="R547" s="7" t="s">
        <v>3164</v>
      </c>
    </row>
    <row r="548" spans="12:18">
      <c r="L548" s="7" t="s">
        <v>3165</v>
      </c>
      <c r="M548" s="7"/>
      <c r="R548" s="7" t="s">
        <v>3166</v>
      </c>
    </row>
    <row r="549" spans="12:18">
      <c r="L549" s="7" t="s">
        <v>3167</v>
      </c>
      <c r="M549" s="7"/>
      <c r="R549" s="7" t="s">
        <v>3168</v>
      </c>
    </row>
    <row r="550" spans="12:18">
      <c r="L550" s="7" t="s">
        <v>3169</v>
      </c>
      <c r="M550" s="7"/>
      <c r="R550" s="7" t="s">
        <v>3170</v>
      </c>
    </row>
    <row r="551" spans="12:18">
      <c r="L551" s="7" t="s">
        <v>3171</v>
      </c>
      <c r="M551" s="7"/>
      <c r="R551" s="7" t="s">
        <v>3172</v>
      </c>
    </row>
    <row r="552" spans="12:18">
      <c r="L552" s="7" t="s">
        <v>3173</v>
      </c>
      <c r="M552" s="7"/>
      <c r="R552" s="7" t="s">
        <v>3174</v>
      </c>
    </row>
    <row r="553" spans="12:18">
      <c r="L553" s="7" t="s">
        <v>3175</v>
      </c>
      <c r="M553" s="7"/>
      <c r="R553" s="7" t="s">
        <v>3176</v>
      </c>
    </row>
    <row r="554" spans="12:18">
      <c r="L554" s="7" t="s">
        <v>3177</v>
      </c>
      <c r="M554" s="7"/>
      <c r="R554" s="7" t="s">
        <v>3178</v>
      </c>
    </row>
    <row r="555" spans="12:18">
      <c r="L555" s="7" t="s">
        <v>3179</v>
      </c>
      <c r="M555" s="7"/>
      <c r="R555" s="7" t="s">
        <v>3180</v>
      </c>
    </row>
    <row r="556" spans="12:18">
      <c r="L556" s="7" t="s">
        <v>3181</v>
      </c>
      <c r="M556" s="7"/>
      <c r="R556" s="7" t="s">
        <v>3182</v>
      </c>
    </row>
    <row r="557" spans="12:18">
      <c r="L557" s="7" t="s">
        <v>3183</v>
      </c>
      <c r="M557" s="7"/>
      <c r="R557" s="7" t="s">
        <v>3184</v>
      </c>
    </row>
    <row r="558" spans="12:18">
      <c r="L558" s="7" t="s">
        <v>3185</v>
      </c>
      <c r="M558" s="7"/>
      <c r="R558" s="7" t="s">
        <v>3186</v>
      </c>
    </row>
    <row r="559" spans="12:18">
      <c r="L559" s="7" t="s">
        <v>3187</v>
      </c>
      <c r="M559" s="7"/>
      <c r="R559" s="7" t="s">
        <v>3188</v>
      </c>
    </row>
    <row r="560" spans="12:18">
      <c r="L560" s="7" t="s">
        <v>3189</v>
      </c>
      <c r="M560" s="7"/>
      <c r="R560" s="7" t="s">
        <v>3190</v>
      </c>
    </row>
    <row r="561" spans="12:18">
      <c r="L561" s="7" t="s">
        <v>3191</v>
      </c>
      <c r="M561" s="7"/>
      <c r="R561" s="7" t="s">
        <v>3192</v>
      </c>
    </row>
    <row r="562" spans="12:18">
      <c r="L562" s="7" t="s">
        <v>3193</v>
      </c>
      <c r="M562" s="7"/>
      <c r="R562" s="7" t="s">
        <v>3194</v>
      </c>
    </row>
    <row r="563" spans="12:18">
      <c r="L563" s="7" t="s">
        <v>3195</v>
      </c>
      <c r="M563" s="7"/>
      <c r="R563" s="7" t="s">
        <v>3196</v>
      </c>
    </row>
    <row r="564" spans="12:18">
      <c r="L564" s="7" t="s">
        <v>3197</v>
      </c>
      <c r="M564" s="7"/>
      <c r="R564" s="7" t="s">
        <v>3198</v>
      </c>
    </row>
    <row r="565" spans="12:18">
      <c r="L565" s="7" t="s">
        <v>3199</v>
      </c>
      <c r="M565" s="7"/>
      <c r="R565" s="7" t="s">
        <v>3200</v>
      </c>
    </row>
    <row r="566" spans="12:18">
      <c r="L566" s="7" t="s">
        <v>3201</v>
      </c>
      <c r="M566" s="7"/>
      <c r="R566" s="7" t="s">
        <v>3202</v>
      </c>
    </row>
    <row r="567" spans="12:18">
      <c r="L567" s="7" t="s">
        <v>3203</v>
      </c>
      <c r="M567" s="7"/>
      <c r="R567" s="7" t="s">
        <v>3204</v>
      </c>
    </row>
    <row r="568" spans="12:18">
      <c r="L568" s="7" t="s">
        <v>3205</v>
      </c>
      <c r="M568" s="7"/>
      <c r="R568" s="7" t="s">
        <v>3206</v>
      </c>
    </row>
    <row r="569" spans="12:18">
      <c r="L569" s="7" t="s">
        <v>3207</v>
      </c>
      <c r="M569" s="7"/>
      <c r="R569" s="7" t="s">
        <v>3208</v>
      </c>
    </row>
    <row r="570" spans="12:18">
      <c r="L570" s="7" t="s">
        <v>3209</v>
      </c>
      <c r="M570" s="7"/>
      <c r="R570" s="7" t="s">
        <v>3210</v>
      </c>
    </row>
    <row r="571" spans="12:18">
      <c r="L571" s="7" t="s">
        <v>3211</v>
      </c>
      <c r="M571" s="7"/>
      <c r="R571" s="7" t="s">
        <v>3212</v>
      </c>
    </row>
    <row r="572" spans="12:18">
      <c r="L572" s="7" t="s">
        <v>3213</v>
      </c>
      <c r="M572" s="7"/>
      <c r="R572" s="7" t="s">
        <v>3214</v>
      </c>
    </row>
    <row r="573" spans="12:18">
      <c r="L573" s="7" t="s">
        <v>3215</v>
      </c>
      <c r="M573" s="7"/>
      <c r="R573" s="7" t="s">
        <v>3216</v>
      </c>
    </row>
    <row r="574" spans="12:18">
      <c r="L574" s="7" t="s">
        <v>3217</v>
      </c>
      <c r="M574" s="7"/>
      <c r="R574" s="7" t="s">
        <v>3218</v>
      </c>
    </row>
    <row r="575" spans="12:18">
      <c r="L575" s="7" t="s">
        <v>3219</v>
      </c>
      <c r="M575" s="7"/>
      <c r="R575" s="7" t="s">
        <v>3220</v>
      </c>
    </row>
    <row r="576" spans="12:18">
      <c r="L576" s="7" t="s">
        <v>3221</v>
      </c>
      <c r="M576" s="7"/>
      <c r="R576" s="7" t="s">
        <v>3222</v>
      </c>
    </row>
    <row r="577" spans="12:18">
      <c r="L577" s="7" t="s">
        <v>3223</v>
      </c>
      <c r="M577" s="7"/>
      <c r="R577" s="7" t="s">
        <v>3224</v>
      </c>
    </row>
    <row r="578" spans="12:18">
      <c r="L578" s="7" t="s">
        <v>3225</v>
      </c>
      <c r="M578" s="7"/>
      <c r="R578" s="7" t="s">
        <v>3226</v>
      </c>
    </row>
    <row r="579" spans="12:18">
      <c r="L579" s="7" t="s">
        <v>3227</v>
      </c>
      <c r="M579" s="7"/>
      <c r="R579" s="7" t="s">
        <v>3228</v>
      </c>
    </row>
    <row r="580" spans="12:18">
      <c r="L580" s="7" t="s">
        <v>3229</v>
      </c>
      <c r="M580" s="7"/>
      <c r="R580" s="7" t="s">
        <v>3230</v>
      </c>
    </row>
    <row r="581" spans="12:18">
      <c r="L581" s="7" t="s">
        <v>3231</v>
      </c>
      <c r="M581" s="7"/>
      <c r="R581" s="7" t="s">
        <v>3232</v>
      </c>
    </row>
    <row r="582" spans="12:18">
      <c r="L582" s="7" t="s">
        <v>3233</v>
      </c>
      <c r="M582" s="7"/>
      <c r="R582" s="7" t="s">
        <v>3234</v>
      </c>
    </row>
    <row r="583" spans="12:18">
      <c r="L583" s="7" t="s">
        <v>3235</v>
      </c>
      <c r="M583" s="7"/>
      <c r="R583" s="7" t="s">
        <v>3236</v>
      </c>
    </row>
    <row r="584" spans="12:18">
      <c r="L584" s="7" t="s">
        <v>3237</v>
      </c>
      <c r="M584" s="7"/>
      <c r="R584" s="7" t="s">
        <v>3238</v>
      </c>
    </row>
    <row r="585" spans="12:18">
      <c r="L585" s="7" t="s">
        <v>3239</v>
      </c>
      <c r="M585" s="7"/>
      <c r="R585" s="7" t="s">
        <v>3240</v>
      </c>
    </row>
    <row r="586" spans="12:18">
      <c r="L586" s="7" t="s">
        <v>3241</v>
      </c>
      <c r="M586" s="7"/>
      <c r="R586" s="7" t="s">
        <v>3242</v>
      </c>
    </row>
    <row r="587" spans="12:18">
      <c r="L587" s="7" t="s">
        <v>3243</v>
      </c>
      <c r="M587" s="7"/>
      <c r="R587" s="7" t="s">
        <v>3244</v>
      </c>
    </row>
    <row r="588" spans="12:18">
      <c r="L588" s="7" t="s">
        <v>3245</v>
      </c>
      <c r="M588" s="7"/>
      <c r="R588" s="7" t="s">
        <v>3246</v>
      </c>
    </row>
    <row r="589" spans="12:18">
      <c r="L589" s="7" t="s">
        <v>3247</v>
      </c>
      <c r="M589" s="7"/>
      <c r="R589" s="7" t="s">
        <v>3248</v>
      </c>
    </row>
    <row r="590" spans="12:18">
      <c r="L590" s="7" t="s">
        <v>3249</v>
      </c>
      <c r="M590" s="7"/>
      <c r="R590" s="7" t="s">
        <v>3250</v>
      </c>
    </row>
    <row r="591" spans="12:18">
      <c r="L591" s="7" t="s">
        <v>3251</v>
      </c>
      <c r="M591" s="7"/>
      <c r="R591" s="7" t="s">
        <v>3252</v>
      </c>
    </row>
    <row r="592" spans="12:18">
      <c r="L592" s="7" t="s">
        <v>3253</v>
      </c>
      <c r="M592" s="7"/>
      <c r="R592" s="7" t="s">
        <v>3254</v>
      </c>
    </row>
    <row r="593" spans="12:18">
      <c r="L593" s="7" t="s">
        <v>3255</v>
      </c>
      <c r="M593" s="7"/>
      <c r="R593" s="7" t="s">
        <v>3256</v>
      </c>
    </row>
    <row r="594" spans="12:18">
      <c r="L594" s="7" t="s">
        <v>3257</v>
      </c>
      <c r="M594" s="7"/>
      <c r="R594" s="7" t="s">
        <v>3258</v>
      </c>
    </row>
    <row r="595" spans="12:18">
      <c r="L595" s="7" t="s">
        <v>3259</v>
      </c>
      <c r="M595" s="7"/>
      <c r="R595" s="7" t="s">
        <v>3260</v>
      </c>
    </row>
    <row r="596" spans="12:18">
      <c r="L596" s="7" t="s">
        <v>3261</v>
      </c>
      <c r="M596" s="7"/>
      <c r="R596" s="7" t="s">
        <v>3262</v>
      </c>
    </row>
    <row r="597" spans="12:18">
      <c r="L597" s="7" t="s">
        <v>3263</v>
      </c>
      <c r="M597" s="7"/>
      <c r="R597" s="7" t="s">
        <v>3264</v>
      </c>
    </row>
    <row r="598" spans="12:18">
      <c r="L598" s="7" t="s">
        <v>3265</v>
      </c>
      <c r="M598" s="7"/>
      <c r="R598" s="7" t="s">
        <v>3266</v>
      </c>
    </row>
    <row r="599" spans="12:18">
      <c r="L599" s="7" t="s">
        <v>3267</v>
      </c>
      <c r="M599" s="7"/>
      <c r="R599" s="7" t="s">
        <v>3268</v>
      </c>
    </row>
    <row r="600" spans="12:18">
      <c r="L600" s="7" t="s">
        <v>3269</v>
      </c>
      <c r="M600" s="7"/>
      <c r="R600" s="7" t="s">
        <v>3270</v>
      </c>
    </row>
    <row r="601" spans="12:18">
      <c r="L601" s="7" t="s">
        <v>3271</v>
      </c>
      <c r="M601" s="7"/>
      <c r="R601" s="7" t="s">
        <v>3272</v>
      </c>
    </row>
    <row r="602" spans="12:18">
      <c r="L602" s="7" t="s">
        <v>3273</v>
      </c>
      <c r="M602" s="7"/>
      <c r="R602" s="7" t="s">
        <v>3274</v>
      </c>
    </row>
    <row r="603" spans="12:18">
      <c r="L603" s="7" t="s">
        <v>3275</v>
      </c>
      <c r="M603" s="7"/>
      <c r="R603" s="7" t="s">
        <v>3276</v>
      </c>
    </row>
    <row r="604" spans="12:18">
      <c r="L604" s="7" t="s">
        <v>3277</v>
      </c>
      <c r="M604" s="7"/>
      <c r="R604" s="7" t="s">
        <v>3278</v>
      </c>
    </row>
    <row r="605" spans="12:18">
      <c r="L605" s="7" t="s">
        <v>3279</v>
      </c>
      <c r="M605" s="7"/>
      <c r="R605" s="7" t="s">
        <v>3280</v>
      </c>
    </row>
    <row r="606" spans="12:18">
      <c r="L606" s="7" t="s">
        <v>3281</v>
      </c>
      <c r="M606" s="7"/>
      <c r="R606" s="7" t="s">
        <v>3282</v>
      </c>
    </row>
    <row r="607" spans="12:18">
      <c r="L607" s="7" t="s">
        <v>3283</v>
      </c>
      <c r="M607" s="7"/>
      <c r="R607" s="7" t="s">
        <v>3284</v>
      </c>
    </row>
    <row r="608" spans="12:18">
      <c r="L608" s="7" t="s">
        <v>3285</v>
      </c>
      <c r="M608" s="7"/>
      <c r="R608" s="7" t="s">
        <v>3286</v>
      </c>
    </row>
    <row r="609" spans="12:18">
      <c r="L609" s="7" t="s">
        <v>3287</v>
      </c>
      <c r="M609" s="7"/>
      <c r="R609" s="7" t="s">
        <v>3288</v>
      </c>
    </row>
    <row r="610" spans="12:18">
      <c r="L610" s="7" t="s">
        <v>3289</v>
      </c>
      <c r="M610" s="7"/>
      <c r="R610" s="7" t="s">
        <v>3290</v>
      </c>
    </row>
    <row r="611" spans="12:18">
      <c r="L611" s="7" t="s">
        <v>3291</v>
      </c>
      <c r="M611" s="7"/>
      <c r="R611" s="7" t="s">
        <v>3292</v>
      </c>
    </row>
    <row r="612" spans="12:18">
      <c r="L612" s="7" t="s">
        <v>3293</v>
      </c>
      <c r="M612" s="7"/>
      <c r="R612" s="7" t="s">
        <v>3294</v>
      </c>
    </row>
    <row r="613" spans="12:18">
      <c r="L613" s="7" t="s">
        <v>3295</v>
      </c>
      <c r="M613" s="7"/>
      <c r="R613" s="7" t="s">
        <v>3296</v>
      </c>
    </row>
    <row r="614" spans="12:18">
      <c r="L614" s="7" t="s">
        <v>3297</v>
      </c>
      <c r="M614" s="7"/>
      <c r="R614" s="7" t="s">
        <v>3298</v>
      </c>
    </row>
    <row r="615" spans="12:18">
      <c r="L615" s="7" t="s">
        <v>3299</v>
      </c>
      <c r="M615" s="7"/>
      <c r="R615" s="7" t="s">
        <v>3300</v>
      </c>
    </row>
    <row r="616" spans="12:18">
      <c r="L616" s="7" t="s">
        <v>3301</v>
      </c>
      <c r="M616" s="7"/>
      <c r="R616" s="7" t="s">
        <v>3302</v>
      </c>
    </row>
    <row r="617" spans="12:18">
      <c r="L617" s="7" t="s">
        <v>3303</v>
      </c>
      <c r="M617" s="7"/>
      <c r="R617" s="7" t="s">
        <v>3304</v>
      </c>
    </row>
    <row r="618" spans="12:18">
      <c r="L618" s="7" t="s">
        <v>3305</v>
      </c>
      <c r="M618" s="7"/>
      <c r="R618" s="7" t="s">
        <v>3306</v>
      </c>
    </row>
    <row r="619" spans="12:18">
      <c r="L619" s="7" t="s">
        <v>3307</v>
      </c>
      <c r="M619" s="7"/>
      <c r="R619" s="7" t="s">
        <v>3308</v>
      </c>
    </row>
    <row r="620" spans="12:18">
      <c r="L620" s="7" t="s">
        <v>3309</v>
      </c>
      <c r="M620" s="7"/>
      <c r="R620" s="7" t="s">
        <v>3310</v>
      </c>
    </row>
    <row r="621" spans="12:18">
      <c r="L621" s="7" t="s">
        <v>3311</v>
      </c>
      <c r="M621" s="7"/>
      <c r="R621" s="7" t="s">
        <v>3312</v>
      </c>
    </row>
    <row r="622" spans="12:18">
      <c r="L622" s="7" t="s">
        <v>3313</v>
      </c>
      <c r="M622" s="7"/>
      <c r="R622" s="7" t="s">
        <v>3314</v>
      </c>
    </row>
    <row r="623" spans="12:18">
      <c r="L623" s="7" t="s">
        <v>3315</v>
      </c>
      <c r="M623" s="7"/>
      <c r="R623" s="7" t="s">
        <v>3316</v>
      </c>
    </row>
    <row r="624" spans="12:18">
      <c r="L624" s="7" t="s">
        <v>3317</v>
      </c>
      <c r="M624" s="7"/>
      <c r="R624" s="7" t="s">
        <v>3318</v>
      </c>
    </row>
    <row r="625" spans="12:18">
      <c r="L625" s="7" t="s">
        <v>3319</v>
      </c>
      <c r="M625" s="7"/>
      <c r="R625" s="7" t="s">
        <v>3320</v>
      </c>
    </row>
    <row r="626" spans="12:18">
      <c r="L626" s="7" t="s">
        <v>3321</v>
      </c>
      <c r="M626" s="7"/>
      <c r="R626" s="7" t="s">
        <v>3322</v>
      </c>
    </row>
    <row r="627" spans="12:18">
      <c r="L627" s="7" t="s">
        <v>3323</v>
      </c>
      <c r="M627" s="7"/>
      <c r="R627" s="7" t="s">
        <v>3324</v>
      </c>
    </row>
    <row r="628" spans="12:18">
      <c r="L628" s="7" t="s">
        <v>3325</v>
      </c>
      <c r="M628" s="7"/>
      <c r="R628" s="7" t="s">
        <v>3326</v>
      </c>
    </row>
    <row r="629" spans="12:18">
      <c r="L629" s="7" t="s">
        <v>3327</v>
      </c>
      <c r="M629" s="7"/>
      <c r="R629" s="7" t="s">
        <v>3328</v>
      </c>
    </row>
    <row r="630" spans="12:18">
      <c r="L630" s="7" t="s">
        <v>3329</v>
      </c>
      <c r="M630" s="7"/>
      <c r="R630" s="7" t="s">
        <v>3330</v>
      </c>
    </row>
    <row r="631" spans="12:18">
      <c r="L631" s="7" t="s">
        <v>3331</v>
      </c>
      <c r="M631" s="7"/>
      <c r="R631" s="7" t="s">
        <v>3332</v>
      </c>
    </row>
    <row r="632" spans="12:18">
      <c r="L632" s="7" t="s">
        <v>3333</v>
      </c>
      <c r="M632" s="7"/>
      <c r="R632" s="7" t="s">
        <v>3334</v>
      </c>
    </row>
    <row r="633" spans="12:18">
      <c r="L633" s="7" t="s">
        <v>3335</v>
      </c>
      <c r="M633" s="7"/>
      <c r="R633" s="7" t="s">
        <v>3336</v>
      </c>
    </row>
    <row r="634" spans="12:18">
      <c r="L634" s="7" t="s">
        <v>3337</v>
      </c>
      <c r="M634" s="7"/>
      <c r="R634" s="7" t="s">
        <v>3338</v>
      </c>
    </row>
    <row r="635" spans="12:18">
      <c r="L635" s="7" t="s">
        <v>3339</v>
      </c>
      <c r="M635" s="7"/>
      <c r="R635" s="7" t="s">
        <v>3340</v>
      </c>
    </row>
    <row r="636" spans="12:18">
      <c r="L636" s="7" t="s">
        <v>3341</v>
      </c>
      <c r="M636" s="7"/>
      <c r="R636" s="7" t="s">
        <v>3342</v>
      </c>
    </row>
    <row r="637" spans="12:18">
      <c r="L637" s="7" t="s">
        <v>3343</v>
      </c>
      <c r="M637" s="7"/>
      <c r="R637" s="7" t="s">
        <v>3344</v>
      </c>
    </row>
    <row r="638" spans="12:18">
      <c r="L638" s="7" t="s">
        <v>3345</v>
      </c>
      <c r="M638" s="7"/>
      <c r="R638" s="7" t="s">
        <v>3346</v>
      </c>
    </row>
    <row r="639" spans="12:18">
      <c r="L639" s="7" t="s">
        <v>3347</v>
      </c>
      <c r="M639" s="7"/>
      <c r="R639" s="7" t="s">
        <v>3348</v>
      </c>
    </row>
    <row r="640" spans="12:18">
      <c r="L640" s="7" t="s">
        <v>3349</v>
      </c>
      <c r="M640" s="7"/>
      <c r="R640" s="7" t="s">
        <v>3350</v>
      </c>
    </row>
    <row r="641" spans="12:18">
      <c r="L641" s="7" t="s">
        <v>3351</v>
      </c>
      <c r="M641" s="7"/>
      <c r="R641" s="7" t="s">
        <v>3352</v>
      </c>
    </row>
    <row r="642" spans="12:18">
      <c r="L642" s="7" t="s">
        <v>3353</v>
      </c>
      <c r="M642" s="7"/>
      <c r="R642" s="7" t="s">
        <v>3354</v>
      </c>
    </row>
    <row r="643" spans="12:18">
      <c r="L643" s="7" t="s">
        <v>3355</v>
      </c>
      <c r="M643" s="7"/>
      <c r="R643" s="7" t="s">
        <v>3356</v>
      </c>
    </row>
    <row r="644" spans="12:18">
      <c r="L644" s="7" t="s">
        <v>3357</v>
      </c>
      <c r="M644" s="7"/>
      <c r="R644" s="7" t="s">
        <v>3358</v>
      </c>
    </row>
    <row r="645" spans="12:18">
      <c r="L645" s="7" t="s">
        <v>3359</v>
      </c>
      <c r="M645" s="7"/>
      <c r="R645" s="7" t="s">
        <v>3360</v>
      </c>
    </row>
    <row r="646" spans="12:18">
      <c r="L646" s="7" t="s">
        <v>3361</v>
      </c>
      <c r="M646" s="7"/>
      <c r="R646" s="7" t="s">
        <v>3362</v>
      </c>
    </row>
    <row r="647" spans="12:18">
      <c r="L647" s="7" t="s">
        <v>3363</v>
      </c>
      <c r="M647" s="7"/>
      <c r="R647" s="7" t="s">
        <v>3364</v>
      </c>
    </row>
    <row r="648" spans="12:18">
      <c r="L648" s="7" t="s">
        <v>3365</v>
      </c>
      <c r="M648" s="7"/>
      <c r="R648" s="7" t="s">
        <v>3366</v>
      </c>
    </row>
    <row r="649" spans="12:18">
      <c r="L649" s="7" t="s">
        <v>3367</v>
      </c>
      <c r="M649" s="7"/>
      <c r="R649" s="7" t="s">
        <v>3368</v>
      </c>
    </row>
    <row r="650" spans="12:18">
      <c r="L650" s="7" t="s">
        <v>3369</v>
      </c>
      <c r="M650" s="7"/>
      <c r="R650" s="7" t="s">
        <v>3370</v>
      </c>
    </row>
    <row r="651" spans="12:18">
      <c r="L651" s="7" t="s">
        <v>3371</v>
      </c>
      <c r="M651" s="7"/>
      <c r="R651" s="7" t="s">
        <v>3372</v>
      </c>
    </row>
    <row r="652" spans="12:18">
      <c r="L652" s="7" t="s">
        <v>3373</v>
      </c>
      <c r="M652" s="7"/>
      <c r="R652" s="7" t="s">
        <v>3374</v>
      </c>
    </row>
    <row r="653" spans="12:18">
      <c r="L653" s="7" t="s">
        <v>3375</v>
      </c>
      <c r="M653" s="7"/>
      <c r="R653" s="7" t="s">
        <v>3376</v>
      </c>
    </row>
    <row r="654" spans="12:18">
      <c r="L654" s="7" t="s">
        <v>3377</v>
      </c>
      <c r="M654" s="7"/>
      <c r="R654" s="7" t="s">
        <v>3378</v>
      </c>
    </row>
    <row r="655" spans="12:18">
      <c r="L655" s="7" t="s">
        <v>3379</v>
      </c>
      <c r="M655" s="7"/>
      <c r="R655" s="7" t="s">
        <v>3380</v>
      </c>
    </row>
    <row r="656" spans="12:18">
      <c r="L656" s="7" t="s">
        <v>3381</v>
      </c>
      <c r="M656" s="7"/>
      <c r="R656" s="7" t="s">
        <v>3382</v>
      </c>
    </row>
    <row r="657" spans="12:18">
      <c r="L657" s="7" t="s">
        <v>3383</v>
      </c>
      <c r="M657" s="7"/>
      <c r="R657" s="7" t="s">
        <v>3384</v>
      </c>
    </row>
    <row r="658" spans="12:18">
      <c r="L658" s="7" t="s">
        <v>3385</v>
      </c>
      <c r="M658" s="7"/>
      <c r="R658" s="7" t="s">
        <v>3386</v>
      </c>
    </row>
    <row r="659" spans="12:18">
      <c r="L659" s="7" t="s">
        <v>3387</v>
      </c>
      <c r="M659" s="7"/>
      <c r="R659" s="7" t="s">
        <v>3388</v>
      </c>
    </row>
    <row r="660" spans="12:18">
      <c r="L660" s="7" t="s">
        <v>3389</v>
      </c>
      <c r="M660" s="7"/>
      <c r="R660" s="7" t="s">
        <v>3390</v>
      </c>
    </row>
    <row r="661" spans="12:18">
      <c r="L661" s="7" t="s">
        <v>3391</v>
      </c>
      <c r="M661" s="7"/>
      <c r="R661" s="7" t="s">
        <v>3392</v>
      </c>
    </row>
    <row r="662" spans="12:18">
      <c r="L662" s="7" t="s">
        <v>3393</v>
      </c>
      <c r="M662" s="7"/>
      <c r="R662" s="7" t="s">
        <v>3394</v>
      </c>
    </row>
    <row r="663" spans="12:18">
      <c r="L663" s="7" t="s">
        <v>3395</v>
      </c>
      <c r="M663" s="7"/>
      <c r="R663" s="7" t="s">
        <v>3396</v>
      </c>
    </row>
    <row r="664" spans="12:18">
      <c r="L664" s="7" t="s">
        <v>3397</v>
      </c>
      <c r="M664" s="7"/>
      <c r="R664" s="7" t="s">
        <v>3398</v>
      </c>
    </row>
    <row r="665" spans="12:18">
      <c r="L665" s="7" t="s">
        <v>3399</v>
      </c>
      <c r="M665" s="7"/>
      <c r="R665" s="7" t="s">
        <v>3400</v>
      </c>
    </row>
    <row r="666" spans="12:18">
      <c r="L666" s="7" t="s">
        <v>3401</v>
      </c>
      <c r="M666" s="7"/>
      <c r="R666" s="7" t="s">
        <v>3402</v>
      </c>
    </row>
    <row r="667" spans="12:18">
      <c r="L667" s="7" t="s">
        <v>3403</v>
      </c>
      <c r="M667" s="7"/>
      <c r="R667" s="7" t="s">
        <v>3404</v>
      </c>
    </row>
    <row r="668" spans="12:18">
      <c r="L668" s="7" t="s">
        <v>3405</v>
      </c>
      <c r="M668" s="7"/>
      <c r="R668" s="7" t="s">
        <v>3406</v>
      </c>
    </row>
    <row r="669" spans="12:18">
      <c r="L669" s="7" t="s">
        <v>3407</v>
      </c>
      <c r="M669" s="7"/>
      <c r="R669" s="7" t="s">
        <v>3408</v>
      </c>
    </row>
    <row r="670" spans="12:18">
      <c r="L670" s="7" t="s">
        <v>3409</v>
      </c>
      <c r="M670" s="7"/>
      <c r="R670" s="7" t="s">
        <v>3410</v>
      </c>
    </row>
    <row r="671" spans="12:18">
      <c r="L671" s="7" t="s">
        <v>3411</v>
      </c>
      <c r="M671" s="7"/>
      <c r="R671" s="7" t="s">
        <v>3412</v>
      </c>
    </row>
    <row r="672" spans="12:18">
      <c r="L672" s="7" t="s">
        <v>3413</v>
      </c>
      <c r="M672" s="7"/>
      <c r="R672" s="7" t="s">
        <v>3414</v>
      </c>
    </row>
    <row r="673" spans="12:18">
      <c r="L673" s="7" t="s">
        <v>3415</v>
      </c>
      <c r="M673" s="7"/>
      <c r="R673" s="7" t="s">
        <v>3416</v>
      </c>
    </row>
    <row r="674" spans="12:18">
      <c r="L674" s="7" t="s">
        <v>3417</v>
      </c>
      <c r="M674" s="7"/>
      <c r="R674" s="7" t="s">
        <v>3418</v>
      </c>
    </row>
    <row r="675" spans="12:18">
      <c r="L675" s="7" t="s">
        <v>3419</v>
      </c>
      <c r="M675" s="7"/>
      <c r="R675" s="7" t="s">
        <v>3420</v>
      </c>
    </row>
    <row r="676" spans="12:18">
      <c r="L676" s="7" t="s">
        <v>3421</v>
      </c>
      <c r="M676" s="7"/>
      <c r="R676" s="7" t="s">
        <v>3422</v>
      </c>
    </row>
    <row r="677" spans="12:18">
      <c r="L677" s="7" t="s">
        <v>3423</v>
      </c>
      <c r="M677" s="7"/>
      <c r="R677" s="7" t="s">
        <v>3424</v>
      </c>
    </row>
    <row r="678" spans="12:18">
      <c r="L678" s="7" t="s">
        <v>3425</v>
      </c>
      <c r="M678" s="7"/>
      <c r="R678" s="7" t="s">
        <v>3426</v>
      </c>
    </row>
    <row r="679" spans="12:18">
      <c r="L679" s="7" t="s">
        <v>3427</v>
      </c>
      <c r="M679" s="7"/>
      <c r="R679" s="7" t="s">
        <v>3428</v>
      </c>
    </row>
    <row r="680" spans="12:18">
      <c r="L680" s="7" t="s">
        <v>3429</v>
      </c>
      <c r="M680" s="7"/>
      <c r="R680" s="7" t="s">
        <v>3430</v>
      </c>
    </row>
    <row r="681" spans="12:18">
      <c r="L681" s="7" t="s">
        <v>3431</v>
      </c>
      <c r="M681" s="7"/>
      <c r="R681" s="7" t="s">
        <v>3432</v>
      </c>
    </row>
    <row r="682" spans="12:18">
      <c r="L682" s="7" t="s">
        <v>3433</v>
      </c>
      <c r="M682" s="7"/>
      <c r="R682" s="7" t="s">
        <v>3434</v>
      </c>
    </row>
    <row r="683" spans="12:18">
      <c r="L683" s="7" t="s">
        <v>3435</v>
      </c>
      <c r="M683" s="7"/>
      <c r="R683" s="7" t="s">
        <v>3436</v>
      </c>
    </row>
    <row r="684" spans="12:18">
      <c r="L684" s="7" t="s">
        <v>3437</v>
      </c>
      <c r="M684" s="7"/>
      <c r="R684" s="7" t="s">
        <v>3438</v>
      </c>
    </row>
    <row r="685" spans="12:18">
      <c r="L685" s="7" t="s">
        <v>3439</v>
      </c>
      <c r="M685" s="7"/>
      <c r="R685" s="7" t="s">
        <v>3440</v>
      </c>
    </row>
    <row r="686" spans="12:18">
      <c r="L686" s="7" t="s">
        <v>3441</v>
      </c>
      <c r="M686" s="7"/>
      <c r="R686" s="7" t="s">
        <v>3442</v>
      </c>
    </row>
    <row r="687" spans="12:18">
      <c r="L687" s="7" t="s">
        <v>3443</v>
      </c>
      <c r="M687" s="7"/>
      <c r="R687" s="7" t="s">
        <v>3444</v>
      </c>
    </row>
    <row r="688" spans="12:18">
      <c r="L688" s="7" t="s">
        <v>3445</v>
      </c>
      <c r="M688" s="7"/>
      <c r="R688" s="7" t="s">
        <v>3446</v>
      </c>
    </row>
    <row r="689" spans="12:18">
      <c r="L689" s="7" t="s">
        <v>3447</v>
      </c>
      <c r="M689" s="7"/>
      <c r="R689" s="7" t="s">
        <v>3448</v>
      </c>
    </row>
    <row r="690" spans="12:18">
      <c r="L690" s="7" t="s">
        <v>3449</v>
      </c>
      <c r="M690" s="7"/>
      <c r="R690" s="7" t="s">
        <v>3450</v>
      </c>
    </row>
    <row r="691" spans="12:18">
      <c r="L691" s="7" t="s">
        <v>3451</v>
      </c>
      <c r="M691" s="7"/>
      <c r="R691" s="7" t="s">
        <v>3452</v>
      </c>
    </row>
    <row r="692" spans="12:18">
      <c r="L692" s="7" t="s">
        <v>3453</v>
      </c>
      <c r="M692" s="7"/>
      <c r="R692" s="7" t="s">
        <v>3454</v>
      </c>
    </row>
    <row r="693" spans="12:18">
      <c r="L693" s="7" t="s">
        <v>3455</v>
      </c>
      <c r="M693" s="7"/>
      <c r="R693" s="7" t="s">
        <v>3456</v>
      </c>
    </row>
    <row r="694" spans="12:18">
      <c r="L694" s="7" t="s">
        <v>3457</v>
      </c>
      <c r="M694" s="7"/>
      <c r="R694" s="7" t="s">
        <v>3458</v>
      </c>
    </row>
    <row r="695" spans="12:18">
      <c r="L695" s="7" t="s">
        <v>3459</v>
      </c>
      <c r="M695" s="7"/>
      <c r="R695" s="7" t="s">
        <v>3460</v>
      </c>
    </row>
    <row r="696" spans="12:18">
      <c r="L696" s="7" t="s">
        <v>3461</v>
      </c>
      <c r="M696" s="7"/>
      <c r="R696" s="7" t="s">
        <v>3462</v>
      </c>
    </row>
    <row r="697" spans="12:18">
      <c r="L697" s="7" t="s">
        <v>3463</v>
      </c>
      <c r="M697" s="7"/>
      <c r="R697" s="7" t="s">
        <v>3464</v>
      </c>
    </row>
    <row r="698" spans="12:18">
      <c r="L698" s="7" t="s">
        <v>3465</v>
      </c>
      <c r="M698" s="7"/>
      <c r="R698" s="7" t="s">
        <v>3466</v>
      </c>
    </row>
    <row r="699" spans="12:18">
      <c r="L699" s="7" t="s">
        <v>3467</v>
      </c>
      <c r="M699" s="7"/>
      <c r="R699" s="7" t="s">
        <v>3468</v>
      </c>
    </row>
    <row r="700" spans="12:18">
      <c r="L700" s="7" t="s">
        <v>3469</v>
      </c>
      <c r="M700" s="7"/>
      <c r="R700" s="7" t="s">
        <v>3470</v>
      </c>
    </row>
    <row r="701" spans="12:18">
      <c r="L701" s="7" t="s">
        <v>3471</v>
      </c>
      <c r="M701" s="7"/>
      <c r="R701" s="7" t="s">
        <v>3472</v>
      </c>
    </row>
    <row r="702" spans="12:18">
      <c r="L702" s="7" t="s">
        <v>3473</v>
      </c>
      <c r="M702" s="7"/>
      <c r="R702" s="7" t="s">
        <v>3474</v>
      </c>
    </row>
    <row r="703" spans="12:18">
      <c r="L703" s="7" t="s">
        <v>3475</v>
      </c>
      <c r="M703" s="7"/>
      <c r="R703" s="7" t="s">
        <v>3476</v>
      </c>
    </row>
    <row r="704" spans="12:18">
      <c r="L704" s="7" t="s">
        <v>3477</v>
      </c>
      <c r="M704" s="7"/>
      <c r="R704" s="7" t="s">
        <v>3478</v>
      </c>
    </row>
    <row r="705" spans="12:18">
      <c r="L705" s="7" t="s">
        <v>3479</v>
      </c>
      <c r="M705" s="7"/>
      <c r="R705" s="7" t="s">
        <v>3480</v>
      </c>
    </row>
    <row r="706" spans="12:18">
      <c r="L706" s="7" t="s">
        <v>3481</v>
      </c>
      <c r="M706" s="7"/>
      <c r="R706" s="7" t="s">
        <v>3482</v>
      </c>
    </row>
    <row r="707" spans="12:18">
      <c r="L707" s="7" t="s">
        <v>3483</v>
      </c>
      <c r="M707" s="7"/>
      <c r="R707" s="7" t="s">
        <v>3484</v>
      </c>
    </row>
    <row r="708" spans="12:18">
      <c r="L708" s="7" t="s">
        <v>3485</v>
      </c>
      <c r="M708" s="7"/>
      <c r="R708" s="7" t="s">
        <v>3486</v>
      </c>
    </row>
    <row r="709" spans="12:18">
      <c r="L709" s="7" t="s">
        <v>3487</v>
      </c>
      <c r="M709" s="7"/>
      <c r="R709" s="7" t="s">
        <v>3488</v>
      </c>
    </row>
    <row r="710" spans="12:18">
      <c r="L710" s="7" t="s">
        <v>3489</v>
      </c>
      <c r="M710" s="7"/>
      <c r="R710" s="7" t="s">
        <v>3490</v>
      </c>
    </row>
    <row r="711" spans="12:18">
      <c r="L711" s="7" t="s">
        <v>3491</v>
      </c>
      <c r="M711" s="7"/>
      <c r="R711" s="7" t="s">
        <v>3492</v>
      </c>
    </row>
    <row r="712" spans="12:18">
      <c r="L712" s="7" t="s">
        <v>3493</v>
      </c>
      <c r="M712" s="7"/>
      <c r="R712" s="7" t="s">
        <v>3494</v>
      </c>
    </row>
    <row r="713" spans="12:18">
      <c r="L713" s="7" t="s">
        <v>3495</v>
      </c>
      <c r="M713" s="7"/>
      <c r="R713" s="7" t="s">
        <v>3496</v>
      </c>
    </row>
    <row r="714" spans="12:18">
      <c r="L714" s="7" t="s">
        <v>3497</v>
      </c>
      <c r="M714" s="7"/>
      <c r="R714" s="7" t="s">
        <v>3498</v>
      </c>
    </row>
    <row r="715" spans="12:18">
      <c r="L715" s="7" t="s">
        <v>3499</v>
      </c>
      <c r="M715" s="7"/>
      <c r="R715" s="7" t="s">
        <v>3500</v>
      </c>
    </row>
    <row r="716" spans="12:18">
      <c r="L716" s="7" t="s">
        <v>3501</v>
      </c>
      <c r="M716" s="7"/>
      <c r="R716" s="7" t="s">
        <v>3502</v>
      </c>
    </row>
    <row r="717" spans="12:18">
      <c r="L717" s="7" t="s">
        <v>3503</v>
      </c>
      <c r="M717" s="7"/>
      <c r="R717" s="7" t="s">
        <v>3504</v>
      </c>
    </row>
    <row r="718" spans="12:18">
      <c r="L718" s="7" t="s">
        <v>3505</v>
      </c>
      <c r="M718" s="7"/>
      <c r="R718" s="7" t="s">
        <v>3506</v>
      </c>
    </row>
    <row r="719" spans="12:18">
      <c r="L719" s="7" t="s">
        <v>3507</v>
      </c>
      <c r="M719" s="7"/>
      <c r="R719" s="7" t="s">
        <v>3508</v>
      </c>
    </row>
    <row r="720" spans="12:18">
      <c r="L720" s="7" t="s">
        <v>3509</v>
      </c>
      <c r="M720" s="7"/>
      <c r="R720" s="7" t="s">
        <v>3510</v>
      </c>
    </row>
    <row r="721" spans="12:18">
      <c r="L721" s="7" t="s">
        <v>3511</v>
      </c>
      <c r="M721" s="7"/>
      <c r="R721" s="7" t="s">
        <v>3512</v>
      </c>
    </row>
    <row r="722" spans="12:18">
      <c r="L722" s="7" t="s">
        <v>3513</v>
      </c>
      <c r="M722" s="7"/>
      <c r="R722" s="7" t="s">
        <v>3514</v>
      </c>
    </row>
    <row r="723" spans="12:18">
      <c r="L723" s="7" t="s">
        <v>3515</v>
      </c>
      <c r="M723" s="7"/>
      <c r="R723" s="7" t="s">
        <v>3516</v>
      </c>
    </row>
    <row r="724" spans="12:18">
      <c r="L724" s="7" t="s">
        <v>3517</v>
      </c>
      <c r="M724" s="7"/>
      <c r="R724" s="7" t="s">
        <v>3518</v>
      </c>
    </row>
    <row r="725" spans="12:18">
      <c r="L725" s="7" t="s">
        <v>3519</v>
      </c>
      <c r="M725" s="7"/>
      <c r="R725" s="7" t="s">
        <v>3520</v>
      </c>
    </row>
    <row r="726" spans="12:18">
      <c r="L726" s="7" t="s">
        <v>3521</v>
      </c>
      <c r="M726" s="7"/>
      <c r="R726" s="7" t="s">
        <v>3522</v>
      </c>
    </row>
    <row r="727" spans="12:18">
      <c r="L727" s="7" t="s">
        <v>3523</v>
      </c>
      <c r="M727" s="7"/>
      <c r="R727" s="7" t="s">
        <v>3524</v>
      </c>
    </row>
    <row r="728" spans="12:18">
      <c r="L728" s="7" t="s">
        <v>3525</v>
      </c>
      <c r="M728" s="7"/>
      <c r="R728" s="7" t="s">
        <v>3526</v>
      </c>
    </row>
    <row r="729" spans="12:18">
      <c r="L729" s="7" t="s">
        <v>3527</v>
      </c>
      <c r="M729" s="7"/>
      <c r="R729" s="7" t="s">
        <v>3528</v>
      </c>
    </row>
    <row r="730" spans="12:18">
      <c r="L730" s="7" t="s">
        <v>3529</v>
      </c>
      <c r="M730" s="7"/>
      <c r="R730" s="7" t="s">
        <v>3530</v>
      </c>
    </row>
    <row r="731" spans="12:18">
      <c r="L731" s="7" t="s">
        <v>3531</v>
      </c>
      <c r="M731" s="7"/>
      <c r="R731" s="7" t="s">
        <v>3532</v>
      </c>
    </row>
    <row r="732" spans="12:18">
      <c r="L732" s="7" t="s">
        <v>3533</v>
      </c>
      <c r="M732" s="7"/>
      <c r="R732" s="7" t="s">
        <v>3534</v>
      </c>
    </row>
    <row r="733" spans="12:18">
      <c r="L733" s="7" t="s">
        <v>3535</v>
      </c>
      <c r="M733" s="7"/>
      <c r="R733" s="7" t="s">
        <v>3536</v>
      </c>
    </row>
    <row r="734" spans="12:18">
      <c r="L734" s="7" t="s">
        <v>3537</v>
      </c>
      <c r="M734" s="7"/>
      <c r="R734" s="7" t="s">
        <v>3538</v>
      </c>
    </row>
    <row r="735" spans="12:18">
      <c r="L735" s="7" t="s">
        <v>3539</v>
      </c>
      <c r="M735" s="7"/>
      <c r="R735" s="7" t="s">
        <v>3540</v>
      </c>
    </row>
    <row r="736" spans="12:18">
      <c r="L736" s="7" t="s">
        <v>3541</v>
      </c>
      <c r="M736" s="7"/>
      <c r="R736" s="7" t="s">
        <v>3542</v>
      </c>
    </row>
    <row r="737" spans="12:18">
      <c r="L737" s="7" t="s">
        <v>3543</v>
      </c>
      <c r="M737" s="7"/>
      <c r="R737" s="7" t="s">
        <v>3544</v>
      </c>
    </row>
    <row r="738" spans="12:18">
      <c r="L738" s="7" t="s">
        <v>3545</v>
      </c>
      <c r="M738" s="7"/>
      <c r="R738" s="7" t="s">
        <v>3546</v>
      </c>
    </row>
    <row r="739" spans="12:18">
      <c r="L739" s="7" t="s">
        <v>3547</v>
      </c>
      <c r="M739" s="7"/>
      <c r="R739" s="7" t="s">
        <v>3548</v>
      </c>
    </row>
    <row r="740" spans="12:18">
      <c r="L740" s="7" t="s">
        <v>3549</v>
      </c>
      <c r="M740" s="7"/>
      <c r="R740" s="7" t="s">
        <v>3550</v>
      </c>
    </row>
    <row r="741" spans="12:18">
      <c r="L741" s="7" t="s">
        <v>3551</v>
      </c>
      <c r="M741" s="7"/>
      <c r="R741" s="7" t="s">
        <v>3552</v>
      </c>
    </row>
    <row r="742" spans="12:18">
      <c r="L742" s="7" t="s">
        <v>3553</v>
      </c>
      <c r="M742" s="7"/>
      <c r="R742" s="7" t="s">
        <v>3554</v>
      </c>
    </row>
    <row r="743" spans="12:18">
      <c r="L743" s="7" t="s">
        <v>3555</v>
      </c>
      <c r="M743" s="7"/>
      <c r="R743" s="7" t="s">
        <v>3556</v>
      </c>
    </row>
    <row r="744" spans="12:18">
      <c r="L744" s="7" t="s">
        <v>3557</v>
      </c>
      <c r="M744" s="7"/>
      <c r="R744" s="7" t="s">
        <v>3558</v>
      </c>
    </row>
    <row r="745" spans="12:18">
      <c r="L745" s="7" t="s">
        <v>3559</v>
      </c>
      <c r="M745" s="7"/>
      <c r="R745" s="7" t="s">
        <v>3560</v>
      </c>
    </row>
    <row r="746" spans="12:18">
      <c r="L746" s="7" t="s">
        <v>3561</v>
      </c>
      <c r="M746" s="7"/>
      <c r="R746" s="7" t="s">
        <v>3562</v>
      </c>
    </row>
    <row r="747" spans="12:18">
      <c r="L747" s="7" t="s">
        <v>3563</v>
      </c>
      <c r="M747" s="7"/>
      <c r="R747" s="7" t="s">
        <v>3564</v>
      </c>
    </row>
    <row r="748" spans="12:18">
      <c r="L748" s="7" t="s">
        <v>3565</v>
      </c>
      <c r="M748" s="7"/>
      <c r="R748" s="7" t="s">
        <v>3566</v>
      </c>
    </row>
    <row r="749" spans="12:18">
      <c r="L749" s="7" t="s">
        <v>3567</v>
      </c>
      <c r="M749" s="7"/>
      <c r="R749" s="7" t="s">
        <v>3568</v>
      </c>
    </row>
    <row r="750" spans="12:18">
      <c r="L750" s="7" t="s">
        <v>3569</v>
      </c>
      <c r="M750" s="7"/>
      <c r="R750" s="7" t="s">
        <v>3570</v>
      </c>
    </row>
    <row r="751" spans="12:18">
      <c r="L751" s="7" t="s">
        <v>3571</v>
      </c>
      <c r="M751" s="7"/>
      <c r="R751" s="7" t="s">
        <v>3572</v>
      </c>
    </row>
    <row r="752" spans="12:18">
      <c r="L752" s="7" t="s">
        <v>3573</v>
      </c>
      <c r="M752" s="7"/>
      <c r="R752" s="7" t="s">
        <v>3574</v>
      </c>
    </row>
    <row r="753" spans="12:18">
      <c r="L753" s="7" t="s">
        <v>3575</v>
      </c>
      <c r="M753" s="7"/>
      <c r="R753" s="7" t="s">
        <v>3576</v>
      </c>
    </row>
    <row r="754" spans="12:18">
      <c r="L754" s="7" t="s">
        <v>3577</v>
      </c>
      <c r="M754" s="7"/>
      <c r="R754" s="7" t="s">
        <v>3578</v>
      </c>
    </row>
    <row r="755" spans="12:18">
      <c r="L755" s="7" t="s">
        <v>3579</v>
      </c>
      <c r="M755" s="7"/>
      <c r="R755" s="7" t="s">
        <v>3580</v>
      </c>
    </row>
    <row r="756" spans="12:18">
      <c r="L756" s="7" t="s">
        <v>3581</v>
      </c>
      <c r="M756" s="7"/>
      <c r="R756" s="7" t="s">
        <v>3582</v>
      </c>
    </row>
    <row r="757" spans="12:18">
      <c r="L757" s="7" t="s">
        <v>3583</v>
      </c>
      <c r="M757" s="7"/>
      <c r="R757" s="7" t="s">
        <v>3584</v>
      </c>
    </row>
    <row r="758" spans="12:18">
      <c r="L758" s="7" t="s">
        <v>3585</v>
      </c>
      <c r="M758" s="7"/>
      <c r="R758" s="7" t="s">
        <v>3586</v>
      </c>
    </row>
    <row r="759" spans="12:18">
      <c r="L759" s="7" t="s">
        <v>3587</v>
      </c>
      <c r="M759" s="7"/>
      <c r="R759" s="7" t="s">
        <v>3588</v>
      </c>
    </row>
    <row r="760" spans="12:18">
      <c r="L760" s="7" t="s">
        <v>3589</v>
      </c>
      <c r="M760" s="7"/>
      <c r="R760" s="7" t="s">
        <v>3590</v>
      </c>
    </row>
    <row r="761" spans="12:18">
      <c r="L761" s="7" t="s">
        <v>3591</v>
      </c>
      <c r="M761" s="7"/>
      <c r="R761" s="7" t="s">
        <v>3592</v>
      </c>
    </row>
    <row r="762" spans="12:18">
      <c r="L762" s="7" t="s">
        <v>3593</v>
      </c>
      <c r="M762" s="7"/>
      <c r="R762" s="7" t="s">
        <v>3594</v>
      </c>
    </row>
    <row r="763" spans="12:18">
      <c r="L763" s="7" t="s">
        <v>3595</v>
      </c>
      <c r="M763" s="7"/>
      <c r="R763" s="7" t="s">
        <v>3596</v>
      </c>
    </row>
    <row r="764" spans="12:18">
      <c r="L764" s="7" t="s">
        <v>3597</v>
      </c>
      <c r="M764" s="7"/>
      <c r="R764" s="7" t="s">
        <v>3598</v>
      </c>
    </row>
    <row r="765" spans="12:18">
      <c r="L765" s="7" t="s">
        <v>3599</v>
      </c>
      <c r="M765" s="7"/>
      <c r="R765" s="7" t="s">
        <v>3600</v>
      </c>
    </row>
    <row r="766" spans="12:18">
      <c r="L766" s="7" t="s">
        <v>3601</v>
      </c>
      <c r="M766" s="7"/>
      <c r="R766" s="7" t="s">
        <v>3602</v>
      </c>
    </row>
    <row r="767" spans="12:18">
      <c r="L767" s="7" t="s">
        <v>3603</v>
      </c>
      <c r="M767" s="7"/>
      <c r="R767" s="7" t="s">
        <v>3604</v>
      </c>
    </row>
    <row r="768" spans="12:18">
      <c r="L768" s="7" t="s">
        <v>3605</v>
      </c>
      <c r="M768" s="7"/>
      <c r="R768" s="7" t="s">
        <v>3606</v>
      </c>
    </row>
    <row r="769" spans="12:18">
      <c r="L769" s="7" t="s">
        <v>3607</v>
      </c>
      <c r="M769" s="7"/>
      <c r="R769" s="7" t="s">
        <v>3608</v>
      </c>
    </row>
    <row r="770" spans="12:18">
      <c r="L770" s="7" t="s">
        <v>3609</v>
      </c>
      <c r="M770" s="7"/>
      <c r="R770" s="7" t="s">
        <v>3610</v>
      </c>
    </row>
    <row r="771" spans="12:18">
      <c r="L771" s="7" t="s">
        <v>3611</v>
      </c>
      <c r="M771" s="7"/>
      <c r="R771" s="7" t="s">
        <v>3612</v>
      </c>
    </row>
    <row r="772" spans="12:18">
      <c r="L772" s="7" t="s">
        <v>3613</v>
      </c>
      <c r="M772" s="7"/>
      <c r="R772" s="7" t="s">
        <v>3614</v>
      </c>
    </row>
    <row r="773" spans="12:18">
      <c r="L773" s="7" t="s">
        <v>3615</v>
      </c>
      <c r="M773" s="7"/>
      <c r="R773" s="7" t="s">
        <v>3616</v>
      </c>
    </row>
    <row r="774" spans="12:18">
      <c r="L774" s="7" t="s">
        <v>3617</v>
      </c>
      <c r="M774" s="7"/>
      <c r="R774" s="7" t="s">
        <v>3618</v>
      </c>
    </row>
    <row r="775" spans="12:18">
      <c r="L775" s="7" t="s">
        <v>3619</v>
      </c>
      <c r="M775" s="7"/>
      <c r="R775" s="7" t="s">
        <v>3620</v>
      </c>
    </row>
    <row r="776" spans="12:18">
      <c r="L776" s="7" t="s">
        <v>3621</v>
      </c>
      <c r="M776" s="7"/>
      <c r="R776" s="7" t="s">
        <v>3622</v>
      </c>
    </row>
    <row r="777" spans="12:18">
      <c r="L777" s="7" t="s">
        <v>3623</v>
      </c>
      <c r="M777" s="7"/>
      <c r="R777" s="7" t="s">
        <v>3624</v>
      </c>
    </row>
    <row r="778" spans="12:18">
      <c r="L778" s="7" t="s">
        <v>3625</v>
      </c>
      <c r="M778" s="7"/>
      <c r="R778" s="7" t="s">
        <v>3626</v>
      </c>
    </row>
    <row r="779" spans="12:18">
      <c r="L779" s="7" t="s">
        <v>3627</v>
      </c>
      <c r="M779" s="7"/>
      <c r="R779" s="7" t="s">
        <v>3628</v>
      </c>
    </row>
    <row r="780" spans="12:18">
      <c r="L780" s="7" t="s">
        <v>3629</v>
      </c>
      <c r="M780" s="7"/>
      <c r="R780" s="7" t="s">
        <v>3630</v>
      </c>
    </row>
    <row r="781" spans="12:18">
      <c r="L781" s="7" t="s">
        <v>3631</v>
      </c>
      <c r="M781" s="7"/>
      <c r="R781" s="7" t="s">
        <v>3632</v>
      </c>
    </row>
    <row r="782" spans="12:18">
      <c r="L782" s="7" t="s">
        <v>3633</v>
      </c>
      <c r="M782" s="7"/>
      <c r="R782" s="7" t="s">
        <v>3634</v>
      </c>
    </row>
    <row r="783" spans="12:18">
      <c r="L783" s="7" t="s">
        <v>3635</v>
      </c>
      <c r="M783" s="7"/>
      <c r="R783" s="7" t="s">
        <v>3636</v>
      </c>
    </row>
    <row r="784" spans="12:18">
      <c r="L784" s="7" t="s">
        <v>3637</v>
      </c>
      <c r="M784" s="7"/>
      <c r="R784" s="7" t="s">
        <v>3638</v>
      </c>
    </row>
    <row r="785" spans="12:18">
      <c r="L785" s="7" t="s">
        <v>3639</v>
      </c>
      <c r="M785" s="7"/>
      <c r="R785" s="7" t="s">
        <v>3640</v>
      </c>
    </row>
    <row r="786" spans="12:18">
      <c r="L786" s="7" t="s">
        <v>3641</v>
      </c>
      <c r="M786" s="7"/>
      <c r="R786" s="7" t="s">
        <v>3642</v>
      </c>
    </row>
    <row r="787" spans="12:18">
      <c r="L787" s="7" t="s">
        <v>3643</v>
      </c>
      <c r="M787" s="7"/>
      <c r="R787" s="7" t="s">
        <v>3644</v>
      </c>
    </row>
    <row r="788" spans="12:18">
      <c r="L788" s="7" t="s">
        <v>3645</v>
      </c>
      <c r="M788" s="7"/>
      <c r="R788" s="7" t="s">
        <v>3646</v>
      </c>
    </row>
    <row r="789" spans="12:18">
      <c r="L789" s="7" t="s">
        <v>3647</v>
      </c>
      <c r="M789" s="7"/>
      <c r="R789" s="7" t="s">
        <v>3648</v>
      </c>
    </row>
    <row r="790" spans="12:18">
      <c r="L790" s="7" t="s">
        <v>3649</v>
      </c>
      <c r="M790" s="7"/>
      <c r="R790" s="7" t="s">
        <v>3650</v>
      </c>
    </row>
    <row r="791" spans="12:18">
      <c r="L791" s="7" t="s">
        <v>3651</v>
      </c>
      <c r="M791" s="7"/>
      <c r="R791" s="7" t="s">
        <v>3652</v>
      </c>
    </row>
    <row r="792" spans="12:18">
      <c r="L792" s="7" t="s">
        <v>3653</v>
      </c>
      <c r="M792" s="7"/>
      <c r="R792" s="7" t="s">
        <v>3654</v>
      </c>
    </row>
    <row r="793" spans="12:18">
      <c r="L793" s="7" t="s">
        <v>3655</v>
      </c>
      <c r="M793" s="7"/>
      <c r="R793" s="7" t="s">
        <v>3656</v>
      </c>
    </row>
    <row r="794" spans="12:18">
      <c r="L794" s="7" t="s">
        <v>3657</v>
      </c>
      <c r="M794" s="7"/>
      <c r="R794" s="7" t="s">
        <v>3658</v>
      </c>
    </row>
    <row r="795" spans="12:18">
      <c r="L795" s="7" t="s">
        <v>3659</v>
      </c>
      <c r="M795" s="7"/>
      <c r="R795" s="7" t="s">
        <v>3660</v>
      </c>
    </row>
    <row r="796" spans="12:18">
      <c r="L796" s="7" t="s">
        <v>3661</v>
      </c>
      <c r="M796" s="7"/>
      <c r="R796" s="7" t="s">
        <v>3662</v>
      </c>
    </row>
    <row r="797" spans="12:18">
      <c r="L797" s="7" t="s">
        <v>3663</v>
      </c>
      <c r="M797" s="7"/>
      <c r="R797" s="7" t="s">
        <v>3664</v>
      </c>
    </row>
    <row r="798" spans="12:18">
      <c r="L798" s="7" t="s">
        <v>3665</v>
      </c>
      <c r="M798" s="7"/>
      <c r="R798" s="7" t="s">
        <v>3666</v>
      </c>
    </row>
    <row r="799" spans="12:18">
      <c r="L799" s="7" t="s">
        <v>3667</v>
      </c>
      <c r="M799" s="7"/>
      <c r="R799" s="7" t="s">
        <v>3668</v>
      </c>
    </row>
    <row r="800" spans="12:18">
      <c r="L800" s="7" t="s">
        <v>3669</v>
      </c>
      <c r="M800" s="7"/>
      <c r="R800" s="7" t="s">
        <v>3670</v>
      </c>
    </row>
    <row r="801" spans="12:18">
      <c r="L801" s="7" t="s">
        <v>3671</v>
      </c>
      <c r="M801" s="7"/>
      <c r="R801" s="7" t="s">
        <v>3672</v>
      </c>
    </row>
    <row r="802" spans="12:18">
      <c r="L802" s="7" t="s">
        <v>3673</v>
      </c>
      <c r="M802" s="7"/>
      <c r="R802" s="7" t="s">
        <v>3674</v>
      </c>
    </row>
    <row r="803" spans="12:18">
      <c r="L803" s="7" t="s">
        <v>3675</v>
      </c>
      <c r="M803" s="7"/>
      <c r="R803" s="7" t="s">
        <v>3676</v>
      </c>
    </row>
    <row r="804" spans="12:18">
      <c r="L804" s="7" t="s">
        <v>3677</v>
      </c>
      <c r="M804" s="7"/>
      <c r="R804" s="7" t="s">
        <v>3678</v>
      </c>
    </row>
    <row r="805" spans="12:18">
      <c r="L805" s="7" t="s">
        <v>3679</v>
      </c>
      <c r="M805" s="7"/>
      <c r="R805" s="7" t="s">
        <v>3680</v>
      </c>
    </row>
    <row r="806" spans="12:18">
      <c r="L806" s="7" t="s">
        <v>3681</v>
      </c>
      <c r="M806" s="7"/>
      <c r="R806" s="7" t="s">
        <v>3682</v>
      </c>
    </row>
    <row r="807" spans="12:18">
      <c r="L807" s="7" t="s">
        <v>3683</v>
      </c>
      <c r="M807" s="7"/>
      <c r="R807" s="7" t="s">
        <v>3684</v>
      </c>
    </row>
    <row r="808" spans="12:18">
      <c r="L808" s="7" t="s">
        <v>3685</v>
      </c>
      <c r="M808" s="7"/>
      <c r="R808" s="7" t="s">
        <v>3686</v>
      </c>
    </row>
    <row r="809" spans="12:18">
      <c r="L809" s="7" t="s">
        <v>3687</v>
      </c>
      <c r="M809" s="7"/>
      <c r="R809" s="7" t="s">
        <v>3688</v>
      </c>
    </row>
    <row r="810" spans="12:18">
      <c r="L810" s="7" t="s">
        <v>3689</v>
      </c>
      <c r="M810" s="7"/>
      <c r="R810" s="7" t="s">
        <v>3690</v>
      </c>
    </row>
    <row r="811" spans="12:18">
      <c r="L811" s="7" t="s">
        <v>3691</v>
      </c>
      <c r="M811" s="7"/>
      <c r="R811" s="7" t="s">
        <v>3692</v>
      </c>
    </row>
    <row r="812" spans="12:18">
      <c r="L812" s="7" t="s">
        <v>3693</v>
      </c>
      <c r="M812" s="7"/>
      <c r="R812" s="7" t="s">
        <v>3694</v>
      </c>
    </row>
    <row r="813" spans="12:18">
      <c r="L813" s="7" t="s">
        <v>3695</v>
      </c>
      <c r="M813" s="7"/>
      <c r="R813" s="7" t="s">
        <v>3696</v>
      </c>
    </row>
    <row r="814" spans="12:18">
      <c r="L814" s="7" t="s">
        <v>3697</v>
      </c>
      <c r="M814" s="7"/>
      <c r="R814" s="7" t="s">
        <v>3698</v>
      </c>
    </row>
    <row r="815" spans="12:18">
      <c r="L815" s="7" t="s">
        <v>3699</v>
      </c>
      <c r="M815" s="7"/>
      <c r="R815" s="7" t="s">
        <v>3700</v>
      </c>
    </row>
    <row r="816" spans="12:18">
      <c r="L816" s="7" t="s">
        <v>3701</v>
      </c>
      <c r="M816" s="7"/>
      <c r="R816" s="7" t="s">
        <v>3702</v>
      </c>
    </row>
    <row r="817" spans="12:18">
      <c r="L817" s="7" t="s">
        <v>3703</v>
      </c>
      <c r="M817" s="7"/>
      <c r="R817" s="7" t="s">
        <v>3704</v>
      </c>
    </row>
    <row r="818" spans="12:18">
      <c r="L818" s="7" t="s">
        <v>3705</v>
      </c>
      <c r="M818" s="7"/>
      <c r="R818" s="7" t="s">
        <v>3706</v>
      </c>
    </row>
    <row r="819" spans="12:18">
      <c r="L819" s="7" t="s">
        <v>3707</v>
      </c>
      <c r="M819" s="7"/>
      <c r="R819" s="7" t="s">
        <v>3708</v>
      </c>
    </row>
    <row r="820" spans="12:18">
      <c r="L820" s="7" t="s">
        <v>3709</v>
      </c>
      <c r="M820" s="7"/>
      <c r="R820" s="7" t="s">
        <v>3710</v>
      </c>
    </row>
    <row r="821" spans="12:18">
      <c r="L821" s="7" t="s">
        <v>3711</v>
      </c>
      <c r="M821" s="7"/>
      <c r="R821" s="7" t="s">
        <v>3712</v>
      </c>
    </row>
    <row r="822" spans="12:18">
      <c r="L822" s="7" t="s">
        <v>3713</v>
      </c>
      <c r="M822" s="7"/>
      <c r="R822" s="7" t="s">
        <v>3714</v>
      </c>
    </row>
    <row r="823" spans="12:18">
      <c r="L823" s="7" t="s">
        <v>3715</v>
      </c>
      <c r="M823" s="7"/>
      <c r="R823" s="7" t="s">
        <v>3716</v>
      </c>
    </row>
    <row r="824" spans="12:18">
      <c r="L824" s="7" t="s">
        <v>3717</v>
      </c>
      <c r="M824" s="7"/>
      <c r="R824" s="7" t="s">
        <v>3718</v>
      </c>
    </row>
    <row r="825" spans="12:18">
      <c r="L825" s="7" t="s">
        <v>3719</v>
      </c>
      <c r="M825" s="7"/>
      <c r="R825" s="7" t="s">
        <v>3720</v>
      </c>
    </row>
    <row r="826" spans="12:18">
      <c r="L826" s="7" t="s">
        <v>3721</v>
      </c>
      <c r="M826" s="7"/>
      <c r="R826" s="7" t="s">
        <v>3722</v>
      </c>
    </row>
    <row r="827" spans="12:18">
      <c r="L827" s="7" t="s">
        <v>3723</v>
      </c>
      <c r="M827" s="7"/>
      <c r="R827" s="7" t="s">
        <v>3724</v>
      </c>
    </row>
    <row r="828" spans="12:18">
      <c r="L828" s="7" t="s">
        <v>3725</v>
      </c>
      <c r="M828" s="7"/>
      <c r="R828" s="7" t="s">
        <v>3726</v>
      </c>
    </row>
    <row r="829" spans="12:18">
      <c r="L829" s="7" t="s">
        <v>3727</v>
      </c>
      <c r="M829" s="7"/>
      <c r="R829" s="7" t="s">
        <v>3728</v>
      </c>
    </row>
    <row r="830" spans="12:18">
      <c r="L830" s="7" t="s">
        <v>3729</v>
      </c>
      <c r="M830" s="7"/>
      <c r="R830" s="7" t="s">
        <v>3730</v>
      </c>
    </row>
    <row r="831" spans="12:18">
      <c r="L831" s="7" t="s">
        <v>3731</v>
      </c>
      <c r="M831" s="7"/>
      <c r="R831" s="7" t="s">
        <v>3732</v>
      </c>
    </row>
    <row r="832" spans="12:18">
      <c r="L832" s="7" t="s">
        <v>3733</v>
      </c>
      <c r="M832" s="7"/>
      <c r="R832" s="7" t="s">
        <v>3734</v>
      </c>
    </row>
    <row r="833" spans="12:18">
      <c r="L833" s="7" t="s">
        <v>3735</v>
      </c>
      <c r="M833" s="7"/>
      <c r="R833" s="7" t="s">
        <v>3736</v>
      </c>
    </row>
    <row r="834" spans="12:18">
      <c r="L834" s="7" t="s">
        <v>3737</v>
      </c>
      <c r="M834" s="7"/>
      <c r="R834" s="7" t="s">
        <v>3738</v>
      </c>
    </row>
    <row r="835" spans="12:18">
      <c r="L835" s="7" t="s">
        <v>3739</v>
      </c>
      <c r="M835" s="7"/>
      <c r="R835" s="7" t="s">
        <v>3740</v>
      </c>
    </row>
    <row r="836" spans="12:18">
      <c r="L836" s="7" t="s">
        <v>3741</v>
      </c>
      <c r="M836" s="7"/>
      <c r="R836" s="7" t="s">
        <v>3742</v>
      </c>
    </row>
    <row r="837" spans="12:18">
      <c r="L837" s="7" t="s">
        <v>3743</v>
      </c>
      <c r="M837" s="7"/>
      <c r="R837" s="7" t="s">
        <v>3744</v>
      </c>
    </row>
    <row r="838" spans="12:18">
      <c r="L838" s="7" t="s">
        <v>3745</v>
      </c>
      <c r="M838" s="7"/>
      <c r="R838" s="7" t="s">
        <v>3746</v>
      </c>
    </row>
    <row r="839" spans="12:18">
      <c r="L839" s="7" t="s">
        <v>3747</v>
      </c>
      <c r="M839" s="7"/>
      <c r="R839" s="7" t="s">
        <v>3748</v>
      </c>
    </row>
    <row r="840" spans="12:18">
      <c r="L840" s="7" t="s">
        <v>3749</v>
      </c>
      <c r="M840" s="7"/>
      <c r="R840" s="7" t="s">
        <v>3750</v>
      </c>
    </row>
    <row r="841" spans="12:18">
      <c r="L841" s="7" t="s">
        <v>3751</v>
      </c>
      <c r="M841" s="7"/>
      <c r="R841" s="7" t="s">
        <v>3752</v>
      </c>
    </row>
    <row r="842" spans="12:18">
      <c r="L842" s="7" t="s">
        <v>3753</v>
      </c>
      <c r="M842" s="7"/>
      <c r="R842" s="7" t="s">
        <v>3754</v>
      </c>
    </row>
    <row r="843" spans="12:18">
      <c r="L843" s="7" t="s">
        <v>3755</v>
      </c>
      <c r="M843" s="7"/>
      <c r="R843" s="7" t="s">
        <v>3756</v>
      </c>
    </row>
    <row r="844" spans="12:18">
      <c r="L844" s="7" t="s">
        <v>3757</v>
      </c>
      <c r="M844" s="7"/>
      <c r="R844" s="7" t="s">
        <v>3758</v>
      </c>
    </row>
    <row r="845" spans="12:18">
      <c r="L845" s="7" t="s">
        <v>3759</v>
      </c>
      <c r="M845" s="7"/>
      <c r="R845" s="7" t="s">
        <v>3760</v>
      </c>
    </row>
    <row r="846" spans="12:18">
      <c r="L846" s="7" t="s">
        <v>3761</v>
      </c>
      <c r="M846" s="7"/>
      <c r="R846" s="7" t="s">
        <v>3762</v>
      </c>
    </row>
    <row r="847" spans="12:18">
      <c r="L847" s="7" t="s">
        <v>3763</v>
      </c>
      <c r="M847" s="7"/>
      <c r="R847" s="7" t="s">
        <v>3764</v>
      </c>
    </row>
    <row r="848" spans="12:18">
      <c r="L848" s="7" t="s">
        <v>3765</v>
      </c>
      <c r="M848" s="7"/>
      <c r="R848" s="7" t="s">
        <v>3766</v>
      </c>
    </row>
    <row r="849" spans="12:18">
      <c r="L849" s="7" t="s">
        <v>3767</v>
      </c>
      <c r="M849" s="7"/>
      <c r="R849" s="7" t="s">
        <v>3768</v>
      </c>
    </row>
    <row r="850" spans="12:18">
      <c r="L850" s="7" t="s">
        <v>3769</v>
      </c>
      <c r="M850" s="7"/>
      <c r="R850" s="7" t="s">
        <v>3770</v>
      </c>
    </row>
    <row r="851" spans="12:18">
      <c r="L851" s="7" t="s">
        <v>3771</v>
      </c>
      <c r="M851" s="7"/>
      <c r="R851" s="7" t="s">
        <v>3772</v>
      </c>
    </row>
    <row r="852" spans="12:18">
      <c r="L852" s="7" t="s">
        <v>3773</v>
      </c>
      <c r="M852" s="7"/>
      <c r="R852" s="7" t="s">
        <v>3774</v>
      </c>
    </row>
    <row r="853" spans="12:18">
      <c r="L853" s="7" t="s">
        <v>3775</v>
      </c>
      <c r="M853" s="7"/>
      <c r="R853" s="7" t="s">
        <v>3776</v>
      </c>
    </row>
    <row r="854" spans="12:18">
      <c r="L854" s="7" t="s">
        <v>3777</v>
      </c>
      <c r="M854" s="7"/>
      <c r="R854" s="7" t="s">
        <v>3778</v>
      </c>
    </row>
    <row r="855" spans="12:18">
      <c r="L855" s="7" t="s">
        <v>3779</v>
      </c>
      <c r="M855" s="7"/>
      <c r="R855" s="7" t="s">
        <v>3780</v>
      </c>
    </row>
    <row r="856" spans="12:18">
      <c r="L856" s="7" t="s">
        <v>3781</v>
      </c>
      <c r="M856" s="7"/>
      <c r="R856" s="7" t="s">
        <v>3782</v>
      </c>
    </row>
    <row r="857" spans="12:18">
      <c r="L857" s="7" t="s">
        <v>3783</v>
      </c>
      <c r="M857" s="7"/>
      <c r="R857" s="7" t="s">
        <v>3784</v>
      </c>
    </row>
    <row r="858" spans="12:18">
      <c r="L858" s="7" t="s">
        <v>3785</v>
      </c>
      <c r="M858" s="7"/>
      <c r="R858" s="7" t="s">
        <v>3786</v>
      </c>
    </row>
    <row r="859" spans="12:18">
      <c r="L859" s="7" t="s">
        <v>3787</v>
      </c>
      <c r="M859" s="7"/>
      <c r="R859" s="7" t="s">
        <v>3788</v>
      </c>
    </row>
    <row r="860" spans="12:18">
      <c r="L860" s="7" t="s">
        <v>3789</v>
      </c>
      <c r="M860" s="7"/>
      <c r="R860" s="7" t="s">
        <v>3790</v>
      </c>
    </row>
    <row r="861" spans="12:18">
      <c r="L861" s="7" t="s">
        <v>3791</v>
      </c>
      <c r="M861" s="7"/>
      <c r="R861" s="7" t="s">
        <v>3792</v>
      </c>
    </row>
    <row r="862" spans="12:18">
      <c r="L862" s="7" t="s">
        <v>3793</v>
      </c>
      <c r="M862" s="7"/>
      <c r="R862" s="7" t="s">
        <v>3794</v>
      </c>
    </row>
    <row r="863" spans="12:18">
      <c r="L863" s="7" t="s">
        <v>3795</v>
      </c>
      <c r="M863" s="7"/>
      <c r="R863" s="7" t="s">
        <v>3796</v>
      </c>
    </row>
    <row r="864" spans="12:18">
      <c r="L864" s="7" t="s">
        <v>3797</v>
      </c>
      <c r="M864" s="7"/>
      <c r="R864" s="7" t="s">
        <v>3798</v>
      </c>
    </row>
    <row r="865" spans="12:18">
      <c r="L865" s="7" t="s">
        <v>3799</v>
      </c>
      <c r="M865" s="7"/>
      <c r="R865" s="7" t="s">
        <v>3800</v>
      </c>
    </row>
    <row r="866" spans="12:18">
      <c r="L866" s="7" t="s">
        <v>3801</v>
      </c>
      <c r="M866" s="7"/>
      <c r="R866" s="7" t="s">
        <v>3802</v>
      </c>
    </row>
    <row r="867" spans="12:18">
      <c r="L867" s="7" t="s">
        <v>3803</v>
      </c>
      <c r="M867" s="7"/>
      <c r="R867" s="7" t="s">
        <v>3804</v>
      </c>
    </row>
    <row r="868" spans="12:18">
      <c r="L868" s="7" t="s">
        <v>3805</v>
      </c>
      <c r="M868" s="7"/>
      <c r="R868" s="7" t="s">
        <v>3806</v>
      </c>
    </row>
    <row r="869" spans="12:18">
      <c r="L869" s="7" t="s">
        <v>3807</v>
      </c>
      <c r="M869" s="7"/>
      <c r="R869" s="7" t="s">
        <v>3808</v>
      </c>
    </row>
    <row r="870" spans="12:18">
      <c r="L870" s="7" t="s">
        <v>3809</v>
      </c>
      <c r="M870" s="7"/>
      <c r="R870" s="7" t="s">
        <v>3810</v>
      </c>
    </row>
    <row r="871" spans="12:18">
      <c r="L871" s="7" t="s">
        <v>3811</v>
      </c>
      <c r="M871" s="7"/>
      <c r="R871" s="7" t="s">
        <v>3812</v>
      </c>
    </row>
    <row r="872" spans="12:18">
      <c r="L872" s="7" t="s">
        <v>3813</v>
      </c>
      <c r="M872" s="7"/>
      <c r="R872" s="7" t="s">
        <v>3814</v>
      </c>
    </row>
    <row r="873" spans="12:18">
      <c r="L873" s="7" t="s">
        <v>3815</v>
      </c>
      <c r="M873" s="7"/>
      <c r="R873" s="7" t="s">
        <v>3816</v>
      </c>
    </row>
    <row r="874" spans="12:18">
      <c r="L874" s="7" t="s">
        <v>3817</v>
      </c>
      <c r="M874" s="7"/>
      <c r="R874" s="7" t="s">
        <v>3818</v>
      </c>
    </row>
    <row r="875" spans="12:18">
      <c r="L875" s="7" t="s">
        <v>3819</v>
      </c>
      <c r="M875" s="7"/>
      <c r="R875" s="7" t="s">
        <v>3820</v>
      </c>
    </row>
    <row r="876" spans="12:18">
      <c r="L876" s="7" t="s">
        <v>3821</v>
      </c>
      <c r="M876" s="7"/>
      <c r="R876" s="7" t="s">
        <v>3822</v>
      </c>
    </row>
    <row r="877" spans="12:18">
      <c r="L877" s="7" t="s">
        <v>3823</v>
      </c>
      <c r="M877" s="7"/>
      <c r="R877" s="7" t="s">
        <v>3824</v>
      </c>
    </row>
    <row r="878" spans="12:18">
      <c r="L878" s="7" t="s">
        <v>3825</v>
      </c>
      <c r="M878" s="7"/>
      <c r="R878" s="7" t="s">
        <v>3826</v>
      </c>
    </row>
    <row r="879" spans="12:18">
      <c r="L879" s="7" t="s">
        <v>3827</v>
      </c>
      <c r="M879" s="7"/>
      <c r="R879" s="7" t="s">
        <v>3828</v>
      </c>
    </row>
    <row r="880" spans="12:18">
      <c r="L880" s="7" t="s">
        <v>3829</v>
      </c>
      <c r="M880" s="7"/>
      <c r="R880" s="7" t="s">
        <v>3830</v>
      </c>
    </row>
    <row r="881" spans="12:18">
      <c r="L881" s="7" t="s">
        <v>3831</v>
      </c>
      <c r="M881" s="7"/>
      <c r="R881" s="7" t="s">
        <v>3832</v>
      </c>
    </row>
    <row r="882" spans="12:18">
      <c r="L882" s="7" t="s">
        <v>3833</v>
      </c>
      <c r="M882" s="7"/>
      <c r="R882" s="7" t="s">
        <v>3834</v>
      </c>
    </row>
    <row r="883" spans="12:18">
      <c r="L883" s="7" t="s">
        <v>3835</v>
      </c>
      <c r="M883" s="7"/>
      <c r="R883" s="7" t="s">
        <v>3836</v>
      </c>
    </row>
    <row r="884" spans="12:18">
      <c r="L884" s="7" t="s">
        <v>3837</v>
      </c>
      <c r="M884" s="7"/>
      <c r="R884" s="7" t="s">
        <v>3838</v>
      </c>
    </row>
    <row r="885" spans="12:18">
      <c r="L885" s="7" t="s">
        <v>3839</v>
      </c>
      <c r="M885" s="7"/>
      <c r="R885" s="7" t="s">
        <v>3840</v>
      </c>
    </row>
    <row r="886" spans="12:18">
      <c r="L886" s="7" t="s">
        <v>3841</v>
      </c>
      <c r="M886" s="7"/>
      <c r="R886" s="7" t="s">
        <v>3842</v>
      </c>
    </row>
    <row r="887" spans="12:18">
      <c r="L887" s="7" t="s">
        <v>3843</v>
      </c>
      <c r="M887" s="7"/>
      <c r="R887" s="7" t="s">
        <v>3844</v>
      </c>
    </row>
    <row r="888" spans="12:18">
      <c r="L888" s="7" t="s">
        <v>3845</v>
      </c>
      <c r="M888" s="7"/>
      <c r="R888" s="7" t="s">
        <v>3846</v>
      </c>
    </row>
    <row r="889" spans="12:18">
      <c r="L889" s="7" t="s">
        <v>3847</v>
      </c>
      <c r="M889" s="7"/>
      <c r="R889" s="7" t="s">
        <v>3848</v>
      </c>
    </row>
    <row r="890" spans="12:18">
      <c r="L890" s="7" t="s">
        <v>3849</v>
      </c>
      <c r="M890" s="7"/>
      <c r="R890" s="7" t="s">
        <v>3850</v>
      </c>
    </row>
    <row r="891" spans="12:18">
      <c r="L891" s="7" t="s">
        <v>3851</v>
      </c>
      <c r="M891" s="7"/>
      <c r="R891" s="7" t="s">
        <v>3852</v>
      </c>
    </row>
    <row r="892" spans="12:18">
      <c r="L892" s="7" t="s">
        <v>3853</v>
      </c>
      <c r="M892" s="7"/>
      <c r="R892" s="7" t="s">
        <v>3854</v>
      </c>
    </row>
    <row r="893" spans="12:18">
      <c r="L893" s="7" t="s">
        <v>3855</v>
      </c>
      <c r="M893" s="7"/>
      <c r="R893" s="7" t="s">
        <v>3856</v>
      </c>
    </row>
    <row r="894" spans="12:18">
      <c r="L894" s="7" t="s">
        <v>3857</v>
      </c>
      <c r="M894" s="7"/>
      <c r="R894" s="7" t="s">
        <v>3858</v>
      </c>
    </row>
    <row r="895" spans="12:18">
      <c r="L895" s="7" t="s">
        <v>3859</v>
      </c>
      <c r="M895" s="7"/>
      <c r="R895" s="7" t="s">
        <v>3860</v>
      </c>
    </row>
    <row r="896" spans="12:18">
      <c r="L896" s="7" t="s">
        <v>3861</v>
      </c>
      <c r="M896" s="7"/>
      <c r="R896" s="7" t="s">
        <v>3862</v>
      </c>
    </row>
    <row r="897" spans="12:18">
      <c r="L897" s="7" t="s">
        <v>3863</v>
      </c>
      <c r="M897" s="7"/>
      <c r="R897" s="7" t="s">
        <v>3864</v>
      </c>
    </row>
    <row r="898" spans="12:18">
      <c r="L898" s="7" t="s">
        <v>3865</v>
      </c>
      <c r="M898" s="7"/>
      <c r="R898" s="7" t="s">
        <v>3866</v>
      </c>
    </row>
    <row r="899" spans="12:18">
      <c r="L899" s="7" t="s">
        <v>3867</v>
      </c>
      <c r="M899" s="7"/>
      <c r="R899" s="7" t="s">
        <v>3868</v>
      </c>
    </row>
    <row r="900" spans="12:18">
      <c r="L900" s="7" t="s">
        <v>3869</v>
      </c>
      <c r="M900" s="7"/>
      <c r="R900" s="7" t="s">
        <v>3870</v>
      </c>
    </row>
    <row r="901" spans="12:18">
      <c r="L901" s="7" t="s">
        <v>3871</v>
      </c>
      <c r="M901" s="7"/>
      <c r="R901" s="7" t="s">
        <v>3872</v>
      </c>
    </row>
    <row r="902" spans="12:18">
      <c r="L902" s="7" t="s">
        <v>3873</v>
      </c>
      <c r="M902" s="7"/>
      <c r="R902" s="7" t="s">
        <v>3874</v>
      </c>
    </row>
    <row r="903" spans="12:18">
      <c r="L903" s="7" t="s">
        <v>3875</v>
      </c>
      <c r="M903" s="7"/>
      <c r="R903" s="7" t="s">
        <v>3876</v>
      </c>
    </row>
    <row r="904" spans="12:18">
      <c r="L904" s="7" t="s">
        <v>3877</v>
      </c>
      <c r="M904" s="7"/>
      <c r="R904" s="7" t="s">
        <v>3878</v>
      </c>
    </row>
    <row r="905" spans="12:18">
      <c r="L905" s="7" t="s">
        <v>3879</v>
      </c>
      <c r="M905" s="7"/>
      <c r="R905" s="7" t="s">
        <v>3880</v>
      </c>
    </row>
    <row r="906" spans="12:18">
      <c r="L906" s="7" t="s">
        <v>3881</v>
      </c>
      <c r="M906" s="7"/>
      <c r="R906" s="7" t="s">
        <v>3882</v>
      </c>
    </row>
    <row r="907" spans="12:18">
      <c r="L907" s="7" t="s">
        <v>3883</v>
      </c>
      <c r="M907" s="7"/>
      <c r="R907" s="7" t="s">
        <v>3884</v>
      </c>
    </row>
    <row r="908" spans="12:18">
      <c r="L908" s="7" t="s">
        <v>3885</v>
      </c>
      <c r="M908" s="7"/>
      <c r="R908" s="7" t="s">
        <v>3886</v>
      </c>
    </row>
    <row r="909" spans="12:18">
      <c r="L909" s="7" t="s">
        <v>3887</v>
      </c>
      <c r="M909" s="7"/>
      <c r="R909" s="7" t="s">
        <v>3888</v>
      </c>
    </row>
    <row r="910" spans="12:18">
      <c r="L910" s="7" t="s">
        <v>3889</v>
      </c>
      <c r="M910" s="7"/>
      <c r="R910" s="7" t="s">
        <v>3890</v>
      </c>
    </row>
    <row r="911" spans="12:18">
      <c r="L911" s="7" t="s">
        <v>3891</v>
      </c>
      <c r="M911" s="7"/>
      <c r="R911" s="7" t="s">
        <v>3892</v>
      </c>
    </row>
    <row r="912" spans="12:18">
      <c r="L912" s="7" t="s">
        <v>3893</v>
      </c>
      <c r="M912" s="7"/>
      <c r="R912" s="7" t="s">
        <v>3894</v>
      </c>
    </row>
    <row r="913" spans="12:18">
      <c r="L913" s="7" t="s">
        <v>3895</v>
      </c>
      <c r="M913" s="7"/>
      <c r="R913" s="7" t="s">
        <v>3896</v>
      </c>
    </row>
    <row r="914" spans="12:18">
      <c r="L914" s="7" t="s">
        <v>3897</v>
      </c>
      <c r="M914" s="7"/>
      <c r="R914" s="7" t="s">
        <v>3898</v>
      </c>
    </row>
    <row r="915" spans="12:18">
      <c r="L915" s="7" t="s">
        <v>3899</v>
      </c>
      <c r="M915" s="7"/>
      <c r="R915" s="7" t="s">
        <v>3900</v>
      </c>
    </row>
    <row r="916" spans="12:18">
      <c r="L916" s="7" t="s">
        <v>3901</v>
      </c>
      <c r="M916" s="7"/>
      <c r="R916" s="7" t="s">
        <v>3902</v>
      </c>
    </row>
    <row r="917" spans="12:18">
      <c r="L917" s="7" t="s">
        <v>3903</v>
      </c>
      <c r="M917" s="7"/>
      <c r="R917" s="7" t="s">
        <v>3904</v>
      </c>
    </row>
    <row r="918" spans="12:18">
      <c r="L918" s="7" t="s">
        <v>3905</v>
      </c>
      <c r="M918" s="7"/>
      <c r="R918" s="7" t="s">
        <v>3906</v>
      </c>
    </row>
    <row r="919" spans="12:18">
      <c r="L919" s="7" t="s">
        <v>3907</v>
      </c>
      <c r="M919" s="7"/>
      <c r="R919" s="7" t="s">
        <v>3908</v>
      </c>
    </row>
    <row r="920" spans="12:18">
      <c r="L920" s="7" t="s">
        <v>3909</v>
      </c>
      <c r="M920" s="7"/>
      <c r="R920" s="7" t="s">
        <v>3910</v>
      </c>
    </row>
    <row r="921" spans="12:18">
      <c r="L921" s="7" t="s">
        <v>3911</v>
      </c>
      <c r="M921" s="7"/>
      <c r="R921" s="7" t="s">
        <v>3912</v>
      </c>
    </row>
    <row r="922" spans="12:18">
      <c r="L922" s="7" t="s">
        <v>3913</v>
      </c>
      <c r="M922" s="7"/>
      <c r="R922" s="7" t="s">
        <v>3914</v>
      </c>
    </row>
    <row r="923" spans="12:18">
      <c r="L923" s="7" t="s">
        <v>3915</v>
      </c>
      <c r="M923" s="7"/>
      <c r="R923" s="7" t="s">
        <v>3916</v>
      </c>
    </row>
    <row r="924" spans="12:18">
      <c r="L924" s="7" t="s">
        <v>3917</v>
      </c>
      <c r="M924" s="7"/>
      <c r="R924" s="7" t="s">
        <v>3918</v>
      </c>
    </row>
    <row r="925" spans="12:18">
      <c r="L925" s="7" t="s">
        <v>3919</v>
      </c>
      <c r="M925" s="7"/>
      <c r="R925" s="7" t="s">
        <v>3920</v>
      </c>
    </row>
    <row r="926" spans="12:18">
      <c r="L926" s="7" t="s">
        <v>3921</v>
      </c>
      <c r="M926" s="7"/>
      <c r="R926" s="7" t="s">
        <v>3922</v>
      </c>
    </row>
    <row r="927" spans="12:18">
      <c r="L927" s="7" t="s">
        <v>3923</v>
      </c>
      <c r="M927" s="7"/>
      <c r="R927" s="7" t="s">
        <v>3924</v>
      </c>
    </row>
    <row r="928" spans="12:18">
      <c r="L928" s="7" t="s">
        <v>3925</v>
      </c>
      <c r="M928" s="7"/>
      <c r="R928" s="7" t="s">
        <v>3926</v>
      </c>
    </row>
    <row r="929" spans="12:18">
      <c r="L929" s="7" t="s">
        <v>3927</v>
      </c>
      <c r="M929" s="7"/>
      <c r="R929" s="7" t="s">
        <v>3928</v>
      </c>
    </row>
    <row r="930" spans="12:18">
      <c r="L930" s="7" t="s">
        <v>3929</v>
      </c>
      <c r="M930" s="7"/>
      <c r="R930" s="7" t="s">
        <v>3930</v>
      </c>
    </row>
    <row r="931" spans="12:18">
      <c r="L931" s="7" t="s">
        <v>3931</v>
      </c>
      <c r="M931" s="7"/>
      <c r="R931" s="7" t="s">
        <v>3932</v>
      </c>
    </row>
    <row r="932" spans="12:18">
      <c r="L932" s="7" t="s">
        <v>3933</v>
      </c>
      <c r="M932" s="7"/>
      <c r="R932" s="7" t="s">
        <v>3934</v>
      </c>
    </row>
    <row r="933" spans="12:18">
      <c r="L933" s="7" t="s">
        <v>3935</v>
      </c>
      <c r="M933" s="7"/>
      <c r="R933" s="7" t="s">
        <v>3936</v>
      </c>
    </row>
    <row r="934" spans="12:18">
      <c r="L934" s="7" t="s">
        <v>3937</v>
      </c>
      <c r="M934" s="7"/>
      <c r="R934" s="7" t="s">
        <v>3938</v>
      </c>
    </row>
    <row r="935" spans="12:18">
      <c r="L935" s="7" t="s">
        <v>3939</v>
      </c>
      <c r="M935" s="7"/>
      <c r="R935" s="7" t="s">
        <v>3940</v>
      </c>
    </row>
    <row r="936" spans="12:18">
      <c r="L936" s="7" t="s">
        <v>3941</v>
      </c>
      <c r="M936" s="7"/>
      <c r="R936" s="7" t="s">
        <v>3942</v>
      </c>
    </row>
    <row r="937" spans="12:18">
      <c r="L937" s="7" t="s">
        <v>3943</v>
      </c>
      <c r="M937" s="7"/>
      <c r="R937" s="7" t="s">
        <v>3944</v>
      </c>
    </row>
    <row r="938" spans="12:18">
      <c r="L938" s="7" t="s">
        <v>3945</v>
      </c>
      <c r="M938" s="7"/>
      <c r="R938" s="7" t="s">
        <v>3946</v>
      </c>
    </row>
    <row r="939" spans="12:18">
      <c r="L939" s="7" t="s">
        <v>3947</v>
      </c>
      <c r="M939" s="7"/>
      <c r="R939" s="7" t="s">
        <v>3948</v>
      </c>
    </row>
    <row r="940" spans="12:18">
      <c r="L940" s="7" t="s">
        <v>3949</v>
      </c>
      <c r="M940" s="7"/>
      <c r="R940" s="7" t="s">
        <v>3950</v>
      </c>
    </row>
    <row r="941" spans="12:18">
      <c r="L941" s="7" t="s">
        <v>3951</v>
      </c>
      <c r="M941" s="7"/>
      <c r="R941" s="7" t="s">
        <v>3952</v>
      </c>
    </row>
    <row r="942" spans="12:18">
      <c r="L942" s="7" t="s">
        <v>3953</v>
      </c>
      <c r="M942" s="7"/>
      <c r="R942" s="7" t="s">
        <v>3954</v>
      </c>
    </row>
    <row r="943" spans="12:18">
      <c r="L943" s="7" t="s">
        <v>3955</v>
      </c>
      <c r="M943" s="7"/>
      <c r="R943" s="7" t="s">
        <v>3956</v>
      </c>
    </row>
    <row r="944" spans="12:18">
      <c r="L944" s="7" t="s">
        <v>3957</v>
      </c>
      <c r="M944" s="7"/>
      <c r="R944" s="7" t="s">
        <v>3958</v>
      </c>
    </row>
    <row r="945" spans="12:18">
      <c r="L945" s="7" t="s">
        <v>3959</v>
      </c>
      <c r="M945" s="7"/>
      <c r="R945" s="7" t="s">
        <v>3960</v>
      </c>
    </row>
    <row r="946" spans="12:18">
      <c r="L946" s="7" t="s">
        <v>3961</v>
      </c>
      <c r="M946" s="7"/>
      <c r="R946" s="7" t="s">
        <v>3962</v>
      </c>
    </row>
    <row r="947" spans="12:18">
      <c r="L947" s="7" t="s">
        <v>3963</v>
      </c>
      <c r="M947" s="7"/>
      <c r="R947" s="7" t="s">
        <v>3964</v>
      </c>
    </row>
    <row r="948" spans="12:18">
      <c r="L948" s="7" t="s">
        <v>3965</v>
      </c>
      <c r="M948" s="7"/>
      <c r="R948" s="7" t="s">
        <v>3966</v>
      </c>
    </row>
    <row r="949" spans="12:18">
      <c r="L949" s="7" t="s">
        <v>3967</v>
      </c>
      <c r="M949" s="7"/>
      <c r="R949" s="7" t="s">
        <v>3968</v>
      </c>
    </row>
    <row r="950" spans="12:18">
      <c r="L950" s="7" t="s">
        <v>3969</v>
      </c>
      <c r="M950" s="7"/>
      <c r="R950" s="7" t="s">
        <v>3970</v>
      </c>
    </row>
    <row r="951" spans="12:18">
      <c r="L951" s="7" t="s">
        <v>3971</v>
      </c>
      <c r="M951" s="7"/>
      <c r="R951" s="7" t="s">
        <v>3972</v>
      </c>
    </row>
    <row r="952" spans="12:18">
      <c r="L952" s="7" t="s">
        <v>3973</v>
      </c>
      <c r="M952" s="7"/>
      <c r="R952" s="7" t="s">
        <v>3974</v>
      </c>
    </row>
    <row r="953" spans="12:18">
      <c r="L953" s="7" t="s">
        <v>3975</v>
      </c>
      <c r="M953" s="7"/>
      <c r="R953" s="7" t="s">
        <v>3976</v>
      </c>
    </row>
    <row r="954" spans="12:18">
      <c r="L954" s="7" t="s">
        <v>3977</v>
      </c>
      <c r="M954" s="7"/>
      <c r="R954" s="7" t="s">
        <v>3978</v>
      </c>
    </row>
    <row r="955" spans="12:18">
      <c r="L955" s="7" t="s">
        <v>3979</v>
      </c>
      <c r="M955" s="7"/>
      <c r="R955" s="7" t="s">
        <v>3980</v>
      </c>
    </row>
    <row r="956" spans="12:18">
      <c r="L956" s="7" t="s">
        <v>3981</v>
      </c>
      <c r="M956" s="7"/>
      <c r="R956" s="7" t="s">
        <v>3982</v>
      </c>
    </row>
    <row r="957" spans="12:18">
      <c r="L957" s="7" t="s">
        <v>3983</v>
      </c>
      <c r="M957" s="7"/>
      <c r="R957" s="7" t="s">
        <v>3984</v>
      </c>
    </row>
    <row r="958" spans="12:18">
      <c r="L958" s="7" t="s">
        <v>3985</v>
      </c>
      <c r="M958" s="7"/>
      <c r="R958" s="7" t="s">
        <v>3986</v>
      </c>
    </row>
    <row r="959" spans="12:18">
      <c r="L959" s="7" t="s">
        <v>3987</v>
      </c>
      <c r="M959" s="7"/>
      <c r="R959" s="7" t="s">
        <v>3988</v>
      </c>
    </row>
    <row r="960" spans="12:18">
      <c r="L960" s="7" t="s">
        <v>3989</v>
      </c>
      <c r="M960" s="7"/>
      <c r="R960" s="7" t="s">
        <v>3990</v>
      </c>
    </row>
    <row r="961" spans="12:18">
      <c r="L961" s="7" t="s">
        <v>3991</v>
      </c>
      <c r="M961" s="7"/>
      <c r="R961" s="7" t="s">
        <v>3992</v>
      </c>
    </row>
    <row r="962" spans="12:18">
      <c r="L962" s="7" t="s">
        <v>3993</v>
      </c>
      <c r="M962" s="7"/>
      <c r="R962" s="7" t="s">
        <v>3994</v>
      </c>
    </row>
    <row r="963" spans="12:18">
      <c r="L963" s="7" t="s">
        <v>3995</v>
      </c>
      <c r="M963" s="7"/>
      <c r="R963" s="7" t="s">
        <v>3996</v>
      </c>
    </row>
    <row r="964" spans="12:18">
      <c r="L964" s="7" t="s">
        <v>3997</v>
      </c>
      <c r="M964" s="7"/>
      <c r="R964" s="7" t="s">
        <v>3998</v>
      </c>
    </row>
    <row r="965" spans="12:18">
      <c r="L965" s="7" t="s">
        <v>3999</v>
      </c>
      <c r="M965" s="7"/>
      <c r="R965" s="7" t="s">
        <v>4000</v>
      </c>
    </row>
    <row r="966" spans="12:18">
      <c r="L966" s="7" t="s">
        <v>4001</v>
      </c>
      <c r="M966" s="7"/>
      <c r="R966" s="7" t="s">
        <v>4002</v>
      </c>
    </row>
    <row r="967" spans="12:18">
      <c r="L967" s="7" t="s">
        <v>4003</v>
      </c>
      <c r="M967" s="7"/>
      <c r="R967" s="7" t="s">
        <v>4004</v>
      </c>
    </row>
    <row r="968" spans="12:18">
      <c r="L968" s="7" t="s">
        <v>4005</v>
      </c>
      <c r="M968" s="7"/>
      <c r="R968" s="7" t="s">
        <v>4006</v>
      </c>
    </row>
    <row r="969" spans="12:18">
      <c r="L969" s="7" t="s">
        <v>4007</v>
      </c>
      <c r="M969" s="7"/>
      <c r="R969" s="7" t="s">
        <v>4008</v>
      </c>
    </row>
    <row r="970" spans="12:18">
      <c r="L970" s="7" t="s">
        <v>4009</v>
      </c>
      <c r="M970" s="7"/>
      <c r="R970" s="7" t="s">
        <v>4010</v>
      </c>
    </row>
    <row r="971" spans="12:18">
      <c r="L971" s="7" t="s">
        <v>4011</v>
      </c>
      <c r="M971" s="7"/>
      <c r="R971" s="7" t="s">
        <v>4012</v>
      </c>
    </row>
    <row r="972" spans="12:18">
      <c r="L972" s="7" t="s">
        <v>4013</v>
      </c>
      <c r="M972" s="7"/>
      <c r="R972" s="7" t="s">
        <v>4014</v>
      </c>
    </row>
    <row r="973" spans="12:18">
      <c r="L973" s="7" t="s">
        <v>4015</v>
      </c>
      <c r="M973" s="7"/>
      <c r="R973" s="7" t="s">
        <v>4016</v>
      </c>
    </row>
    <row r="974" spans="12:18">
      <c r="L974" s="7" t="s">
        <v>4017</v>
      </c>
      <c r="M974" s="7"/>
      <c r="R974" s="7" t="s">
        <v>4018</v>
      </c>
    </row>
    <row r="975" spans="12:18">
      <c r="L975" s="7" t="s">
        <v>4019</v>
      </c>
      <c r="M975" s="7"/>
      <c r="R975" s="7" t="s">
        <v>4020</v>
      </c>
    </row>
    <row r="976" spans="12:18">
      <c r="L976" s="7" t="s">
        <v>4021</v>
      </c>
      <c r="M976" s="7"/>
      <c r="R976" s="7" t="s">
        <v>4022</v>
      </c>
    </row>
    <row r="977" spans="12:18">
      <c r="L977" s="7" t="s">
        <v>4023</v>
      </c>
      <c r="M977" s="7"/>
      <c r="R977" s="7" t="s">
        <v>4024</v>
      </c>
    </row>
    <row r="978" spans="12:18">
      <c r="L978" s="7" t="s">
        <v>4025</v>
      </c>
      <c r="M978" s="7"/>
      <c r="R978" s="7" t="s">
        <v>4026</v>
      </c>
    </row>
    <row r="979" spans="12:18">
      <c r="L979" s="7" t="s">
        <v>4027</v>
      </c>
      <c r="M979" s="7"/>
      <c r="R979" s="7" t="s">
        <v>4028</v>
      </c>
    </row>
    <row r="980" spans="12:18">
      <c r="L980" s="7" t="s">
        <v>4029</v>
      </c>
      <c r="M980" s="7"/>
      <c r="R980" s="7" t="s">
        <v>4030</v>
      </c>
    </row>
    <row r="981" spans="12:18">
      <c r="L981" s="7" t="s">
        <v>4031</v>
      </c>
      <c r="M981" s="7"/>
      <c r="R981" s="7" t="s">
        <v>4032</v>
      </c>
    </row>
    <row r="982" spans="12:18">
      <c r="L982" s="7" t="s">
        <v>4033</v>
      </c>
      <c r="M982" s="7"/>
      <c r="R982" s="7" t="s">
        <v>4034</v>
      </c>
    </row>
    <row r="983" spans="12:18">
      <c r="L983" s="7" t="s">
        <v>4035</v>
      </c>
      <c r="M983" s="7"/>
      <c r="R983" s="7" t="s">
        <v>4036</v>
      </c>
    </row>
    <row r="984" spans="12:18">
      <c r="L984" s="7" t="s">
        <v>4037</v>
      </c>
      <c r="M984" s="7"/>
      <c r="R984" s="7" t="s">
        <v>4038</v>
      </c>
    </row>
    <row r="985" spans="12:18">
      <c r="L985" s="7" t="s">
        <v>4039</v>
      </c>
      <c r="M985" s="7"/>
      <c r="R985" s="7" t="s">
        <v>4040</v>
      </c>
    </row>
    <row r="986" spans="12:18">
      <c r="L986" s="7" t="s">
        <v>4041</v>
      </c>
      <c r="M986" s="7"/>
      <c r="R986" s="7" t="s">
        <v>4042</v>
      </c>
    </row>
    <row r="987" spans="12:18">
      <c r="L987" s="7" t="s">
        <v>4043</v>
      </c>
      <c r="M987" s="7"/>
      <c r="R987" s="7" t="s">
        <v>4044</v>
      </c>
    </row>
    <row r="988" spans="12:18">
      <c r="L988" s="7" t="s">
        <v>4045</v>
      </c>
      <c r="M988" s="7"/>
      <c r="R988" s="7" t="s">
        <v>4046</v>
      </c>
    </row>
    <row r="989" spans="12:18">
      <c r="L989" s="7" t="s">
        <v>4047</v>
      </c>
      <c r="M989" s="7"/>
      <c r="R989" s="7" t="s">
        <v>4048</v>
      </c>
    </row>
    <row r="990" spans="12:18">
      <c r="L990" s="7" t="s">
        <v>4049</v>
      </c>
      <c r="M990" s="7"/>
      <c r="R990" s="7" t="s">
        <v>4050</v>
      </c>
    </row>
    <row r="991" spans="12:18">
      <c r="L991" s="7" t="s">
        <v>4051</v>
      </c>
      <c r="M991" s="7"/>
      <c r="R991" s="7" t="s">
        <v>4052</v>
      </c>
    </row>
    <row r="992" spans="12:18">
      <c r="L992" s="7" t="s">
        <v>1099</v>
      </c>
      <c r="M992" s="7"/>
      <c r="R992" s="7" t="s">
        <v>4053</v>
      </c>
    </row>
    <row r="993" spans="18:18">
      <c r="R993" s="7" t="s">
        <v>4054</v>
      </c>
    </row>
    <row r="994" spans="18:18">
      <c r="R994" s="7" t="s">
        <v>4055</v>
      </c>
    </row>
    <row r="995" spans="18:18">
      <c r="R995" s="7" t="s">
        <v>4056</v>
      </c>
    </row>
    <row r="996" spans="18:18">
      <c r="R996" s="7" t="s">
        <v>4057</v>
      </c>
    </row>
    <row r="997" spans="18:18">
      <c r="R997" s="7" t="s">
        <v>4058</v>
      </c>
    </row>
    <row r="998" spans="18:18">
      <c r="R998" s="7" t="s">
        <v>4059</v>
      </c>
    </row>
    <row r="999" spans="18:18">
      <c r="R999" s="7" t="s">
        <v>4060</v>
      </c>
    </row>
    <row r="1000" spans="18:18">
      <c r="R1000" s="7" t="s">
        <v>4061</v>
      </c>
    </row>
    <row r="1001" spans="18:18">
      <c r="R1001" s="7" t="s">
        <v>4062</v>
      </c>
    </row>
    <row r="1002" spans="18:18">
      <c r="R1002" s="7" t="s">
        <v>4063</v>
      </c>
    </row>
    <row r="1003" spans="18:18">
      <c r="R1003" s="7" t="s">
        <v>4064</v>
      </c>
    </row>
    <row r="1004" spans="18:18">
      <c r="R1004" s="7" t="s">
        <v>4065</v>
      </c>
    </row>
    <row r="1005" spans="18:18">
      <c r="R1005" s="7" t="s">
        <v>4066</v>
      </c>
    </row>
    <row r="1006" spans="18:18">
      <c r="R1006" s="7" t="s">
        <v>4067</v>
      </c>
    </row>
    <row r="1007" spans="18:18">
      <c r="R1007" s="7" t="s">
        <v>4068</v>
      </c>
    </row>
    <row r="1008" spans="18:18">
      <c r="R1008" s="7" t="s">
        <v>4069</v>
      </c>
    </row>
    <row r="1009" spans="18:18">
      <c r="R1009" s="7" t="s">
        <v>4070</v>
      </c>
    </row>
    <row r="1010" spans="18:18">
      <c r="R1010" s="7" t="s">
        <v>4071</v>
      </c>
    </row>
    <row r="1011" spans="18:18">
      <c r="R1011" s="7" t="s">
        <v>4072</v>
      </c>
    </row>
    <row r="1012" spans="18:18">
      <c r="R1012" s="7" t="s">
        <v>4073</v>
      </c>
    </row>
    <row r="1013" spans="18:18">
      <c r="R1013" s="7" t="s">
        <v>4074</v>
      </c>
    </row>
    <row r="1014" spans="18:18">
      <c r="R1014" s="7" t="s">
        <v>4075</v>
      </c>
    </row>
    <row r="1015" spans="18:18">
      <c r="R1015" s="7" t="s">
        <v>4076</v>
      </c>
    </row>
    <row r="1016" spans="18:18">
      <c r="R1016" s="7" t="s">
        <v>4077</v>
      </c>
    </row>
    <row r="1017" spans="18:18">
      <c r="R1017" s="7" t="s">
        <v>4078</v>
      </c>
    </row>
    <row r="1018" spans="18:18">
      <c r="R1018" s="7" t="s">
        <v>4079</v>
      </c>
    </row>
    <row r="1019" spans="18:18">
      <c r="R1019" s="7" t="s">
        <v>4080</v>
      </c>
    </row>
    <row r="1020" spans="18:18">
      <c r="R1020" s="7" t="s">
        <v>4081</v>
      </c>
    </row>
    <row r="1021" spans="18:18">
      <c r="R1021" s="7" t="s">
        <v>4082</v>
      </c>
    </row>
    <row r="1022" spans="18:18">
      <c r="R1022" s="7" t="s">
        <v>4083</v>
      </c>
    </row>
    <row r="1023" spans="18:18">
      <c r="R1023" s="7" t="s">
        <v>4084</v>
      </c>
    </row>
    <row r="1024" spans="18:18">
      <c r="R1024" s="7" t="s">
        <v>4085</v>
      </c>
    </row>
    <row r="1025" spans="18:18">
      <c r="R1025" s="7" t="s">
        <v>4086</v>
      </c>
    </row>
    <row r="1026" spans="18:18">
      <c r="R1026" s="7" t="s">
        <v>4087</v>
      </c>
    </row>
    <row r="1027" spans="18:18">
      <c r="R1027" s="7" t="s">
        <v>4088</v>
      </c>
    </row>
    <row r="1028" spans="18:18">
      <c r="R1028" s="7" t="s">
        <v>4089</v>
      </c>
    </row>
    <row r="1029" spans="18:18">
      <c r="R1029" s="7" t="s">
        <v>4090</v>
      </c>
    </row>
    <row r="1030" spans="18:18">
      <c r="R1030" s="7" t="s">
        <v>4091</v>
      </c>
    </row>
    <row r="1031" spans="18:18">
      <c r="R1031" s="7" t="s">
        <v>4092</v>
      </c>
    </row>
    <row r="1032" spans="18:18">
      <c r="R1032" s="7" t="s">
        <v>4093</v>
      </c>
    </row>
    <row r="1033" spans="18:18">
      <c r="R1033" s="7" t="s">
        <v>4094</v>
      </c>
    </row>
    <row r="1034" spans="18:18">
      <c r="R1034" s="7" t="s">
        <v>1099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92D050"/>
    <pageSetUpPr fitToPage="1"/>
  </sheetPr>
  <dimension ref="B1:AA181"/>
  <sheetViews>
    <sheetView showGridLines="0" view="pageBreakPreview" zoomScale="60" zoomScaleNormal="75" workbookViewId="0">
      <selection activeCell="E149" sqref="E149:F169"/>
    </sheetView>
  </sheetViews>
  <sheetFormatPr defaultColWidth="11.42578125" defaultRowHeight="12.95"/>
  <cols>
    <col min="1" max="2" width="2.140625" style="129" customWidth="1"/>
    <col min="3" max="4" width="14" style="129" customWidth="1"/>
    <col min="5" max="5" width="59.140625" style="129" bestFit="1" customWidth="1"/>
    <col min="6" max="6" width="20.140625" style="129" customWidth="1"/>
    <col min="7" max="7" width="23.85546875" style="129" customWidth="1"/>
    <col min="8" max="8" width="15.85546875" style="129" customWidth="1"/>
    <col min="9" max="9" width="4.5703125" style="129" customWidth="1"/>
    <col min="10" max="10" width="26.5703125" style="129" customWidth="1"/>
    <col min="11" max="11" width="25.85546875" style="129" customWidth="1"/>
    <col min="12" max="12" width="16.85546875" style="129" customWidth="1"/>
    <col min="13" max="13" width="21.5703125" style="129" customWidth="1"/>
    <col min="14" max="14" width="13.85546875" style="129" bestFit="1" customWidth="1"/>
    <col min="15" max="16" width="11.42578125" style="129" customWidth="1"/>
    <col min="17" max="17" width="13.5703125" style="129" customWidth="1"/>
    <col min="18" max="21" width="11.42578125" style="129" customWidth="1"/>
    <col min="22" max="22" width="16.42578125" style="129" customWidth="1"/>
    <col min="23" max="16384" width="11.42578125" style="129"/>
  </cols>
  <sheetData>
    <row r="1" spans="2:27">
      <c r="G1" s="130" t="s">
        <v>92</v>
      </c>
      <c r="H1" s="129" t="s">
        <v>105</v>
      </c>
    </row>
    <row r="2" spans="2:27" ht="13.5" thickBot="1">
      <c r="J2" s="131" t="s">
        <v>4095</v>
      </c>
    </row>
    <row r="3" spans="2:27" ht="13.5" thickBot="1">
      <c r="B3" s="152" t="s">
        <v>4096</v>
      </c>
      <c r="C3" s="182"/>
      <c r="D3" s="182"/>
      <c r="E3" s="132"/>
      <c r="F3" s="132"/>
      <c r="G3" s="254">
        <f>+F5+F7</f>
        <v>0</v>
      </c>
      <c r="J3" s="258">
        <f>+G3-G9-G64-G119-G146-G173-G175-G177-G179-G181</f>
        <v>0</v>
      </c>
    </row>
    <row r="4" spans="2:27" ht="13.5" thickBot="1">
      <c r="B4" s="183"/>
      <c r="C4" s="183"/>
      <c r="D4" s="183"/>
      <c r="K4" s="136"/>
    </row>
    <row r="5" spans="2:27" ht="13.5" thickBot="1">
      <c r="B5" s="183"/>
      <c r="C5" s="183"/>
      <c r="D5" s="152" t="s">
        <v>4097</v>
      </c>
      <c r="E5" s="33"/>
      <c r="F5" s="248">
        <v>0</v>
      </c>
      <c r="K5" s="136"/>
    </row>
    <row r="6" spans="2:27" ht="13.5" thickBot="1">
      <c r="B6" s="183"/>
      <c r="C6" s="183"/>
      <c r="D6" s="184"/>
      <c r="E6" s="34"/>
      <c r="F6" s="243"/>
    </row>
    <row r="7" spans="2:27" ht="13.5" thickBot="1">
      <c r="B7" s="183"/>
      <c r="C7" s="183"/>
      <c r="D7" s="152" t="s">
        <v>4098</v>
      </c>
      <c r="E7" s="33"/>
      <c r="F7" s="248">
        <v>0</v>
      </c>
    </row>
    <row r="8" spans="2:27" ht="13.5" thickBot="1">
      <c r="B8" s="183"/>
      <c r="C8" s="183"/>
      <c r="D8" s="183"/>
      <c r="J8" s="147"/>
      <c r="K8" s="147"/>
    </row>
    <row r="9" spans="2:27" ht="13.5" thickBot="1">
      <c r="B9" s="183"/>
      <c r="C9" s="174" t="s">
        <v>4099</v>
      </c>
      <c r="D9" s="185"/>
      <c r="E9" s="133"/>
      <c r="F9" s="133"/>
      <c r="G9" s="249">
        <f>+G11+G37</f>
        <v>0</v>
      </c>
      <c r="K9" s="356"/>
    </row>
    <row r="10" spans="2:27">
      <c r="B10" s="183"/>
      <c r="C10" s="183"/>
      <c r="D10" s="183"/>
      <c r="K10" s="136"/>
    </row>
    <row r="11" spans="2:27">
      <c r="B11" s="183"/>
      <c r="C11" s="183"/>
      <c r="D11" s="100" t="s">
        <v>4100</v>
      </c>
      <c r="E11" s="39"/>
      <c r="F11" s="40"/>
      <c r="G11" s="248">
        <f>+G35</f>
        <v>0</v>
      </c>
      <c r="K11" s="136"/>
      <c r="Y11" s="135"/>
      <c r="Z11" s="135"/>
      <c r="AA11" s="135"/>
    </row>
    <row r="12" spans="2:27" ht="13.5" thickBot="1">
      <c r="B12" s="183"/>
      <c r="C12" s="183"/>
      <c r="D12" s="183"/>
      <c r="F12" s="136"/>
      <c r="G12" s="136"/>
      <c r="K12" s="356"/>
    </row>
    <row r="13" spans="2:27" ht="13.5" thickBot="1">
      <c r="B13" s="183"/>
      <c r="C13" s="183"/>
      <c r="D13" s="104"/>
      <c r="E13" s="244" t="s">
        <v>194</v>
      </c>
      <c r="F13" s="148" t="s">
        <v>195</v>
      </c>
      <c r="G13" s="149" t="s">
        <v>209</v>
      </c>
    </row>
    <row r="14" spans="2:27">
      <c r="B14" s="183"/>
      <c r="C14" s="183"/>
      <c r="D14" s="373">
        <v>1</v>
      </c>
      <c r="E14" s="374"/>
      <c r="G14" s="402"/>
    </row>
    <row r="15" spans="2:27">
      <c r="B15" s="183"/>
      <c r="C15" s="183"/>
      <c r="D15" s="375">
        <v>2</v>
      </c>
      <c r="E15" s="137"/>
      <c r="G15" s="403"/>
    </row>
    <row r="16" spans="2:27">
      <c r="B16" s="183"/>
      <c r="C16" s="183"/>
      <c r="D16" s="375">
        <v>3</v>
      </c>
      <c r="E16" s="137"/>
      <c r="G16" s="403"/>
    </row>
    <row r="17" spans="2:7">
      <c r="B17" s="183"/>
      <c r="C17" s="183"/>
      <c r="D17" s="375">
        <v>4</v>
      </c>
      <c r="E17" s="137"/>
      <c r="G17" s="403"/>
    </row>
    <row r="18" spans="2:7">
      <c r="B18" s="183"/>
      <c r="C18" s="183"/>
      <c r="D18" s="375">
        <v>5</v>
      </c>
      <c r="E18" s="137"/>
      <c r="G18" s="403"/>
    </row>
    <row r="19" spans="2:7">
      <c r="B19" s="183"/>
      <c r="C19" s="183"/>
      <c r="D19" s="375">
        <v>6</v>
      </c>
      <c r="E19" s="137"/>
      <c r="G19" s="403"/>
    </row>
    <row r="20" spans="2:7">
      <c r="B20" s="183"/>
      <c r="C20" s="183"/>
      <c r="D20" s="375">
        <v>7</v>
      </c>
      <c r="E20" s="137"/>
      <c r="G20" s="403"/>
    </row>
    <row r="21" spans="2:7">
      <c r="B21" s="183"/>
      <c r="C21" s="183"/>
      <c r="D21" s="375">
        <v>8</v>
      </c>
      <c r="E21" s="137"/>
      <c r="G21" s="403"/>
    </row>
    <row r="22" spans="2:7">
      <c r="B22" s="183"/>
      <c r="C22" s="183"/>
      <c r="D22" s="375">
        <v>9</v>
      </c>
      <c r="E22" s="137"/>
      <c r="G22" s="403"/>
    </row>
    <row r="23" spans="2:7">
      <c r="B23" s="183"/>
      <c r="C23" s="183"/>
      <c r="D23" s="375">
        <v>10</v>
      </c>
      <c r="E23" s="137"/>
      <c r="G23" s="403"/>
    </row>
    <row r="24" spans="2:7">
      <c r="B24" s="183"/>
      <c r="C24" s="183"/>
      <c r="D24" s="375">
        <v>11</v>
      </c>
      <c r="E24" s="137"/>
      <c r="G24" s="403"/>
    </row>
    <row r="25" spans="2:7">
      <c r="B25" s="183"/>
      <c r="C25" s="183"/>
      <c r="D25" s="375">
        <v>12</v>
      </c>
      <c r="E25" s="137"/>
      <c r="G25" s="403"/>
    </row>
    <row r="26" spans="2:7">
      <c r="B26" s="183"/>
      <c r="C26" s="183"/>
      <c r="D26" s="375">
        <v>13</v>
      </c>
      <c r="E26" s="137"/>
      <c r="G26" s="403"/>
    </row>
    <row r="27" spans="2:7">
      <c r="B27" s="183"/>
      <c r="C27" s="183"/>
      <c r="D27" s="375">
        <v>14</v>
      </c>
      <c r="E27" s="137"/>
      <c r="G27" s="403"/>
    </row>
    <row r="28" spans="2:7">
      <c r="B28" s="183"/>
      <c r="C28" s="183"/>
      <c r="D28" s="375">
        <v>15</v>
      </c>
      <c r="E28" s="137"/>
      <c r="G28" s="403"/>
    </row>
    <row r="29" spans="2:7">
      <c r="B29" s="183"/>
      <c r="C29" s="183"/>
      <c r="D29" s="375">
        <v>16</v>
      </c>
      <c r="E29" s="137"/>
      <c r="G29" s="403"/>
    </row>
    <row r="30" spans="2:7">
      <c r="B30" s="183"/>
      <c r="C30" s="183"/>
      <c r="D30" s="375">
        <v>17</v>
      </c>
      <c r="E30" s="137"/>
      <c r="G30" s="403"/>
    </row>
    <row r="31" spans="2:7">
      <c r="B31" s="183"/>
      <c r="C31" s="183"/>
      <c r="D31" s="375">
        <v>18</v>
      </c>
      <c r="E31" s="641"/>
      <c r="G31" s="403"/>
    </row>
    <row r="32" spans="2:7">
      <c r="B32" s="183"/>
      <c r="C32" s="183"/>
      <c r="D32" s="375">
        <v>19</v>
      </c>
      <c r="E32" s="641"/>
      <c r="G32" s="403"/>
    </row>
    <row r="33" spans="2:27">
      <c r="B33" s="183"/>
      <c r="C33" s="183"/>
      <c r="D33" s="375">
        <v>20</v>
      </c>
      <c r="E33" s="137"/>
      <c r="G33" s="403"/>
    </row>
    <row r="34" spans="2:27" ht="13.5" thickBot="1">
      <c r="B34" s="183"/>
      <c r="C34" s="183"/>
      <c r="D34" s="376">
        <v>21</v>
      </c>
      <c r="E34" s="377"/>
      <c r="F34" s="378"/>
      <c r="G34" s="404"/>
      <c r="H34" s="345"/>
    </row>
    <row r="35" spans="2:27" ht="13.5" thickBot="1">
      <c r="B35" s="183"/>
      <c r="C35" s="183"/>
      <c r="D35" s="465" t="s">
        <v>4101</v>
      </c>
      <c r="E35" s="94"/>
      <c r="F35" s="139"/>
      <c r="G35" s="150">
        <f>SUM(G14:G34)</f>
        <v>0</v>
      </c>
      <c r="H35" s="136"/>
      <c r="J35" s="136"/>
    </row>
    <row r="36" spans="2:27">
      <c r="B36" s="183"/>
      <c r="C36" s="183"/>
      <c r="D36" s="183"/>
      <c r="F36" s="136"/>
      <c r="G36" s="136"/>
      <c r="J36" s="140"/>
    </row>
    <row r="37" spans="2:27">
      <c r="B37" s="183"/>
      <c r="C37" s="183"/>
      <c r="D37" s="100" t="s">
        <v>4102</v>
      </c>
      <c r="E37" s="39"/>
      <c r="F37" s="40"/>
      <c r="G37" s="250">
        <f>+G61</f>
        <v>0</v>
      </c>
      <c r="I37" s="141"/>
      <c r="Y37" s="135"/>
      <c r="Z37" s="135"/>
      <c r="AA37" s="135"/>
    </row>
    <row r="38" spans="2:27" ht="13.5" thickBot="1">
      <c r="B38" s="183"/>
      <c r="C38" s="183"/>
      <c r="D38" s="183"/>
      <c r="F38" s="136"/>
      <c r="G38" s="136"/>
      <c r="J38" s="34"/>
    </row>
    <row r="39" spans="2:27" ht="13.5" thickBot="1">
      <c r="B39" s="183"/>
      <c r="C39" s="183"/>
      <c r="D39" s="104" t="s">
        <v>4103</v>
      </c>
      <c r="E39" s="148" t="s">
        <v>194</v>
      </c>
      <c r="F39" s="148" t="s">
        <v>195</v>
      </c>
      <c r="G39" s="149" t="s">
        <v>209</v>
      </c>
    </row>
    <row r="40" spans="2:27">
      <c r="B40" s="183"/>
      <c r="C40" s="183"/>
      <c r="D40" s="186">
        <v>1</v>
      </c>
      <c r="E40" s="374"/>
      <c r="F40" s="405"/>
      <c r="G40" s="374"/>
    </row>
    <row r="41" spans="2:27">
      <c r="B41" s="183"/>
      <c r="C41" s="183"/>
      <c r="D41" s="187">
        <v>2</v>
      </c>
      <c r="E41" s="137"/>
      <c r="F41" s="406"/>
      <c r="G41" s="137"/>
    </row>
    <row r="42" spans="2:27">
      <c r="B42" s="183"/>
      <c r="C42" s="183"/>
      <c r="D42" s="187">
        <v>3</v>
      </c>
      <c r="E42" s="137"/>
      <c r="F42" s="406"/>
      <c r="G42" s="137"/>
    </row>
    <row r="43" spans="2:27">
      <c r="B43" s="183"/>
      <c r="C43" s="183"/>
      <c r="D43" s="187">
        <v>4</v>
      </c>
      <c r="E43" s="137"/>
      <c r="F43" s="406"/>
      <c r="G43" s="137"/>
    </row>
    <row r="44" spans="2:27">
      <c r="B44" s="183"/>
      <c r="C44" s="183"/>
      <c r="D44" s="187">
        <v>5</v>
      </c>
      <c r="E44" s="137"/>
      <c r="F44" s="406"/>
      <c r="G44" s="137"/>
    </row>
    <row r="45" spans="2:27">
      <c r="B45" s="183"/>
      <c r="C45" s="183"/>
      <c r="D45" s="187">
        <v>6</v>
      </c>
      <c r="E45" s="137"/>
      <c r="F45" s="406"/>
      <c r="G45" s="137"/>
    </row>
    <row r="46" spans="2:27">
      <c r="B46" s="183"/>
      <c r="C46" s="183"/>
      <c r="D46" s="187">
        <v>7</v>
      </c>
      <c r="E46" s="137"/>
      <c r="F46" s="407"/>
      <c r="G46" s="137"/>
    </row>
    <row r="47" spans="2:27">
      <c r="B47" s="183"/>
      <c r="C47" s="183"/>
      <c r="D47" s="187">
        <v>8</v>
      </c>
      <c r="E47" s="137"/>
      <c r="F47" s="138"/>
      <c r="G47" s="137"/>
    </row>
    <row r="48" spans="2:27">
      <c r="B48" s="183"/>
      <c r="C48" s="183"/>
      <c r="D48" s="187">
        <v>9</v>
      </c>
      <c r="E48" s="137"/>
      <c r="F48" s="138"/>
      <c r="G48" s="137"/>
    </row>
    <row r="49" spans="2:10">
      <c r="B49" s="183"/>
      <c r="C49" s="183"/>
      <c r="D49" s="187">
        <v>10</v>
      </c>
      <c r="E49" s="137"/>
      <c r="F49" s="138"/>
      <c r="G49" s="137"/>
    </row>
    <row r="50" spans="2:10">
      <c r="B50" s="183"/>
      <c r="C50" s="183"/>
      <c r="D50" s="187">
        <v>11</v>
      </c>
      <c r="E50" s="137"/>
      <c r="F50" s="138"/>
      <c r="G50" s="137"/>
    </row>
    <row r="51" spans="2:10">
      <c r="B51" s="183"/>
      <c r="C51" s="183"/>
      <c r="D51" s="187">
        <v>12</v>
      </c>
      <c r="E51" s="137"/>
      <c r="F51" s="138"/>
      <c r="G51" s="137"/>
    </row>
    <row r="52" spans="2:10">
      <c r="B52" s="183"/>
      <c r="C52" s="183"/>
      <c r="D52" s="187">
        <v>13</v>
      </c>
      <c r="E52" s="137"/>
      <c r="F52" s="138"/>
      <c r="G52" s="137"/>
    </row>
    <row r="53" spans="2:10">
      <c r="B53" s="183"/>
      <c r="C53" s="183"/>
      <c r="D53" s="187">
        <v>14</v>
      </c>
      <c r="E53" s="137"/>
      <c r="F53" s="138"/>
      <c r="G53" s="137"/>
    </row>
    <row r="54" spans="2:10">
      <c r="B54" s="183"/>
      <c r="C54" s="183"/>
      <c r="D54" s="187">
        <v>15</v>
      </c>
      <c r="E54" s="143"/>
      <c r="F54" s="144"/>
      <c r="G54" s="143"/>
    </row>
    <row r="55" spans="2:10">
      <c r="B55" s="183"/>
      <c r="C55" s="183"/>
      <c r="D55" s="187">
        <v>16</v>
      </c>
      <c r="E55" s="143"/>
      <c r="F55" s="144"/>
      <c r="G55" s="143"/>
    </row>
    <row r="56" spans="2:10">
      <c r="B56" s="183"/>
      <c r="C56" s="183"/>
      <c r="D56" s="187">
        <v>17</v>
      </c>
      <c r="E56" s="143"/>
      <c r="F56" s="144"/>
      <c r="G56" s="143"/>
    </row>
    <row r="57" spans="2:10">
      <c r="B57" s="183"/>
      <c r="C57" s="183"/>
      <c r="D57" s="187">
        <v>18</v>
      </c>
      <c r="E57" s="143"/>
      <c r="F57" s="144"/>
      <c r="G57" s="143"/>
    </row>
    <row r="58" spans="2:10">
      <c r="B58" s="183"/>
      <c r="C58" s="183"/>
      <c r="D58" s="187">
        <v>19</v>
      </c>
      <c r="E58" s="143"/>
      <c r="F58" s="144"/>
      <c r="G58" s="143"/>
    </row>
    <row r="59" spans="2:10">
      <c r="B59" s="183"/>
      <c r="C59" s="183"/>
      <c r="D59" s="187">
        <v>20</v>
      </c>
      <c r="E59" s="143"/>
      <c r="F59" s="144"/>
      <c r="G59" s="143"/>
    </row>
    <row r="60" spans="2:10" ht="13.5" thickBot="1">
      <c r="B60" s="183"/>
      <c r="C60" s="183"/>
      <c r="D60" s="188">
        <v>21</v>
      </c>
      <c r="E60" s="408"/>
      <c r="F60" s="145"/>
      <c r="G60" s="146"/>
    </row>
    <row r="61" spans="2:10" ht="13.5" thickBot="1">
      <c r="B61" s="183"/>
      <c r="C61" s="183"/>
      <c r="D61" s="465" t="s">
        <v>4104</v>
      </c>
      <c r="E61" s="50"/>
      <c r="F61" s="52"/>
      <c r="G61" s="150">
        <f>SUM(G40:G60)</f>
        <v>0</v>
      </c>
      <c r="I61" s="136"/>
    </row>
    <row r="62" spans="2:10">
      <c r="B62" s="183"/>
      <c r="C62" s="183"/>
      <c r="D62" s="183"/>
      <c r="F62" s="136"/>
      <c r="G62" s="136"/>
      <c r="J62" s="136"/>
    </row>
    <row r="63" spans="2:10" ht="13.5" thickBot="1">
      <c r="B63" s="183"/>
      <c r="C63" s="183"/>
      <c r="D63" s="183"/>
      <c r="F63" s="136"/>
      <c r="G63" s="136"/>
    </row>
    <row r="64" spans="2:10" ht="13.5" thickBot="1">
      <c r="B64" s="183"/>
      <c r="C64" s="174" t="s">
        <v>4105</v>
      </c>
      <c r="D64" s="185"/>
      <c r="E64" s="133"/>
      <c r="F64" s="133"/>
      <c r="G64" s="255">
        <f>+G66+G92</f>
        <v>0</v>
      </c>
    </row>
    <row r="65" spans="2:27">
      <c r="B65" s="183"/>
      <c r="C65" s="183"/>
      <c r="D65" s="183"/>
      <c r="F65" s="136"/>
    </row>
    <row r="66" spans="2:27">
      <c r="B66" s="183"/>
      <c r="C66" s="183"/>
      <c r="D66" s="100" t="s">
        <v>4106</v>
      </c>
      <c r="E66" s="39"/>
      <c r="F66" s="40"/>
      <c r="G66" s="256">
        <f>+G90</f>
        <v>0</v>
      </c>
      <c r="Q66" s="129">
        <f>0.5/100</f>
        <v>5.0000000000000001E-3</v>
      </c>
      <c r="Y66" s="135"/>
      <c r="Z66" s="135"/>
      <c r="AA66" s="135"/>
    </row>
    <row r="67" spans="2:27" ht="13.5" thickBot="1">
      <c r="B67" s="183"/>
      <c r="C67" s="183"/>
      <c r="D67" s="183"/>
      <c r="F67" s="147" t="s">
        <v>105</v>
      </c>
      <c r="G67" s="147"/>
      <c r="N67" s="136"/>
      <c r="Q67" s="129" t="s">
        <v>105</v>
      </c>
    </row>
    <row r="68" spans="2:27" ht="13.5" thickBot="1">
      <c r="B68" s="183"/>
      <c r="C68" s="183"/>
      <c r="D68" s="104" t="s">
        <v>4103</v>
      </c>
      <c r="E68" s="148" t="s">
        <v>194</v>
      </c>
      <c r="F68" s="148" t="s">
        <v>195</v>
      </c>
      <c r="G68" s="149" t="s">
        <v>209</v>
      </c>
    </row>
    <row r="69" spans="2:27">
      <c r="B69" s="183"/>
      <c r="C69" s="183"/>
      <c r="D69" s="186">
        <v>1</v>
      </c>
      <c r="E69" s="142"/>
      <c r="F69" s="34"/>
      <c r="G69" s="142"/>
    </row>
    <row r="70" spans="2:27">
      <c r="B70" s="183"/>
      <c r="C70" s="183"/>
      <c r="D70" s="187">
        <v>2</v>
      </c>
      <c r="E70" s="143"/>
      <c r="F70" s="144"/>
      <c r="G70" s="143"/>
    </row>
    <row r="71" spans="2:27">
      <c r="B71" s="183"/>
      <c r="C71" s="183"/>
      <c r="D71" s="187">
        <v>3</v>
      </c>
      <c r="E71" s="143"/>
      <c r="F71" s="144"/>
      <c r="G71" s="143"/>
    </row>
    <row r="72" spans="2:27">
      <c r="B72" s="183"/>
      <c r="C72" s="183"/>
      <c r="D72" s="187">
        <v>4</v>
      </c>
      <c r="E72" s="143"/>
      <c r="F72" s="144"/>
      <c r="G72" s="143"/>
    </row>
    <row r="73" spans="2:27">
      <c r="B73" s="183"/>
      <c r="C73" s="183"/>
      <c r="D73" s="187">
        <v>5</v>
      </c>
      <c r="E73" s="143"/>
      <c r="F73" s="144"/>
      <c r="G73" s="143"/>
    </row>
    <row r="74" spans="2:27">
      <c r="B74" s="183"/>
      <c r="C74" s="183"/>
      <c r="D74" s="187">
        <v>6</v>
      </c>
      <c r="E74" s="143"/>
      <c r="F74" s="144"/>
      <c r="G74" s="143"/>
    </row>
    <row r="75" spans="2:27">
      <c r="B75" s="183"/>
      <c r="C75" s="183"/>
      <c r="D75" s="187">
        <v>7</v>
      </c>
      <c r="E75" s="143"/>
      <c r="F75" s="144"/>
      <c r="G75" s="143"/>
    </row>
    <row r="76" spans="2:27">
      <c r="B76" s="183"/>
      <c r="C76" s="183"/>
      <c r="D76" s="187">
        <v>8</v>
      </c>
      <c r="E76" s="143"/>
      <c r="F76" s="144"/>
      <c r="G76" s="143"/>
    </row>
    <row r="77" spans="2:27">
      <c r="B77" s="183"/>
      <c r="C77" s="183"/>
      <c r="D77" s="187">
        <v>9</v>
      </c>
      <c r="E77" s="143"/>
      <c r="F77" s="144"/>
      <c r="G77" s="143"/>
    </row>
    <row r="78" spans="2:27">
      <c r="B78" s="183"/>
      <c r="C78" s="183"/>
      <c r="D78" s="187">
        <v>10</v>
      </c>
      <c r="E78" s="143"/>
      <c r="F78" s="144"/>
      <c r="G78" s="143"/>
    </row>
    <row r="79" spans="2:27">
      <c r="B79" s="183"/>
      <c r="C79" s="183"/>
      <c r="D79" s="187">
        <v>11</v>
      </c>
      <c r="E79" s="143"/>
      <c r="F79" s="144"/>
      <c r="G79" s="143"/>
    </row>
    <row r="80" spans="2:27">
      <c r="B80" s="183"/>
      <c r="C80" s="183"/>
      <c r="D80" s="187">
        <v>12</v>
      </c>
      <c r="E80" s="143"/>
      <c r="F80" s="144"/>
      <c r="G80" s="143"/>
    </row>
    <row r="81" spans="2:27">
      <c r="B81" s="183"/>
      <c r="C81" s="183"/>
      <c r="D81" s="187">
        <v>13</v>
      </c>
      <c r="E81" s="143"/>
      <c r="F81" s="144"/>
      <c r="G81" s="143"/>
    </row>
    <row r="82" spans="2:27">
      <c r="B82" s="183"/>
      <c r="C82" s="183"/>
      <c r="D82" s="187">
        <v>14</v>
      </c>
      <c r="E82" s="143"/>
      <c r="F82" s="144"/>
      <c r="G82" s="143"/>
    </row>
    <row r="83" spans="2:27">
      <c r="B83" s="183"/>
      <c r="C83" s="183"/>
      <c r="D83" s="187">
        <v>15</v>
      </c>
      <c r="E83" s="143"/>
      <c r="F83" s="144"/>
      <c r="G83" s="143"/>
    </row>
    <row r="84" spans="2:27">
      <c r="B84" s="183"/>
      <c r="C84" s="183"/>
      <c r="D84" s="187">
        <v>16</v>
      </c>
      <c r="E84" s="143"/>
      <c r="F84" s="144"/>
      <c r="G84" s="143"/>
    </row>
    <row r="85" spans="2:27">
      <c r="B85" s="183"/>
      <c r="C85" s="183"/>
      <c r="D85" s="187">
        <v>17</v>
      </c>
      <c r="E85" s="143"/>
      <c r="F85" s="144"/>
      <c r="G85" s="143"/>
    </row>
    <row r="86" spans="2:27">
      <c r="B86" s="183"/>
      <c r="C86" s="183"/>
      <c r="D86" s="187">
        <v>18</v>
      </c>
      <c r="E86" s="143"/>
      <c r="F86" s="144"/>
      <c r="G86" s="143"/>
    </row>
    <row r="87" spans="2:27">
      <c r="B87" s="183"/>
      <c r="C87" s="183"/>
      <c r="D87" s="187">
        <v>19</v>
      </c>
      <c r="E87" s="143"/>
      <c r="F87" s="144"/>
      <c r="G87" s="143"/>
    </row>
    <row r="88" spans="2:27">
      <c r="B88" s="183"/>
      <c r="C88" s="183"/>
      <c r="D88" s="187">
        <v>20</v>
      </c>
      <c r="E88" s="143"/>
      <c r="F88" s="144"/>
      <c r="G88" s="143"/>
    </row>
    <row r="89" spans="2:27" ht="13.5" thickBot="1">
      <c r="B89" s="183"/>
      <c r="C89" s="183"/>
      <c r="D89" s="188">
        <v>21</v>
      </c>
      <c r="E89" s="151"/>
      <c r="F89" s="145"/>
      <c r="G89" s="146"/>
    </row>
    <row r="90" spans="2:27" ht="13.5" thickBot="1">
      <c r="B90" s="183"/>
      <c r="C90" s="183"/>
      <c r="D90" s="465" t="s">
        <v>4101</v>
      </c>
      <c r="E90" s="92"/>
      <c r="F90" s="52"/>
      <c r="G90" s="150">
        <f>SUM(G69:G89)</f>
        <v>0</v>
      </c>
    </row>
    <row r="91" spans="2:27">
      <c r="B91" s="183"/>
      <c r="C91" s="183"/>
      <c r="D91" s="183"/>
      <c r="F91" s="147"/>
      <c r="G91" s="147"/>
      <c r="N91" s="136"/>
    </row>
    <row r="92" spans="2:27">
      <c r="B92" s="183"/>
      <c r="C92" s="183"/>
      <c r="D92" s="100" t="s">
        <v>4107</v>
      </c>
      <c r="E92" s="39"/>
      <c r="F92" s="40"/>
      <c r="G92" s="256">
        <f>+G116</f>
        <v>0</v>
      </c>
      <c r="Y92" s="135"/>
      <c r="Z92" s="135"/>
      <c r="AA92" s="135"/>
    </row>
    <row r="93" spans="2:27" ht="13.5" thickBot="1">
      <c r="B93" s="183"/>
      <c r="C93" s="183"/>
      <c r="D93" s="183"/>
      <c r="F93" s="147"/>
      <c r="G93" s="147"/>
      <c r="N93" s="136"/>
    </row>
    <row r="94" spans="2:27" ht="13.5" thickBot="1">
      <c r="B94" s="183"/>
      <c r="C94" s="183"/>
      <c r="D94" s="104"/>
      <c r="E94" s="148" t="s">
        <v>194</v>
      </c>
      <c r="F94" s="148" t="s">
        <v>4108</v>
      </c>
      <c r="G94" s="149" t="s">
        <v>209</v>
      </c>
    </row>
    <row r="95" spans="2:27">
      <c r="B95" s="183"/>
      <c r="C95" s="183"/>
      <c r="D95" s="187">
        <v>1</v>
      </c>
      <c r="E95" s="143"/>
      <c r="F95" s="409"/>
      <c r="G95" s="143"/>
    </row>
    <row r="96" spans="2:27">
      <c r="B96" s="183"/>
      <c r="C96" s="183"/>
      <c r="D96" s="187">
        <f t="shared" ref="D96:D115" si="0">+D95+1</f>
        <v>2</v>
      </c>
      <c r="E96" s="143"/>
      <c r="F96" s="143"/>
      <c r="G96" s="143"/>
    </row>
    <row r="97" spans="2:7">
      <c r="B97" s="183"/>
      <c r="C97" s="183"/>
      <c r="D97" s="187">
        <f t="shared" si="0"/>
        <v>3</v>
      </c>
      <c r="E97" s="143"/>
      <c r="F97" s="143"/>
      <c r="G97" s="143"/>
    </row>
    <row r="98" spans="2:7">
      <c r="B98" s="183"/>
      <c r="C98" s="183"/>
      <c r="D98" s="187">
        <f t="shared" si="0"/>
        <v>4</v>
      </c>
      <c r="E98" s="143"/>
      <c r="F98" s="143"/>
      <c r="G98" s="143"/>
    </row>
    <row r="99" spans="2:7">
      <c r="B99" s="183"/>
      <c r="C99" s="183"/>
      <c r="D99" s="187">
        <f t="shared" si="0"/>
        <v>5</v>
      </c>
      <c r="E99" s="143"/>
      <c r="F99" s="143"/>
      <c r="G99" s="143"/>
    </row>
    <row r="100" spans="2:7">
      <c r="B100" s="183"/>
      <c r="C100" s="183"/>
      <c r="D100" s="187">
        <f t="shared" si="0"/>
        <v>6</v>
      </c>
      <c r="E100" s="143"/>
      <c r="F100" s="143"/>
      <c r="G100" s="143"/>
    </row>
    <row r="101" spans="2:7">
      <c r="B101" s="183"/>
      <c r="C101" s="183"/>
      <c r="D101" s="187">
        <f t="shared" si="0"/>
        <v>7</v>
      </c>
      <c r="E101" s="143"/>
      <c r="F101" s="143"/>
      <c r="G101" s="143"/>
    </row>
    <row r="102" spans="2:7">
      <c r="B102" s="183"/>
      <c r="C102" s="183"/>
      <c r="D102" s="187">
        <f t="shared" si="0"/>
        <v>8</v>
      </c>
      <c r="E102" s="143"/>
      <c r="F102" s="143"/>
      <c r="G102" s="143"/>
    </row>
    <row r="103" spans="2:7">
      <c r="B103" s="183"/>
      <c r="C103" s="183"/>
      <c r="D103" s="187">
        <f t="shared" si="0"/>
        <v>9</v>
      </c>
      <c r="E103" s="143"/>
      <c r="F103" s="143"/>
      <c r="G103" s="143"/>
    </row>
    <row r="104" spans="2:7">
      <c r="B104" s="183"/>
      <c r="C104" s="183"/>
      <c r="D104" s="187">
        <f t="shared" si="0"/>
        <v>10</v>
      </c>
      <c r="E104" s="143"/>
      <c r="F104" s="143"/>
      <c r="G104" s="143"/>
    </row>
    <row r="105" spans="2:7">
      <c r="B105" s="183"/>
      <c r="C105" s="183"/>
      <c r="D105" s="187">
        <f t="shared" si="0"/>
        <v>11</v>
      </c>
      <c r="E105" s="143"/>
      <c r="F105" s="143"/>
      <c r="G105" s="143"/>
    </row>
    <row r="106" spans="2:7">
      <c r="B106" s="183"/>
      <c r="C106" s="183"/>
      <c r="D106" s="187">
        <f t="shared" si="0"/>
        <v>12</v>
      </c>
      <c r="E106" s="143"/>
      <c r="F106" s="143"/>
      <c r="G106" s="143"/>
    </row>
    <row r="107" spans="2:7">
      <c r="B107" s="183"/>
      <c r="C107" s="183"/>
      <c r="D107" s="187">
        <f t="shared" si="0"/>
        <v>13</v>
      </c>
      <c r="E107" s="143"/>
      <c r="F107" s="143"/>
      <c r="G107" s="143"/>
    </row>
    <row r="108" spans="2:7">
      <c r="B108" s="183"/>
      <c r="C108" s="183"/>
      <c r="D108" s="187">
        <f t="shared" si="0"/>
        <v>14</v>
      </c>
      <c r="E108" s="143"/>
      <c r="F108" s="143"/>
      <c r="G108" s="143"/>
    </row>
    <row r="109" spans="2:7">
      <c r="B109" s="183"/>
      <c r="C109" s="183"/>
      <c r="D109" s="187">
        <f t="shared" si="0"/>
        <v>15</v>
      </c>
      <c r="E109" s="143"/>
      <c r="F109" s="143"/>
      <c r="G109" s="143"/>
    </row>
    <row r="110" spans="2:7">
      <c r="B110" s="183"/>
      <c r="C110" s="183"/>
      <c r="D110" s="187">
        <f t="shared" si="0"/>
        <v>16</v>
      </c>
      <c r="E110" s="143"/>
      <c r="F110" s="143"/>
      <c r="G110" s="143"/>
    </row>
    <row r="111" spans="2:7">
      <c r="B111" s="183"/>
      <c r="C111" s="183"/>
      <c r="D111" s="187">
        <f t="shared" si="0"/>
        <v>17</v>
      </c>
      <c r="E111" s="143"/>
      <c r="F111" s="143"/>
      <c r="G111" s="143"/>
    </row>
    <row r="112" spans="2:7">
      <c r="B112" s="183"/>
      <c r="C112" s="183"/>
      <c r="D112" s="187">
        <f t="shared" si="0"/>
        <v>18</v>
      </c>
      <c r="E112" s="143"/>
      <c r="F112" s="143"/>
      <c r="G112" s="143"/>
    </row>
    <row r="113" spans="2:10">
      <c r="B113" s="183"/>
      <c r="C113" s="183"/>
      <c r="D113" s="187">
        <f t="shared" si="0"/>
        <v>19</v>
      </c>
      <c r="E113" s="143"/>
      <c r="F113" s="143"/>
      <c r="G113" s="143"/>
    </row>
    <row r="114" spans="2:10">
      <c r="B114" s="183"/>
      <c r="C114" s="183"/>
      <c r="D114" s="187">
        <f t="shared" si="0"/>
        <v>20</v>
      </c>
      <c r="E114" s="143"/>
      <c r="F114" s="143"/>
      <c r="G114" s="143"/>
    </row>
    <row r="115" spans="2:10" ht="13.5" thickBot="1">
      <c r="B115" s="183"/>
      <c r="C115" s="183"/>
      <c r="D115" s="187">
        <f t="shared" si="0"/>
        <v>21</v>
      </c>
      <c r="E115" s="151"/>
      <c r="F115" s="143"/>
      <c r="G115" s="143"/>
    </row>
    <row r="116" spans="2:10" ht="13.5" thickBot="1">
      <c r="B116" s="183"/>
      <c r="C116" s="183"/>
      <c r="D116" s="465" t="s">
        <v>4109</v>
      </c>
      <c r="E116" s="92"/>
      <c r="F116" s="52"/>
      <c r="G116" s="150">
        <f>SUM(G95:G115)</f>
        <v>0</v>
      </c>
    </row>
    <row r="117" spans="2:10">
      <c r="B117" s="183"/>
      <c r="C117" s="190"/>
      <c r="D117" s="190"/>
      <c r="E117" s="34"/>
      <c r="F117" s="136"/>
      <c r="G117" s="136"/>
      <c r="H117" s="140"/>
    </row>
    <row r="118" spans="2:10" ht="13.5" thickBot="1">
      <c r="B118" s="183"/>
      <c r="C118" s="190"/>
      <c r="D118" s="190"/>
      <c r="E118" s="34"/>
      <c r="F118" s="136"/>
      <c r="G118" s="136"/>
      <c r="H118" s="140"/>
    </row>
    <row r="119" spans="2:10" ht="13.5" thickBot="1">
      <c r="B119" s="183"/>
      <c r="C119" s="174" t="s">
        <v>4110</v>
      </c>
      <c r="D119" s="185"/>
      <c r="E119" s="133"/>
      <c r="F119" s="133"/>
      <c r="G119" s="257">
        <f>+G143</f>
        <v>0</v>
      </c>
      <c r="J119" s="136"/>
    </row>
    <row r="120" spans="2:10" ht="13.5" thickBot="1">
      <c r="B120" s="183"/>
      <c r="C120" s="183"/>
      <c r="D120" s="183"/>
    </row>
    <row r="121" spans="2:10" ht="13.5" thickBot="1">
      <c r="B121" s="183"/>
      <c r="C121" s="183"/>
      <c r="D121" s="104" t="s">
        <v>4103</v>
      </c>
      <c r="E121" s="148" t="s">
        <v>194</v>
      </c>
      <c r="F121" s="148" t="s">
        <v>195</v>
      </c>
      <c r="G121" s="148" t="s">
        <v>209</v>
      </c>
    </row>
    <row r="122" spans="2:10">
      <c r="B122" s="183"/>
      <c r="C122" s="183"/>
      <c r="D122" s="186">
        <v>1</v>
      </c>
      <c r="E122" s="136"/>
      <c r="F122" s="138"/>
      <c r="G122" s="137"/>
    </row>
    <row r="123" spans="2:10">
      <c r="B123" s="183"/>
      <c r="C123" s="183"/>
      <c r="D123" s="187">
        <v>2</v>
      </c>
      <c r="E123" s="136"/>
      <c r="F123" s="138"/>
      <c r="G123" s="137"/>
    </row>
    <row r="124" spans="2:10">
      <c r="B124" s="183"/>
      <c r="C124" s="183"/>
      <c r="D124" s="187">
        <v>3</v>
      </c>
      <c r="E124" s="137"/>
      <c r="F124" s="144"/>
      <c r="G124" s="137"/>
    </row>
    <row r="125" spans="2:10">
      <c r="B125" s="183"/>
      <c r="C125" s="183"/>
      <c r="D125" s="187">
        <v>4</v>
      </c>
      <c r="E125" s="143"/>
      <c r="F125" s="144"/>
      <c r="G125" s="143"/>
    </row>
    <row r="126" spans="2:10">
      <c r="B126" s="183"/>
      <c r="C126" s="183"/>
      <c r="D126" s="187">
        <v>5</v>
      </c>
      <c r="E126" s="143"/>
      <c r="F126" s="144"/>
      <c r="G126" s="143"/>
    </row>
    <row r="127" spans="2:10">
      <c r="B127" s="183"/>
      <c r="C127" s="183"/>
      <c r="D127" s="187">
        <v>6</v>
      </c>
      <c r="E127" s="143"/>
      <c r="F127" s="144"/>
      <c r="G127" s="143"/>
    </row>
    <row r="128" spans="2:10">
      <c r="B128" s="183"/>
      <c r="C128" s="183"/>
      <c r="D128" s="187">
        <v>7</v>
      </c>
      <c r="E128" s="143"/>
      <c r="F128" s="144"/>
      <c r="G128" s="143"/>
    </row>
    <row r="129" spans="2:7">
      <c r="B129" s="183"/>
      <c r="C129" s="183"/>
      <c r="D129" s="187">
        <v>8</v>
      </c>
      <c r="E129" s="143"/>
      <c r="F129" s="144"/>
      <c r="G129" s="143"/>
    </row>
    <row r="130" spans="2:7">
      <c r="B130" s="183"/>
      <c r="C130" s="183"/>
      <c r="D130" s="187">
        <v>9</v>
      </c>
      <c r="E130" s="143"/>
      <c r="F130" s="144"/>
      <c r="G130" s="143"/>
    </row>
    <row r="131" spans="2:7">
      <c r="B131" s="183"/>
      <c r="C131" s="183"/>
      <c r="D131" s="187">
        <v>10</v>
      </c>
      <c r="E131" s="143"/>
      <c r="F131" s="144"/>
      <c r="G131" s="143"/>
    </row>
    <row r="132" spans="2:7">
      <c r="B132" s="183"/>
      <c r="C132" s="183"/>
      <c r="D132" s="187">
        <v>11</v>
      </c>
      <c r="E132" s="143"/>
      <c r="F132" s="144"/>
      <c r="G132" s="143"/>
    </row>
    <row r="133" spans="2:7">
      <c r="B133" s="183"/>
      <c r="C133" s="183"/>
      <c r="D133" s="187">
        <v>12</v>
      </c>
      <c r="E133" s="143"/>
      <c r="F133" s="144"/>
      <c r="G133" s="143"/>
    </row>
    <row r="134" spans="2:7">
      <c r="B134" s="183"/>
      <c r="C134" s="183"/>
      <c r="D134" s="187">
        <v>13</v>
      </c>
      <c r="E134" s="143"/>
      <c r="F134" s="144"/>
      <c r="G134" s="143"/>
    </row>
    <row r="135" spans="2:7">
      <c r="B135" s="183"/>
      <c r="C135" s="183"/>
      <c r="D135" s="187">
        <v>14</v>
      </c>
      <c r="E135" s="143"/>
      <c r="F135" s="144"/>
      <c r="G135" s="143"/>
    </row>
    <row r="136" spans="2:7">
      <c r="B136" s="183"/>
      <c r="C136" s="183"/>
      <c r="D136" s="187">
        <v>15</v>
      </c>
      <c r="E136" s="143"/>
      <c r="F136" s="144"/>
      <c r="G136" s="143"/>
    </row>
    <row r="137" spans="2:7">
      <c r="B137" s="183"/>
      <c r="C137" s="183"/>
      <c r="D137" s="187">
        <v>16</v>
      </c>
      <c r="E137" s="143"/>
      <c r="F137" s="144"/>
      <c r="G137" s="143"/>
    </row>
    <row r="138" spans="2:7">
      <c r="B138" s="183"/>
      <c r="C138" s="183"/>
      <c r="D138" s="187">
        <v>17</v>
      </c>
      <c r="E138" s="143"/>
      <c r="F138" s="144"/>
      <c r="G138" s="143"/>
    </row>
    <row r="139" spans="2:7">
      <c r="B139" s="183"/>
      <c r="C139" s="183"/>
      <c r="D139" s="187">
        <v>18</v>
      </c>
      <c r="E139" s="143"/>
      <c r="F139" s="144"/>
      <c r="G139" s="143"/>
    </row>
    <row r="140" spans="2:7">
      <c r="B140" s="183"/>
      <c r="C140" s="183"/>
      <c r="D140" s="187">
        <v>19</v>
      </c>
      <c r="E140" s="143"/>
      <c r="F140" s="144"/>
      <c r="G140" s="143"/>
    </row>
    <row r="141" spans="2:7">
      <c r="B141" s="183"/>
      <c r="C141" s="183"/>
      <c r="D141" s="187">
        <v>20</v>
      </c>
      <c r="E141" s="143"/>
      <c r="F141" s="144"/>
      <c r="G141" s="143"/>
    </row>
    <row r="142" spans="2:7" ht="13.5" thickBot="1">
      <c r="B142" s="183"/>
      <c r="C142" s="183"/>
      <c r="D142" s="188">
        <v>21</v>
      </c>
      <c r="E142" s="151"/>
      <c r="F142" s="145"/>
      <c r="G142" s="146"/>
    </row>
    <row r="143" spans="2:7" ht="13.5" thickBot="1">
      <c r="B143" s="183"/>
      <c r="C143" s="183"/>
      <c r="D143" s="465" t="s">
        <v>4111</v>
      </c>
      <c r="E143" s="92"/>
      <c r="F143" s="139"/>
      <c r="G143" s="410">
        <f>SUM(G122:G142)</f>
        <v>0</v>
      </c>
    </row>
    <row r="144" spans="2:7">
      <c r="B144" s="183"/>
      <c r="C144" s="183"/>
      <c r="D144" s="183"/>
    </row>
    <row r="145" spans="2:7" ht="13.5" thickBot="1">
      <c r="B145" s="183"/>
      <c r="C145" s="183"/>
      <c r="D145" s="183"/>
    </row>
    <row r="146" spans="2:7" ht="13.5" thickBot="1">
      <c r="B146" s="183"/>
      <c r="C146" s="174" t="s">
        <v>4112</v>
      </c>
      <c r="D146" s="185"/>
      <c r="E146" s="133"/>
      <c r="F146" s="133"/>
      <c r="G146" s="257">
        <f>+G170</f>
        <v>0</v>
      </c>
    </row>
    <row r="147" spans="2:7" ht="13.5" thickBot="1">
      <c r="B147" s="183"/>
      <c r="C147" s="183"/>
      <c r="D147" s="183"/>
    </row>
    <row r="148" spans="2:7" ht="13.5" thickBot="1">
      <c r="B148" s="183"/>
      <c r="C148" s="183"/>
      <c r="D148" s="104" t="s">
        <v>4103</v>
      </c>
      <c r="E148" s="148" t="s">
        <v>194</v>
      </c>
      <c r="F148" s="148" t="s">
        <v>195</v>
      </c>
      <c r="G148" s="148" t="s">
        <v>209</v>
      </c>
    </row>
    <row r="149" spans="2:7">
      <c r="B149" s="183"/>
      <c r="C149" s="183"/>
      <c r="D149" s="186">
        <v>1</v>
      </c>
      <c r="E149" s="142"/>
      <c r="G149" s="142"/>
    </row>
    <row r="150" spans="2:7">
      <c r="B150" s="183"/>
      <c r="C150" s="183"/>
      <c r="D150" s="187">
        <v>2</v>
      </c>
      <c r="E150" s="143"/>
      <c r="F150" s="144"/>
      <c r="G150" s="143"/>
    </row>
    <row r="151" spans="2:7">
      <c r="B151" s="183"/>
      <c r="C151" s="183"/>
      <c r="D151" s="187">
        <v>3</v>
      </c>
      <c r="E151" s="143"/>
      <c r="F151" s="144"/>
      <c r="G151" s="143"/>
    </row>
    <row r="152" spans="2:7">
      <c r="B152" s="183"/>
      <c r="C152" s="183"/>
      <c r="D152" s="187">
        <v>4</v>
      </c>
      <c r="E152" s="143"/>
      <c r="F152" s="144"/>
      <c r="G152" s="143"/>
    </row>
    <row r="153" spans="2:7">
      <c r="B153" s="183"/>
      <c r="C153" s="183"/>
      <c r="D153" s="187">
        <v>5</v>
      </c>
      <c r="E153" s="143"/>
      <c r="F153" s="144"/>
      <c r="G153" s="143"/>
    </row>
    <row r="154" spans="2:7">
      <c r="B154" s="183"/>
      <c r="C154" s="183"/>
      <c r="D154" s="187">
        <v>6</v>
      </c>
      <c r="E154" s="143"/>
      <c r="F154" s="144"/>
      <c r="G154" s="143"/>
    </row>
    <row r="155" spans="2:7">
      <c r="B155" s="183"/>
      <c r="C155" s="183"/>
      <c r="D155" s="187">
        <v>7</v>
      </c>
      <c r="E155" s="143"/>
      <c r="F155" s="144"/>
      <c r="G155" s="143"/>
    </row>
    <row r="156" spans="2:7">
      <c r="B156" s="183"/>
      <c r="C156" s="183"/>
      <c r="D156" s="187">
        <v>8</v>
      </c>
      <c r="E156" s="143"/>
      <c r="F156" s="144"/>
      <c r="G156" s="143"/>
    </row>
    <row r="157" spans="2:7">
      <c r="B157" s="183"/>
      <c r="C157" s="183"/>
      <c r="D157" s="187">
        <v>9</v>
      </c>
      <c r="E157" s="143"/>
      <c r="F157" s="144"/>
      <c r="G157" s="143"/>
    </row>
    <row r="158" spans="2:7">
      <c r="B158" s="183"/>
      <c r="C158" s="183"/>
      <c r="D158" s="187">
        <v>10</v>
      </c>
      <c r="E158" s="143"/>
      <c r="F158" s="144"/>
      <c r="G158" s="143"/>
    </row>
    <row r="159" spans="2:7">
      <c r="B159" s="183"/>
      <c r="C159" s="183"/>
      <c r="D159" s="187">
        <v>11</v>
      </c>
      <c r="E159" s="143"/>
      <c r="F159" s="144"/>
      <c r="G159" s="143"/>
    </row>
    <row r="160" spans="2:7">
      <c r="B160" s="183"/>
      <c r="C160" s="183"/>
      <c r="D160" s="187">
        <v>12</v>
      </c>
      <c r="E160" s="143"/>
      <c r="F160" s="144"/>
      <c r="G160" s="143"/>
    </row>
    <row r="161" spans="2:8">
      <c r="B161" s="183"/>
      <c r="C161" s="183"/>
      <c r="D161" s="187">
        <v>13</v>
      </c>
      <c r="E161" s="143"/>
      <c r="F161" s="144"/>
      <c r="G161" s="143"/>
    </row>
    <row r="162" spans="2:8">
      <c r="B162" s="183"/>
      <c r="C162" s="183"/>
      <c r="D162" s="187">
        <v>14</v>
      </c>
      <c r="E162" s="143"/>
      <c r="F162" s="144"/>
      <c r="G162" s="143"/>
    </row>
    <row r="163" spans="2:8">
      <c r="B163" s="183"/>
      <c r="C163" s="183"/>
      <c r="D163" s="187">
        <v>15</v>
      </c>
      <c r="E163" s="143"/>
      <c r="F163" s="144"/>
      <c r="G163" s="143"/>
    </row>
    <row r="164" spans="2:8">
      <c r="B164" s="183"/>
      <c r="C164" s="183"/>
      <c r="D164" s="187">
        <v>16</v>
      </c>
      <c r="E164" s="143"/>
      <c r="F164" s="144"/>
      <c r="G164" s="143"/>
    </row>
    <row r="165" spans="2:8">
      <c r="B165" s="183"/>
      <c r="C165" s="183"/>
      <c r="D165" s="187">
        <v>17</v>
      </c>
      <c r="E165" s="143"/>
      <c r="F165" s="144"/>
      <c r="G165" s="143"/>
    </row>
    <row r="166" spans="2:8">
      <c r="B166" s="183"/>
      <c r="C166" s="183"/>
      <c r="D166" s="187">
        <v>18</v>
      </c>
      <c r="E166" s="143"/>
      <c r="F166" s="144"/>
      <c r="G166" s="143"/>
    </row>
    <row r="167" spans="2:8">
      <c r="B167" s="183"/>
      <c r="C167" s="183"/>
      <c r="D167" s="187">
        <v>19</v>
      </c>
      <c r="E167" s="143"/>
      <c r="F167" s="144"/>
      <c r="G167" s="143"/>
    </row>
    <row r="168" spans="2:8">
      <c r="B168" s="183"/>
      <c r="C168" s="183"/>
      <c r="D168" s="187">
        <v>20</v>
      </c>
      <c r="E168" s="143"/>
      <c r="F168" s="144"/>
      <c r="G168" s="143"/>
    </row>
    <row r="169" spans="2:8" ht="13.5" thickBot="1">
      <c r="B169" s="183"/>
      <c r="C169" s="183"/>
      <c r="D169" s="188">
        <v>21</v>
      </c>
      <c r="E169" s="151"/>
      <c r="F169" s="145"/>
      <c r="G169" s="146"/>
    </row>
    <row r="170" spans="2:8" ht="13.5" thickBot="1">
      <c r="B170" s="183"/>
      <c r="C170" s="183"/>
      <c r="D170" s="189" t="s">
        <v>217</v>
      </c>
      <c r="E170" s="50"/>
      <c r="F170" s="139"/>
      <c r="G170" s="150">
        <f>SUM(G149:G169)</f>
        <v>0</v>
      </c>
    </row>
    <row r="171" spans="2:8">
      <c r="B171" s="183"/>
      <c r="C171" s="183"/>
      <c r="D171" s="183"/>
    </row>
    <row r="172" spans="2:8" ht="13.5" thickBot="1">
      <c r="B172" s="183"/>
      <c r="C172" s="183"/>
      <c r="D172" s="183"/>
    </row>
    <row r="173" spans="2:8" ht="13.5" thickBot="1">
      <c r="B173" s="183"/>
      <c r="C173" s="174" t="s">
        <v>4113</v>
      </c>
      <c r="D173" s="185"/>
      <c r="E173" s="133"/>
      <c r="F173" s="133"/>
      <c r="G173" s="134"/>
      <c r="H173" s="147"/>
    </row>
    <row r="174" spans="2:8" ht="13.5" thickBot="1">
      <c r="B174" s="183"/>
      <c r="C174" s="183"/>
      <c r="D174" s="183"/>
      <c r="H174" s="147"/>
    </row>
    <row r="175" spans="2:8" ht="13.5" thickBot="1">
      <c r="B175" s="183"/>
      <c r="C175" s="174" t="s">
        <v>4114</v>
      </c>
      <c r="D175" s="185"/>
      <c r="E175" s="133"/>
      <c r="F175" s="133"/>
      <c r="G175" s="134"/>
      <c r="H175" s="147"/>
    </row>
    <row r="176" spans="2:8" ht="13.5" thickBot="1">
      <c r="B176" s="183"/>
      <c r="C176" s="183"/>
      <c r="D176" s="183"/>
      <c r="H176" s="147"/>
    </row>
    <row r="177" spans="2:8" ht="13.5" thickBot="1">
      <c r="B177" s="183"/>
      <c r="C177" s="174" t="s">
        <v>4115</v>
      </c>
      <c r="D177" s="185"/>
      <c r="E177" s="133"/>
      <c r="F177" s="133"/>
      <c r="G177" s="134"/>
      <c r="H177" s="147"/>
    </row>
    <row r="178" spans="2:8" ht="13.5" thickBot="1">
      <c r="B178" s="183"/>
      <c r="C178" s="183"/>
      <c r="D178" s="183"/>
    </row>
    <row r="179" spans="2:8" ht="13.5" thickBot="1">
      <c r="B179" s="183"/>
      <c r="C179" s="174" t="s">
        <v>4116</v>
      </c>
      <c r="D179" s="185"/>
      <c r="E179" s="133"/>
      <c r="F179" s="133"/>
      <c r="G179" s="134"/>
    </row>
    <row r="180" spans="2:8" ht="13.5" thickBot="1">
      <c r="B180" s="183"/>
      <c r="C180" s="183"/>
      <c r="D180" s="183"/>
    </row>
    <row r="181" spans="2:8" ht="13.5" thickBot="1">
      <c r="B181" s="183"/>
      <c r="C181" s="174" t="s">
        <v>4117</v>
      </c>
      <c r="D181" s="185"/>
      <c r="E181" s="133"/>
      <c r="F181" s="133"/>
      <c r="G181" s="134">
        <v>0</v>
      </c>
    </row>
  </sheetData>
  <phoneticPr fontId="3" type="noConversion"/>
  <conditionalFormatting sqref="D14:G34">
    <cfRule type="expression" dxfId="53" priority="14">
      <formula>AND($E14&lt;&gt;"",OR($G14="",AND($E14&lt;&gt;"otros",$E14&lt;&gt;"Otros",$F14="")))</formula>
    </cfRule>
  </conditionalFormatting>
  <conditionalFormatting sqref="D40:G60">
    <cfRule type="expression" dxfId="52" priority="13">
      <formula>AND($E40&lt;&gt;"",OR($G40="",AND($E40&lt;&gt;"otros",$E40&lt;&gt;"Otros",$F40="")))</formula>
    </cfRule>
  </conditionalFormatting>
  <conditionalFormatting sqref="D69:G89">
    <cfRule type="expression" dxfId="51" priority="12">
      <formula>AND($E69&lt;&gt;"",OR($G69="",AND($E69&lt;&gt;"otros",$E69&lt;&gt;"Otros",$F69="")))</formula>
    </cfRule>
  </conditionalFormatting>
  <conditionalFormatting sqref="D95:G115">
    <cfRule type="expression" dxfId="50" priority="11">
      <formula>AND($E95&lt;&gt;"",OR($G95="",AND($E95&lt;&gt;"otros",$E95&lt;&gt;"Otros",$F95="")))</formula>
    </cfRule>
  </conditionalFormatting>
  <conditionalFormatting sqref="D122:G142">
    <cfRule type="expression" dxfId="49" priority="10">
      <formula>AND($E122&lt;&gt;"",OR($G122="",AND($E122&lt;&gt;"otros",$E122&lt;&gt;"Otros",$F122="")))</formula>
    </cfRule>
  </conditionalFormatting>
  <conditionalFormatting sqref="E14:E34 E40:E60 E69:E89 E95:E115 E122:E142 E149:E169">
    <cfRule type="expression" dxfId="48" priority="8">
      <formula>OR(ISNUMBER(SEARCH("0",E14)),  ISNUMBER(SEARCH("1",E14)),  ISNUMBER(SEARCH("2",E14)),  ISNUMBER(SEARCH("3",E14)),  ISNUMBER(SEARCH("4",E14)),  ISNUMBER(SEARCH("5",E14)),  ISNUMBER(SEARCH("6",E14)),  ISNUMBER(SEARCH("7",E14)),  ISNUMBER(SEARCH("8",E14)),  ISNUMBER(SEARCH("9",E14)))</formula>
    </cfRule>
  </conditionalFormatting>
  <conditionalFormatting sqref="E14:F34">
    <cfRule type="expression" dxfId="47" priority="6">
      <formula>AND(COUNTA($E14:$G14)&gt;0,  OR($G14="",   AND(LOWER(TRIM($E14))&lt;&gt;"otros",     NOT(AND(ISNUMBER(--$F14),LEN($F14)=11)))))</formula>
    </cfRule>
  </conditionalFormatting>
  <conditionalFormatting sqref="E40:F60">
    <cfRule type="expression" dxfId="46" priority="5">
      <formula>AND(COUNTA($E40:$G40)&gt;0,OR($G40="",AND(LOWER(TRIM($E40))&lt;&gt;"otros",NOT(AND(ISNUMBER(--$F40),LEN($F40)=11)))))</formula>
    </cfRule>
  </conditionalFormatting>
  <conditionalFormatting sqref="E69:F89">
    <cfRule type="expression" dxfId="45" priority="4">
      <formula>AND(COUNTA($E69:$G69)&gt;0,OR($G69="",AND(LOWER(TRIM($E69))&lt;&gt;"otros",NOT(AND(ISNUMBER(--$F69),LEN($F69)=11)))))</formula>
    </cfRule>
  </conditionalFormatting>
  <conditionalFormatting sqref="E95:F115">
    <cfRule type="expression" dxfId="44" priority="3">
      <formula>AND(COUNTA($E95:$G95)&gt;0,OR($G95="",AND(LOWER(TRIM($E95))&lt;&gt;"otros",NOT(AND(ISNUMBER(--$F95),LEN($F95)=11)))))</formula>
    </cfRule>
  </conditionalFormatting>
  <conditionalFormatting sqref="E122:F142">
    <cfRule type="expression" dxfId="43" priority="2">
      <formula>AND(COUNTA($E122:$G122)&gt;0,OR($G122="",AND(LOWER(TRIM($E122))&lt;&gt;"otros",NOT(AND(ISNUMBER(--$F122),LEN($F122)=11)))))</formula>
    </cfRule>
  </conditionalFormatting>
  <conditionalFormatting sqref="E149:F169">
    <cfRule type="expression" dxfId="42" priority="1">
      <formula>AND(COUNTA($E149:$G149)&gt;0,OR($G149="",AND(LOWER(TRIM($E149))&lt;&gt;"otros",NOT(AND(ISNUMBER(--$F149),LEN($F149)=11)))))</formula>
    </cfRule>
  </conditionalFormatting>
  <conditionalFormatting sqref="E149:G169">
    <cfRule type="expression" dxfId="41" priority="7">
      <formula>AND(COUNTA($E149:$G149)&gt;0,  OR($E149="",    $G149="",    AND($E149&lt;&gt;"otros",$E149&lt;&gt;"Otros",$F149="")))</formula>
    </cfRule>
  </conditionalFormatting>
  <dataValidations count="8">
    <dataValidation type="textLength" operator="lessThanOrEqual" allowBlank="1" showInputMessage="1" showErrorMessage="1" error="El campo debe tener maximo 50 caracteres" sqref="E69:E88 E95:E114 E122:E141 E14:E33 E149:E168 E40:E59" xr:uid="{B14B8AA3-9AFB-4BC3-8B48-2AEBCE759C07}">
      <formula1>50</formula1>
    </dataValidation>
    <dataValidation type="custom" allowBlank="1" showInputMessage="1" showErrorMessage="1" sqref="F69:F89" xr:uid="{76FE5A7E-1285-488E-BE1F-2735E63B63CC}">
      <formula1>OR(LOWER(TRIM($E69))="otros",  AND(ISNUMBER(--F69),   LEN(F69)=11))</formula1>
    </dataValidation>
    <dataValidation type="custom" allowBlank="1" showInputMessage="1" showErrorMessage="1" error="El campo debe tener 11 digitos numericos" sqref="F122:F142 F40:F60" xr:uid="{5F2EE608-B2F4-4F69-8AC7-A2445C9F7A2F}">
      <formula1>OR(LOWER(TRIM($E40))="otros",  AND(ISNUMBER(--F40),   LEN(F40)=11))</formula1>
    </dataValidation>
    <dataValidation type="decimal" allowBlank="1" showInputMessage="1" showErrorMessage="1" error="El campo debe tener maximo 999.999.999.999.999,99" sqref="G14:G34 G40:G60 G149:G169 G122:G142 G95:G115 G69:G89 G177 G179 G181" xr:uid="{B278F855-9F75-4A3E-A4D7-C985688986CD}">
      <formula1>0</formula1>
      <formula2>99999999999999900</formula2>
    </dataValidation>
    <dataValidation type="decimal" allowBlank="1" showInputMessage="1" showErrorMessage="1" error="El campo debe tener maximo 9.999.999.999,99_x000a_" sqref="G173 G175" xr:uid="{EB431CCD-A950-41A8-9744-85C7EFC62B8E}">
      <formula1>0</formula1>
      <formula2>999999999999999</formula2>
    </dataValidation>
    <dataValidation type="custom" allowBlank="1" showInputMessage="1" showErrorMessage="1" error="El campo permite 11 digitos numericos" sqref="F95:F115" xr:uid="{76CA4641-45CB-458A-96B1-8390433F7339}">
      <formula1>OR(LOWER(TRIM($E95))="otros",  AND(ISNUMBER(--F95),   LEN(F95)=11))</formula1>
    </dataValidation>
    <dataValidation type="custom" allowBlank="1" showInputMessage="1" showErrorMessage="1" error="El campo debe tener 11 digitos numericos" sqref="F149:F169" xr:uid="{499A603F-F3F8-4A82-AA69-1671578C5D44}">
      <formula1>OR(LOWER(TRIM($E149))="otros",  AND(ISNUMBER(--F149),    LEN(F149)=11))</formula1>
    </dataValidation>
    <dataValidation type="custom" allowBlank="1" showInputMessage="1" showErrorMessage="1" error="El campo debe tener 11 digitos numericos" sqref="F14:F34" xr:uid="{D784E183-6184-4BD4-A37D-BD44FFCCAA86}">
      <formula1>OR(LOWER(TRIM($E14))="otros",  AND(F14&lt;&gt;"",    ISNUMBER(--F14),    LEN(F14)=11))</formula1>
    </dataValidation>
  </dataValidations>
  <printOptions horizontalCentered="1"/>
  <pageMargins left="0" right="0" top="0.39" bottom="0.3" header="0" footer="0"/>
  <pageSetup paperSize="9" scale="70" fitToHeight="10" orientation="portrait" r:id="rId1"/>
  <headerFooter alignWithMargins="0">
    <oddHeader>&amp;R&amp;"Arial,Bold"&amp;12&amp;KFF0000&amp;A</oddHeader>
    <oddFooter>Page &amp;P of &amp;N</oddFooter>
  </headerFooter>
  <colBreaks count="1" manualBreakCount="1">
    <brk id="9" max="1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92D050"/>
  </sheetPr>
  <dimension ref="B1:I65"/>
  <sheetViews>
    <sheetView showGridLines="0" view="pageBreakPreview" topLeftCell="A31" zoomScale="60" zoomScaleNormal="75" workbookViewId="0">
      <selection activeCell="F51" sqref="F51"/>
    </sheetView>
  </sheetViews>
  <sheetFormatPr defaultColWidth="11.42578125" defaultRowHeight="12"/>
  <cols>
    <col min="1" max="2" width="3.140625" style="153" customWidth="1"/>
    <col min="3" max="3" width="24.5703125" style="153" bestFit="1" customWidth="1"/>
    <col min="4" max="4" width="59.140625" style="153" bestFit="1" customWidth="1"/>
    <col min="5" max="5" width="20.140625" style="153" customWidth="1"/>
    <col min="6" max="6" width="22.140625" style="153" customWidth="1"/>
    <col min="7" max="7" width="8.140625" style="153" customWidth="1"/>
    <col min="8" max="8" width="21.5703125" style="153" customWidth="1"/>
    <col min="9" max="9" width="19.140625" style="153" customWidth="1"/>
    <col min="10" max="11" width="11.42578125" style="153" customWidth="1"/>
    <col min="12" max="12" width="13.5703125" style="153" customWidth="1"/>
    <col min="13" max="16" width="11.42578125" style="153" customWidth="1"/>
    <col min="17" max="17" width="16.42578125" style="153" customWidth="1"/>
    <col min="18" max="16384" width="11.42578125" style="153"/>
  </cols>
  <sheetData>
    <row r="1" spans="2:9" ht="12.6" thickBot="1"/>
    <row r="2" spans="2:9" ht="13.5" thickBot="1">
      <c r="B2" s="167" t="s">
        <v>4118</v>
      </c>
      <c r="C2" s="29"/>
      <c r="D2" s="154" t="s">
        <v>4119</v>
      </c>
      <c r="E2" s="30"/>
      <c r="F2" s="239">
        <f>+F4+F6+F8+F10+F12</f>
        <v>0</v>
      </c>
      <c r="H2" s="155"/>
      <c r="I2" s="156" t="s">
        <v>4095</v>
      </c>
    </row>
    <row r="3" spans="2:9">
      <c r="D3" s="175"/>
      <c r="I3" s="259">
        <f>+F2-F15</f>
        <v>0</v>
      </c>
    </row>
    <row r="4" spans="2:9" ht="12.95">
      <c r="D4" s="168" t="s">
        <v>4120</v>
      </c>
      <c r="E4" s="157"/>
      <c r="F4" s="158"/>
    </row>
    <row r="5" spans="2:9">
      <c r="D5" s="175"/>
      <c r="H5" s="161"/>
    </row>
    <row r="6" spans="2:9" ht="12.95">
      <c r="D6" s="168" t="s">
        <v>4121</v>
      </c>
      <c r="E6" s="157"/>
      <c r="F6" s="158"/>
      <c r="H6" s="161"/>
    </row>
    <row r="7" spans="2:9">
      <c r="D7" s="175"/>
    </row>
    <row r="8" spans="2:9" ht="12.95">
      <c r="D8" s="168" t="s">
        <v>4122</v>
      </c>
      <c r="E8" s="157"/>
      <c r="F8" s="158"/>
    </row>
    <row r="9" spans="2:9">
      <c r="D9" s="175"/>
    </row>
    <row r="10" spans="2:9" ht="12.95">
      <c r="D10" s="168" t="s">
        <v>4123</v>
      </c>
      <c r="E10" s="157"/>
      <c r="F10" s="158"/>
    </row>
    <row r="11" spans="2:9">
      <c r="D11" s="175"/>
    </row>
    <row r="12" spans="2:9" ht="12.95">
      <c r="D12" s="168" t="s">
        <v>4124</v>
      </c>
      <c r="E12" s="157"/>
      <c r="F12" s="158"/>
    </row>
    <row r="15" spans="2:9" ht="12.95">
      <c r="C15" s="169" t="s">
        <v>4125</v>
      </c>
      <c r="D15" s="159"/>
      <c r="E15" s="159"/>
      <c r="F15" s="240">
        <f>+F17+F19-F21+F42+F56</f>
        <v>0</v>
      </c>
      <c r="H15" s="161"/>
    </row>
    <row r="16" spans="2:9">
      <c r="D16" s="175"/>
    </row>
    <row r="17" spans="3:8" ht="14.25" customHeight="1">
      <c r="D17" s="168" t="s">
        <v>4126</v>
      </c>
      <c r="E17" s="157"/>
      <c r="F17" s="158">
        <v>0</v>
      </c>
      <c r="H17" s="161"/>
    </row>
    <row r="18" spans="3:8">
      <c r="D18" s="175"/>
    </row>
    <row r="19" spans="3:8" ht="12.95">
      <c r="D19" s="168" t="s">
        <v>4127</v>
      </c>
      <c r="E19" s="157"/>
      <c r="F19" s="158">
        <v>0</v>
      </c>
    </row>
    <row r="20" spans="3:8">
      <c r="D20" s="175"/>
    </row>
    <row r="21" spans="3:8" ht="12.95">
      <c r="D21" s="168" t="s">
        <v>4128</v>
      </c>
      <c r="E21" s="157"/>
      <c r="F21" s="158">
        <f>F23+F25+F27+F34</f>
        <v>0</v>
      </c>
    </row>
    <row r="22" spans="3:8">
      <c r="D22" s="175"/>
    </row>
    <row r="23" spans="3:8" ht="12.95">
      <c r="D23" s="168" t="s">
        <v>4129</v>
      </c>
      <c r="E23" s="157"/>
      <c r="F23" s="158">
        <v>0</v>
      </c>
    </row>
    <row r="24" spans="3:8">
      <c r="C24" s="160"/>
      <c r="D24" s="175"/>
      <c r="E24" s="161"/>
      <c r="F24" s="161"/>
    </row>
    <row r="25" spans="3:8" ht="12.95">
      <c r="D25" s="168" t="s">
        <v>4130</v>
      </c>
      <c r="E25" s="157"/>
      <c r="F25" s="158">
        <v>0</v>
      </c>
    </row>
    <row r="26" spans="3:8">
      <c r="D26" s="175"/>
    </row>
    <row r="27" spans="3:8" ht="12.95">
      <c r="D27" s="168" t="s">
        <v>4131</v>
      </c>
      <c r="E27" s="157"/>
      <c r="F27" s="252">
        <f>+F32</f>
        <v>0</v>
      </c>
    </row>
    <row r="29" spans="3:8" ht="13.5" thickBot="1">
      <c r="D29" s="170" t="s">
        <v>4132</v>
      </c>
      <c r="E29" s="171" t="s">
        <v>195</v>
      </c>
      <c r="F29" s="172" t="s">
        <v>4133</v>
      </c>
    </row>
    <row r="30" spans="3:8" ht="12.95">
      <c r="D30" s="274"/>
      <c r="E30" s="275"/>
      <c r="F30" s="276"/>
    </row>
    <row r="31" spans="3:8" ht="13.5" thickBot="1">
      <c r="D31" s="162"/>
      <c r="E31" s="163"/>
      <c r="F31" s="164"/>
    </row>
    <row r="32" spans="3:8" ht="13.5" thickBot="1">
      <c r="D32" s="162" t="s">
        <v>4134</v>
      </c>
      <c r="E32" s="165"/>
      <c r="F32" s="173">
        <f>SUM(F30:F31)</f>
        <v>0</v>
      </c>
    </row>
    <row r="34" spans="4:8" ht="12.95">
      <c r="D34" s="168" t="s">
        <v>4135</v>
      </c>
      <c r="E34" s="157"/>
      <c r="F34" s="252">
        <f>+F39</f>
        <v>0</v>
      </c>
    </row>
    <row r="36" spans="4:8" ht="13.5" thickBot="1">
      <c r="D36" s="170" t="s">
        <v>4132</v>
      </c>
      <c r="E36" s="171" t="s">
        <v>195</v>
      </c>
      <c r="F36" s="172" t="s">
        <v>4133</v>
      </c>
    </row>
    <row r="37" spans="4:8" ht="12.95">
      <c r="D37" s="274"/>
      <c r="E37" s="275"/>
      <c r="F37" s="276"/>
    </row>
    <row r="38" spans="4:8" ht="13.5" thickBot="1">
      <c r="D38" s="162"/>
      <c r="E38" s="163"/>
      <c r="F38" s="164"/>
    </row>
    <row r="39" spans="4:8" ht="13.5" thickBot="1">
      <c r="D39" s="162" t="s">
        <v>4136</v>
      </c>
      <c r="E39" s="165"/>
      <c r="F39" s="173">
        <f>SUM(F37:F38)</f>
        <v>0</v>
      </c>
    </row>
    <row r="41" spans="4:8" ht="12.6" thickBot="1"/>
    <row r="42" spans="4:8" ht="13.5" thickBot="1">
      <c r="D42" s="174" t="s">
        <v>4137</v>
      </c>
      <c r="E42" s="133"/>
      <c r="F42" s="253">
        <f>+F44+F51+F53</f>
        <v>0</v>
      </c>
      <c r="H42" s="166"/>
    </row>
    <row r="43" spans="4:8">
      <c r="D43" s="175"/>
    </row>
    <row r="44" spans="4:8" ht="12.95">
      <c r="D44" s="168" t="s">
        <v>4138</v>
      </c>
      <c r="E44" s="157"/>
      <c r="F44" s="252">
        <f>+F49</f>
        <v>0</v>
      </c>
    </row>
    <row r="45" spans="4:8" ht="12.6" thickBot="1"/>
    <row r="46" spans="4:8" ht="13.5" thickBot="1">
      <c r="D46" s="170" t="s">
        <v>4132</v>
      </c>
      <c r="E46" s="171" t="s">
        <v>195</v>
      </c>
      <c r="F46" s="172" t="s">
        <v>4133</v>
      </c>
    </row>
    <row r="47" spans="4:8" ht="12.95">
      <c r="D47" s="274"/>
      <c r="E47" s="275"/>
      <c r="F47" s="544"/>
    </row>
    <row r="48" spans="4:8" ht="13.5" thickBot="1">
      <c r="D48" s="162"/>
      <c r="E48" s="163"/>
      <c r="F48" s="276"/>
    </row>
    <row r="49" spans="4:8" ht="13.5" thickBot="1">
      <c r="D49" s="162" t="s">
        <v>4136</v>
      </c>
      <c r="E49" s="165"/>
      <c r="F49" s="173">
        <f>SUM(F48:F48)</f>
        <v>0</v>
      </c>
    </row>
    <row r="51" spans="4:8" ht="12.95">
      <c r="D51" s="168" t="s">
        <v>4139</v>
      </c>
      <c r="E51" s="157"/>
      <c r="F51" s="158">
        <v>0</v>
      </c>
    </row>
    <row r="52" spans="4:8">
      <c r="D52" s="175"/>
    </row>
    <row r="53" spans="4:8" ht="12.95">
      <c r="D53" s="168" t="s">
        <v>4140</v>
      </c>
      <c r="E53" s="157"/>
      <c r="F53" s="158">
        <v>0</v>
      </c>
    </row>
    <row r="56" spans="4:8" ht="12.95">
      <c r="D56" s="169" t="s">
        <v>4141</v>
      </c>
      <c r="E56" s="159"/>
      <c r="F56" s="241">
        <f>+F58-F60</f>
        <v>0</v>
      </c>
      <c r="H56" s="166"/>
    </row>
    <row r="57" spans="4:8">
      <c r="D57" s="175"/>
    </row>
    <row r="58" spans="4:8" ht="12.95">
      <c r="D58" s="168" t="s">
        <v>4142</v>
      </c>
      <c r="E58" s="157"/>
      <c r="F58" s="158">
        <v>0</v>
      </c>
    </row>
    <row r="59" spans="4:8">
      <c r="D59" s="175"/>
    </row>
    <row r="60" spans="4:8" ht="12.95">
      <c r="D60" s="168" t="s">
        <v>4143</v>
      </c>
      <c r="E60" s="157"/>
      <c r="F60" s="158">
        <v>0</v>
      </c>
    </row>
    <row r="63" spans="4:8">
      <c r="F63" s="161"/>
    </row>
    <row r="64" spans="4:8">
      <c r="F64" s="161"/>
    </row>
    <row r="65" spans="6:6">
      <c r="F65" s="161"/>
    </row>
  </sheetData>
  <phoneticPr fontId="3" type="noConversion"/>
  <conditionalFormatting sqref="D30:D31">
    <cfRule type="expression" dxfId="40" priority="3">
      <formula>OR(ISNUMBER(SEARCH("0",D30)),  ISNUMBER(SEARCH("1",D30)),  ISNUMBER(SEARCH("2",D30)),  ISNUMBER(SEARCH("3",D30)),  ISNUMBER(SEARCH("4",D30)),  ISNUMBER(SEARCH("5",D30)),  ISNUMBER(SEARCH("6",D30)),  ISNUMBER(SEARCH("7",D30)),  ISNUMBER(SEARCH("8",D30)),  ISNUMBER(SEARCH("9",D30)))</formula>
    </cfRule>
  </conditionalFormatting>
  <conditionalFormatting sqref="D37:D38">
    <cfRule type="expression" dxfId="39" priority="2">
      <formula>OR(ISNUMBER(SEARCH("0",D37)),  ISNUMBER(SEARCH("1",D37)),  ISNUMBER(SEARCH("2",D37)),  ISNUMBER(SEARCH("3",D37)),  ISNUMBER(SEARCH("4",D37)),  ISNUMBER(SEARCH("5",D37)),  ISNUMBER(SEARCH("6",D37)),  ISNUMBER(SEARCH("7",D37)),  ISNUMBER(SEARCH("8",D37)),  ISNUMBER(SEARCH("9",D37)))</formula>
    </cfRule>
  </conditionalFormatting>
  <conditionalFormatting sqref="D47:D48">
    <cfRule type="expression" dxfId="38" priority="1">
      <formula>OR(ISNUMBER(SEARCH("0",D47)),  ISNUMBER(SEARCH("1",D47)),  ISNUMBER(SEARCH("2",D47)),  ISNUMBER(SEARCH("3",D47)),  ISNUMBER(SEARCH("4",D47)),  ISNUMBER(SEARCH("5",D47)),  ISNUMBER(SEARCH("6",D47)),  ISNUMBER(SEARCH("7",D47)),  ISNUMBER(SEARCH("8",D47)),  ISNUMBER(SEARCH("9",D47)))</formula>
    </cfRule>
  </conditionalFormatting>
  <conditionalFormatting sqref="D30:F31">
    <cfRule type="expression" dxfId="37" priority="6">
      <formula>AND(COUNTA($D30:$F30)&gt;0,   COUNTBLANK($D30:$F30)&gt;0)</formula>
    </cfRule>
  </conditionalFormatting>
  <conditionalFormatting sqref="D37:F38">
    <cfRule type="expression" dxfId="36" priority="5">
      <formula>AND(COUNTA($D37:$F37)&gt;0,   COUNTBLANK($D37:$F37)&gt;0)</formula>
    </cfRule>
  </conditionalFormatting>
  <conditionalFormatting sqref="D47:F48">
    <cfRule type="expression" dxfId="35" priority="4">
      <formula>AND(COUNTA($D47:$F47)&gt;0,   COUNTBLANK($D47:$F47)&gt;0)</formula>
    </cfRule>
  </conditionalFormatting>
  <dataValidations count="6">
    <dataValidation type="textLength" operator="lessThanOrEqual" allowBlank="1" showInputMessage="1" showErrorMessage="1" error="El campo debe tener maximo 50 caracteres" sqref="D37:D38 D30:D31 D47:D48" xr:uid="{CB28D807-F72E-4601-AE06-8E9F656C41B6}">
      <formula1>50</formula1>
    </dataValidation>
    <dataValidation type="decimal" allowBlank="1" showInputMessage="1" showErrorMessage="1" sqref="F27" xr:uid="{BA321DA9-59E2-49B3-818E-991262161BF0}">
      <formula1>0</formula1>
      <formula2>99999999999999900</formula2>
    </dataValidation>
    <dataValidation type="decimal" allowBlank="1" showInputMessage="1" showErrorMessage="1" error="El campo debe tener maximo 9.999.999.999.999,99" sqref="F23 F8 F10 F21 F6 F58 F60 F51 F53 F17 F19 F25" xr:uid="{7786B479-5E22-481C-B371-5B97D5F15B77}">
      <formula1>0</formula1>
      <formula2>999999999999999</formula2>
    </dataValidation>
    <dataValidation type="decimal" allowBlank="1" showInputMessage="1" showErrorMessage="1" error="El campo debe tener maximo 9.999.999.999.999,99" sqref="F12 F4" xr:uid="{C9E32B05-D095-478C-A826-236CD06E83E4}">
      <formula1>0</formula1>
      <formula2>99999999999999900</formula2>
    </dataValidation>
    <dataValidation type="whole" allowBlank="1" showInputMessage="1" showErrorMessage="1" error="El campo debe tener 11 digitos numericos" sqref="E30:E31 E37:E38 E47:E48" xr:uid="{D80C479E-01C6-4C44-8897-F58A6F263A47}">
      <formula1>10000000000</formula1>
      <formula2>99999999999</formula2>
    </dataValidation>
    <dataValidation type="decimal" allowBlank="1" showInputMessage="1" showErrorMessage="1" error="El campo debe tener maximo 999.999.999.999.999,99" sqref="F30:F31 F37:F38 F47:F48" xr:uid="{3FDBF4D1-E093-48FF-86F7-C01EC2781235}">
      <formula1>0</formula1>
      <formula2>99999999999999900</formula2>
    </dataValidation>
  </dataValidations>
  <printOptions horizontalCentered="1"/>
  <pageMargins left="0" right="0" top="0.59055118110236227" bottom="0.19685039370078741" header="0" footer="0"/>
  <pageSetup paperSize="9" scale="82" fitToHeight="2" orientation="portrait" r:id="rId1"/>
  <headerFooter alignWithMargins="0">
    <oddHeader>&amp;R&amp;"Arial,Bold"&amp;12&amp;KFF0000&amp;A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  <pageSetUpPr fitToPage="1"/>
  </sheetPr>
  <dimension ref="A1:AC124"/>
  <sheetViews>
    <sheetView showGridLines="0" view="pageBreakPreview" zoomScale="70" zoomScaleNormal="75" zoomScaleSheetLayoutView="70" workbookViewId="0">
      <selection activeCell="D26" sqref="D26"/>
    </sheetView>
  </sheetViews>
  <sheetFormatPr defaultColWidth="11.42578125" defaultRowHeight="12"/>
  <cols>
    <col min="1" max="1" width="4.5703125" style="208" customWidth="1"/>
    <col min="2" max="2" width="56" style="208" customWidth="1"/>
    <col min="3" max="3" width="30" style="208" customWidth="1"/>
    <col min="4" max="4" width="22.42578125" style="202" customWidth="1"/>
    <col min="5" max="5" width="14.140625" style="213" bestFit="1" customWidth="1"/>
    <col min="6" max="6" width="21.140625" style="208" customWidth="1"/>
    <col min="7" max="7" width="42.140625" style="208" bestFit="1" customWidth="1"/>
    <col min="8" max="8" width="16.85546875" style="208" customWidth="1"/>
    <col min="9" max="9" width="21.5703125" style="208" customWidth="1"/>
    <col min="10" max="10" width="19.5703125" style="208" bestFit="1" customWidth="1"/>
    <col min="11" max="11" width="21" style="208" bestFit="1" customWidth="1"/>
    <col min="12" max="12" width="11.42578125" style="208" customWidth="1"/>
    <col min="13" max="13" width="13.5703125" style="208" customWidth="1"/>
    <col min="14" max="14" width="25" style="208" bestFit="1" customWidth="1"/>
    <col min="15" max="15" width="16.5703125" style="208" customWidth="1"/>
    <col min="16" max="16" width="15.140625" style="208" bestFit="1" customWidth="1"/>
    <col min="17" max="17" width="26.140625" style="208" customWidth="1"/>
    <col min="18" max="18" width="26.85546875" style="208" bestFit="1" customWidth="1"/>
    <col min="19" max="19" width="2.85546875" style="208" customWidth="1"/>
    <col min="20" max="16384" width="11.42578125" style="208"/>
  </cols>
  <sheetData>
    <row r="1" spans="2:6" ht="13.5" customHeight="1"/>
    <row r="2" spans="2:6" ht="12.95">
      <c r="B2" s="191" t="s">
        <v>4144</v>
      </c>
      <c r="C2" s="214" t="s">
        <v>4145</v>
      </c>
      <c r="D2" s="273">
        <f>SUM(D4,D23,D51,D62,D78,D81,D89,D91,D102,D112,D116)-D114</f>
        <v>0</v>
      </c>
      <c r="E2" s="215"/>
      <c r="F2" s="223"/>
    </row>
    <row r="3" spans="2:6">
      <c r="B3" s="192"/>
      <c r="D3" s="201"/>
      <c r="E3" s="215"/>
      <c r="F3" s="223"/>
    </row>
    <row r="4" spans="2:6" ht="12.95">
      <c r="B4" s="193" t="s">
        <v>4146</v>
      </c>
      <c r="C4" s="216"/>
      <c r="D4" s="272">
        <f>+D6+D12+D10+D16+D8+D14+D18+D20</f>
        <v>0</v>
      </c>
      <c r="E4" s="213" t="s">
        <v>4147</v>
      </c>
    </row>
    <row r="5" spans="2:6">
      <c r="B5" s="192"/>
    </row>
    <row r="6" spans="2:6" ht="12.95">
      <c r="B6" s="194" t="s">
        <v>4148</v>
      </c>
      <c r="D6" s="203">
        <v>0</v>
      </c>
      <c r="F6" s="217"/>
    </row>
    <row r="7" spans="2:6">
      <c r="B7" s="192"/>
      <c r="D7" s="204"/>
      <c r="F7" s="217"/>
    </row>
    <row r="8" spans="2:6" ht="12.95">
      <c r="B8" s="194" t="s">
        <v>4149</v>
      </c>
      <c r="D8" s="203">
        <v>0</v>
      </c>
      <c r="F8" s="217"/>
    </row>
    <row r="9" spans="2:6">
      <c r="B9" s="192"/>
      <c r="D9" s="204"/>
      <c r="F9" s="217"/>
    </row>
    <row r="10" spans="2:6" ht="12.95">
      <c r="B10" s="194" t="s">
        <v>4150</v>
      </c>
      <c r="D10" s="203">
        <v>0</v>
      </c>
      <c r="F10" s="217"/>
    </row>
    <row r="11" spans="2:6">
      <c r="B11" s="192"/>
      <c r="D11" s="204"/>
      <c r="F11" s="217"/>
    </row>
    <row r="12" spans="2:6" ht="12" customHeight="1">
      <c r="B12" s="194" t="s">
        <v>4151</v>
      </c>
      <c r="D12" s="203">
        <v>0</v>
      </c>
      <c r="F12" s="217"/>
    </row>
    <row r="13" spans="2:6">
      <c r="B13" s="175"/>
      <c r="D13" s="204"/>
      <c r="F13" s="217"/>
    </row>
    <row r="14" spans="2:6" ht="12.95">
      <c r="B14" s="194" t="s">
        <v>4152</v>
      </c>
      <c r="D14" s="203">
        <v>0</v>
      </c>
      <c r="F14" s="217"/>
    </row>
    <row r="15" spans="2:6">
      <c r="B15" s="175"/>
      <c r="D15" s="204"/>
    </row>
    <row r="16" spans="2:6" ht="12.95">
      <c r="B16" s="194" t="s">
        <v>4153</v>
      </c>
      <c r="D16" s="203">
        <v>0</v>
      </c>
    </row>
    <row r="17" spans="1:29">
      <c r="B17" s="175"/>
      <c r="D17" s="204"/>
    </row>
    <row r="18" spans="1:29" ht="12.95">
      <c r="B18" s="194" t="s">
        <v>4154</v>
      </c>
      <c r="D18" s="203">
        <v>0</v>
      </c>
      <c r="E18" s="218"/>
    </row>
    <row r="19" spans="1:29">
      <c r="B19" s="175"/>
      <c r="D19" s="205"/>
      <c r="E19" s="218"/>
    </row>
    <row r="20" spans="1:29" ht="12.95">
      <c r="B20" s="194" t="s">
        <v>4155</v>
      </c>
      <c r="D20" s="203">
        <v>0</v>
      </c>
      <c r="E20" s="218"/>
    </row>
    <row r="21" spans="1:29">
      <c r="B21" s="192"/>
    </row>
    <row r="22" spans="1:29">
      <c r="B22" s="192"/>
    </row>
    <row r="23" spans="1:29" ht="12.95">
      <c r="B23" s="193" t="s">
        <v>4156</v>
      </c>
      <c r="C23" s="216"/>
      <c r="D23" s="272">
        <f>-(+D25+D27+D29+D31-D49)</f>
        <v>0</v>
      </c>
      <c r="E23" s="213" t="s">
        <v>4147</v>
      </c>
      <c r="G23" s="379"/>
    </row>
    <row r="24" spans="1:29">
      <c r="B24" s="192"/>
    </row>
    <row r="25" spans="1:29">
      <c r="B25" s="175" t="s">
        <v>4157</v>
      </c>
      <c r="D25" s="206">
        <v>0</v>
      </c>
      <c r="H25" s="357"/>
      <c r="I25" s="357"/>
      <c r="J25" s="357"/>
      <c r="K25" s="357"/>
      <c r="M25" s="357"/>
    </row>
    <row r="26" spans="1:29">
      <c r="B26" s="175"/>
      <c r="D26" s="207"/>
      <c r="H26" s="357"/>
      <c r="J26" s="357"/>
      <c r="K26" s="357"/>
      <c r="M26" s="357"/>
    </row>
    <row r="27" spans="1:29">
      <c r="B27" s="175" t="s">
        <v>4158</v>
      </c>
      <c r="D27" s="206">
        <v>0</v>
      </c>
      <c r="J27" s="357"/>
      <c r="K27" s="357"/>
      <c r="M27" s="357"/>
    </row>
    <row r="28" spans="1:29">
      <c r="B28" s="175"/>
      <c r="D28" s="207"/>
      <c r="I28" s="357"/>
      <c r="K28" s="357"/>
      <c r="M28" s="357"/>
    </row>
    <row r="29" spans="1:29">
      <c r="B29" s="175" t="s">
        <v>4159</v>
      </c>
      <c r="D29" s="203"/>
      <c r="J29" s="357"/>
      <c r="K29" s="357"/>
      <c r="M29" s="357"/>
    </row>
    <row r="30" spans="1:29" ht="12.6" thickBot="1">
      <c r="B30" s="175"/>
      <c r="D30" s="207"/>
      <c r="H30" s="357"/>
      <c r="K30" s="357"/>
      <c r="M30" s="357"/>
    </row>
    <row r="31" spans="1:29" s="219" customFormat="1" ht="13.5" thickBot="1">
      <c r="A31" s="208"/>
      <c r="B31" s="195" t="s">
        <v>4160</v>
      </c>
      <c r="C31" s="18"/>
      <c r="D31" s="238">
        <f>+SUM(D33:D38)</f>
        <v>0</v>
      </c>
      <c r="E31" s="213"/>
      <c r="F31" s="347"/>
      <c r="G31" s="208"/>
      <c r="H31" s="357"/>
      <c r="I31" s="208"/>
      <c r="J31" s="357"/>
      <c r="K31" s="357"/>
      <c r="L31" s="208"/>
      <c r="M31" s="357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 spans="1:29" s="219" customFormat="1">
      <c r="A32" s="208"/>
      <c r="B32" s="175"/>
      <c r="C32" s="208"/>
      <c r="D32" s="205"/>
      <c r="E32" s="213"/>
      <c r="F32" s="208"/>
      <c r="G32" s="208"/>
      <c r="H32" s="357"/>
      <c r="I32" s="208"/>
      <c r="J32" s="208"/>
      <c r="K32" s="357"/>
      <c r="L32" s="208"/>
      <c r="M32" s="357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spans="1:29" s="219" customFormat="1">
      <c r="A33" s="208"/>
      <c r="B33" s="196" t="s">
        <v>4161</v>
      </c>
      <c r="C33" s="208"/>
      <c r="D33" s="380"/>
      <c r="E33" s="213"/>
      <c r="F33" s="208"/>
      <c r="G33" s="208"/>
      <c r="H33" s="208"/>
      <c r="I33" s="208"/>
      <c r="J33" s="357"/>
      <c r="K33" s="357"/>
      <c r="L33" s="208"/>
      <c r="M33" s="357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spans="1:29">
      <c r="B34" s="196" t="s">
        <v>4162</v>
      </c>
      <c r="D34" s="380"/>
      <c r="I34" s="357"/>
      <c r="K34" s="357"/>
      <c r="M34" s="357"/>
    </row>
    <row r="35" spans="1:29">
      <c r="B35" s="196" t="s">
        <v>4163</v>
      </c>
      <c r="D35" s="380"/>
      <c r="F35" s="357"/>
      <c r="H35" s="357"/>
      <c r="J35" s="357"/>
      <c r="K35" s="357"/>
      <c r="M35" s="357"/>
    </row>
    <row r="36" spans="1:29">
      <c r="B36" s="175" t="s">
        <v>4164</v>
      </c>
      <c r="D36" s="380"/>
      <c r="F36" s="357"/>
      <c r="H36" s="357"/>
      <c r="K36" s="357"/>
      <c r="M36" s="357"/>
    </row>
    <row r="37" spans="1:29" ht="12.6" thickBot="1">
      <c r="B37" s="175"/>
      <c r="D37" s="207"/>
      <c r="F37" s="357"/>
      <c r="I37" s="357"/>
      <c r="K37" s="357"/>
      <c r="M37" s="357"/>
    </row>
    <row r="38" spans="1:29" ht="13.5" thickBot="1">
      <c r="B38" s="195" t="s">
        <v>4165</v>
      </c>
      <c r="C38" s="18"/>
      <c r="D38" s="238">
        <f>+SUM(D40:D47)</f>
        <v>0</v>
      </c>
      <c r="F38" s="357"/>
      <c r="I38" s="357"/>
      <c r="K38" s="357"/>
      <c r="M38" s="357"/>
    </row>
    <row r="39" spans="1:29">
      <c r="B39" s="192"/>
      <c r="D39" s="208"/>
      <c r="F39" s="357"/>
      <c r="J39" s="357"/>
      <c r="K39" s="357"/>
      <c r="M39" s="357"/>
    </row>
    <row r="40" spans="1:29">
      <c r="B40" s="175" t="s">
        <v>4166</v>
      </c>
      <c r="D40" s="380"/>
      <c r="F40" s="357"/>
      <c r="I40" s="357"/>
      <c r="K40" s="357"/>
      <c r="M40" s="357"/>
    </row>
    <row r="41" spans="1:29">
      <c r="B41" s="175" t="s">
        <v>4167</v>
      </c>
      <c r="D41" s="380"/>
      <c r="E41" s="358"/>
      <c r="J41" s="357"/>
      <c r="K41" s="357"/>
      <c r="M41" s="357"/>
    </row>
    <row r="42" spans="1:29">
      <c r="B42" s="175" t="s">
        <v>4168</v>
      </c>
      <c r="D42" s="380"/>
      <c r="E42" s="358"/>
      <c r="H42" s="357"/>
      <c r="J42" s="357"/>
      <c r="K42" s="357"/>
      <c r="M42" s="357"/>
    </row>
    <row r="43" spans="1:29">
      <c r="B43" s="175" t="s">
        <v>4169</v>
      </c>
      <c r="D43" s="380"/>
      <c r="I43" s="357"/>
      <c r="K43" s="357"/>
      <c r="M43" s="357"/>
    </row>
    <row r="44" spans="1:29">
      <c r="B44" s="175" t="s">
        <v>4170</v>
      </c>
      <c r="D44" s="380"/>
      <c r="H44" s="357"/>
      <c r="I44" s="357"/>
      <c r="J44" s="357"/>
      <c r="K44" s="357"/>
    </row>
    <row r="45" spans="1:29">
      <c r="B45" s="175" t="s">
        <v>4171</v>
      </c>
      <c r="D45" s="380"/>
      <c r="H45" s="357"/>
      <c r="I45" s="357"/>
      <c r="J45" s="357"/>
      <c r="M45" s="357"/>
    </row>
    <row r="46" spans="1:29">
      <c r="B46" s="175" t="s">
        <v>4172</v>
      </c>
      <c r="D46" s="380"/>
    </row>
    <row r="47" spans="1:29">
      <c r="B47" s="175" t="s">
        <v>4173</v>
      </c>
      <c r="D47" s="380"/>
    </row>
    <row r="48" spans="1:29">
      <c r="B48" s="175"/>
      <c r="D48" s="204"/>
    </row>
    <row r="49" spans="2:6">
      <c r="B49" s="175" t="s">
        <v>4174</v>
      </c>
      <c r="D49" s="206">
        <v>0</v>
      </c>
    </row>
    <row r="50" spans="2:6">
      <c r="B50" s="175"/>
      <c r="D50" s="207"/>
    </row>
    <row r="51" spans="2:6" ht="12.95">
      <c r="B51" s="193" t="s">
        <v>4175</v>
      </c>
      <c r="C51" s="216"/>
      <c r="D51" s="237">
        <f>-C59</f>
        <v>0</v>
      </c>
      <c r="E51" s="213" t="s">
        <v>4147</v>
      </c>
    </row>
    <row r="52" spans="2:6">
      <c r="B52" s="192"/>
    </row>
    <row r="53" spans="2:6">
      <c r="B53" s="720" t="s">
        <v>4176</v>
      </c>
      <c r="C53" s="720"/>
      <c r="D53" s="720"/>
    </row>
    <row r="54" spans="2:6">
      <c r="B54" s="720"/>
      <c r="C54" s="720"/>
      <c r="D54" s="720"/>
    </row>
    <row r="55" spans="2:6" ht="12.6" thickBot="1">
      <c r="B55" s="175"/>
    </row>
    <row r="56" spans="2:6" ht="13.5" thickBot="1">
      <c r="B56" s="558" t="s">
        <v>195</v>
      </c>
      <c r="C56" s="725" t="s">
        <v>4133</v>
      </c>
      <c r="D56" s="726"/>
    </row>
    <row r="57" spans="2:6">
      <c r="B57" s="630"/>
      <c r="C57" s="729"/>
      <c r="D57" s="730"/>
    </row>
    <row r="58" spans="2:6" ht="12.6" thickBot="1">
      <c r="B58" s="631"/>
      <c r="C58" s="731"/>
      <c r="D58" s="732"/>
    </row>
    <row r="59" spans="2:6" ht="12.95" customHeight="1" thickBot="1">
      <c r="B59" s="557"/>
      <c r="C59" s="733">
        <f>+SUM(C57:D58)</f>
        <v>0</v>
      </c>
      <c r="D59" s="734"/>
    </row>
    <row r="60" spans="2:6">
      <c r="B60" s="192"/>
    </row>
    <row r="61" spans="2:6">
      <c r="B61" s="192"/>
      <c r="F61" s="153"/>
    </row>
    <row r="62" spans="2:6" ht="12.95">
      <c r="B62" s="193" t="s">
        <v>4177</v>
      </c>
      <c r="C62" s="216"/>
      <c r="D62" s="237">
        <f>-SUM(D64,D66,D68,D70,D72,D74,D76)</f>
        <v>0</v>
      </c>
      <c r="E62" s="213" t="s">
        <v>4147</v>
      </c>
    </row>
    <row r="63" spans="2:6">
      <c r="B63" s="192"/>
      <c r="E63" s="215"/>
    </row>
    <row r="64" spans="2:6">
      <c r="B64" s="175" t="s">
        <v>4178</v>
      </c>
      <c r="D64" s="206"/>
    </row>
    <row r="65" spans="2:6">
      <c r="B65" s="175"/>
      <c r="D65" s="207"/>
    </row>
    <row r="66" spans="2:6">
      <c r="B66" s="175" t="s">
        <v>4179</v>
      </c>
      <c r="D66" s="206"/>
    </row>
    <row r="67" spans="2:6">
      <c r="B67" s="175"/>
      <c r="D67" s="207"/>
    </row>
    <row r="68" spans="2:6" ht="24">
      <c r="B68" s="197" t="s">
        <v>4180</v>
      </c>
      <c r="D68" s="209"/>
    </row>
    <row r="69" spans="2:6">
      <c r="B69" s="175"/>
      <c r="D69" s="207"/>
    </row>
    <row r="70" spans="2:6" ht="24">
      <c r="B70" s="197" t="s">
        <v>4181</v>
      </c>
      <c r="D70" s="206">
        <v>0</v>
      </c>
    </row>
    <row r="71" spans="2:6">
      <c r="B71" s="175"/>
      <c r="D71" s="207"/>
    </row>
    <row r="72" spans="2:6">
      <c r="B72" s="175" t="s">
        <v>4182</v>
      </c>
      <c r="D72" s="206"/>
    </row>
    <row r="73" spans="2:6">
      <c r="B73" s="175"/>
      <c r="D73" s="207"/>
    </row>
    <row r="74" spans="2:6">
      <c r="B74" s="175" t="s">
        <v>4183</v>
      </c>
      <c r="D74" s="206"/>
      <c r="F74" s="357"/>
    </row>
    <row r="75" spans="2:6">
      <c r="B75" s="175"/>
      <c r="D75" s="207"/>
      <c r="F75" s="357"/>
    </row>
    <row r="76" spans="2:6">
      <c r="B76" s="175" t="s">
        <v>4184</v>
      </c>
      <c r="D76" s="206"/>
      <c r="F76" s="357"/>
    </row>
    <row r="77" spans="2:6">
      <c r="B77" s="192"/>
      <c r="F77" s="357"/>
    </row>
    <row r="78" spans="2:6" ht="12.95">
      <c r="B78" s="193" t="s">
        <v>4185</v>
      </c>
      <c r="C78" s="216"/>
      <c r="D78" s="251">
        <v>0</v>
      </c>
      <c r="E78" s="213" t="s">
        <v>4147</v>
      </c>
    </row>
    <row r="79" spans="2:6">
      <c r="B79" s="192"/>
    </row>
    <row r="80" spans="2:6">
      <c r="B80" s="192"/>
    </row>
    <row r="81" spans="2:6" ht="12.95">
      <c r="B81" s="193" t="s">
        <v>4186</v>
      </c>
      <c r="C81" s="216"/>
      <c r="D81" s="235">
        <f>+D83+D85+D87</f>
        <v>0</v>
      </c>
      <c r="E81" s="213" t="s">
        <v>4147</v>
      </c>
    </row>
    <row r="82" spans="2:6">
      <c r="B82" s="192"/>
    </row>
    <row r="83" spans="2:6">
      <c r="B83" s="175" t="s">
        <v>4187</v>
      </c>
      <c r="D83" s="206"/>
    </row>
    <row r="84" spans="2:6">
      <c r="B84" s="175"/>
      <c r="D84" s="207"/>
    </row>
    <row r="85" spans="2:6">
      <c r="B85" s="175" t="s">
        <v>4188</v>
      </c>
      <c r="D85" s="206">
        <v>0</v>
      </c>
    </row>
    <row r="86" spans="2:6">
      <c r="B86" s="175"/>
      <c r="D86" s="207"/>
    </row>
    <row r="87" spans="2:6">
      <c r="B87" s="175" t="s">
        <v>4189</v>
      </c>
      <c r="D87" s="206"/>
    </row>
    <row r="88" spans="2:6">
      <c r="B88" s="192"/>
    </row>
    <row r="89" spans="2:6" ht="12.95">
      <c r="B89" s="193" t="s">
        <v>4190</v>
      </c>
      <c r="C89" s="216"/>
      <c r="D89" s="251">
        <v>0</v>
      </c>
      <c r="E89" s="213" t="s">
        <v>4147</v>
      </c>
    </row>
    <row r="90" spans="2:6">
      <c r="B90" s="192"/>
      <c r="C90" s="202"/>
      <c r="F90" s="153"/>
    </row>
    <row r="91" spans="2:6" ht="12.95">
      <c r="B91" s="193" t="s">
        <v>4191</v>
      </c>
      <c r="C91" s="216"/>
      <c r="D91" s="235">
        <f>+D100</f>
        <v>0</v>
      </c>
      <c r="E91" s="213" t="s">
        <v>4147</v>
      </c>
      <c r="F91" s="220"/>
    </row>
    <row r="92" spans="2:6" ht="12.6" thickBot="1">
      <c r="B92" s="192"/>
      <c r="C92" s="221"/>
    </row>
    <row r="93" spans="2:6" ht="13.5" thickBot="1">
      <c r="B93" s="721" t="s">
        <v>4192</v>
      </c>
      <c r="C93" s="722"/>
      <c r="D93" s="222" t="s">
        <v>4133</v>
      </c>
      <c r="F93" s="153"/>
    </row>
    <row r="94" spans="2:6" ht="12.95" customHeight="1">
      <c r="B94" s="708"/>
      <c r="C94" s="709"/>
      <c r="D94" s="210"/>
      <c r="F94" s="223"/>
    </row>
    <row r="95" spans="2:6" ht="13.5" customHeight="1">
      <c r="B95" s="710"/>
      <c r="C95" s="711"/>
      <c r="D95" s="210"/>
      <c r="F95" s="223"/>
    </row>
    <row r="96" spans="2:6">
      <c r="B96" s="710"/>
      <c r="C96" s="711"/>
      <c r="D96" s="210"/>
      <c r="F96" s="223"/>
    </row>
    <row r="97" spans="2:6" ht="12.95">
      <c r="B97" s="723"/>
      <c r="C97" s="724"/>
      <c r="D97" s="210"/>
      <c r="F97" s="223"/>
    </row>
    <row r="98" spans="2:6">
      <c r="B98" s="712"/>
      <c r="C98" s="713"/>
      <c r="D98" s="210"/>
      <c r="F98" s="153"/>
    </row>
    <row r="99" spans="2:6" ht="12.6" thickBot="1">
      <c r="B99" s="714"/>
      <c r="C99" s="715"/>
      <c r="D99" s="210"/>
      <c r="F99" s="220"/>
    </row>
    <row r="100" spans="2:6" ht="12.6" thickBot="1">
      <c r="B100" s="198" t="s">
        <v>4193</v>
      </c>
      <c r="C100" s="224"/>
      <c r="D100" s="225">
        <f>+SUM(D94:D99)</f>
        <v>0</v>
      </c>
      <c r="F100" s="223"/>
    </row>
    <row r="101" spans="2:6">
      <c r="B101" s="192"/>
      <c r="F101" s="153"/>
    </row>
    <row r="102" spans="2:6" ht="12.95">
      <c r="B102" s="193" t="s">
        <v>4194</v>
      </c>
      <c r="C102" s="216"/>
      <c r="D102" s="237">
        <f>-D110</f>
        <v>0</v>
      </c>
      <c r="E102" s="213" t="s">
        <v>4147</v>
      </c>
      <c r="F102" s="220"/>
    </row>
    <row r="103" spans="2:6" ht="12.6" thickBot="1">
      <c r="B103" s="192"/>
      <c r="C103" s="221"/>
      <c r="F103" s="223"/>
    </row>
    <row r="104" spans="2:6" ht="13.5" thickBot="1">
      <c r="B104" s="716" t="s">
        <v>4195</v>
      </c>
      <c r="C104" s="717"/>
      <c r="D104" s="226" t="s">
        <v>4133</v>
      </c>
      <c r="F104" s="223"/>
    </row>
    <row r="105" spans="2:6">
      <c r="B105" s="727"/>
      <c r="C105" s="728"/>
      <c r="D105" s="210"/>
      <c r="F105" s="223"/>
    </row>
    <row r="106" spans="2:6">
      <c r="B106" s="718"/>
      <c r="C106" s="719"/>
      <c r="D106" s="210"/>
      <c r="F106" s="223"/>
    </row>
    <row r="107" spans="2:6" ht="12.95">
      <c r="B107" s="718"/>
      <c r="C107" s="719"/>
      <c r="D107" s="212"/>
      <c r="F107" s="223"/>
    </row>
    <row r="108" spans="2:6">
      <c r="B108" s="718"/>
      <c r="C108" s="719"/>
      <c r="D108" s="211"/>
      <c r="F108" s="223"/>
    </row>
    <row r="109" spans="2:6" ht="12.6" thickBot="1">
      <c r="B109" s="706"/>
      <c r="C109" s="707"/>
      <c r="D109" s="211"/>
      <c r="F109" s="223"/>
    </row>
    <row r="110" spans="2:6" ht="12.6" thickBot="1">
      <c r="B110" s="245" t="s">
        <v>4196</v>
      </c>
      <c r="C110" s="246"/>
      <c r="D110" s="236">
        <f>+SUM(D105:D109)</f>
        <v>0</v>
      </c>
      <c r="F110" s="223"/>
    </row>
    <row r="111" spans="2:6">
      <c r="B111" s="192"/>
      <c r="F111" s="223"/>
    </row>
    <row r="112" spans="2:6" ht="12.95">
      <c r="B112" s="193" t="s">
        <v>4197</v>
      </c>
      <c r="C112" s="216"/>
      <c r="D112" s="251">
        <v>0</v>
      </c>
      <c r="E112" s="213" t="s">
        <v>4147</v>
      </c>
    </row>
    <row r="113" spans="2:17">
      <c r="B113" s="192"/>
    </row>
    <row r="114" spans="2:17" ht="12.95">
      <c r="B114" s="193" t="s">
        <v>4198</v>
      </c>
      <c r="C114" s="216"/>
      <c r="D114" s="251"/>
      <c r="E114" s="213" t="s">
        <v>4147</v>
      </c>
      <c r="F114" s="60"/>
    </row>
    <row r="115" spans="2:17">
      <c r="B115" s="192"/>
    </row>
    <row r="116" spans="2:17" ht="12.95">
      <c r="B116" s="193" t="s">
        <v>4199</v>
      </c>
      <c r="C116" s="216"/>
      <c r="D116" s="235">
        <f>+Q124</f>
        <v>0</v>
      </c>
      <c r="E116" s="213" t="s">
        <v>4147</v>
      </c>
      <c r="F116" s="60"/>
    </row>
    <row r="117" spans="2:17" ht="12.6" thickBot="1">
      <c r="B117" s="199"/>
      <c r="C117" s="227"/>
      <c r="D117" s="207"/>
    </row>
    <row r="118" spans="2:17" ht="13.5" thickBot="1">
      <c r="B118" s="104" t="s">
        <v>4200</v>
      </c>
      <c r="C118" s="104" t="s">
        <v>4201</v>
      </c>
      <c r="D118" s="104" t="s">
        <v>337</v>
      </c>
      <c r="E118" s="104" t="s">
        <v>4202</v>
      </c>
      <c r="F118" s="104" t="s">
        <v>522</v>
      </c>
      <c r="G118" s="104" t="s">
        <v>4203</v>
      </c>
      <c r="H118" s="104" t="s">
        <v>4204</v>
      </c>
      <c r="I118" s="104" t="s">
        <v>4205</v>
      </c>
      <c r="J118" s="104" t="s">
        <v>4206</v>
      </c>
      <c r="K118" s="104" t="s">
        <v>4207</v>
      </c>
      <c r="L118" s="104" t="s">
        <v>603</v>
      </c>
      <c r="M118" s="104" t="s">
        <v>4208</v>
      </c>
      <c r="N118" s="200" t="s">
        <v>4209</v>
      </c>
      <c r="O118" s="200" t="s">
        <v>4210</v>
      </c>
      <c r="P118" s="200" t="s">
        <v>4211</v>
      </c>
      <c r="Q118" s="200" t="s">
        <v>4212</v>
      </c>
    </row>
    <row r="119" spans="2:17" ht="12.95">
      <c r="B119" s="603"/>
      <c r="C119" s="247"/>
      <c r="D119" s="62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597"/>
      <c r="Q119" s="228"/>
    </row>
    <row r="120" spans="2:17" ht="12.95">
      <c r="B120" s="604"/>
      <c r="C120" s="289"/>
      <c r="D120" s="62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597"/>
      <c r="Q120" s="229"/>
    </row>
    <row r="121" spans="2:17" ht="12.95">
      <c r="B121" s="605"/>
      <c r="C121" s="597"/>
      <c r="D121" s="62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597"/>
      <c r="Q121" s="229"/>
    </row>
    <row r="122" spans="2:17" ht="12.95">
      <c r="B122" s="604"/>
      <c r="C122" s="289"/>
      <c r="D122" s="62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597"/>
      <c r="Q122" s="229"/>
    </row>
    <row r="123" spans="2:17" ht="13.5" thickBot="1">
      <c r="B123" s="605"/>
      <c r="C123" s="596"/>
      <c r="D123" s="62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597"/>
      <c r="Q123" s="229"/>
    </row>
    <row r="124" spans="2:17" ht="12.6" thickBot="1">
      <c r="B124" s="230"/>
      <c r="C124" s="231"/>
      <c r="D124" s="232"/>
      <c r="E124" s="233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4">
        <f>+SUM(Q119:Q123)</f>
        <v>0</v>
      </c>
    </row>
  </sheetData>
  <mergeCells count="18">
    <mergeCell ref="B53:D54"/>
    <mergeCell ref="B93:C93"/>
    <mergeCell ref="B97:C97"/>
    <mergeCell ref="C56:D56"/>
    <mergeCell ref="B105:C105"/>
    <mergeCell ref="C57:D57"/>
    <mergeCell ref="C58:D58"/>
    <mergeCell ref="C59:D59"/>
    <mergeCell ref="B109:C109"/>
    <mergeCell ref="B94:C94"/>
    <mergeCell ref="B95:C95"/>
    <mergeCell ref="B96:C96"/>
    <mergeCell ref="B98:C98"/>
    <mergeCell ref="B99:C99"/>
    <mergeCell ref="B104:C104"/>
    <mergeCell ref="B106:C106"/>
    <mergeCell ref="B107:C107"/>
    <mergeCell ref="B108:C108"/>
  </mergeCells>
  <phoneticPr fontId="3" type="noConversion"/>
  <conditionalFormatting sqref="B119:B123">
    <cfRule type="expression" dxfId="34" priority="1">
      <formula>OR(ISNUMBER(SEARCH("0",B119)),  ISNUMBER(SEARCH("1",B119)),  ISNUMBER(SEARCH("2",B119)),  ISNUMBER(SEARCH("3",B119)),  ISNUMBER(SEARCH("4",B119)),  ISNUMBER(SEARCH("5",B119)),  ISNUMBER(SEARCH("6",B119)),  ISNUMBER(SEARCH("7",B119)),  ISNUMBER(SEARCH("8",B119)),  ISNUMBER(SEARCH("9",B119)))</formula>
    </cfRule>
    <cfRule type="expression" dxfId="33" priority="4">
      <formula>OR(ISNUMBER(SEARCH("0",E39)),  ISNUMBER(SEARCH("1",E39)),  ISNUMBER(SEARCH("2",E39)),  ISNUMBER(SEARCH("3",E39)),  ISNUMBER(SEARCH("4",E39)),  ISNUMBER(SEARCH("5",E39)),  ISNUMBER(SEARCH("6",E39)),  ISNUMBER(SEARCH("7",E39)),  ISNUMBER(SEARCH("8",E39)),  ISNUMBER(SEARCH("9",E39)))</formula>
    </cfRule>
  </conditionalFormatting>
  <conditionalFormatting sqref="B94:C99 B119:B123">
    <cfRule type="expression" dxfId="32" priority="3">
      <formula>OR(ISNUMBER(SEARCH("0",B69)),  ISNUMBER(SEARCH("1",B69)),  ISNUMBER(SEARCH("2",B69)),  ISNUMBER(SEARCH("3",B69)),  ISNUMBER(SEARCH("4",B69)),  ISNUMBER(SEARCH("5",B69)),  ISNUMBER(SEARCH("6",B69)),  ISNUMBER(SEARCH("7",B69)),  ISNUMBER(SEARCH("8",B69)),  ISNUMBER(SEARCH("9",B69)))</formula>
    </cfRule>
  </conditionalFormatting>
  <conditionalFormatting sqref="B94:C99">
    <cfRule type="expression" dxfId="31" priority="2">
      <formula>OR(ISNUMBER(SEARCH("0",B94)),  ISNUMBER(SEARCH("1",B94)),  ISNUMBER(SEARCH("2",B94)),  ISNUMBER(SEARCH("3",B94)),  ISNUMBER(SEARCH("4",B94)),  ISNUMBER(SEARCH("5",B94)),  ISNUMBER(SEARCH("6",B94)),  ISNUMBER(SEARCH("7",B94)),  ISNUMBER(SEARCH("8",B94)),  ISNUMBER(SEARCH("9",B94)))</formula>
    </cfRule>
  </conditionalFormatting>
  <conditionalFormatting sqref="B57:D58">
    <cfRule type="expression" dxfId="30" priority="8">
      <formula>AND(COUNTA($B57,$C57)&gt;0,OR($B57="",$C57=""))</formula>
    </cfRule>
  </conditionalFormatting>
  <conditionalFormatting sqref="B94:D99">
    <cfRule type="expression" dxfId="29" priority="7">
      <formula>AND(COUNTA($B94,$D94)&gt;0,   OR($B94="",$D94=""))</formula>
    </cfRule>
  </conditionalFormatting>
  <conditionalFormatting sqref="B105:D109">
    <cfRule type="expression" dxfId="28" priority="6">
      <formula>AND(COUNTA($B105,$D105)&gt;0,   OR($B105="",$D105=""))</formula>
    </cfRule>
  </conditionalFormatting>
  <conditionalFormatting sqref="B119:Q123">
    <cfRule type="expression" dxfId="27" priority="5">
      <formula>AND(COUNTA($B119:$G119,$I119,$K119:$L119,$O119:$P119)&gt;0,   OR(COUNTBLANK($B119:$G119),     COUNTBLANK($I119:$I119),     COUNTBLANK($K119:$L119),     COUNTBLANK($O119:$P119))&gt;0)</formula>
    </cfRule>
  </conditionalFormatting>
  <dataValidations count="9">
    <dataValidation type="whole" allowBlank="1" showInputMessage="1" showErrorMessage="1" error="El campo debe tener 11 digitos_x000a_" sqref="G119:G123" xr:uid="{C9FB0127-EA61-4234-9BB8-EB8F05F47FD9}">
      <formula1>10000000000</formula1>
      <formula2>99999999999</formula2>
    </dataValidation>
    <dataValidation type="decimal" allowBlank="1" showInputMessage="1" showErrorMessage="1" error="El campo debe tener maximo 9.999.999.999.999,99" sqref="J119:J123 D29 C57:D58 D64:E64 D66:E66 D68:E68 D70:E70 D72:E72 D74:E74 D76:E76 D114 D94:D99 D105:D109" xr:uid="{83E2D75C-5137-4A54-BA2E-B9671D9E47CC}">
      <formula1>0</formula1>
      <formula2>999999999999999</formula2>
    </dataValidation>
    <dataValidation type="textLength" operator="lessThanOrEqual" allowBlank="1" showInputMessage="1" showErrorMessage="1" error="El campo debe tener maximo 30 caracteres" sqref="B94:C99" xr:uid="{5AB7B4AF-F6D1-461E-A1FC-2C4D91CDCACF}">
      <formula1>30</formula1>
    </dataValidation>
    <dataValidation type="decimal" allowBlank="1" showInputMessage="1" showErrorMessage="1" error="El campo debe tener maximo 999.999.999.999.999,99" sqref="D49 D8 D10 D12 D14 D16 D18 D20 D25 D27 D6" xr:uid="{79747A89-FC09-474E-8B4C-74B1D28A022D}">
      <formula1>0</formula1>
      <formula2>99999999999999900</formula2>
    </dataValidation>
    <dataValidation type="decimal" allowBlank="1" showInputMessage="1" showErrorMessage="1" error="El campo debe tener maximo 9.999.999.999,99" sqref="D33:D36 D40:D47" xr:uid="{FE3D0463-5498-4EBD-816E-CBD783B71E0B}">
      <formula1>0</formula1>
      <formula2>999999999999999</formula2>
    </dataValidation>
    <dataValidation type="decimal" allowBlank="1" showInputMessage="1" showErrorMessage="1" error="El campo debe estar entre_x000a_-9.999.999.999.99,99 y 9.999.999.999.999,99" sqref="D112 D89 D78 D83 D85 D87" xr:uid="{AAEDFCDF-ABED-48EF-9E6E-57861571EB90}">
      <formula1>-999999999999999</formula1>
      <formula2>999999999999999</formula2>
    </dataValidation>
    <dataValidation type="decimal" allowBlank="1" showInputMessage="1" showErrorMessage="1" error="El campo debe tener maximo 9.999.999.999.999,99" sqref="H119:H123 M119:N123 Q119:Q123" xr:uid="{2B62EFA9-CAE5-4465-84CF-8BFF9DE7A48E}">
      <formula1>-999999999999999</formula1>
      <formula2>999999999999999</formula2>
    </dataValidation>
    <dataValidation type="textLength" operator="equal" allowBlank="1" showInputMessage="1" showErrorMessage="1" error="Este campo debe tener 17 caracteres" sqref="B119:B123" xr:uid="{75351271-121B-418B-A571-18AE4A77834F}">
      <formula1>17</formula1>
    </dataValidation>
    <dataValidation type="date" allowBlank="1" showInputMessage="1" showErrorMessage="1" error="El campo debe estar entre 01/01/1900 y 31/12/2100" sqref="C119:C123 P119:P123" xr:uid="{7E107D30-B699-4933-B8BB-DC2CD649EB14}">
      <formula1>1</formula1>
      <formula2>73415</formula2>
    </dataValidation>
  </dataValidations>
  <pageMargins left="0.15748031496062992" right="0.11811023622047245" top="0.82677165354330717" bottom="0.59055118110236227" header="0.51181102362204722" footer="0.35433070866141736"/>
  <pageSetup paperSize="9" scale="25" fitToHeight="2" orientation="portrait" r:id="rId1"/>
  <headerFooter alignWithMargins="0">
    <oddHeader>&amp;R&amp;"Arial,Bold"&amp;12&amp;KFF0000&amp;A</oddHeader>
    <oddFooter>Page &amp;P of &amp;N</oddFooter>
  </headerFooter>
  <rowBreaks count="1" manualBreakCount="1">
    <brk id="61" max="18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3A9FCB9-83F2-4ED7-A3BC-1143D4FAFEC0}">
          <x14:formula1>
            <xm:f>SIAP!$E$13:$E$23</xm:f>
          </x14:formula1>
          <xm:sqref>D119:D123</xm:sqref>
        </x14:dataValidation>
        <x14:dataValidation type="list" allowBlank="1" showInputMessage="1" showErrorMessage="1" xr:uid="{861D88C0-69FC-48BF-8D14-E3A2EF123801}">
          <x14:formula1>
            <xm:f>SIAP!$E$94:$E$105</xm:f>
          </x14:formula1>
          <xm:sqref>B105:C109</xm:sqref>
        </x14:dataValidation>
        <x14:dataValidation type="list" allowBlank="1" showInputMessage="1" showErrorMessage="1" xr:uid="{8B81C076-1373-4FF3-AF80-80A16B3F6E58}">
          <x14:formula1>
            <xm:f>SIAP!$E$26:$E$29</xm:f>
          </x14:formula1>
          <xm:sqref>E119:E123</xm:sqref>
        </x14:dataValidation>
        <x14:dataValidation type="list" allowBlank="1" showInputMessage="1" showErrorMessage="1" xr:uid="{4C87EA38-0BB4-44E0-A5FD-33488025ACA5}">
          <x14:formula1>
            <xm:f>SIAP!$E$32:$E$33</xm:f>
          </x14:formula1>
          <xm:sqref>F119:F123</xm:sqref>
        </x14:dataValidation>
        <x14:dataValidation type="list" allowBlank="1" showInputMessage="1" showErrorMessage="1" xr:uid="{0C8E83DA-C40A-4953-B95D-ADE8A529924C}">
          <x14:formula1>
            <xm:f>SIAP!$E$44:$E$45</xm:f>
          </x14:formula1>
          <xm:sqref>I119:I123 O119:O123 K121</xm:sqref>
        </x14:dataValidation>
        <x14:dataValidation type="list" allowBlank="1" showInputMessage="1" showErrorMessage="1" xr:uid="{5CB02A1E-A881-44F0-A32E-DDCC84D4F8E1}">
          <x14:formula1>
            <xm:f>SIAP!$E$36:$E$38</xm:f>
          </x14:formula1>
          <xm:sqref>K119:K120 K122:K123</xm:sqref>
        </x14:dataValidation>
        <x14:dataValidation type="list" allowBlank="1" showInputMessage="1" showErrorMessage="1" xr:uid="{DC885CB7-A05F-4198-8A2D-90E60A9CA32D}">
          <x14:formula1>
            <xm:f>SIAP!$E$41:$E$42</xm:f>
          </x14:formula1>
          <xm:sqref>L119:L123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0BCC-D70D-4407-B340-F011237BBA94}">
  <sheetPr codeName="Sheet8">
    <tabColor rgb="FFFFFF00"/>
  </sheetPr>
  <dimension ref="B3:P38"/>
  <sheetViews>
    <sheetView showGridLines="0" topLeftCell="A14" zoomScale="80" zoomScaleNormal="80" workbookViewId="0">
      <selection activeCell="J29" sqref="J29"/>
    </sheetView>
  </sheetViews>
  <sheetFormatPr defaultColWidth="8.85546875" defaultRowHeight="12.95"/>
  <cols>
    <col min="1" max="3" width="8.85546875" style="11"/>
    <col min="4" max="4" width="44.85546875" style="11" bestFit="1" customWidth="1"/>
    <col min="5" max="5" width="22.5703125" style="11" customWidth="1"/>
    <col min="6" max="6" width="14.5703125" style="11" customWidth="1"/>
    <col min="7" max="7" width="14.140625" style="11" bestFit="1" customWidth="1"/>
    <col min="8" max="8" width="8.85546875" style="11"/>
    <col min="9" max="9" width="14.42578125" style="11" bestFit="1" customWidth="1"/>
    <col min="10" max="10" width="8.85546875" style="11"/>
    <col min="11" max="11" width="18.85546875" style="11" bestFit="1" customWidth="1"/>
    <col min="12" max="16384" width="8.85546875" style="11"/>
  </cols>
  <sheetData>
    <row r="3" spans="2:16">
      <c r="B3" s="467" t="s">
        <v>4213</v>
      </c>
    </row>
    <row r="5" spans="2:16">
      <c r="B5" s="469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1"/>
    </row>
    <row r="6" spans="2:16">
      <c r="B6" s="472"/>
      <c r="C6" s="1"/>
      <c r="D6" s="1"/>
      <c r="E6" s="736" t="s">
        <v>4214</v>
      </c>
      <c r="F6" s="1"/>
      <c r="G6" s="736" t="s">
        <v>4215</v>
      </c>
      <c r="H6" s="1"/>
      <c r="I6" s="737" t="s">
        <v>4216</v>
      </c>
      <c r="J6" s="737"/>
      <c r="K6" s="1"/>
      <c r="L6" s="1"/>
      <c r="M6" s="1"/>
      <c r="N6" s="1"/>
      <c r="O6" s="1"/>
      <c r="P6" s="473"/>
    </row>
    <row r="7" spans="2:16">
      <c r="B7" s="472"/>
      <c r="C7" s="1"/>
      <c r="D7" s="1"/>
      <c r="E7" s="736"/>
      <c r="F7" s="1"/>
      <c r="G7" s="736"/>
      <c r="H7" s="1"/>
      <c r="I7" s="1" t="s">
        <v>4217</v>
      </c>
      <c r="J7" s="1"/>
      <c r="K7" s="1"/>
      <c r="L7" s="1"/>
      <c r="M7" s="1"/>
      <c r="N7" s="1"/>
      <c r="O7" s="1"/>
      <c r="P7" s="473"/>
    </row>
    <row r="8" spans="2:16">
      <c r="B8" s="47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73"/>
    </row>
    <row r="9" spans="2:16">
      <c r="B9" s="472"/>
      <c r="C9" s="1"/>
      <c r="D9" s="1" t="s">
        <v>4218</v>
      </c>
      <c r="E9" s="468"/>
      <c r="F9" s="1"/>
      <c r="G9" s="474">
        <f>E38</f>
        <v>0</v>
      </c>
      <c r="H9" s="1"/>
      <c r="I9" s="738">
        <f>RESULTADOS!D2</f>
        <v>0</v>
      </c>
      <c r="J9" s="739"/>
      <c r="K9" s="1" t="s">
        <v>4219</v>
      </c>
      <c r="L9" s="1"/>
      <c r="M9" s="1"/>
      <c r="N9" s="1"/>
      <c r="O9" s="1"/>
      <c r="P9" s="473"/>
    </row>
    <row r="10" spans="2:16">
      <c r="B10" s="472"/>
      <c r="C10" s="1"/>
      <c r="D10" s="1"/>
      <c r="E10" s="514"/>
      <c r="F10" s="1"/>
      <c r="G10" s="515"/>
      <c r="H10" s="1"/>
      <c r="I10" s="515"/>
      <c r="J10" s="515"/>
      <c r="K10" s="1"/>
      <c r="L10" s="1"/>
      <c r="M10" s="1"/>
      <c r="N10" s="1"/>
      <c r="O10" s="1"/>
      <c r="P10" s="473"/>
    </row>
    <row r="11" spans="2:16">
      <c r="B11" s="472"/>
      <c r="C11" s="1"/>
      <c r="D11" s="1" t="s">
        <v>4220</v>
      </c>
      <c r="E11" s="468"/>
      <c r="F11" s="1"/>
      <c r="G11" s="515"/>
      <c r="H11" s="1"/>
      <c r="I11" s="515"/>
      <c r="J11" s="515"/>
      <c r="K11" s="1"/>
      <c r="L11" s="1"/>
      <c r="M11" s="1"/>
      <c r="N11" s="1"/>
      <c r="O11" s="1"/>
      <c r="P11" s="473"/>
    </row>
    <row r="12" spans="2:16">
      <c r="B12" s="472"/>
      <c r="C12" s="1"/>
      <c r="D12" s="1"/>
      <c r="E12" s="514"/>
      <c r="F12" s="1"/>
      <c r="G12" s="515"/>
      <c r="H12" s="1"/>
      <c r="I12" s="515"/>
      <c r="J12" s="515"/>
      <c r="K12" s="1"/>
      <c r="L12" s="1"/>
      <c r="M12" s="1"/>
      <c r="N12" s="1"/>
      <c r="O12" s="1"/>
      <c r="P12" s="473"/>
    </row>
    <row r="13" spans="2:16">
      <c r="B13" s="472"/>
      <c r="C13" s="1"/>
      <c r="D13" s="1" t="s">
        <v>4221</v>
      </c>
      <c r="E13" s="468"/>
      <c r="F13" s="1"/>
      <c r="G13" s="515"/>
      <c r="H13" s="1"/>
      <c r="I13" s="515"/>
      <c r="J13" s="515"/>
      <c r="K13" s="1"/>
      <c r="L13" s="1"/>
      <c r="M13" s="1"/>
      <c r="N13" s="1"/>
      <c r="O13" s="1"/>
      <c r="P13" s="473"/>
    </row>
    <row r="14" spans="2:16">
      <c r="B14" s="472"/>
      <c r="C14" s="1"/>
      <c r="D14" s="1"/>
      <c r="E14" s="514"/>
      <c r="F14" s="1"/>
      <c r="G14" s="515"/>
      <c r="H14" s="1"/>
      <c r="I14" s="515"/>
      <c r="J14" s="515"/>
      <c r="K14" s="1"/>
      <c r="L14" s="1"/>
      <c r="M14" s="1"/>
      <c r="N14" s="1"/>
      <c r="O14" s="1"/>
      <c r="P14" s="473"/>
    </row>
    <row r="15" spans="2:16">
      <c r="B15" s="472"/>
      <c r="C15" s="1"/>
      <c r="D15" s="1" t="s">
        <v>4222</v>
      </c>
      <c r="E15" s="468"/>
      <c r="F15" s="1"/>
      <c r="G15" s="515"/>
      <c r="H15" s="1"/>
      <c r="I15" s="515"/>
      <c r="J15" s="515"/>
      <c r="K15" s="1"/>
      <c r="L15" s="1"/>
      <c r="M15" s="1"/>
      <c r="N15" s="1"/>
      <c r="O15" s="1"/>
      <c r="P15" s="473"/>
    </row>
    <row r="16" spans="2:16">
      <c r="B16" s="472"/>
      <c r="C16" s="1"/>
      <c r="D16" s="1"/>
      <c r="E16" s="514"/>
      <c r="F16" s="1"/>
      <c r="G16" s="515"/>
      <c r="H16" s="1"/>
      <c r="I16" s="515"/>
      <c r="J16" s="515"/>
      <c r="K16" s="1"/>
      <c r="L16" s="1"/>
      <c r="M16" s="1"/>
      <c r="N16" s="1"/>
      <c r="O16" s="1"/>
      <c r="P16" s="473"/>
    </row>
    <row r="17" spans="2:16">
      <c r="B17" s="472"/>
      <c r="C17" s="1"/>
      <c r="D17" s="1" t="s">
        <v>4223</v>
      </c>
      <c r="E17" s="468"/>
      <c r="F17" s="1"/>
      <c r="G17" s="515"/>
      <c r="H17" s="1"/>
      <c r="I17" s="515"/>
      <c r="J17" s="515"/>
      <c r="K17" s="1"/>
      <c r="L17" s="1"/>
      <c r="M17" s="1"/>
      <c r="N17" s="1"/>
      <c r="O17" s="1"/>
      <c r="P17" s="473"/>
    </row>
    <row r="18" spans="2:16">
      <c r="B18" s="472"/>
      <c r="C18" s="1"/>
      <c r="D18" s="1"/>
      <c r="E18" s="514"/>
      <c r="F18" s="1"/>
      <c r="G18" s="515"/>
      <c r="H18" s="1"/>
      <c r="I18" s="515"/>
      <c r="J18" s="515"/>
      <c r="K18" s="1"/>
      <c r="L18" s="1"/>
      <c r="M18" s="1"/>
      <c r="N18" s="1"/>
      <c r="O18" s="1"/>
      <c r="P18" s="473"/>
    </row>
    <row r="19" spans="2:16">
      <c r="B19" s="47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73"/>
    </row>
    <row r="20" spans="2:16">
      <c r="B20" s="475"/>
      <c r="C20" s="476"/>
      <c r="D20" s="476"/>
      <c r="E20" s="476"/>
      <c r="F20" s="476"/>
      <c r="G20" s="477" t="s">
        <v>4224</v>
      </c>
      <c r="H20" s="476"/>
      <c r="I20" s="738">
        <f>(E9+G9)-I9</f>
        <v>0</v>
      </c>
      <c r="J20" s="739"/>
      <c r="K20" s="476"/>
      <c r="L20" s="476"/>
      <c r="M20" s="476"/>
      <c r="N20" s="476"/>
      <c r="O20" s="476"/>
      <c r="P20" s="478"/>
    </row>
    <row r="24" spans="2:16">
      <c r="B24" s="467" t="s">
        <v>4225</v>
      </c>
    </row>
    <row r="27" spans="2:16">
      <c r="D27" s="646" t="s">
        <v>4226</v>
      </c>
      <c r="E27" s="647" t="s">
        <v>4227</v>
      </c>
      <c r="H27" s="735"/>
      <c r="I27" s="735"/>
    </row>
    <row r="28" spans="2:16">
      <c r="D28" s="650"/>
      <c r="E28" s="651"/>
    </row>
    <row r="29" spans="2:16">
      <c r="D29" s="650"/>
      <c r="E29" s="651"/>
    </row>
    <row r="30" spans="2:16">
      <c r="D30" s="650"/>
      <c r="E30" s="651"/>
    </row>
    <row r="31" spans="2:16">
      <c r="D31" s="650"/>
      <c r="E31" s="651"/>
    </row>
    <row r="32" spans="2:16">
      <c r="D32" s="650"/>
      <c r="E32" s="651"/>
    </row>
    <row r="33" spans="4:5">
      <c r="D33" s="650"/>
      <c r="E33" s="651"/>
    </row>
    <row r="34" spans="4:5">
      <c r="D34" s="650"/>
      <c r="E34" s="651"/>
    </row>
    <row r="35" spans="4:5">
      <c r="D35" s="650"/>
      <c r="E35" s="651"/>
    </row>
    <row r="36" spans="4:5">
      <c r="D36" s="650"/>
      <c r="E36" s="651"/>
    </row>
    <row r="37" spans="4:5">
      <c r="D37" s="650"/>
      <c r="E37" s="651"/>
    </row>
    <row r="38" spans="4:5">
      <c r="D38" s="648" t="s">
        <v>4136</v>
      </c>
      <c r="E38" s="649">
        <f>+SUM(E28:E37)</f>
        <v>0</v>
      </c>
    </row>
  </sheetData>
  <mergeCells count="6">
    <mergeCell ref="H27:I27"/>
    <mergeCell ref="E6:E7"/>
    <mergeCell ref="I6:J6"/>
    <mergeCell ref="I9:J9"/>
    <mergeCell ref="I20:J20"/>
    <mergeCell ref="G6:G7"/>
  </mergeCells>
  <conditionalFormatting sqref="D28:E37">
    <cfRule type="expression" dxfId="26" priority="1">
      <formula>AND(LEN(TRIM($D28))+LEN(TRIM($E28))&gt;0,   OR(LEN(TRIM($D28))=0, LEN(TRIM($E28))=0))</formula>
    </cfRule>
  </conditionalFormatting>
  <conditionalFormatting sqref="I20:J20">
    <cfRule type="expression" dxfId="25" priority="2">
      <formula>$I$20&lt;&gt;0</formula>
    </cfRule>
    <cfRule type="cellIs" dxfId="24" priority="3" operator="equal">
      <formula>0</formula>
    </cfRule>
  </conditionalFormatting>
  <dataValidations count="3">
    <dataValidation type="decimal" allowBlank="1" showInputMessage="1" showErrorMessage="1" error="El campo debe tener maximo 9.999.999.999.999,99" sqref="E28:E31 E33:E37 E32" xr:uid="{CB620E17-0D8A-48C4-B15E-703921857A7F}">
      <formula1>0</formula1>
      <formula2>99999999999999</formula2>
    </dataValidation>
    <dataValidation type="decimal" allowBlank="1" showInputMessage="1" showErrorMessage="1" error="El campo debe estar entre_x000a_-9.999.999.999.999,99 y 9.999.999.999.999,99" sqref="E9 E11 E13" xr:uid="{E951A114-6164-4B22-92FF-D101393C2D36}">
      <formula1>-999999999999999</formula1>
      <formula2>999999999999999</formula2>
    </dataValidation>
    <dataValidation type="decimal" allowBlank="1" showInputMessage="1" showErrorMessage="1" error="El campo debe tener maximo 9.999.999.999.999,99" sqref="E15 E17" xr:uid="{42B85D42-42AA-4692-B0A7-0CA87B424BEC}">
      <formula1>0</formula1>
      <formula2>999999999999999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81F2F4-62FB-4049-8C02-D8D201FDA913}">
          <x14:formula1>
            <xm:f>'Fuente extranjera'!$B:$B</xm:f>
          </x14:formula1>
          <xm:sqref>D28:D37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F6F5-569B-406E-8A93-031F1A40D6BB}">
  <sheetPr codeName="Sheet9"/>
  <dimension ref="B3:B269"/>
  <sheetViews>
    <sheetView showGridLines="0" zoomScale="90" zoomScaleNormal="90" workbookViewId="0">
      <selection activeCell="B3" sqref="B3:B269"/>
    </sheetView>
  </sheetViews>
  <sheetFormatPr defaultColWidth="8.85546875" defaultRowHeight="12.95"/>
  <cols>
    <col min="1" max="16384" width="8.85546875" style="1"/>
  </cols>
  <sheetData>
    <row r="3" spans="2:2">
      <c r="B3" s="1" t="s">
        <v>4228</v>
      </c>
    </row>
    <row r="4" spans="2:2">
      <c r="B4" s="1" t="s">
        <v>4229</v>
      </c>
    </row>
    <row r="5" spans="2:2">
      <c r="B5" s="1" t="s">
        <v>4230</v>
      </c>
    </row>
    <row r="6" spans="2:2">
      <c r="B6" s="1" t="s">
        <v>4231</v>
      </c>
    </row>
    <row r="7" spans="2:2">
      <c r="B7" s="1" t="s">
        <v>4232</v>
      </c>
    </row>
    <row r="8" spans="2:2">
      <c r="B8" s="1" t="s">
        <v>4233</v>
      </c>
    </row>
    <row r="9" spans="2:2">
      <c r="B9" s="1" t="s">
        <v>4234</v>
      </c>
    </row>
    <row r="10" spans="2:2">
      <c r="B10" s="1" t="s">
        <v>4235</v>
      </c>
    </row>
    <row r="11" spans="2:2">
      <c r="B11" s="1" t="s">
        <v>4236</v>
      </c>
    </row>
    <row r="12" spans="2:2">
      <c r="B12" s="1" t="s">
        <v>4237</v>
      </c>
    </row>
    <row r="13" spans="2:2">
      <c r="B13" s="1" t="s">
        <v>4238</v>
      </c>
    </row>
    <row r="14" spans="2:2">
      <c r="B14" s="1" t="s">
        <v>4239</v>
      </c>
    </row>
    <row r="15" spans="2:2">
      <c r="B15" s="1" t="s">
        <v>4240</v>
      </c>
    </row>
    <row r="16" spans="2:2">
      <c r="B16" s="1" t="s">
        <v>4241</v>
      </c>
    </row>
    <row r="17" spans="2:2">
      <c r="B17" s="1" t="s">
        <v>4242</v>
      </c>
    </row>
    <row r="18" spans="2:2">
      <c r="B18" s="1" t="s">
        <v>4243</v>
      </c>
    </row>
    <row r="19" spans="2:2">
      <c r="B19" s="1" t="s">
        <v>4244</v>
      </c>
    </row>
    <row r="20" spans="2:2">
      <c r="B20" s="1" t="s">
        <v>4245</v>
      </c>
    </row>
    <row r="21" spans="2:2">
      <c r="B21" s="1" t="s">
        <v>4246</v>
      </c>
    </row>
    <row r="22" spans="2:2">
      <c r="B22" s="1" t="s">
        <v>4247</v>
      </c>
    </row>
    <row r="23" spans="2:2">
      <c r="B23" s="1" t="s">
        <v>4248</v>
      </c>
    </row>
    <row r="24" spans="2:2">
      <c r="B24" s="1" t="s">
        <v>4249</v>
      </c>
    </row>
    <row r="25" spans="2:2">
      <c r="B25" s="1" t="s">
        <v>4250</v>
      </c>
    </row>
    <row r="26" spans="2:2">
      <c r="B26" s="1" t="s">
        <v>4251</v>
      </c>
    </row>
    <row r="27" spans="2:2">
      <c r="B27" s="1" t="s">
        <v>4252</v>
      </c>
    </row>
    <row r="28" spans="2:2">
      <c r="B28" s="1" t="s">
        <v>4253</v>
      </c>
    </row>
    <row r="29" spans="2:2">
      <c r="B29" s="1" t="s">
        <v>4254</v>
      </c>
    </row>
    <row r="30" spans="2:2">
      <c r="B30" s="1" t="s">
        <v>4255</v>
      </c>
    </row>
    <row r="31" spans="2:2">
      <c r="B31" s="1" t="s">
        <v>4256</v>
      </c>
    </row>
    <row r="32" spans="2:2">
      <c r="B32" s="1" t="s">
        <v>4257</v>
      </c>
    </row>
    <row r="33" spans="2:2">
      <c r="B33" s="1" t="s">
        <v>4258</v>
      </c>
    </row>
    <row r="34" spans="2:2">
      <c r="B34" s="1" t="s">
        <v>4259</v>
      </c>
    </row>
    <row r="35" spans="2:2">
      <c r="B35" s="1" t="s">
        <v>4260</v>
      </c>
    </row>
    <row r="36" spans="2:2">
      <c r="B36" s="1" t="s">
        <v>4261</v>
      </c>
    </row>
    <row r="37" spans="2:2">
      <c r="B37" s="1" t="s">
        <v>4262</v>
      </c>
    </row>
    <row r="38" spans="2:2">
      <c r="B38" s="1" t="s">
        <v>4263</v>
      </c>
    </row>
    <row r="39" spans="2:2">
      <c r="B39" s="1" t="s">
        <v>4264</v>
      </c>
    </row>
    <row r="40" spans="2:2">
      <c r="B40" s="1" t="s">
        <v>4265</v>
      </c>
    </row>
    <row r="41" spans="2:2">
      <c r="B41" s="1" t="s">
        <v>4266</v>
      </c>
    </row>
    <row r="42" spans="2:2">
      <c r="B42" s="1" t="s">
        <v>4267</v>
      </c>
    </row>
    <row r="43" spans="2:2">
      <c r="B43" s="1" t="s">
        <v>4268</v>
      </c>
    </row>
    <row r="44" spans="2:2">
      <c r="B44" s="1" t="s">
        <v>4269</v>
      </c>
    </row>
    <row r="45" spans="2:2">
      <c r="B45" s="1" t="s">
        <v>4270</v>
      </c>
    </row>
    <row r="46" spans="2:2">
      <c r="B46" s="1" t="s">
        <v>4271</v>
      </c>
    </row>
    <row r="47" spans="2:2">
      <c r="B47" s="1" t="s">
        <v>4272</v>
      </c>
    </row>
    <row r="48" spans="2:2">
      <c r="B48" s="1" t="s">
        <v>4273</v>
      </c>
    </row>
    <row r="49" spans="2:2">
      <c r="B49" s="1" t="s">
        <v>4274</v>
      </c>
    </row>
    <row r="50" spans="2:2">
      <c r="B50" s="1" t="s">
        <v>4275</v>
      </c>
    </row>
    <row r="51" spans="2:2">
      <c r="B51" s="1" t="s">
        <v>4276</v>
      </c>
    </row>
    <row r="52" spans="2:2">
      <c r="B52" s="1" t="s">
        <v>4277</v>
      </c>
    </row>
    <row r="53" spans="2:2">
      <c r="B53" s="1" t="s">
        <v>4278</v>
      </c>
    </row>
    <row r="54" spans="2:2">
      <c r="B54" s="1" t="s">
        <v>4279</v>
      </c>
    </row>
    <row r="55" spans="2:2">
      <c r="B55" s="1" t="s">
        <v>4280</v>
      </c>
    </row>
    <row r="56" spans="2:2">
      <c r="B56" s="1" t="s">
        <v>4281</v>
      </c>
    </row>
    <row r="57" spans="2:2">
      <c r="B57" s="1" t="s">
        <v>4282</v>
      </c>
    </row>
    <row r="58" spans="2:2">
      <c r="B58" s="1" t="s">
        <v>4283</v>
      </c>
    </row>
    <row r="59" spans="2:2">
      <c r="B59" s="1" t="s">
        <v>4284</v>
      </c>
    </row>
    <row r="60" spans="2:2">
      <c r="B60" s="1" t="s">
        <v>4285</v>
      </c>
    </row>
    <row r="61" spans="2:2">
      <c r="B61" s="1" t="s">
        <v>4286</v>
      </c>
    </row>
    <row r="62" spans="2:2">
      <c r="B62" s="1" t="s">
        <v>4287</v>
      </c>
    </row>
    <row r="63" spans="2:2">
      <c r="B63" s="1" t="s">
        <v>4288</v>
      </c>
    </row>
    <row r="64" spans="2:2">
      <c r="B64" s="1" t="s">
        <v>4289</v>
      </c>
    </row>
    <row r="65" spans="2:2">
      <c r="B65" s="1" t="s">
        <v>4290</v>
      </c>
    </row>
    <row r="66" spans="2:2">
      <c r="B66" s="1" t="s">
        <v>4291</v>
      </c>
    </row>
    <row r="67" spans="2:2">
      <c r="B67" s="1" t="s">
        <v>4292</v>
      </c>
    </row>
    <row r="68" spans="2:2">
      <c r="B68" s="1" t="s">
        <v>4293</v>
      </c>
    </row>
    <row r="69" spans="2:2">
      <c r="B69" s="1" t="s">
        <v>4294</v>
      </c>
    </row>
    <row r="70" spans="2:2">
      <c r="B70" s="1" t="s">
        <v>4295</v>
      </c>
    </row>
    <row r="71" spans="2:2">
      <c r="B71" s="1" t="s">
        <v>4296</v>
      </c>
    </row>
    <row r="72" spans="2:2">
      <c r="B72" s="1" t="s">
        <v>4297</v>
      </c>
    </row>
    <row r="73" spans="2:2">
      <c r="B73" s="1" t="s">
        <v>4298</v>
      </c>
    </row>
    <row r="74" spans="2:2">
      <c r="B74" s="1" t="s">
        <v>4299</v>
      </c>
    </row>
    <row r="75" spans="2:2">
      <c r="B75" s="1" t="s">
        <v>4300</v>
      </c>
    </row>
    <row r="76" spans="2:2">
      <c r="B76" s="1" t="s">
        <v>4301</v>
      </c>
    </row>
    <row r="77" spans="2:2">
      <c r="B77" s="1" t="s">
        <v>4302</v>
      </c>
    </row>
    <row r="78" spans="2:2">
      <c r="B78" s="1" t="s">
        <v>4303</v>
      </c>
    </row>
    <row r="79" spans="2:2">
      <c r="B79" s="1" t="s">
        <v>4304</v>
      </c>
    </row>
    <row r="80" spans="2:2">
      <c r="B80" s="1" t="s">
        <v>4305</v>
      </c>
    </row>
    <row r="81" spans="2:2">
      <c r="B81" s="1" t="s">
        <v>4306</v>
      </c>
    </row>
    <row r="82" spans="2:2">
      <c r="B82" s="1" t="s">
        <v>4307</v>
      </c>
    </row>
    <row r="83" spans="2:2">
      <c r="B83" s="1" t="s">
        <v>4308</v>
      </c>
    </row>
    <row r="84" spans="2:2">
      <c r="B84" s="1" t="s">
        <v>4309</v>
      </c>
    </row>
    <row r="85" spans="2:2">
      <c r="B85" s="1" t="s">
        <v>4310</v>
      </c>
    </row>
    <row r="86" spans="2:2">
      <c r="B86" s="1" t="s">
        <v>4311</v>
      </c>
    </row>
    <row r="87" spans="2:2">
      <c r="B87" s="1" t="s">
        <v>4312</v>
      </c>
    </row>
    <row r="88" spans="2:2">
      <c r="B88" s="1" t="s">
        <v>4313</v>
      </c>
    </row>
    <row r="89" spans="2:2">
      <c r="B89" s="1" t="s">
        <v>4314</v>
      </c>
    </row>
    <row r="90" spans="2:2">
      <c r="B90" s="1" t="s">
        <v>4315</v>
      </c>
    </row>
    <row r="91" spans="2:2">
      <c r="B91" s="1" t="s">
        <v>4316</v>
      </c>
    </row>
    <row r="92" spans="2:2">
      <c r="B92" s="1" t="s">
        <v>4317</v>
      </c>
    </row>
    <row r="93" spans="2:2">
      <c r="B93" s="1" t="s">
        <v>4318</v>
      </c>
    </row>
    <row r="94" spans="2:2">
      <c r="B94" s="1" t="s">
        <v>4319</v>
      </c>
    </row>
    <row r="95" spans="2:2">
      <c r="B95" s="1" t="s">
        <v>4320</v>
      </c>
    </row>
    <row r="96" spans="2:2">
      <c r="B96" s="1" t="s">
        <v>4321</v>
      </c>
    </row>
    <row r="97" spans="2:2">
      <c r="B97" s="1" t="s">
        <v>4322</v>
      </c>
    </row>
    <row r="98" spans="2:2">
      <c r="B98" s="1" t="s">
        <v>4323</v>
      </c>
    </row>
    <row r="99" spans="2:2">
      <c r="B99" s="1" t="s">
        <v>4324</v>
      </c>
    </row>
    <row r="100" spans="2:2">
      <c r="B100" s="1" t="s">
        <v>4325</v>
      </c>
    </row>
    <row r="101" spans="2:2">
      <c r="B101" s="1" t="s">
        <v>4326</v>
      </c>
    </row>
    <row r="102" spans="2:2">
      <c r="B102" s="1" t="s">
        <v>4327</v>
      </c>
    </row>
    <row r="103" spans="2:2">
      <c r="B103" s="1" t="s">
        <v>4328</v>
      </c>
    </row>
    <row r="104" spans="2:2">
      <c r="B104" s="1" t="s">
        <v>4329</v>
      </c>
    </row>
    <row r="105" spans="2:2">
      <c r="B105" s="1" t="s">
        <v>4330</v>
      </c>
    </row>
    <row r="106" spans="2:2">
      <c r="B106" s="1" t="s">
        <v>4331</v>
      </c>
    </row>
    <row r="107" spans="2:2">
      <c r="B107" s="1" t="s">
        <v>4332</v>
      </c>
    </row>
    <row r="108" spans="2:2">
      <c r="B108" s="1" t="s">
        <v>4333</v>
      </c>
    </row>
    <row r="109" spans="2:2">
      <c r="B109" s="1" t="s">
        <v>4334</v>
      </c>
    </row>
    <row r="110" spans="2:2">
      <c r="B110" s="1" t="s">
        <v>4335</v>
      </c>
    </row>
    <row r="111" spans="2:2">
      <c r="B111" s="1" t="s">
        <v>4336</v>
      </c>
    </row>
    <row r="112" spans="2:2">
      <c r="B112" s="1" t="s">
        <v>4337</v>
      </c>
    </row>
    <row r="113" spans="2:2">
      <c r="B113" s="1" t="s">
        <v>4338</v>
      </c>
    </row>
    <row r="114" spans="2:2">
      <c r="B114" s="1" t="s">
        <v>4339</v>
      </c>
    </row>
    <row r="115" spans="2:2">
      <c r="B115" s="1" t="s">
        <v>4340</v>
      </c>
    </row>
    <row r="116" spans="2:2">
      <c r="B116" s="1" t="s">
        <v>4341</v>
      </c>
    </row>
    <row r="117" spans="2:2">
      <c r="B117" s="1" t="s">
        <v>4342</v>
      </c>
    </row>
    <row r="118" spans="2:2">
      <c r="B118" s="1" t="s">
        <v>4343</v>
      </c>
    </row>
    <row r="119" spans="2:2">
      <c r="B119" s="1" t="s">
        <v>4344</v>
      </c>
    </row>
    <row r="120" spans="2:2">
      <c r="B120" s="1" t="s">
        <v>4345</v>
      </c>
    </row>
    <row r="121" spans="2:2">
      <c r="B121" s="1" t="s">
        <v>4346</v>
      </c>
    </row>
    <row r="122" spans="2:2">
      <c r="B122" s="1" t="s">
        <v>4347</v>
      </c>
    </row>
    <row r="123" spans="2:2">
      <c r="B123" s="1" t="s">
        <v>4348</v>
      </c>
    </row>
    <row r="124" spans="2:2">
      <c r="B124" s="1" t="s">
        <v>4349</v>
      </c>
    </row>
    <row r="125" spans="2:2">
      <c r="B125" s="1" t="s">
        <v>4350</v>
      </c>
    </row>
    <row r="126" spans="2:2">
      <c r="B126" s="1" t="s">
        <v>4351</v>
      </c>
    </row>
    <row r="127" spans="2:2">
      <c r="B127" s="1" t="s">
        <v>4352</v>
      </c>
    </row>
    <row r="128" spans="2:2">
      <c r="B128" s="1" t="s">
        <v>4353</v>
      </c>
    </row>
    <row r="129" spans="2:2">
      <c r="B129" s="1" t="s">
        <v>4354</v>
      </c>
    </row>
    <row r="130" spans="2:2">
      <c r="B130" s="1" t="s">
        <v>4355</v>
      </c>
    </row>
    <row r="131" spans="2:2">
      <c r="B131" s="1" t="s">
        <v>4356</v>
      </c>
    </row>
    <row r="132" spans="2:2">
      <c r="B132" s="1" t="s">
        <v>4357</v>
      </c>
    </row>
    <row r="133" spans="2:2">
      <c r="B133" s="1" t="s">
        <v>4358</v>
      </c>
    </row>
    <row r="134" spans="2:2">
      <c r="B134" s="1" t="s">
        <v>4359</v>
      </c>
    </row>
    <row r="135" spans="2:2">
      <c r="B135" s="1" t="s">
        <v>4360</v>
      </c>
    </row>
    <row r="136" spans="2:2">
      <c r="B136" s="1" t="s">
        <v>4361</v>
      </c>
    </row>
    <row r="137" spans="2:2">
      <c r="B137" s="1" t="s">
        <v>4362</v>
      </c>
    </row>
    <row r="138" spans="2:2">
      <c r="B138" s="1" t="s">
        <v>4363</v>
      </c>
    </row>
    <row r="139" spans="2:2">
      <c r="B139" s="1" t="s">
        <v>4364</v>
      </c>
    </row>
    <row r="140" spans="2:2">
      <c r="B140" s="1" t="s">
        <v>4365</v>
      </c>
    </row>
    <row r="141" spans="2:2">
      <c r="B141" s="1" t="s">
        <v>4366</v>
      </c>
    </row>
    <row r="142" spans="2:2">
      <c r="B142" s="1" t="s">
        <v>4367</v>
      </c>
    </row>
    <row r="143" spans="2:2">
      <c r="B143" s="1" t="s">
        <v>4368</v>
      </c>
    </row>
    <row r="144" spans="2:2">
      <c r="B144" s="1" t="s">
        <v>4369</v>
      </c>
    </row>
    <row r="145" spans="2:2">
      <c r="B145" s="1" t="s">
        <v>4370</v>
      </c>
    </row>
    <row r="146" spans="2:2">
      <c r="B146" s="1" t="s">
        <v>4371</v>
      </c>
    </row>
    <row r="147" spans="2:2">
      <c r="B147" s="1" t="s">
        <v>4372</v>
      </c>
    </row>
    <row r="148" spans="2:2">
      <c r="B148" s="1" t="s">
        <v>4373</v>
      </c>
    </row>
    <row r="149" spans="2:2">
      <c r="B149" s="1" t="s">
        <v>4374</v>
      </c>
    </row>
    <row r="150" spans="2:2">
      <c r="B150" s="1" t="s">
        <v>4375</v>
      </c>
    </row>
    <row r="151" spans="2:2">
      <c r="B151" s="1" t="s">
        <v>4376</v>
      </c>
    </row>
    <row r="152" spans="2:2">
      <c r="B152" s="1" t="s">
        <v>4377</v>
      </c>
    </row>
    <row r="153" spans="2:2">
      <c r="B153" s="1" t="s">
        <v>4378</v>
      </c>
    </row>
    <row r="154" spans="2:2">
      <c r="B154" s="1" t="s">
        <v>4379</v>
      </c>
    </row>
    <row r="155" spans="2:2">
      <c r="B155" s="1" t="s">
        <v>4380</v>
      </c>
    </row>
    <row r="156" spans="2:2">
      <c r="B156" s="1" t="s">
        <v>4381</v>
      </c>
    </row>
    <row r="157" spans="2:2">
      <c r="B157" s="1" t="s">
        <v>4382</v>
      </c>
    </row>
    <row r="158" spans="2:2">
      <c r="B158" s="1" t="s">
        <v>4383</v>
      </c>
    </row>
    <row r="159" spans="2:2">
      <c r="B159" s="1" t="s">
        <v>4384</v>
      </c>
    </row>
    <row r="160" spans="2:2">
      <c r="B160" s="1" t="s">
        <v>4385</v>
      </c>
    </row>
    <row r="161" spans="2:2">
      <c r="B161" s="1" t="s">
        <v>4386</v>
      </c>
    </row>
    <row r="162" spans="2:2">
      <c r="B162" s="1" t="s">
        <v>4387</v>
      </c>
    </row>
    <row r="163" spans="2:2">
      <c r="B163" s="1" t="s">
        <v>4388</v>
      </c>
    </row>
    <row r="164" spans="2:2">
      <c r="B164" s="1" t="s">
        <v>4389</v>
      </c>
    </row>
    <row r="165" spans="2:2">
      <c r="B165" s="1" t="s">
        <v>4390</v>
      </c>
    </row>
    <row r="166" spans="2:2">
      <c r="B166" s="1" t="s">
        <v>4391</v>
      </c>
    </row>
    <row r="167" spans="2:2">
      <c r="B167" s="1" t="s">
        <v>4392</v>
      </c>
    </row>
    <row r="168" spans="2:2">
      <c r="B168" s="1" t="s">
        <v>4393</v>
      </c>
    </row>
    <row r="169" spans="2:2">
      <c r="B169" s="1" t="s">
        <v>4394</v>
      </c>
    </row>
    <row r="170" spans="2:2">
      <c r="B170" s="1" t="s">
        <v>4395</v>
      </c>
    </row>
    <row r="171" spans="2:2">
      <c r="B171" s="1" t="s">
        <v>4396</v>
      </c>
    </row>
    <row r="172" spans="2:2">
      <c r="B172" s="1" t="s">
        <v>4397</v>
      </c>
    </row>
    <row r="173" spans="2:2">
      <c r="B173" s="1" t="s">
        <v>4398</v>
      </c>
    </row>
    <row r="174" spans="2:2">
      <c r="B174" s="1" t="s">
        <v>4399</v>
      </c>
    </row>
    <row r="175" spans="2:2">
      <c r="B175" s="1" t="s">
        <v>4400</v>
      </c>
    </row>
    <row r="176" spans="2:2">
      <c r="B176" s="1" t="s">
        <v>4401</v>
      </c>
    </row>
    <row r="177" spans="2:2">
      <c r="B177" s="1" t="s">
        <v>4402</v>
      </c>
    </row>
    <row r="178" spans="2:2">
      <c r="B178" s="1" t="s">
        <v>4403</v>
      </c>
    </row>
    <row r="179" spans="2:2">
      <c r="B179" s="1" t="s">
        <v>4404</v>
      </c>
    </row>
    <row r="180" spans="2:2">
      <c r="B180" s="1" t="s">
        <v>4405</v>
      </c>
    </row>
    <row r="181" spans="2:2">
      <c r="B181" s="1" t="s">
        <v>4406</v>
      </c>
    </row>
    <row r="182" spans="2:2">
      <c r="B182" s="1" t="s">
        <v>4407</v>
      </c>
    </row>
    <row r="183" spans="2:2">
      <c r="B183" s="1" t="s">
        <v>4408</v>
      </c>
    </row>
    <row r="184" spans="2:2">
      <c r="B184" s="1" t="s">
        <v>4409</v>
      </c>
    </row>
    <row r="185" spans="2:2">
      <c r="B185" s="1" t="s">
        <v>4410</v>
      </c>
    </row>
    <row r="186" spans="2:2">
      <c r="B186" s="1" t="s">
        <v>4411</v>
      </c>
    </row>
    <row r="187" spans="2:2">
      <c r="B187" s="1" t="s">
        <v>4412</v>
      </c>
    </row>
    <row r="188" spans="2:2">
      <c r="B188" s="1" t="s">
        <v>4413</v>
      </c>
    </row>
    <row r="189" spans="2:2">
      <c r="B189" s="1" t="s">
        <v>4414</v>
      </c>
    </row>
    <row r="190" spans="2:2">
      <c r="B190" s="1" t="s">
        <v>4415</v>
      </c>
    </row>
    <row r="191" spans="2:2">
      <c r="B191" s="1" t="s">
        <v>4416</v>
      </c>
    </row>
    <row r="192" spans="2:2">
      <c r="B192" s="1" t="s">
        <v>4417</v>
      </c>
    </row>
    <row r="193" spans="2:2">
      <c r="B193" s="1" t="s">
        <v>4418</v>
      </c>
    </row>
    <row r="194" spans="2:2">
      <c r="B194" s="1" t="s">
        <v>4419</v>
      </c>
    </row>
    <row r="195" spans="2:2">
      <c r="B195" s="1" t="s">
        <v>4420</v>
      </c>
    </row>
    <row r="196" spans="2:2">
      <c r="B196" s="1" t="s">
        <v>4421</v>
      </c>
    </row>
    <row r="197" spans="2:2">
      <c r="B197" s="1" t="s">
        <v>4422</v>
      </c>
    </row>
    <row r="198" spans="2:2">
      <c r="B198" s="1" t="s">
        <v>4423</v>
      </c>
    </row>
    <row r="199" spans="2:2">
      <c r="B199" s="1" t="s">
        <v>4424</v>
      </c>
    </row>
    <row r="200" spans="2:2">
      <c r="B200" s="1" t="s">
        <v>4425</v>
      </c>
    </row>
    <row r="201" spans="2:2">
      <c r="B201" s="1" t="s">
        <v>4426</v>
      </c>
    </row>
    <row r="202" spans="2:2">
      <c r="B202" s="1" t="s">
        <v>4427</v>
      </c>
    </row>
    <row r="203" spans="2:2">
      <c r="B203" s="1" t="s">
        <v>4428</v>
      </c>
    </row>
    <row r="204" spans="2:2">
      <c r="B204" s="1" t="s">
        <v>4429</v>
      </c>
    </row>
    <row r="205" spans="2:2">
      <c r="B205" s="1" t="s">
        <v>4430</v>
      </c>
    </row>
    <row r="206" spans="2:2">
      <c r="B206" s="1" t="s">
        <v>4431</v>
      </c>
    </row>
    <row r="207" spans="2:2">
      <c r="B207" s="1" t="s">
        <v>4432</v>
      </c>
    </row>
    <row r="208" spans="2:2">
      <c r="B208" s="1" t="s">
        <v>4433</v>
      </c>
    </row>
    <row r="209" spans="2:2">
      <c r="B209" s="1" t="s">
        <v>4434</v>
      </c>
    </row>
    <row r="210" spans="2:2">
      <c r="B210" s="1" t="s">
        <v>4435</v>
      </c>
    </row>
    <row r="211" spans="2:2">
      <c r="B211" s="1" t="s">
        <v>4436</v>
      </c>
    </row>
    <row r="212" spans="2:2">
      <c r="B212" s="1" t="s">
        <v>4437</v>
      </c>
    </row>
    <row r="213" spans="2:2">
      <c r="B213" s="1" t="s">
        <v>4438</v>
      </c>
    </row>
    <row r="214" spans="2:2">
      <c r="B214" s="1" t="s">
        <v>4439</v>
      </c>
    </row>
    <row r="215" spans="2:2">
      <c r="B215" s="1" t="s">
        <v>4440</v>
      </c>
    </row>
    <row r="216" spans="2:2">
      <c r="B216" s="1" t="s">
        <v>4441</v>
      </c>
    </row>
    <row r="217" spans="2:2">
      <c r="B217" s="1" t="s">
        <v>4442</v>
      </c>
    </row>
    <row r="218" spans="2:2">
      <c r="B218" s="1" t="s">
        <v>4443</v>
      </c>
    </row>
    <row r="219" spans="2:2">
      <c r="B219" s="1" t="s">
        <v>4444</v>
      </c>
    </row>
    <row r="220" spans="2:2">
      <c r="B220" s="1" t="s">
        <v>4445</v>
      </c>
    </row>
    <row r="221" spans="2:2">
      <c r="B221" s="1" t="s">
        <v>4446</v>
      </c>
    </row>
    <row r="222" spans="2:2">
      <c r="B222" s="1" t="s">
        <v>4447</v>
      </c>
    </row>
    <row r="223" spans="2:2">
      <c r="B223" s="1" t="s">
        <v>4448</v>
      </c>
    </row>
    <row r="224" spans="2:2">
      <c r="B224" s="1" t="s">
        <v>4449</v>
      </c>
    </row>
    <row r="225" spans="2:2">
      <c r="B225" s="1" t="s">
        <v>4450</v>
      </c>
    </row>
    <row r="226" spans="2:2">
      <c r="B226" s="1" t="s">
        <v>4451</v>
      </c>
    </row>
    <row r="227" spans="2:2">
      <c r="B227" s="1" t="s">
        <v>4452</v>
      </c>
    </row>
    <row r="228" spans="2:2">
      <c r="B228" s="1" t="s">
        <v>4453</v>
      </c>
    </row>
    <row r="229" spans="2:2">
      <c r="B229" s="1" t="s">
        <v>4454</v>
      </c>
    </row>
    <row r="230" spans="2:2">
      <c r="B230" s="1" t="s">
        <v>4455</v>
      </c>
    </row>
    <row r="231" spans="2:2">
      <c r="B231" s="1" t="s">
        <v>4456</v>
      </c>
    </row>
    <row r="232" spans="2:2">
      <c r="B232" s="1" t="s">
        <v>4457</v>
      </c>
    </row>
    <row r="233" spans="2:2">
      <c r="B233" s="1" t="s">
        <v>4458</v>
      </c>
    </row>
    <row r="234" spans="2:2">
      <c r="B234" s="1" t="s">
        <v>4459</v>
      </c>
    </row>
    <row r="235" spans="2:2">
      <c r="B235" s="1" t="s">
        <v>4460</v>
      </c>
    </row>
    <row r="236" spans="2:2">
      <c r="B236" s="1" t="s">
        <v>4461</v>
      </c>
    </row>
    <row r="237" spans="2:2">
      <c r="B237" s="1" t="s">
        <v>4462</v>
      </c>
    </row>
    <row r="238" spans="2:2">
      <c r="B238" s="1" t="s">
        <v>4463</v>
      </c>
    </row>
    <row r="239" spans="2:2">
      <c r="B239" s="1" t="s">
        <v>4464</v>
      </c>
    </row>
    <row r="240" spans="2:2">
      <c r="B240" s="1" t="s">
        <v>4465</v>
      </c>
    </row>
    <row r="241" spans="2:2">
      <c r="B241" s="1" t="s">
        <v>4466</v>
      </c>
    </row>
    <row r="242" spans="2:2">
      <c r="B242" s="1" t="s">
        <v>4467</v>
      </c>
    </row>
    <row r="243" spans="2:2">
      <c r="B243" s="1" t="s">
        <v>4468</v>
      </c>
    </row>
    <row r="244" spans="2:2">
      <c r="B244" s="1" t="s">
        <v>4469</v>
      </c>
    </row>
    <row r="245" spans="2:2">
      <c r="B245" s="1" t="s">
        <v>4470</v>
      </c>
    </row>
    <row r="246" spans="2:2">
      <c r="B246" s="1" t="s">
        <v>4471</v>
      </c>
    </row>
    <row r="247" spans="2:2">
      <c r="B247" s="1" t="s">
        <v>4472</v>
      </c>
    </row>
    <row r="248" spans="2:2">
      <c r="B248" s="1" t="s">
        <v>4473</v>
      </c>
    </row>
    <row r="249" spans="2:2">
      <c r="B249" s="1" t="s">
        <v>4474</v>
      </c>
    </row>
    <row r="250" spans="2:2">
      <c r="B250" s="1" t="s">
        <v>4475</v>
      </c>
    </row>
    <row r="251" spans="2:2">
      <c r="B251" s="1" t="s">
        <v>4476</v>
      </c>
    </row>
    <row r="252" spans="2:2">
      <c r="B252" s="1" t="s">
        <v>4477</v>
      </c>
    </row>
    <row r="253" spans="2:2">
      <c r="B253" s="1" t="s">
        <v>4478</v>
      </c>
    </row>
    <row r="254" spans="2:2">
      <c r="B254" s="1" t="s">
        <v>4479</v>
      </c>
    </row>
    <row r="255" spans="2:2">
      <c r="B255" s="1" t="s">
        <v>4480</v>
      </c>
    </row>
    <row r="256" spans="2:2">
      <c r="B256" s="1" t="s">
        <v>4481</v>
      </c>
    </row>
    <row r="257" spans="2:2">
      <c r="B257" s="1" t="s">
        <v>4482</v>
      </c>
    </row>
    <row r="258" spans="2:2">
      <c r="B258" s="1" t="s">
        <v>4483</v>
      </c>
    </row>
    <row r="259" spans="2:2">
      <c r="B259" s="1" t="s">
        <v>4484</v>
      </c>
    </row>
    <row r="260" spans="2:2">
      <c r="B260" s="1" t="s">
        <v>4485</v>
      </c>
    </row>
    <row r="261" spans="2:2">
      <c r="B261" s="1" t="s">
        <v>4486</v>
      </c>
    </row>
    <row r="262" spans="2:2">
      <c r="B262" s="1" t="s">
        <v>4487</v>
      </c>
    </row>
    <row r="263" spans="2:2">
      <c r="B263" s="1" t="s">
        <v>4488</v>
      </c>
    </row>
    <row r="264" spans="2:2">
      <c r="B264" s="1" t="s">
        <v>4489</v>
      </c>
    </row>
    <row r="265" spans="2:2">
      <c r="B265" s="1" t="s">
        <v>4490</v>
      </c>
    </row>
    <row r="266" spans="2:2">
      <c r="B266" s="1" t="s">
        <v>4491</v>
      </c>
    </row>
    <row r="267" spans="2:2">
      <c r="B267" s="1" t="s">
        <v>4492</v>
      </c>
    </row>
    <row r="268" spans="2:2">
      <c r="B268" s="1" t="s">
        <v>4493</v>
      </c>
    </row>
    <row r="269" spans="2:2">
      <c r="B269" s="1" t="s">
        <v>4494</v>
      </c>
    </row>
  </sheetData>
  <dataValidations count="2">
    <dataValidation type="list" allowBlank="1" showInputMessage="1" showErrorMessage="1" sqref="F3" xr:uid="{8FDE76B6-3A8A-4B3F-B8A6-9D4868F50718}">
      <formula1>#REF!</formula1>
    </dataValidation>
    <dataValidation type="list" allowBlank="1" showInputMessage="1" showErrorMessage="1" sqref="E3" xr:uid="{5F486F93-2313-428F-8468-2612C515FF1D}">
      <formula1>$B$3:$B$269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7242-A523-46EC-926D-4FB75876C3BD}">
  <sheetPr codeName="Sheet10"/>
  <dimension ref="A1:X85"/>
  <sheetViews>
    <sheetView view="pageBreakPreview" zoomScale="60" zoomScaleNormal="100" workbookViewId="0">
      <selection activeCell="L21" sqref="L21"/>
    </sheetView>
  </sheetViews>
  <sheetFormatPr defaultRowHeight="12.6"/>
  <sheetData>
    <row r="1" spans="1:24">
      <c r="A1" s="572"/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</row>
    <row r="2" spans="1:24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</row>
    <row r="3" spans="1:24">
      <c r="A3" s="572"/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</row>
    <row r="4" spans="1:24">
      <c r="A4" s="572"/>
      <c r="B4" s="572"/>
      <c r="C4" s="572"/>
      <c r="D4" s="572"/>
      <c r="E4" s="572"/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</row>
    <row r="5" spans="1:24">
      <c r="A5" s="572"/>
      <c r="B5" s="572"/>
      <c r="C5" s="572"/>
      <c r="D5" s="572"/>
      <c r="E5" s="572"/>
      <c r="F5" s="572"/>
      <c r="G5" s="572"/>
      <c r="H5" s="572"/>
      <c r="I5" s="572"/>
      <c r="J5" s="572"/>
      <c r="K5" s="572"/>
      <c r="L5" s="572"/>
      <c r="M5" s="572"/>
      <c r="N5" s="572"/>
      <c r="O5" s="572"/>
      <c r="P5" s="572"/>
      <c r="Q5" s="572"/>
      <c r="R5" s="572"/>
      <c r="S5" s="572"/>
      <c r="T5" s="572"/>
      <c r="U5" s="572"/>
      <c r="V5" s="572"/>
      <c r="W5" s="572"/>
      <c r="X5" s="572"/>
    </row>
    <row r="6" spans="1:24">
      <c r="A6" s="572"/>
      <c r="B6" s="572"/>
      <c r="C6" s="572"/>
      <c r="D6" s="572"/>
      <c r="E6" s="572"/>
      <c r="F6" s="572"/>
      <c r="G6" s="572"/>
      <c r="H6" s="572"/>
      <c r="I6" s="572"/>
      <c r="J6" s="572"/>
      <c r="K6" s="572"/>
      <c r="L6" s="572"/>
      <c r="M6" s="572"/>
      <c r="N6" s="572"/>
      <c r="O6" s="572"/>
      <c r="P6" s="572"/>
      <c r="Q6" s="572"/>
      <c r="R6" s="572"/>
      <c r="S6" s="572"/>
      <c r="T6" s="572"/>
      <c r="U6" s="572"/>
      <c r="V6" s="572"/>
      <c r="W6" s="572"/>
      <c r="X6" s="572"/>
    </row>
    <row r="7" spans="1:24">
      <c r="A7" s="572"/>
      <c r="B7" s="572"/>
      <c r="C7" s="572"/>
      <c r="D7" s="572"/>
      <c r="E7" s="572"/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2"/>
      <c r="Q7" s="572"/>
      <c r="R7" s="572"/>
      <c r="S7" s="572"/>
      <c r="T7" s="572"/>
      <c r="U7" s="572"/>
      <c r="V7" s="572"/>
      <c r="W7" s="572"/>
      <c r="X7" s="572"/>
    </row>
    <row r="8" spans="1:24">
      <c r="A8" s="572"/>
      <c r="B8" s="572"/>
      <c r="C8" s="572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2"/>
      <c r="Q8" s="572"/>
      <c r="R8" s="572"/>
      <c r="S8" s="572"/>
      <c r="T8" s="572"/>
      <c r="U8" s="572"/>
      <c r="V8" s="572"/>
      <c r="W8" s="572"/>
      <c r="X8" s="572"/>
    </row>
    <row r="9" spans="1:24">
      <c r="A9" s="572"/>
      <c r="B9" s="572"/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  <c r="P9" s="572"/>
      <c r="Q9" s="572"/>
      <c r="R9" s="572"/>
      <c r="S9" s="572"/>
      <c r="T9" s="572"/>
      <c r="U9" s="572"/>
      <c r="V9" s="572"/>
      <c r="W9" s="572"/>
      <c r="X9" s="572"/>
    </row>
    <row r="10" spans="1:24">
      <c r="A10" s="572"/>
      <c r="B10" s="572"/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572"/>
      <c r="R10" s="572"/>
      <c r="S10" s="572"/>
      <c r="T10" s="572"/>
      <c r="U10" s="572"/>
      <c r="V10" s="572"/>
      <c r="W10" s="572"/>
      <c r="X10" s="572"/>
    </row>
    <row r="11" spans="1:24">
      <c r="A11" s="572"/>
      <c r="B11" s="572"/>
      <c r="C11" s="572"/>
      <c r="D11" s="572"/>
      <c r="E11" s="572"/>
      <c r="F11" s="572"/>
      <c r="G11" s="572"/>
      <c r="H11" s="572"/>
      <c r="I11" s="572"/>
      <c r="J11" s="572"/>
      <c r="K11" s="572"/>
      <c r="L11" s="572"/>
      <c r="M11" s="572"/>
      <c r="N11" s="572"/>
      <c r="O11" s="572"/>
      <c r="P11" s="572"/>
      <c r="Q11" s="572"/>
      <c r="R11" s="572"/>
      <c r="S11" s="572"/>
      <c r="T11" s="572"/>
      <c r="U11" s="572"/>
      <c r="V11" s="572"/>
      <c r="W11" s="572"/>
      <c r="X11" s="572"/>
    </row>
    <row r="12" spans="1:24">
      <c r="A12" s="572"/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2"/>
      <c r="N12" s="572"/>
      <c r="O12" s="572"/>
      <c r="P12" s="572"/>
      <c r="Q12" s="572"/>
      <c r="R12" s="572"/>
      <c r="S12" s="572"/>
      <c r="T12" s="572"/>
      <c r="U12" s="572"/>
      <c r="V12" s="572"/>
      <c r="W12" s="572"/>
      <c r="X12" s="572"/>
    </row>
    <row r="13" spans="1:24">
      <c r="A13" s="572"/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2"/>
      <c r="N13" s="572"/>
      <c r="O13" s="572"/>
      <c r="P13" s="572"/>
      <c r="Q13" s="572"/>
      <c r="R13" s="572"/>
      <c r="S13" s="572"/>
      <c r="T13" s="572"/>
      <c r="U13" s="572"/>
      <c r="V13" s="572"/>
      <c r="W13" s="572"/>
      <c r="X13" s="572"/>
    </row>
    <row r="14" spans="1:24">
      <c r="A14" s="572"/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2"/>
      <c r="P14" s="572"/>
      <c r="Q14" s="572"/>
      <c r="R14" s="572"/>
      <c r="S14" s="572"/>
      <c r="T14" s="572"/>
      <c r="U14" s="572"/>
      <c r="V14" s="572"/>
      <c r="W14" s="572"/>
      <c r="X14" s="572"/>
    </row>
    <row r="15" spans="1:24">
      <c r="A15" s="572"/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2"/>
      <c r="N15" s="572"/>
      <c r="O15" s="572"/>
      <c r="P15" s="572"/>
      <c r="Q15" s="572"/>
      <c r="R15" s="572"/>
      <c r="S15" s="572"/>
      <c r="T15" s="572"/>
      <c r="U15" s="572"/>
      <c r="V15" s="572"/>
      <c r="W15" s="572"/>
      <c r="X15" s="572"/>
    </row>
    <row r="16" spans="1:24">
      <c r="A16" s="572"/>
      <c r="B16" s="572"/>
      <c r="C16" s="572"/>
      <c r="D16" s="572"/>
      <c r="E16" s="572"/>
      <c r="F16" s="572"/>
      <c r="G16" s="572"/>
      <c r="H16" s="572"/>
      <c r="I16" s="572"/>
      <c r="J16" s="572"/>
      <c r="K16" s="572"/>
      <c r="L16" s="572"/>
      <c r="M16" s="572"/>
      <c r="N16" s="572"/>
      <c r="O16" s="572"/>
      <c r="P16" s="572"/>
      <c r="Q16" s="572"/>
      <c r="R16" s="572"/>
      <c r="S16" s="572"/>
      <c r="T16" s="572"/>
      <c r="U16" s="572"/>
      <c r="V16" s="572"/>
      <c r="W16" s="572"/>
      <c r="X16" s="572"/>
    </row>
    <row r="17" spans="1:24">
      <c r="A17" s="572"/>
      <c r="B17" s="572"/>
      <c r="C17" s="572"/>
      <c r="D17" s="572"/>
      <c r="E17" s="572"/>
      <c r="F17" s="572"/>
      <c r="G17" s="572"/>
      <c r="H17" s="572"/>
      <c r="I17" s="572"/>
      <c r="J17" s="572"/>
      <c r="K17" s="572"/>
      <c r="L17" s="572"/>
      <c r="M17" s="572"/>
      <c r="N17" s="572"/>
      <c r="O17" s="572"/>
      <c r="P17" s="572"/>
      <c r="Q17" s="572"/>
      <c r="R17" s="572"/>
      <c r="S17" s="572"/>
      <c r="T17" s="572"/>
      <c r="U17" s="572"/>
      <c r="V17" s="572"/>
      <c r="W17" s="572"/>
      <c r="X17" s="572"/>
    </row>
    <row r="18" spans="1:24">
      <c r="A18" s="572"/>
      <c r="B18" s="572"/>
      <c r="C18" s="572"/>
      <c r="D18" s="572"/>
      <c r="E18" s="572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72"/>
      <c r="Q18" s="572"/>
      <c r="R18" s="572"/>
      <c r="S18" s="572"/>
      <c r="T18" s="572"/>
      <c r="U18" s="572"/>
      <c r="V18" s="572"/>
      <c r="W18" s="572"/>
      <c r="X18" s="572"/>
    </row>
    <row r="19" spans="1:24">
      <c r="A19" s="572"/>
      <c r="B19" s="572"/>
      <c r="C19" s="572"/>
      <c r="D19" s="572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572"/>
      <c r="V19" s="572"/>
      <c r="W19" s="572"/>
      <c r="X19" s="572"/>
    </row>
    <row r="20" spans="1:24">
      <c r="A20" s="572"/>
      <c r="B20" s="572"/>
      <c r="C20" s="572"/>
      <c r="D20" s="572"/>
      <c r="E20" s="572"/>
      <c r="F20" s="572"/>
      <c r="G20" s="572"/>
      <c r="H20" s="572"/>
      <c r="I20" s="572"/>
      <c r="J20" s="572"/>
      <c r="K20" s="572"/>
      <c r="L20" s="572"/>
      <c r="M20" s="572"/>
      <c r="N20" s="572"/>
      <c r="O20" s="572"/>
      <c r="P20" s="572"/>
      <c r="Q20" s="572"/>
      <c r="R20" s="572"/>
      <c r="S20" s="572"/>
      <c r="T20" s="572"/>
      <c r="U20" s="572"/>
      <c r="V20" s="572"/>
      <c r="W20" s="572"/>
      <c r="X20" s="572"/>
    </row>
    <row r="21" spans="1:24">
      <c r="A21" s="572"/>
      <c r="B21" s="572"/>
      <c r="C21" s="572"/>
      <c r="D21" s="572"/>
      <c r="E21" s="572"/>
      <c r="F21" s="572"/>
      <c r="G21" s="572"/>
      <c r="H21" s="572"/>
      <c r="I21" s="572"/>
      <c r="J21" s="572"/>
      <c r="K21" s="572"/>
      <c r="L21" s="572"/>
      <c r="M21" s="572"/>
      <c r="N21" s="572"/>
      <c r="O21" s="572"/>
      <c r="P21" s="572"/>
      <c r="Q21" s="572"/>
      <c r="R21" s="572"/>
      <c r="S21" s="572"/>
      <c r="T21" s="572"/>
      <c r="U21" s="572"/>
      <c r="V21" s="572"/>
      <c r="W21" s="572"/>
      <c r="X21" s="572"/>
    </row>
    <row r="22" spans="1:24">
      <c r="A22" s="572"/>
      <c r="B22" s="572"/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2"/>
      <c r="N22" s="572"/>
      <c r="O22" s="572"/>
      <c r="P22" s="572"/>
      <c r="Q22" s="572"/>
      <c r="R22" s="572"/>
      <c r="S22" s="572"/>
      <c r="T22" s="572"/>
      <c r="U22" s="572"/>
      <c r="V22" s="572"/>
      <c r="W22" s="572"/>
      <c r="X22" s="572"/>
    </row>
    <row r="23" spans="1:24">
      <c r="A23" s="572"/>
      <c r="B23" s="572"/>
      <c r="C23" s="572"/>
      <c r="D23" s="572"/>
      <c r="E23" s="572"/>
      <c r="F23" s="572"/>
      <c r="G23" s="572"/>
      <c r="H23" s="572"/>
      <c r="I23" s="572"/>
      <c r="J23" s="572"/>
      <c r="K23" s="572"/>
      <c r="L23" s="572"/>
      <c r="M23" s="572"/>
      <c r="N23" s="572"/>
      <c r="O23" s="572"/>
      <c r="P23" s="572"/>
      <c r="Q23" s="572"/>
      <c r="R23" s="572"/>
      <c r="S23" s="572"/>
      <c r="T23" s="572"/>
      <c r="U23" s="572"/>
      <c r="V23" s="572"/>
      <c r="W23" s="572"/>
      <c r="X23" s="572"/>
    </row>
    <row r="24" spans="1:24">
      <c r="A24" s="572"/>
      <c r="B24" s="572"/>
      <c r="C24" s="572"/>
      <c r="D24" s="572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572"/>
      <c r="V24" s="572"/>
      <c r="W24" s="572"/>
      <c r="X24" s="572"/>
    </row>
    <row r="25" spans="1:24">
      <c r="A25" s="572"/>
      <c r="B25" s="572"/>
      <c r="C25" s="572"/>
      <c r="D25" s="572"/>
      <c r="E25" s="572"/>
      <c r="F25" s="572"/>
      <c r="G25" s="572"/>
      <c r="H25" s="572"/>
      <c r="I25" s="572"/>
      <c r="J25" s="572"/>
      <c r="K25" s="572"/>
      <c r="L25" s="572"/>
      <c r="M25" s="572"/>
      <c r="N25" s="572"/>
      <c r="O25" s="572"/>
      <c r="P25" s="572"/>
      <c r="Q25" s="572"/>
      <c r="R25" s="572"/>
      <c r="S25" s="572"/>
      <c r="T25" s="572"/>
      <c r="U25" s="572"/>
      <c r="V25" s="572"/>
      <c r="W25" s="572"/>
      <c r="X25" s="572"/>
    </row>
    <row r="26" spans="1:24">
      <c r="A26" s="572"/>
      <c r="B26" s="572"/>
      <c r="C26" s="572"/>
      <c r="D26" s="572"/>
      <c r="E26" s="572"/>
      <c r="F26" s="572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572"/>
      <c r="V26" s="572"/>
      <c r="W26" s="572"/>
      <c r="X26" s="572"/>
    </row>
    <row r="27" spans="1:24">
      <c r="A27" s="572"/>
      <c r="B27" s="572"/>
      <c r="C27" s="572"/>
      <c r="D27" s="572"/>
      <c r="E27" s="572"/>
      <c r="F27" s="572"/>
      <c r="G27" s="572"/>
      <c r="H27" s="572"/>
      <c r="I27" s="572"/>
      <c r="J27" s="572"/>
      <c r="K27" s="572"/>
      <c r="L27" s="572"/>
      <c r="M27" s="572"/>
      <c r="N27" s="572"/>
      <c r="O27" s="572"/>
      <c r="P27" s="572"/>
      <c r="Q27" s="572"/>
      <c r="R27" s="572"/>
      <c r="S27" s="572"/>
      <c r="T27" s="572"/>
      <c r="U27" s="572"/>
      <c r="V27" s="572"/>
      <c r="W27" s="572"/>
      <c r="X27" s="572"/>
    </row>
    <row r="28" spans="1:24">
      <c r="A28" s="572"/>
      <c r="B28" s="572"/>
      <c r="C28" s="572"/>
      <c r="D28" s="572"/>
      <c r="E28" s="572"/>
      <c r="F28" s="572"/>
      <c r="G28" s="572"/>
      <c r="H28" s="572"/>
      <c r="I28" s="572"/>
      <c r="J28" s="572"/>
      <c r="K28" s="572"/>
      <c r="L28" s="572"/>
      <c r="M28" s="572"/>
      <c r="N28" s="572"/>
      <c r="O28" s="572"/>
      <c r="P28" s="572"/>
      <c r="Q28" s="572"/>
      <c r="R28" s="572"/>
      <c r="S28" s="572"/>
      <c r="T28" s="572"/>
      <c r="U28" s="572"/>
      <c r="V28" s="572"/>
      <c r="W28" s="572"/>
      <c r="X28" s="572"/>
    </row>
    <row r="29" spans="1:24">
      <c r="A29" s="572"/>
      <c r="B29" s="572"/>
      <c r="C29" s="572"/>
      <c r="D29" s="572"/>
      <c r="E29" s="572"/>
      <c r="F29" s="572"/>
      <c r="G29" s="572"/>
      <c r="H29" s="572"/>
      <c r="I29" s="572"/>
      <c r="J29" s="572"/>
      <c r="K29" s="572"/>
      <c r="L29" s="572"/>
      <c r="M29" s="572"/>
      <c r="N29" s="572"/>
      <c r="O29" s="572"/>
      <c r="P29" s="572"/>
      <c r="Q29" s="572"/>
      <c r="R29" s="572"/>
      <c r="S29" s="572"/>
      <c r="T29" s="572"/>
      <c r="U29" s="572"/>
      <c r="V29" s="572"/>
      <c r="W29" s="572"/>
      <c r="X29" s="572"/>
    </row>
    <row r="30" spans="1:24">
      <c r="A30" s="572"/>
      <c r="B30" s="572"/>
      <c r="C30" s="572"/>
      <c r="D30" s="572"/>
      <c r="E30" s="572"/>
      <c r="F30" s="572"/>
      <c r="G30" s="572"/>
      <c r="H30" s="572"/>
      <c r="I30" s="572"/>
      <c r="J30" s="572"/>
      <c r="K30" s="572"/>
      <c r="L30" s="572"/>
      <c r="M30" s="572"/>
      <c r="N30" s="572"/>
      <c r="O30" s="572"/>
      <c r="P30" s="572"/>
      <c r="Q30" s="572"/>
      <c r="R30" s="572"/>
      <c r="S30" s="572"/>
      <c r="T30" s="572"/>
      <c r="U30" s="572"/>
      <c r="V30" s="572"/>
      <c r="W30" s="572"/>
      <c r="X30" s="572"/>
    </row>
    <row r="31" spans="1:24">
      <c r="A31" s="572"/>
      <c r="B31" s="572"/>
      <c r="C31" s="572"/>
      <c r="D31" s="572"/>
      <c r="E31" s="572"/>
      <c r="F31" s="572"/>
      <c r="G31" s="572"/>
      <c r="H31" s="572"/>
      <c r="I31" s="572"/>
      <c r="J31" s="572"/>
      <c r="K31" s="572"/>
      <c r="L31" s="572"/>
      <c r="M31" s="572"/>
      <c r="N31" s="572"/>
      <c r="O31" s="572"/>
      <c r="P31" s="572"/>
      <c r="Q31" s="572"/>
      <c r="R31" s="572"/>
      <c r="S31" s="572"/>
      <c r="T31" s="572"/>
      <c r="U31" s="572"/>
      <c r="V31" s="572"/>
      <c r="W31" s="572"/>
      <c r="X31" s="572"/>
    </row>
    <row r="32" spans="1:24">
      <c r="A32" s="572"/>
      <c r="B32" s="572"/>
      <c r="C32" s="572"/>
      <c r="D32" s="572"/>
      <c r="E32" s="572"/>
      <c r="F32" s="572"/>
      <c r="G32" s="572"/>
      <c r="H32" s="572"/>
      <c r="I32" s="572"/>
      <c r="J32" s="572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572"/>
      <c r="V32" s="572"/>
      <c r="W32" s="572"/>
      <c r="X32" s="572"/>
    </row>
    <row r="33" spans="1:24">
      <c r="A33" s="572"/>
      <c r="B33" s="572"/>
      <c r="C33" s="572"/>
      <c r="D33" s="572"/>
      <c r="E33" s="572"/>
      <c r="F33" s="572"/>
      <c r="G33" s="572"/>
      <c r="H33" s="572"/>
      <c r="I33" s="572"/>
      <c r="J33" s="572"/>
      <c r="K33" s="572"/>
      <c r="L33" s="572"/>
      <c r="M33" s="572"/>
      <c r="N33" s="572"/>
      <c r="O33" s="572"/>
      <c r="P33" s="572"/>
      <c r="Q33" s="572"/>
      <c r="R33" s="572"/>
      <c r="S33" s="572"/>
      <c r="T33" s="572"/>
      <c r="U33" s="572"/>
      <c r="V33" s="572"/>
      <c r="W33" s="572"/>
      <c r="X33" s="572"/>
    </row>
    <row r="34" spans="1:24">
      <c r="A34" s="572"/>
      <c r="B34" s="572"/>
      <c r="C34" s="572"/>
      <c r="D34" s="572"/>
      <c r="E34" s="572"/>
      <c r="F34" s="572"/>
      <c r="G34" s="572"/>
      <c r="H34" s="572"/>
      <c r="I34" s="572"/>
      <c r="J34" s="572"/>
      <c r="K34" s="572"/>
      <c r="L34" s="572"/>
      <c r="M34" s="572"/>
      <c r="N34" s="572"/>
      <c r="O34" s="572"/>
      <c r="P34" s="572"/>
      <c r="Q34" s="572"/>
      <c r="R34" s="572"/>
      <c r="S34" s="572"/>
      <c r="T34" s="572"/>
      <c r="U34" s="572"/>
      <c r="V34" s="572"/>
      <c r="W34" s="572"/>
      <c r="X34" s="572"/>
    </row>
    <row r="35" spans="1:24">
      <c r="A35" s="572"/>
      <c r="B35" s="572"/>
      <c r="C35" s="572"/>
      <c r="D35" s="572"/>
      <c r="E35" s="572"/>
      <c r="F35" s="572"/>
      <c r="G35" s="572"/>
      <c r="H35" s="572"/>
      <c r="I35" s="572"/>
      <c r="J35" s="572"/>
      <c r="K35" s="572"/>
      <c r="L35" s="572"/>
      <c r="M35" s="572"/>
      <c r="N35" s="572"/>
      <c r="O35" s="572"/>
      <c r="P35" s="572"/>
      <c r="Q35" s="572"/>
      <c r="R35" s="572"/>
      <c r="S35" s="572"/>
      <c r="T35" s="572"/>
      <c r="U35" s="572"/>
      <c r="V35" s="572"/>
      <c r="W35" s="572"/>
      <c r="X35" s="572"/>
    </row>
    <row r="36" spans="1:24">
      <c r="A36" s="572"/>
      <c r="B36" s="572"/>
      <c r="C36" s="572"/>
      <c r="D36" s="572"/>
      <c r="E36" s="572"/>
      <c r="F36" s="572"/>
      <c r="G36" s="572"/>
      <c r="H36" s="572"/>
      <c r="I36" s="572"/>
      <c r="J36" s="572"/>
      <c r="K36" s="572"/>
      <c r="L36" s="572"/>
      <c r="M36" s="572"/>
      <c r="N36" s="572"/>
      <c r="O36" s="572"/>
      <c r="P36" s="572"/>
      <c r="Q36" s="572"/>
      <c r="R36" s="572"/>
      <c r="S36" s="572"/>
      <c r="T36" s="572"/>
      <c r="U36" s="572"/>
      <c r="V36" s="572"/>
      <c r="W36" s="572"/>
      <c r="X36" s="572"/>
    </row>
    <row r="37" spans="1:24">
      <c r="A37" s="572"/>
      <c r="B37" s="572"/>
      <c r="C37" s="572"/>
      <c r="D37" s="572"/>
      <c r="E37" s="572"/>
      <c r="F37" s="572"/>
      <c r="G37" s="572"/>
      <c r="H37" s="572"/>
      <c r="I37" s="572"/>
      <c r="J37" s="572"/>
      <c r="K37" s="572"/>
      <c r="L37" s="572"/>
      <c r="M37" s="572"/>
      <c r="N37" s="572"/>
      <c r="O37" s="572"/>
      <c r="P37" s="572"/>
      <c r="Q37" s="572"/>
      <c r="R37" s="572"/>
      <c r="S37" s="572"/>
      <c r="T37" s="572"/>
      <c r="U37" s="572"/>
      <c r="V37" s="572"/>
      <c r="W37" s="572"/>
      <c r="X37" s="572"/>
    </row>
    <row r="38" spans="1:24">
      <c r="A38" s="572"/>
      <c r="B38" s="572"/>
      <c r="C38" s="572"/>
      <c r="D38" s="572"/>
      <c r="E38" s="572"/>
      <c r="F38" s="572"/>
      <c r="G38" s="572"/>
      <c r="H38" s="572"/>
      <c r="I38" s="572"/>
      <c r="J38" s="572"/>
      <c r="K38" s="572"/>
      <c r="L38" s="572"/>
      <c r="M38" s="572"/>
      <c r="N38" s="572"/>
      <c r="O38" s="572"/>
      <c r="P38" s="572"/>
      <c r="Q38" s="572"/>
      <c r="R38" s="572"/>
      <c r="S38" s="572"/>
      <c r="T38" s="572"/>
      <c r="U38" s="572"/>
      <c r="V38" s="572"/>
      <c r="W38" s="572"/>
      <c r="X38" s="572"/>
    </row>
    <row r="39" spans="1:24">
      <c r="A39" s="572"/>
      <c r="B39" s="572"/>
      <c r="C39" s="572"/>
      <c r="D39" s="572"/>
      <c r="E39" s="572"/>
      <c r="F39" s="572"/>
      <c r="G39" s="572"/>
      <c r="H39" s="572"/>
      <c r="I39" s="572"/>
      <c r="J39" s="572"/>
      <c r="K39" s="572"/>
      <c r="L39" s="572"/>
      <c r="M39" s="572"/>
      <c r="N39" s="572"/>
      <c r="O39" s="572"/>
      <c r="P39" s="572"/>
      <c r="Q39" s="572"/>
      <c r="R39" s="572"/>
      <c r="S39" s="572"/>
      <c r="T39" s="572"/>
      <c r="U39" s="572"/>
      <c r="V39" s="572"/>
      <c r="W39" s="572"/>
      <c r="X39" s="572"/>
    </row>
    <row r="40" spans="1:24">
      <c r="A40" s="572"/>
      <c r="B40" s="572"/>
      <c r="C40" s="572"/>
      <c r="D40" s="572"/>
      <c r="E40" s="572"/>
      <c r="F40" s="572"/>
      <c r="G40" s="572"/>
      <c r="H40" s="572"/>
      <c r="I40" s="572"/>
      <c r="J40" s="572"/>
      <c r="K40" s="572"/>
      <c r="L40" s="572"/>
      <c r="M40" s="572"/>
      <c r="N40" s="572"/>
      <c r="O40" s="572"/>
      <c r="P40" s="572"/>
      <c r="Q40" s="572"/>
      <c r="R40" s="572"/>
      <c r="S40" s="572"/>
      <c r="T40" s="572"/>
      <c r="U40" s="572"/>
      <c r="V40" s="572"/>
      <c r="W40" s="572"/>
      <c r="X40" s="572"/>
    </row>
    <row r="41" spans="1:24">
      <c r="A41" s="572"/>
      <c r="B41" s="572"/>
      <c r="C41" s="572"/>
      <c r="D41" s="572"/>
      <c r="E41" s="572"/>
      <c r="F41" s="572"/>
      <c r="G41" s="572"/>
      <c r="H41" s="572"/>
      <c r="I41" s="572"/>
      <c r="J41" s="572"/>
      <c r="K41" s="572"/>
      <c r="L41" s="572"/>
      <c r="M41" s="572"/>
      <c r="N41" s="572"/>
      <c r="O41" s="572"/>
      <c r="P41" s="572"/>
      <c r="Q41" s="572"/>
      <c r="R41" s="572"/>
      <c r="S41" s="572"/>
      <c r="T41" s="572"/>
      <c r="U41" s="572"/>
      <c r="V41" s="572"/>
      <c r="W41" s="572"/>
      <c r="X41" s="572"/>
    </row>
    <row r="42" spans="1:24">
      <c r="A42" s="572"/>
      <c r="B42" s="572"/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2"/>
      <c r="N42" s="572"/>
      <c r="O42" s="572"/>
      <c r="P42" s="572"/>
      <c r="Q42" s="572"/>
      <c r="R42" s="572"/>
      <c r="S42" s="572"/>
      <c r="T42" s="572"/>
      <c r="U42" s="572"/>
      <c r="V42" s="572"/>
      <c r="W42" s="572"/>
      <c r="X42" s="572"/>
    </row>
    <row r="43" spans="1:24">
      <c r="A43" s="572"/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2"/>
      <c r="N43" s="572"/>
      <c r="O43" s="572"/>
      <c r="P43" s="572"/>
      <c r="Q43" s="572"/>
      <c r="R43" s="572"/>
      <c r="S43" s="572"/>
      <c r="T43" s="572"/>
      <c r="U43" s="572"/>
      <c r="V43" s="572"/>
      <c r="W43" s="572"/>
      <c r="X43" s="572"/>
    </row>
    <row r="44" spans="1:24">
      <c r="A44" s="572"/>
      <c r="B44" s="572"/>
      <c r="C44" s="572"/>
      <c r="D44" s="572"/>
      <c r="E44" s="572"/>
      <c r="F44" s="572"/>
      <c r="G44" s="572"/>
      <c r="H44" s="572"/>
      <c r="I44" s="572"/>
      <c r="J44" s="572"/>
      <c r="K44" s="572"/>
      <c r="L44" s="572"/>
      <c r="M44" s="572"/>
      <c r="N44" s="572"/>
      <c r="O44" s="572"/>
      <c r="P44" s="572"/>
      <c r="Q44" s="572"/>
      <c r="R44" s="572"/>
      <c r="S44" s="572"/>
      <c r="T44" s="572"/>
      <c r="U44" s="572"/>
      <c r="V44" s="572"/>
      <c r="W44" s="572"/>
      <c r="X44" s="572"/>
    </row>
    <row r="45" spans="1:24">
      <c r="A45" s="572"/>
      <c r="B45" s="572"/>
      <c r="C45" s="572"/>
      <c r="D45" s="572"/>
      <c r="E45" s="572"/>
      <c r="F45" s="572"/>
      <c r="G45" s="572"/>
      <c r="H45" s="572"/>
      <c r="I45" s="572"/>
      <c r="J45" s="572"/>
      <c r="K45" s="572"/>
      <c r="L45" s="572"/>
      <c r="M45" s="572"/>
      <c r="N45" s="572"/>
      <c r="O45" s="572"/>
      <c r="P45" s="572"/>
      <c r="Q45" s="572"/>
      <c r="R45" s="572"/>
      <c r="S45" s="572"/>
      <c r="T45" s="572"/>
      <c r="U45" s="572"/>
      <c r="V45" s="572"/>
      <c r="W45" s="572"/>
      <c r="X45" s="572"/>
    </row>
    <row r="46" spans="1:24">
      <c r="A46" s="572"/>
      <c r="B46" s="572"/>
      <c r="C46" s="572"/>
      <c r="D46" s="572"/>
      <c r="E46" s="572"/>
      <c r="F46" s="572"/>
      <c r="G46" s="572"/>
      <c r="H46" s="572"/>
      <c r="I46" s="572"/>
      <c r="J46" s="572"/>
      <c r="K46" s="572"/>
      <c r="L46" s="572"/>
      <c r="M46" s="572"/>
      <c r="N46" s="572"/>
      <c r="O46" s="572"/>
      <c r="P46" s="572"/>
      <c r="Q46" s="572"/>
      <c r="R46" s="572"/>
      <c r="S46" s="572"/>
      <c r="T46" s="572"/>
      <c r="U46" s="572"/>
      <c r="V46" s="572"/>
      <c r="W46" s="572"/>
      <c r="X46" s="572"/>
    </row>
    <row r="47" spans="1:24">
      <c r="A47" s="572"/>
      <c r="B47" s="572"/>
      <c r="C47" s="572"/>
      <c r="D47" s="572"/>
      <c r="E47" s="572"/>
      <c r="F47" s="572"/>
      <c r="G47" s="572"/>
      <c r="H47" s="572"/>
      <c r="I47" s="572"/>
      <c r="J47" s="572"/>
      <c r="K47" s="572"/>
      <c r="L47" s="572"/>
      <c r="M47" s="572"/>
      <c r="N47" s="572"/>
      <c r="O47" s="572"/>
      <c r="P47" s="572"/>
      <c r="Q47" s="572"/>
      <c r="R47" s="572"/>
      <c r="S47" s="572"/>
      <c r="T47" s="572"/>
      <c r="U47" s="572"/>
      <c r="V47" s="572"/>
      <c r="W47" s="572"/>
      <c r="X47" s="572"/>
    </row>
    <row r="48" spans="1:24">
      <c r="A48" s="572"/>
      <c r="B48" s="572"/>
      <c r="C48" s="572"/>
      <c r="D48" s="572"/>
      <c r="E48" s="572"/>
      <c r="F48" s="572"/>
      <c r="G48" s="572"/>
      <c r="H48" s="572"/>
      <c r="I48" s="572"/>
      <c r="J48" s="572"/>
      <c r="K48" s="572"/>
      <c r="L48" s="572"/>
      <c r="M48" s="572"/>
      <c r="N48" s="572"/>
      <c r="O48" s="572"/>
      <c r="P48" s="572"/>
      <c r="Q48" s="572"/>
      <c r="R48" s="572"/>
      <c r="S48" s="572"/>
      <c r="T48" s="572"/>
      <c r="U48" s="572"/>
      <c r="V48" s="572"/>
      <c r="W48" s="572"/>
      <c r="X48" s="572"/>
    </row>
    <row r="49" spans="1:24">
      <c r="A49" s="572"/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572"/>
      <c r="W49" s="572"/>
      <c r="X49" s="572"/>
    </row>
    <row r="50" spans="1:24">
      <c r="A50" s="572"/>
      <c r="B50" s="572"/>
      <c r="C50" s="572"/>
      <c r="D50" s="572"/>
      <c r="E50" s="572"/>
      <c r="F50" s="572"/>
      <c r="G50" s="572"/>
      <c r="H50" s="572"/>
      <c r="I50" s="572"/>
      <c r="J50" s="572"/>
      <c r="K50" s="572"/>
      <c r="L50" s="572"/>
      <c r="M50" s="572"/>
      <c r="N50" s="572"/>
      <c r="O50" s="572"/>
      <c r="P50" s="572"/>
      <c r="Q50" s="572"/>
      <c r="R50" s="572"/>
      <c r="S50" s="572"/>
      <c r="T50" s="572"/>
      <c r="U50" s="572"/>
      <c r="V50" s="572"/>
      <c r="W50" s="572"/>
      <c r="X50" s="572"/>
    </row>
    <row r="51" spans="1:24">
      <c r="A51" s="572"/>
      <c r="B51" s="572"/>
      <c r="C51" s="572"/>
      <c r="D51" s="572"/>
      <c r="E51" s="572"/>
      <c r="F51" s="572"/>
      <c r="G51" s="572"/>
      <c r="H51" s="572"/>
      <c r="I51" s="572"/>
      <c r="J51" s="572"/>
      <c r="K51" s="572"/>
      <c r="L51" s="572"/>
      <c r="M51" s="572"/>
      <c r="N51" s="572"/>
      <c r="O51" s="572"/>
      <c r="P51" s="572"/>
      <c r="Q51" s="572"/>
      <c r="R51" s="572"/>
      <c r="S51" s="572"/>
      <c r="T51" s="572"/>
      <c r="U51" s="572"/>
      <c r="V51" s="572"/>
      <c r="W51" s="572"/>
      <c r="X51" s="572"/>
    </row>
    <row r="52" spans="1:24">
      <c r="A52" s="572"/>
      <c r="B52" s="572"/>
      <c r="C52" s="572"/>
      <c r="D52" s="572"/>
      <c r="E52" s="572"/>
      <c r="F52" s="572"/>
      <c r="G52" s="572"/>
      <c r="H52" s="572"/>
      <c r="I52" s="572"/>
      <c r="J52" s="572"/>
      <c r="K52" s="572"/>
      <c r="L52" s="572"/>
      <c r="M52" s="572"/>
      <c r="N52" s="572"/>
      <c r="O52" s="572"/>
      <c r="P52" s="572"/>
      <c r="Q52" s="572"/>
      <c r="R52" s="572"/>
      <c r="S52" s="572"/>
      <c r="T52" s="572"/>
      <c r="U52" s="572"/>
      <c r="V52" s="572"/>
      <c r="W52" s="572"/>
      <c r="X52" s="572"/>
    </row>
    <row r="53" spans="1:24">
      <c r="A53" s="572"/>
      <c r="B53" s="572"/>
      <c r="C53" s="572"/>
      <c r="D53" s="572"/>
      <c r="E53" s="572"/>
      <c r="F53" s="572"/>
      <c r="G53" s="572"/>
      <c r="H53" s="572"/>
      <c r="I53" s="572"/>
      <c r="J53" s="572"/>
      <c r="K53" s="572"/>
      <c r="L53" s="572"/>
      <c r="M53" s="572"/>
      <c r="N53" s="572"/>
      <c r="O53" s="572"/>
      <c r="P53" s="572"/>
      <c r="Q53" s="572"/>
      <c r="R53" s="572"/>
      <c r="S53" s="572"/>
      <c r="T53" s="572"/>
      <c r="U53" s="572"/>
      <c r="V53" s="572"/>
      <c r="W53" s="572"/>
      <c r="X53" s="572"/>
    </row>
    <row r="54" spans="1:24">
      <c r="A54" s="572"/>
      <c r="B54" s="572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2"/>
      <c r="V54" s="572"/>
      <c r="W54" s="572"/>
      <c r="X54" s="572"/>
    </row>
    <row r="55" spans="1:24">
      <c r="A55" s="572"/>
      <c r="B55" s="572"/>
      <c r="C55" s="572"/>
      <c r="D55" s="572"/>
      <c r="E55" s="572"/>
      <c r="F55" s="572"/>
      <c r="G55" s="572"/>
      <c r="H55" s="572"/>
      <c r="I55" s="572"/>
      <c r="J55" s="572"/>
      <c r="K55" s="572"/>
      <c r="L55" s="572"/>
      <c r="M55" s="572"/>
      <c r="N55" s="572"/>
      <c r="O55" s="572"/>
      <c r="P55" s="572"/>
      <c r="Q55" s="572"/>
      <c r="R55" s="572"/>
      <c r="S55" s="572"/>
      <c r="T55" s="572"/>
      <c r="U55" s="572"/>
      <c r="V55" s="572"/>
      <c r="W55" s="572"/>
      <c r="X55" s="572"/>
    </row>
    <row r="56" spans="1:24">
      <c r="A56" s="572"/>
      <c r="B56" s="572"/>
      <c r="C56" s="572"/>
      <c r="D56" s="572"/>
      <c r="E56" s="572"/>
      <c r="F56" s="572"/>
      <c r="G56" s="572"/>
      <c r="H56" s="572"/>
      <c r="I56" s="572"/>
      <c r="J56" s="572"/>
      <c r="K56" s="572"/>
      <c r="L56" s="572"/>
      <c r="M56" s="572"/>
      <c r="N56" s="572"/>
      <c r="O56" s="572"/>
      <c r="P56" s="572"/>
      <c r="Q56" s="572"/>
      <c r="R56" s="572"/>
      <c r="S56" s="572"/>
      <c r="T56" s="572"/>
      <c r="U56" s="572"/>
      <c r="V56" s="572"/>
      <c r="W56" s="572"/>
      <c r="X56" s="572"/>
    </row>
    <row r="57" spans="1:24">
      <c r="A57" s="572"/>
      <c r="B57" s="572"/>
      <c r="C57" s="572"/>
      <c r="D57" s="572"/>
      <c r="E57" s="572"/>
      <c r="F57" s="572"/>
      <c r="G57" s="572"/>
      <c r="H57" s="572"/>
      <c r="I57" s="572"/>
      <c r="J57" s="572"/>
      <c r="K57" s="572"/>
      <c r="L57" s="572"/>
      <c r="M57" s="572"/>
      <c r="N57" s="572"/>
      <c r="O57" s="572"/>
      <c r="P57" s="572"/>
      <c r="Q57" s="572"/>
      <c r="R57" s="572"/>
      <c r="S57" s="572"/>
      <c r="T57" s="572"/>
      <c r="U57" s="572"/>
      <c r="V57" s="572"/>
      <c r="W57" s="572"/>
      <c r="X57" s="572"/>
    </row>
    <row r="58" spans="1:24">
      <c r="A58" s="572"/>
      <c r="B58" s="572"/>
      <c r="C58" s="572"/>
      <c r="D58" s="572"/>
      <c r="E58" s="572"/>
      <c r="F58" s="572"/>
      <c r="G58" s="572"/>
      <c r="H58" s="572"/>
      <c r="I58" s="572"/>
      <c r="J58" s="572"/>
      <c r="K58" s="572"/>
      <c r="L58" s="572"/>
      <c r="M58" s="572"/>
      <c r="N58" s="572"/>
      <c r="O58" s="572"/>
      <c r="P58" s="572"/>
      <c r="Q58" s="572"/>
      <c r="R58" s="572"/>
      <c r="S58" s="572"/>
      <c r="T58" s="572"/>
      <c r="U58" s="572"/>
      <c r="V58" s="572"/>
      <c r="W58" s="572"/>
      <c r="X58" s="572"/>
    </row>
    <row r="59" spans="1:24">
      <c r="A59" s="572"/>
      <c r="B59" s="572"/>
      <c r="C59" s="572"/>
      <c r="D59" s="572"/>
      <c r="E59" s="572"/>
      <c r="F59" s="572"/>
      <c r="G59" s="572"/>
      <c r="H59" s="572"/>
      <c r="I59" s="572"/>
      <c r="J59" s="572"/>
      <c r="K59" s="572"/>
      <c r="L59" s="572"/>
      <c r="M59" s="572"/>
      <c r="N59" s="572"/>
      <c r="O59" s="572"/>
      <c r="P59" s="572"/>
      <c r="Q59" s="572"/>
      <c r="R59" s="572"/>
      <c r="S59" s="572"/>
      <c r="T59" s="572"/>
      <c r="U59" s="572"/>
      <c r="V59" s="572"/>
      <c r="W59" s="572"/>
      <c r="X59" s="572"/>
    </row>
    <row r="60" spans="1:24">
      <c r="A60" s="572"/>
      <c r="B60" s="572"/>
      <c r="C60" s="572"/>
      <c r="D60" s="572"/>
      <c r="E60" s="572"/>
      <c r="F60" s="572"/>
      <c r="G60" s="572"/>
      <c r="H60" s="572"/>
      <c r="I60" s="572"/>
      <c r="J60" s="572"/>
      <c r="K60" s="572"/>
      <c r="L60" s="572"/>
      <c r="M60" s="572"/>
      <c r="N60" s="572"/>
      <c r="O60" s="572"/>
      <c r="P60" s="572"/>
      <c r="Q60" s="572"/>
      <c r="R60" s="572"/>
      <c r="S60" s="572"/>
      <c r="T60" s="572"/>
      <c r="U60" s="572"/>
      <c r="V60" s="572"/>
      <c r="W60" s="572"/>
      <c r="X60" s="572"/>
    </row>
    <row r="61" spans="1:24">
      <c r="A61" s="572"/>
      <c r="B61" s="572"/>
      <c r="C61" s="572"/>
      <c r="D61" s="572"/>
      <c r="E61" s="572"/>
      <c r="F61" s="572"/>
      <c r="G61" s="572"/>
      <c r="H61" s="572"/>
      <c r="I61" s="572"/>
      <c r="J61" s="572"/>
      <c r="K61" s="572"/>
      <c r="L61" s="572"/>
      <c r="M61" s="572"/>
      <c r="N61" s="572"/>
      <c r="O61" s="572"/>
      <c r="P61" s="572"/>
      <c r="Q61" s="572"/>
      <c r="R61" s="572"/>
      <c r="S61" s="572"/>
      <c r="T61" s="572"/>
      <c r="U61" s="572"/>
      <c r="V61" s="572"/>
      <c r="W61" s="572"/>
      <c r="X61" s="572"/>
    </row>
    <row r="62" spans="1:24">
      <c r="A62" s="572"/>
      <c r="B62" s="572"/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2"/>
      <c r="N62" s="572"/>
      <c r="O62" s="572"/>
      <c r="P62" s="572"/>
      <c r="Q62" s="572"/>
      <c r="R62" s="572"/>
      <c r="S62" s="572"/>
      <c r="T62" s="572"/>
      <c r="U62" s="572"/>
      <c r="V62" s="572"/>
      <c r="W62" s="572"/>
      <c r="X62" s="572"/>
    </row>
    <row r="63" spans="1:24">
      <c r="A63" s="572"/>
      <c r="B63" s="572"/>
      <c r="C63" s="572"/>
      <c r="D63" s="572"/>
      <c r="E63" s="572"/>
      <c r="F63" s="572"/>
      <c r="G63" s="572"/>
      <c r="H63" s="572"/>
      <c r="I63" s="572"/>
      <c r="J63" s="572"/>
      <c r="K63" s="572"/>
      <c r="L63" s="572"/>
      <c r="M63" s="572"/>
      <c r="N63" s="572"/>
      <c r="O63" s="572"/>
      <c r="P63" s="572"/>
      <c r="Q63" s="572"/>
      <c r="R63" s="572"/>
      <c r="S63" s="572"/>
      <c r="T63" s="572"/>
      <c r="U63" s="572"/>
      <c r="V63" s="572"/>
      <c r="W63" s="572"/>
      <c r="X63" s="572"/>
    </row>
    <row r="64" spans="1:24">
      <c r="A64" s="572"/>
      <c r="B64" s="572"/>
      <c r="C64" s="572"/>
      <c r="D64" s="572"/>
      <c r="E64" s="572"/>
      <c r="F64" s="572"/>
      <c r="G64" s="572"/>
      <c r="H64" s="572"/>
      <c r="I64" s="572"/>
      <c r="J64" s="572"/>
      <c r="K64" s="572"/>
      <c r="L64" s="572"/>
      <c r="M64" s="572"/>
      <c r="N64" s="572"/>
      <c r="O64" s="572"/>
      <c r="P64" s="572"/>
      <c r="Q64" s="572"/>
      <c r="R64" s="572"/>
      <c r="S64" s="572"/>
      <c r="T64" s="572"/>
      <c r="U64" s="572"/>
      <c r="V64" s="572"/>
      <c r="W64" s="572"/>
      <c r="X64" s="572"/>
    </row>
    <row r="65" spans="1:24">
      <c r="A65" s="572"/>
      <c r="B65" s="572"/>
      <c r="C65" s="572"/>
      <c r="D65" s="572"/>
      <c r="E65" s="572"/>
      <c r="F65" s="572"/>
      <c r="G65" s="572"/>
      <c r="H65" s="572"/>
      <c r="I65" s="572"/>
      <c r="J65" s="572"/>
      <c r="K65" s="572"/>
      <c r="L65" s="572"/>
      <c r="M65" s="572"/>
      <c r="N65" s="572"/>
      <c r="O65" s="572"/>
      <c r="P65" s="572"/>
      <c r="Q65" s="572"/>
      <c r="R65" s="572"/>
      <c r="S65" s="572"/>
      <c r="T65" s="572"/>
      <c r="U65" s="572"/>
      <c r="V65" s="572"/>
      <c r="W65" s="572"/>
      <c r="X65" s="572"/>
    </row>
    <row r="66" spans="1:24">
      <c r="A66" s="572"/>
      <c r="B66" s="572"/>
      <c r="C66" s="572"/>
      <c r="D66" s="572"/>
      <c r="E66" s="572"/>
      <c r="F66" s="572"/>
      <c r="G66" s="572"/>
      <c r="H66" s="572"/>
      <c r="I66" s="572"/>
      <c r="J66" s="572"/>
      <c r="K66" s="572"/>
      <c r="L66" s="572"/>
      <c r="M66" s="572"/>
      <c r="N66" s="572"/>
      <c r="O66" s="572"/>
      <c r="P66" s="572"/>
      <c r="Q66" s="572"/>
      <c r="R66" s="572"/>
      <c r="S66" s="572"/>
      <c r="T66" s="572"/>
      <c r="U66" s="572"/>
      <c r="V66" s="572"/>
      <c r="W66" s="572"/>
      <c r="X66" s="572"/>
    </row>
    <row r="67" spans="1:24">
      <c r="A67" s="572"/>
      <c r="B67" s="572"/>
      <c r="C67" s="572"/>
      <c r="D67" s="572"/>
      <c r="E67" s="572"/>
      <c r="F67" s="572"/>
      <c r="G67" s="572"/>
      <c r="H67" s="572"/>
      <c r="I67" s="572"/>
      <c r="J67" s="572"/>
      <c r="K67" s="572"/>
      <c r="L67" s="572"/>
      <c r="M67" s="572"/>
      <c r="N67" s="572"/>
      <c r="O67" s="572"/>
      <c r="P67" s="572"/>
      <c r="Q67" s="572"/>
      <c r="R67" s="572"/>
      <c r="S67" s="572"/>
      <c r="T67" s="572"/>
      <c r="U67" s="572"/>
      <c r="V67" s="572"/>
      <c r="W67" s="572"/>
      <c r="X67" s="572"/>
    </row>
    <row r="68" spans="1:24">
      <c r="A68" s="572"/>
      <c r="B68" s="572"/>
      <c r="C68" s="572"/>
      <c r="D68" s="572"/>
      <c r="E68" s="572"/>
      <c r="F68" s="572"/>
      <c r="G68" s="572"/>
      <c r="H68" s="572"/>
      <c r="I68" s="572"/>
      <c r="J68" s="572"/>
      <c r="K68" s="572"/>
      <c r="L68" s="572"/>
      <c r="M68" s="572"/>
      <c r="N68" s="572"/>
      <c r="O68" s="572"/>
      <c r="P68" s="572"/>
      <c r="Q68" s="572"/>
      <c r="R68" s="572"/>
      <c r="S68" s="572"/>
      <c r="T68" s="572"/>
      <c r="U68" s="572"/>
      <c r="V68" s="572"/>
      <c r="W68" s="572"/>
      <c r="X68" s="572"/>
    </row>
    <row r="69" spans="1:24">
      <c r="A69" s="572"/>
      <c r="B69" s="572"/>
      <c r="C69" s="572"/>
      <c r="D69" s="572"/>
      <c r="E69" s="572"/>
      <c r="F69" s="572"/>
      <c r="G69" s="572"/>
      <c r="H69" s="572"/>
      <c r="I69" s="572"/>
      <c r="J69" s="572"/>
      <c r="K69" s="572"/>
      <c r="L69" s="572"/>
      <c r="M69" s="572"/>
      <c r="N69" s="572"/>
      <c r="O69" s="572"/>
      <c r="P69" s="572"/>
      <c r="Q69" s="572"/>
      <c r="R69" s="572"/>
      <c r="S69" s="572"/>
      <c r="T69" s="572"/>
      <c r="U69" s="572"/>
      <c r="V69" s="572"/>
      <c r="W69" s="572"/>
      <c r="X69" s="572"/>
    </row>
    <row r="70" spans="1:24">
      <c r="A70" s="572"/>
      <c r="B70" s="572"/>
      <c r="C70" s="572"/>
      <c r="D70" s="572"/>
      <c r="E70" s="572"/>
      <c r="F70" s="572"/>
      <c r="G70" s="572"/>
      <c r="H70" s="572"/>
      <c r="I70" s="572"/>
      <c r="J70" s="572"/>
      <c r="K70" s="572"/>
      <c r="L70" s="572"/>
      <c r="M70" s="572"/>
      <c r="N70" s="572"/>
      <c r="O70" s="572"/>
      <c r="P70" s="572"/>
      <c r="Q70" s="572"/>
      <c r="R70" s="572"/>
      <c r="S70" s="572"/>
      <c r="T70" s="572"/>
      <c r="U70" s="572"/>
      <c r="V70" s="572"/>
      <c r="W70" s="572"/>
      <c r="X70" s="572"/>
    </row>
    <row r="71" spans="1:24">
      <c r="A71" s="572"/>
      <c r="B71" s="572"/>
      <c r="C71" s="572"/>
      <c r="D71" s="572"/>
      <c r="E71" s="572"/>
      <c r="F71" s="572"/>
      <c r="G71" s="572"/>
      <c r="H71" s="572"/>
      <c r="I71" s="572"/>
      <c r="J71" s="572"/>
      <c r="K71" s="572"/>
      <c r="L71" s="572"/>
      <c r="M71" s="572"/>
      <c r="N71" s="572"/>
      <c r="O71" s="572"/>
      <c r="P71" s="572"/>
      <c r="Q71" s="572"/>
      <c r="R71" s="572"/>
      <c r="S71" s="572"/>
      <c r="T71" s="572"/>
      <c r="U71" s="572"/>
      <c r="V71" s="572"/>
      <c r="W71" s="572"/>
      <c r="X71" s="572"/>
    </row>
    <row r="72" spans="1:24">
      <c r="A72" s="572"/>
      <c r="B72" s="572"/>
      <c r="C72" s="572"/>
      <c r="D72" s="572"/>
      <c r="E72" s="572"/>
      <c r="F72" s="572"/>
      <c r="G72" s="572"/>
      <c r="H72" s="572"/>
      <c r="I72" s="572"/>
      <c r="J72" s="572"/>
      <c r="K72" s="572"/>
      <c r="L72" s="572"/>
      <c r="M72" s="572"/>
      <c r="N72" s="572"/>
      <c r="O72" s="572"/>
      <c r="P72" s="572"/>
      <c r="Q72" s="572"/>
      <c r="R72" s="572"/>
      <c r="S72" s="572"/>
      <c r="T72" s="572"/>
      <c r="U72" s="572"/>
      <c r="V72" s="572"/>
      <c r="W72" s="572"/>
      <c r="X72" s="572"/>
    </row>
    <row r="73" spans="1:24">
      <c r="A73" s="572"/>
      <c r="B73" s="572"/>
      <c r="C73" s="572"/>
      <c r="D73" s="572"/>
      <c r="E73" s="572"/>
      <c r="F73" s="572"/>
      <c r="G73" s="572"/>
      <c r="H73" s="572"/>
      <c r="I73" s="572"/>
      <c r="J73" s="572"/>
      <c r="K73" s="572"/>
      <c r="L73" s="572"/>
      <c r="M73" s="572"/>
      <c r="N73" s="572"/>
      <c r="O73" s="572"/>
      <c r="P73" s="572"/>
      <c r="Q73" s="572"/>
      <c r="R73" s="572"/>
      <c r="S73" s="572"/>
      <c r="T73" s="572"/>
      <c r="U73" s="572"/>
      <c r="V73" s="572"/>
      <c r="W73" s="572"/>
      <c r="X73" s="572"/>
    </row>
    <row r="74" spans="1:24">
      <c r="A74" s="572"/>
      <c r="B74" s="572"/>
      <c r="C74" s="572"/>
      <c r="D74" s="572"/>
      <c r="E74" s="572"/>
      <c r="F74" s="572"/>
      <c r="G74" s="572"/>
      <c r="H74" s="572"/>
      <c r="I74" s="572"/>
      <c r="J74" s="572"/>
      <c r="K74" s="572"/>
      <c r="L74" s="572"/>
      <c r="M74" s="572"/>
      <c r="N74" s="572"/>
      <c r="O74" s="572"/>
      <c r="P74" s="572"/>
      <c r="Q74" s="572"/>
      <c r="R74" s="572"/>
      <c r="S74" s="572"/>
      <c r="T74" s="572"/>
      <c r="U74" s="572"/>
      <c r="V74" s="572"/>
      <c r="W74" s="572"/>
      <c r="X74" s="572"/>
    </row>
    <row r="75" spans="1:24">
      <c r="A75" s="572"/>
      <c r="B75" s="572"/>
      <c r="C75" s="572"/>
      <c r="D75" s="572"/>
      <c r="E75" s="572"/>
      <c r="F75" s="572"/>
      <c r="G75" s="572"/>
      <c r="H75" s="572"/>
      <c r="I75" s="572"/>
      <c r="J75" s="572"/>
      <c r="K75" s="572"/>
      <c r="L75" s="572"/>
      <c r="M75" s="572"/>
      <c r="N75" s="572"/>
      <c r="O75" s="572"/>
      <c r="P75" s="572"/>
      <c r="Q75" s="572"/>
      <c r="R75" s="572"/>
      <c r="S75" s="572"/>
      <c r="T75" s="572"/>
      <c r="U75" s="572"/>
      <c r="V75" s="572"/>
      <c r="W75" s="572"/>
      <c r="X75" s="572"/>
    </row>
    <row r="76" spans="1:24">
      <c r="A76" s="572"/>
      <c r="B76" s="572"/>
      <c r="C76" s="572"/>
      <c r="D76" s="572"/>
      <c r="E76" s="572"/>
      <c r="F76" s="572"/>
      <c r="G76" s="572"/>
      <c r="H76" s="572"/>
      <c r="I76" s="572"/>
      <c r="J76" s="572"/>
      <c r="K76" s="572"/>
      <c r="L76" s="572"/>
      <c r="M76" s="572"/>
      <c r="N76" s="572"/>
      <c r="O76" s="572"/>
      <c r="P76" s="572"/>
      <c r="Q76" s="572"/>
      <c r="R76" s="572"/>
      <c r="S76" s="572"/>
      <c r="T76" s="572"/>
      <c r="U76" s="572"/>
      <c r="V76" s="572"/>
      <c r="W76" s="572"/>
      <c r="X76" s="572"/>
    </row>
    <row r="77" spans="1:24">
      <c r="A77" s="572"/>
      <c r="B77" s="572"/>
      <c r="C77" s="572"/>
      <c r="D77" s="572"/>
      <c r="E77" s="572"/>
      <c r="F77" s="572"/>
      <c r="G77" s="572"/>
      <c r="H77" s="572"/>
      <c r="I77" s="572"/>
      <c r="J77" s="572"/>
      <c r="K77" s="572"/>
      <c r="L77" s="572"/>
      <c r="M77" s="572"/>
      <c r="N77" s="572"/>
      <c r="O77" s="572"/>
      <c r="P77" s="572"/>
      <c r="Q77" s="572"/>
      <c r="R77" s="572"/>
      <c r="S77" s="572"/>
      <c r="T77" s="572"/>
      <c r="U77" s="572"/>
      <c r="V77" s="572"/>
      <c r="W77" s="572"/>
      <c r="X77" s="572"/>
    </row>
    <row r="78" spans="1:24">
      <c r="A78" s="572"/>
      <c r="B78" s="572"/>
      <c r="C78" s="572"/>
      <c r="D78" s="572"/>
      <c r="E78" s="572"/>
      <c r="F78" s="572"/>
      <c r="G78" s="572"/>
      <c r="H78" s="572"/>
      <c r="I78" s="572"/>
      <c r="J78" s="572"/>
      <c r="K78" s="572"/>
      <c r="L78" s="572"/>
      <c r="M78" s="572"/>
      <c r="N78" s="572"/>
      <c r="O78" s="572"/>
      <c r="P78" s="572"/>
      <c r="Q78" s="572"/>
      <c r="R78" s="572"/>
      <c r="S78" s="572"/>
      <c r="T78" s="572"/>
      <c r="U78" s="572"/>
      <c r="V78" s="572"/>
      <c r="W78" s="572"/>
      <c r="X78" s="572"/>
    </row>
    <row r="79" spans="1:24">
      <c r="A79" s="572"/>
      <c r="B79" s="572"/>
      <c r="C79" s="572"/>
      <c r="D79" s="572"/>
      <c r="E79" s="572"/>
      <c r="F79" s="572"/>
      <c r="G79" s="572"/>
      <c r="H79" s="572"/>
      <c r="I79" s="572"/>
      <c r="J79" s="572"/>
      <c r="K79" s="572"/>
      <c r="L79" s="572"/>
      <c r="M79" s="572"/>
      <c r="N79" s="572"/>
      <c r="O79" s="572"/>
      <c r="P79" s="572"/>
      <c r="Q79" s="572"/>
      <c r="R79" s="572"/>
      <c r="S79" s="572"/>
      <c r="T79" s="572"/>
      <c r="U79" s="572"/>
      <c r="V79" s="572"/>
      <c r="W79" s="572"/>
      <c r="X79" s="572"/>
    </row>
    <row r="80" spans="1:24">
      <c r="A80" s="572"/>
      <c r="B80" s="572"/>
      <c r="C80" s="572"/>
      <c r="D80" s="572"/>
      <c r="E80" s="572"/>
      <c r="F80" s="572"/>
      <c r="G80" s="572"/>
      <c r="H80" s="572"/>
      <c r="I80" s="572"/>
      <c r="J80" s="572"/>
      <c r="K80" s="572"/>
      <c r="L80" s="572"/>
      <c r="M80" s="572"/>
      <c r="N80" s="572"/>
      <c r="O80" s="572"/>
      <c r="P80" s="572"/>
      <c r="Q80" s="572"/>
      <c r="R80" s="572"/>
      <c r="S80" s="572"/>
      <c r="T80" s="572"/>
      <c r="U80" s="572"/>
      <c r="V80" s="572"/>
      <c r="W80" s="572"/>
      <c r="X80" s="572"/>
    </row>
    <row r="81" spans="1:24">
      <c r="A81" s="572"/>
      <c r="B81" s="572"/>
      <c r="C81" s="572"/>
      <c r="D81" s="572"/>
      <c r="E81" s="572"/>
      <c r="F81" s="572"/>
      <c r="G81" s="572"/>
      <c r="H81" s="572"/>
      <c r="I81" s="572"/>
      <c r="J81" s="572"/>
      <c r="K81" s="572"/>
      <c r="L81" s="572"/>
      <c r="M81" s="572"/>
      <c r="N81" s="572"/>
      <c r="O81" s="572"/>
      <c r="P81" s="572"/>
      <c r="Q81" s="572"/>
      <c r="R81" s="572"/>
      <c r="S81" s="572"/>
      <c r="T81" s="572"/>
      <c r="U81" s="572"/>
      <c r="V81" s="572"/>
      <c r="W81" s="572"/>
      <c r="X81" s="572"/>
    </row>
    <row r="82" spans="1:24">
      <c r="A82" s="572"/>
      <c r="B82" s="572"/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2"/>
      <c r="N82" s="572"/>
      <c r="O82" s="572"/>
      <c r="P82" s="572"/>
      <c r="Q82" s="572"/>
      <c r="R82" s="572"/>
      <c r="S82" s="572"/>
      <c r="T82" s="572"/>
      <c r="U82" s="572"/>
      <c r="V82" s="572"/>
      <c r="W82" s="572"/>
      <c r="X82" s="572"/>
    </row>
    <row r="83" spans="1:24">
      <c r="A83" s="572"/>
      <c r="B83" s="572"/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2"/>
      <c r="N83" s="572"/>
      <c r="O83" s="572"/>
      <c r="P83" s="572"/>
      <c r="Q83" s="572"/>
      <c r="R83" s="572"/>
      <c r="S83" s="572"/>
      <c r="T83" s="572"/>
      <c r="U83" s="572"/>
      <c r="V83" s="572"/>
      <c r="W83" s="572"/>
      <c r="X83" s="572"/>
    </row>
    <row r="84" spans="1:24">
      <c r="A84" s="572"/>
      <c r="B84" s="572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</row>
    <row r="85" spans="1:24">
      <c r="A85" s="572"/>
      <c r="B85" s="572"/>
      <c r="C85" s="572"/>
      <c r="D85" s="572"/>
      <c r="E85" s="572"/>
      <c r="F85" s="572"/>
      <c r="G85" s="572"/>
      <c r="H85" s="572"/>
      <c r="I85" s="572"/>
      <c r="J85" s="572"/>
      <c r="K85" s="572"/>
      <c r="L85" s="572"/>
      <c r="M85" s="572"/>
      <c r="N85" s="572"/>
      <c r="O85" s="572"/>
      <c r="P85" s="572"/>
      <c r="Q85" s="572"/>
      <c r="R85" s="572"/>
      <c r="S85" s="572"/>
      <c r="T85" s="572"/>
      <c r="U85" s="572"/>
      <c r="V85" s="572"/>
      <c r="W85" s="572"/>
      <c r="X85" s="57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F60E-1FD8-41B5-972B-FFADF94E04C4}">
  <sheetPr codeName="Sheet11">
    <tabColor rgb="FF7030A0"/>
  </sheetPr>
  <dimension ref="A1:H602"/>
  <sheetViews>
    <sheetView showGridLines="0" zoomScale="80" zoomScaleNormal="80" workbookViewId="0">
      <pane ySplit="1" topLeftCell="A2" activePane="bottomLeft" state="frozen"/>
      <selection pane="bottomLeft" activeCell="A2" sqref="A2:F6"/>
      <selection activeCell="D2" sqref="D2"/>
    </sheetView>
  </sheetViews>
  <sheetFormatPr defaultColWidth="9.140625" defaultRowHeight="12.6"/>
  <cols>
    <col min="1" max="1" width="31.140625" style="278" bestFit="1" customWidth="1"/>
    <col min="2" max="2" width="18" style="279" bestFit="1" customWidth="1"/>
    <col min="3" max="3" width="31.140625" style="613" bestFit="1" customWidth="1"/>
    <col min="4" max="4" width="26.42578125" style="279" bestFit="1" customWidth="1"/>
    <col min="5" max="5" width="24.85546875" style="279" bestFit="1" customWidth="1"/>
    <col min="6" max="6" width="25.7109375" style="543" bestFit="1" customWidth="1"/>
    <col min="7" max="7" width="13.42578125" style="279" customWidth="1"/>
    <col min="8" max="8" width="15.140625" style="279" bestFit="1" customWidth="1"/>
    <col min="9" max="16384" width="9.140625" style="277"/>
  </cols>
  <sheetData>
    <row r="1" spans="1:8" ht="12.95">
      <c r="A1" s="280" t="s">
        <v>4495</v>
      </c>
      <c r="B1" s="281" t="s">
        <v>4496</v>
      </c>
      <c r="C1" s="281" t="s">
        <v>4497</v>
      </c>
      <c r="D1" s="281" t="s">
        <v>4498</v>
      </c>
      <c r="E1" s="281" t="s">
        <v>4499</v>
      </c>
      <c r="F1" s="281" t="s">
        <v>4500</v>
      </c>
      <c r="G1" s="281" t="s">
        <v>275</v>
      </c>
      <c r="H1" s="281" t="s">
        <v>4501</v>
      </c>
    </row>
    <row r="2" spans="1:8">
      <c r="A2" s="283"/>
      <c r="F2" s="632"/>
    </row>
    <row r="3" spans="1:8">
      <c r="A3" s="283"/>
      <c r="F3" s="632"/>
    </row>
    <row r="4" spans="1:8">
      <c r="A4" s="283"/>
      <c r="F4" s="632"/>
    </row>
    <row r="5" spans="1:8">
      <c r="A5" s="283"/>
      <c r="F5" s="632"/>
    </row>
    <row r="6" spans="1:8">
      <c r="A6" s="283"/>
      <c r="F6" s="632"/>
    </row>
    <row r="7" spans="1:8">
      <c r="A7" s="283"/>
      <c r="F7" s="632"/>
    </row>
    <row r="8" spans="1:8">
      <c r="A8" s="283"/>
    </row>
    <row r="9" spans="1:8">
      <c r="A9" s="283"/>
    </row>
    <row r="10" spans="1:8">
      <c r="A10" s="283"/>
    </row>
    <row r="11" spans="1:8">
      <c r="A11" s="283"/>
    </row>
    <row r="12" spans="1:8">
      <c r="A12" s="283"/>
    </row>
    <row r="13" spans="1:8">
      <c r="A13" s="283"/>
    </row>
    <row r="14" spans="1:8">
      <c r="A14" s="283"/>
    </row>
    <row r="15" spans="1:8">
      <c r="A15" s="283"/>
    </row>
    <row r="16" spans="1:8">
      <c r="A16" s="283"/>
    </row>
    <row r="17" spans="1:1">
      <c r="A17" s="283"/>
    </row>
    <row r="18" spans="1:1">
      <c r="A18" s="283"/>
    </row>
    <row r="19" spans="1:1">
      <c r="A19" s="283"/>
    </row>
    <row r="20" spans="1:1">
      <c r="A20" s="283"/>
    </row>
    <row r="21" spans="1:1">
      <c r="A21" s="283"/>
    </row>
    <row r="22" spans="1:1">
      <c r="A22" s="283"/>
    </row>
    <row r="23" spans="1:1">
      <c r="A23" s="283"/>
    </row>
    <row r="24" spans="1:1">
      <c r="A24" s="283"/>
    </row>
    <row r="25" spans="1:1">
      <c r="A25" s="283"/>
    </row>
    <row r="26" spans="1:1">
      <c r="A26" s="283"/>
    </row>
    <row r="27" spans="1:1">
      <c r="A27" s="283"/>
    </row>
    <row r="28" spans="1:1">
      <c r="A28" s="283"/>
    </row>
    <row r="29" spans="1:1">
      <c r="A29" s="283"/>
    </row>
    <row r="30" spans="1:1">
      <c r="A30" s="283"/>
    </row>
    <row r="31" spans="1:1">
      <c r="A31" s="283"/>
    </row>
    <row r="32" spans="1:1">
      <c r="A32" s="283"/>
    </row>
    <row r="33" spans="1:1">
      <c r="A33" s="283"/>
    </row>
    <row r="34" spans="1:1">
      <c r="A34" s="283"/>
    </row>
    <row r="35" spans="1:1">
      <c r="A35" s="283"/>
    </row>
    <row r="36" spans="1:1">
      <c r="A36" s="283"/>
    </row>
    <row r="37" spans="1:1">
      <c r="A37" s="283"/>
    </row>
    <row r="38" spans="1:1">
      <c r="A38" s="283"/>
    </row>
    <row r="39" spans="1:1">
      <c r="A39" s="283"/>
    </row>
    <row r="40" spans="1:1">
      <c r="A40" s="283"/>
    </row>
    <row r="41" spans="1:1">
      <c r="A41" s="283"/>
    </row>
    <row r="42" spans="1:1">
      <c r="A42" s="283"/>
    </row>
    <row r="43" spans="1:1">
      <c r="A43" s="283"/>
    </row>
    <row r="44" spans="1:1">
      <c r="A44" s="283"/>
    </row>
    <row r="45" spans="1:1">
      <c r="A45" s="283"/>
    </row>
    <row r="46" spans="1:1">
      <c r="A46" s="283"/>
    </row>
    <row r="47" spans="1:1">
      <c r="A47" s="283"/>
    </row>
    <row r="48" spans="1:1">
      <c r="A48" s="283"/>
    </row>
    <row r="49" spans="1:1">
      <c r="A49" s="283"/>
    </row>
    <row r="50" spans="1:1">
      <c r="A50" s="283"/>
    </row>
    <row r="51" spans="1:1">
      <c r="A51" s="283"/>
    </row>
    <row r="52" spans="1:1">
      <c r="A52" s="283"/>
    </row>
    <row r="53" spans="1:1">
      <c r="A53" s="283"/>
    </row>
    <row r="54" spans="1:1">
      <c r="A54" s="283"/>
    </row>
    <row r="55" spans="1:1">
      <c r="A55" s="283"/>
    </row>
    <row r="56" spans="1:1">
      <c r="A56" s="283"/>
    </row>
    <row r="57" spans="1:1">
      <c r="A57" s="283"/>
    </row>
    <row r="58" spans="1:1">
      <c r="A58" s="283"/>
    </row>
    <row r="59" spans="1:1">
      <c r="A59" s="283"/>
    </row>
    <row r="60" spans="1:1">
      <c r="A60" s="283"/>
    </row>
    <row r="61" spans="1:1">
      <c r="A61" s="283"/>
    </row>
    <row r="62" spans="1:1">
      <c r="A62" s="283"/>
    </row>
    <row r="63" spans="1:1">
      <c r="A63" s="283"/>
    </row>
    <row r="64" spans="1:1">
      <c r="A64" s="283"/>
    </row>
    <row r="65" spans="1:1">
      <c r="A65" s="283"/>
    </row>
    <row r="66" spans="1:1">
      <c r="A66" s="283"/>
    </row>
    <row r="67" spans="1:1">
      <c r="A67" s="283"/>
    </row>
    <row r="68" spans="1:1">
      <c r="A68" s="283"/>
    </row>
    <row r="69" spans="1:1">
      <c r="A69" s="283"/>
    </row>
    <row r="70" spans="1:1">
      <c r="A70" s="283"/>
    </row>
    <row r="71" spans="1:1">
      <c r="A71" s="283"/>
    </row>
    <row r="72" spans="1:1">
      <c r="A72" s="283"/>
    </row>
    <row r="73" spans="1:1">
      <c r="A73" s="283"/>
    </row>
    <row r="74" spans="1:1">
      <c r="A74" s="283"/>
    </row>
    <row r="75" spans="1:1">
      <c r="A75" s="283"/>
    </row>
    <row r="76" spans="1:1">
      <c r="A76" s="283"/>
    </row>
    <row r="77" spans="1:1">
      <c r="A77" s="283"/>
    </row>
    <row r="78" spans="1:1">
      <c r="A78" s="283"/>
    </row>
    <row r="79" spans="1:1">
      <c r="A79" s="283"/>
    </row>
    <row r="80" spans="1:1">
      <c r="A80" s="283"/>
    </row>
    <row r="81" spans="1:1">
      <c r="A81" s="283"/>
    </row>
    <row r="82" spans="1:1">
      <c r="A82" s="283"/>
    </row>
    <row r="83" spans="1:1">
      <c r="A83" s="283"/>
    </row>
    <row r="84" spans="1:1">
      <c r="A84" s="283"/>
    </row>
    <row r="85" spans="1:1">
      <c r="A85" s="283"/>
    </row>
    <row r="86" spans="1:1">
      <c r="A86" s="283"/>
    </row>
    <row r="87" spans="1:1">
      <c r="A87" s="283"/>
    </row>
    <row r="88" spans="1:1">
      <c r="A88" s="283"/>
    </row>
    <row r="89" spans="1:1">
      <c r="A89" s="283"/>
    </row>
    <row r="90" spans="1:1">
      <c r="A90" s="283"/>
    </row>
    <row r="91" spans="1:1">
      <c r="A91" s="283"/>
    </row>
    <row r="92" spans="1:1">
      <c r="A92" s="283"/>
    </row>
    <row r="93" spans="1:1">
      <c r="A93" s="283"/>
    </row>
    <row r="94" spans="1:1">
      <c r="A94" s="283"/>
    </row>
    <row r="95" spans="1:1">
      <c r="A95" s="283"/>
    </row>
    <row r="96" spans="1:1">
      <c r="A96" s="283"/>
    </row>
    <row r="97" spans="1:1">
      <c r="A97" s="283"/>
    </row>
    <row r="98" spans="1:1">
      <c r="A98" s="283"/>
    </row>
    <row r="99" spans="1:1">
      <c r="A99" s="283"/>
    </row>
    <row r="100" spans="1:1">
      <c r="A100" s="283"/>
    </row>
    <row r="101" spans="1:1">
      <c r="A101" s="283"/>
    </row>
    <row r="102" spans="1:1">
      <c r="A102" s="283"/>
    </row>
    <row r="103" spans="1:1">
      <c r="A103" s="283"/>
    </row>
    <row r="104" spans="1:1">
      <c r="A104" s="283"/>
    </row>
    <row r="105" spans="1:1">
      <c r="A105" s="283"/>
    </row>
    <row r="106" spans="1:1">
      <c r="A106" s="283"/>
    </row>
    <row r="107" spans="1:1">
      <c r="A107" s="283"/>
    </row>
    <row r="108" spans="1:1">
      <c r="A108" s="283"/>
    </row>
    <row r="109" spans="1:1">
      <c r="A109" s="283"/>
    </row>
    <row r="110" spans="1:1">
      <c r="A110" s="283"/>
    </row>
    <row r="111" spans="1:1">
      <c r="A111" s="283"/>
    </row>
    <row r="112" spans="1:1">
      <c r="A112" s="283"/>
    </row>
    <row r="113" spans="1:1">
      <c r="A113" s="283"/>
    </row>
    <row r="114" spans="1:1">
      <c r="A114" s="283"/>
    </row>
    <row r="115" spans="1:1">
      <c r="A115" s="283"/>
    </row>
    <row r="116" spans="1:1">
      <c r="A116" s="283"/>
    </row>
    <row r="117" spans="1:1">
      <c r="A117" s="283"/>
    </row>
    <row r="118" spans="1:1">
      <c r="A118" s="283"/>
    </row>
    <row r="119" spans="1:1">
      <c r="A119" s="283"/>
    </row>
    <row r="120" spans="1:1">
      <c r="A120" s="283"/>
    </row>
    <row r="121" spans="1:1">
      <c r="A121" s="283"/>
    </row>
    <row r="122" spans="1:1">
      <c r="A122" s="283"/>
    </row>
    <row r="123" spans="1:1">
      <c r="A123" s="283"/>
    </row>
    <row r="124" spans="1:1">
      <c r="A124" s="283"/>
    </row>
    <row r="125" spans="1:1">
      <c r="A125" s="283"/>
    </row>
    <row r="126" spans="1:1">
      <c r="A126" s="283"/>
    </row>
    <row r="127" spans="1:1">
      <c r="A127" s="283"/>
    </row>
    <row r="128" spans="1:1">
      <c r="A128" s="283"/>
    </row>
    <row r="129" spans="1:1">
      <c r="A129" s="283"/>
    </row>
    <row r="130" spans="1:1">
      <c r="A130" s="283"/>
    </row>
    <row r="131" spans="1:1">
      <c r="A131" s="283"/>
    </row>
    <row r="132" spans="1:1">
      <c r="A132" s="283"/>
    </row>
    <row r="133" spans="1:1">
      <c r="A133" s="283"/>
    </row>
    <row r="134" spans="1:1">
      <c r="A134" s="283"/>
    </row>
    <row r="135" spans="1:1">
      <c r="A135" s="283"/>
    </row>
    <row r="136" spans="1:1">
      <c r="A136" s="283"/>
    </row>
    <row r="137" spans="1:1">
      <c r="A137" s="283"/>
    </row>
    <row r="138" spans="1:1">
      <c r="A138" s="283"/>
    </row>
    <row r="139" spans="1:1">
      <c r="A139" s="283"/>
    </row>
    <row r="140" spans="1:1">
      <c r="A140" s="283"/>
    </row>
    <row r="141" spans="1:1">
      <c r="A141" s="283"/>
    </row>
    <row r="142" spans="1:1">
      <c r="A142" s="283"/>
    </row>
    <row r="143" spans="1:1">
      <c r="A143" s="283"/>
    </row>
    <row r="144" spans="1:1">
      <c r="A144" s="283"/>
    </row>
    <row r="145" spans="1:1">
      <c r="A145" s="283"/>
    </row>
    <row r="146" spans="1:1">
      <c r="A146" s="283"/>
    </row>
    <row r="147" spans="1:1">
      <c r="A147" s="283"/>
    </row>
    <row r="148" spans="1:1">
      <c r="A148" s="283"/>
    </row>
    <row r="149" spans="1:1">
      <c r="A149" s="283"/>
    </row>
    <row r="150" spans="1:1">
      <c r="A150" s="283"/>
    </row>
    <row r="151" spans="1:1">
      <c r="A151" s="283"/>
    </row>
    <row r="152" spans="1:1">
      <c r="A152" s="283"/>
    </row>
    <row r="153" spans="1:1">
      <c r="A153" s="283"/>
    </row>
    <row r="154" spans="1:1">
      <c r="A154" s="283"/>
    </row>
    <row r="155" spans="1:1">
      <c r="A155" s="283"/>
    </row>
    <row r="156" spans="1:1">
      <c r="A156" s="283"/>
    </row>
    <row r="157" spans="1:1">
      <c r="A157" s="283"/>
    </row>
    <row r="158" spans="1:1">
      <c r="A158" s="283"/>
    </row>
    <row r="159" spans="1:1">
      <c r="A159" s="283"/>
    </row>
    <row r="160" spans="1:1">
      <c r="A160" s="283"/>
    </row>
    <row r="161" spans="1:1">
      <c r="A161" s="283"/>
    </row>
    <row r="162" spans="1:1">
      <c r="A162" s="283"/>
    </row>
    <row r="163" spans="1:1">
      <c r="A163" s="283"/>
    </row>
    <row r="164" spans="1:1">
      <c r="A164" s="283"/>
    </row>
    <row r="165" spans="1:1">
      <c r="A165" s="283"/>
    </row>
    <row r="166" spans="1:1">
      <c r="A166" s="283"/>
    </row>
    <row r="167" spans="1:1">
      <c r="A167" s="283"/>
    </row>
    <row r="168" spans="1:1">
      <c r="A168" s="283"/>
    </row>
    <row r="169" spans="1:1">
      <c r="A169" s="283"/>
    </row>
    <row r="170" spans="1:1">
      <c r="A170" s="283"/>
    </row>
    <row r="171" spans="1:1">
      <c r="A171" s="283"/>
    </row>
    <row r="172" spans="1:1">
      <c r="A172" s="283"/>
    </row>
    <row r="173" spans="1:1">
      <c r="A173" s="283"/>
    </row>
    <row r="174" spans="1:1">
      <c r="A174" s="283"/>
    </row>
    <row r="175" spans="1:1">
      <c r="A175" s="283"/>
    </row>
    <row r="176" spans="1:1">
      <c r="A176" s="283"/>
    </row>
    <row r="177" spans="1:1">
      <c r="A177" s="283"/>
    </row>
    <row r="178" spans="1:1">
      <c r="A178" s="283"/>
    </row>
    <row r="179" spans="1:1">
      <c r="A179" s="283"/>
    </row>
    <row r="180" spans="1:1">
      <c r="A180" s="283"/>
    </row>
    <row r="181" spans="1:1">
      <c r="A181" s="283"/>
    </row>
    <row r="182" spans="1:1">
      <c r="A182" s="283"/>
    </row>
    <row r="183" spans="1:1">
      <c r="A183" s="283"/>
    </row>
    <row r="184" spans="1:1">
      <c r="A184" s="283"/>
    </row>
    <row r="185" spans="1:1">
      <c r="A185" s="283"/>
    </row>
    <row r="186" spans="1:1">
      <c r="A186" s="283"/>
    </row>
    <row r="187" spans="1:1">
      <c r="A187" s="283"/>
    </row>
    <row r="188" spans="1:1">
      <c r="A188" s="283"/>
    </row>
    <row r="189" spans="1:1">
      <c r="A189" s="283"/>
    </row>
    <row r="190" spans="1:1">
      <c r="A190" s="283"/>
    </row>
    <row r="191" spans="1:1">
      <c r="A191" s="283"/>
    </row>
    <row r="192" spans="1:1">
      <c r="A192" s="283"/>
    </row>
    <row r="193" spans="1:1">
      <c r="A193" s="283"/>
    </row>
    <row r="194" spans="1:1">
      <c r="A194" s="283"/>
    </row>
    <row r="195" spans="1:1">
      <c r="A195" s="283"/>
    </row>
    <row r="196" spans="1:1">
      <c r="A196" s="283"/>
    </row>
    <row r="197" spans="1:1">
      <c r="A197" s="283"/>
    </row>
    <row r="198" spans="1:1">
      <c r="A198" s="283"/>
    </row>
    <row r="199" spans="1:1">
      <c r="A199" s="283"/>
    </row>
    <row r="200" spans="1:1">
      <c r="A200" s="283"/>
    </row>
    <row r="201" spans="1:1">
      <c r="A201" s="283"/>
    </row>
    <row r="202" spans="1:1">
      <c r="A202" s="283"/>
    </row>
    <row r="203" spans="1:1">
      <c r="A203" s="283"/>
    </row>
    <row r="204" spans="1:1">
      <c r="A204" s="283"/>
    </row>
    <row r="205" spans="1:1">
      <c r="A205" s="283"/>
    </row>
    <row r="206" spans="1:1">
      <c r="A206" s="283"/>
    </row>
    <row r="207" spans="1:1">
      <c r="A207" s="283"/>
    </row>
    <row r="208" spans="1:1">
      <c r="A208" s="283"/>
    </row>
    <row r="209" spans="1:1">
      <c r="A209" s="283"/>
    </row>
    <row r="210" spans="1:1">
      <c r="A210" s="283"/>
    </row>
    <row r="211" spans="1:1">
      <c r="A211" s="283"/>
    </row>
    <row r="212" spans="1:1">
      <c r="A212" s="283"/>
    </row>
    <row r="213" spans="1:1">
      <c r="A213" s="283"/>
    </row>
    <row r="214" spans="1:1">
      <c r="A214" s="283"/>
    </row>
    <row r="215" spans="1:1">
      <c r="A215" s="283"/>
    </row>
    <row r="216" spans="1:1">
      <c r="A216" s="283"/>
    </row>
    <row r="217" spans="1:1">
      <c r="A217" s="283"/>
    </row>
    <row r="218" spans="1:1">
      <c r="A218" s="283"/>
    </row>
    <row r="219" spans="1:1">
      <c r="A219" s="283"/>
    </row>
    <row r="220" spans="1:1">
      <c r="A220" s="283"/>
    </row>
    <row r="221" spans="1:1">
      <c r="A221" s="283"/>
    </row>
    <row r="222" spans="1:1">
      <c r="A222" s="283"/>
    </row>
    <row r="223" spans="1:1">
      <c r="A223" s="283"/>
    </row>
    <row r="224" spans="1:1">
      <c r="A224" s="283"/>
    </row>
    <row r="225" spans="1:1">
      <c r="A225" s="283"/>
    </row>
    <row r="226" spans="1:1">
      <c r="A226" s="283"/>
    </row>
    <row r="227" spans="1:1">
      <c r="A227" s="283"/>
    </row>
    <row r="228" spans="1:1">
      <c r="A228" s="283"/>
    </row>
    <row r="229" spans="1:1">
      <c r="A229" s="283"/>
    </row>
    <row r="230" spans="1:1">
      <c r="A230" s="283"/>
    </row>
    <row r="231" spans="1:1">
      <c r="A231" s="283"/>
    </row>
    <row r="232" spans="1:1">
      <c r="A232" s="283"/>
    </row>
    <row r="233" spans="1:1">
      <c r="A233" s="283"/>
    </row>
    <row r="234" spans="1:1">
      <c r="A234" s="283"/>
    </row>
    <row r="235" spans="1:1">
      <c r="A235" s="283"/>
    </row>
    <row r="236" spans="1:1">
      <c r="A236" s="283"/>
    </row>
    <row r="237" spans="1:1">
      <c r="A237" s="283"/>
    </row>
    <row r="238" spans="1:1">
      <c r="A238" s="283"/>
    </row>
    <row r="239" spans="1:1">
      <c r="A239" s="283"/>
    </row>
    <row r="240" spans="1:1">
      <c r="A240" s="283"/>
    </row>
    <row r="241" spans="1:1">
      <c r="A241" s="283"/>
    </row>
    <row r="242" spans="1:1">
      <c r="A242" s="283"/>
    </row>
    <row r="243" spans="1:1">
      <c r="A243" s="283"/>
    </row>
    <row r="244" spans="1:1">
      <c r="A244" s="283"/>
    </row>
    <row r="245" spans="1:1">
      <c r="A245" s="283"/>
    </row>
    <row r="246" spans="1:1">
      <c r="A246" s="283"/>
    </row>
    <row r="247" spans="1:1">
      <c r="A247" s="283"/>
    </row>
    <row r="248" spans="1:1">
      <c r="A248" s="283"/>
    </row>
    <row r="249" spans="1:1">
      <c r="A249" s="283"/>
    </row>
    <row r="250" spans="1:1">
      <c r="A250" s="283"/>
    </row>
    <row r="251" spans="1:1">
      <c r="A251" s="283"/>
    </row>
    <row r="252" spans="1:1">
      <c r="A252" s="283"/>
    </row>
    <row r="253" spans="1:1">
      <c r="A253" s="283"/>
    </row>
    <row r="254" spans="1:1">
      <c r="A254" s="283"/>
    </row>
    <row r="255" spans="1:1">
      <c r="A255" s="283"/>
    </row>
    <row r="256" spans="1:1">
      <c r="A256" s="283"/>
    </row>
    <row r="257" spans="1:1">
      <c r="A257" s="283"/>
    </row>
    <row r="258" spans="1:1">
      <c r="A258" s="283"/>
    </row>
    <row r="259" spans="1:1">
      <c r="A259" s="283"/>
    </row>
    <row r="260" spans="1:1">
      <c r="A260" s="283"/>
    </row>
    <row r="261" spans="1:1">
      <c r="A261" s="283"/>
    </row>
    <row r="262" spans="1:1">
      <c r="A262" s="283"/>
    </row>
    <row r="263" spans="1:1">
      <c r="A263" s="283"/>
    </row>
    <row r="264" spans="1:1">
      <c r="A264" s="283"/>
    </row>
    <row r="265" spans="1:1">
      <c r="A265" s="283"/>
    </row>
    <row r="266" spans="1:1">
      <c r="A266" s="283"/>
    </row>
    <row r="267" spans="1:1">
      <c r="A267" s="283"/>
    </row>
    <row r="268" spans="1:1">
      <c r="A268" s="283"/>
    </row>
    <row r="269" spans="1:1">
      <c r="A269" s="283"/>
    </row>
    <row r="270" spans="1:1">
      <c r="A270" s="283"/>
    </row>
    <row r="271" spans="1:1">
      <c r="A271" s="283"/>
    </row>
    <row r="272" spans="1:1">
      <c r="A272" s="283"/>
    </row>
    <row r="273" spans="1:1">
      <c r="A273" s="283"/>
    </row>
    <row r="274" spans="1:1">
      <c r="A274" s="283"/>
    </row>
    <row r="275" spans="1:1">
      <c r="A275" s="283"/>
    </row>
    <row r="276" spans="1:1">
      <c r="A276" s="283"/>
    </row>
    <row r="277" spans="1:1">
      <c r="A277" s="283"/>
    </row>
    <row r="278" spans="1:1">
      <c r="A278" s="283"/>
    </row>
    <row r="279" spans="1:1">
      <c r="A279" s="283"/>
    </row>
    <row r="280" spans="1:1">
      <c r="A280" s="283"/>
    </row>
    <row r="281" spans="1:1">
      <c r="A281" s="283"/>
    </row>
    <row r="282" spans="1:1">
      <c r="A282" s="283"/>
    </row>
    <row r="283" spans="1:1">
      <c r="A283" s="283"/>
    </row>
    <row r="284" spans="1:1">
      <c r="A284" s="283"/>
    </row>
    <row r="285" spans="1:1">
      <c r="A285" s="283"/>
    </row>
    <row r="286" spans="1:1">
      <c r="A286" s="283"/>
    </row>
    <row r="287" spans="1:1">
      <c r="A287" s="283"/>
    </row>
    <row r="288" spans="1:1">
      <c r="A288" s="283"/>
    </row>
    <row r="289" spans="1:1">
      <c r="A289" s="283"/>
    </row>
    <row r="290" spans="1:1">
      <c r="A290" s="283"/>
    </row>
    <row r="291" spans="1:1">
      <c r="A291" s="283"/>
    </row>
    <row r="292" spans="1:1">
      <c r="A292" s="283"/>
    </row>
    <row r="293" spans="1:1">
      <c r="A293" s="283"/>
    </row>
    <row r="294" spans="1:1">
      <c r="A294" s="283"/>
    </row>
    <row r="295" spans="1:1">
      <c r="A295" s="283"/>
    </row>
    <row r="296" spans="1:1">
      <c r="A296" s="283"/>
    </row>
    <row r="297" spans="1:1">
      <c r="A297" s="283"/>
    </row>
    <row r="298" spans="1:1">
      <c r="A298" s="283"/>
    </row>
    <row r="299" spans="1:1">
      <c r="A299" s="283"/>
    </row>
    <row r="300" spans="1:1">
      <c r="A300" s="283"/>
    </row>
    <row r="301" spans="1:1">
      <c r="A301" s="283"/>
    </row>
    <row r="302" spans="1:1">
      <c r="A302" s="283"/>
    </row>
    <row r="303" spans="1:1">
      <c r="A303" s="283"/>
    </row>
    <row r="304" spans="1:1">
      <c r="A304" s="283"/>
    </row>
    <row r="305" spans="1:1">
      <c r="A305" s="283"/>
    </row>
    <row r="306" spans="1:1">
      <c r="A306" s="283"/>
    </row>
    <row r="307" spans="1:1">
      <c r="A307" s="283"/>
    </row>
    <row r="308" spans="1:1">
      <c r="A308" s="283"/>
    </row>
    <row r="309" spans="1:1">
      <c r="A309" s="283"/>
    </row>
    <row r="310" spans="1:1">
      <c r="A310" s="283"/>
    </row>
    <row r="311" spans="1:1">
      <c r="A311" s="283"/>
    </row>
    <row r="312" spans="1:1">
      <c r="A312" s="283"/>
    </row>
    <row r="313" spans="1:1">
      <c r="A313" s="283"/>
    </row>
    <row r="314" spans="1:1">
      <c r="A314" s="283"/>
    </row>
    <row r="315" spans="1:1">
      <c r="A315" s="283"/>
    </row>
    <row r="316" spans="1:1">
      <c r="A316" s="283"/>
    </row>
    <row r="317" spans="1:1">
      <c r="A317" s="283"/>
    </row>
    <row r="318" spans="1:1">
      <c r="A318" s="283"/>
    </row>
    <row r="319" spans="1:1">
      <c r="A319" s="283"/>
    </row>
    <row r="320" spans="1:1">
      <c r="A320" s="283"/>
    </row>
    <row r="321" spans="1:1">
      <c r="A321" s="283"/>
    </row>
    <row r="322" spans="1:1">
      <c r="A322" s="283"/>
    </row>
    <row r="323" spans="1:1">
      <c r="A323" s="283"/>
    </row>
    <row r="324" spans="1:1">
      <c r="A324" s="283"/>
    </row>
    <row r="325" spans="1:1">
      <c r="A325" s="283"/>
    </row>
    <row r="326" spans="1:1">
      <c r="A326" s="283"/>
    </row>
    <row r="327" spans="1:1">
      <c r="A327" s="283"/>
    </row>
    <row r="328" spans="1:1">
      <c r="A328" s="283"/>
    </row>
    <row r="329" spans="1:1">
      <c r="A329" s="283"/>
    </row>
    <row r="330" spans="1:1">
      <c r="A330" s="283"/>
    </row>
    <row r="331" spans="1:1">
      <c r="A331" s="283"/>
    </row>
    <row r="332" spans="1:1">
      <c r="A332" s="283"/>
    </row>
    <row r="333" spans="1:1">
      <c r="A333" s="283"/>
    </row>
    <row r="334" spans="1:1">
      <c r="A334" s="283"/>
    </row>
    <row r="335" spans="1:1">
      <c r="A335" s="283"/>
    </row>
    <row r="336" spans="1:1">
      <c r="A336" s="283"/>
    </row>
    <row r="337" spans="1:1">
      <c r="A337" s="283"/>
    </row>
    <row r="338" spans="1:1">
      <c r="A338" s="283"/>
    </row>
    <row r="339" spans="1:1">
      <c r="A339" s="283"/>
    </row>
    <row r="340" spans="1:1">
      <c r="A340" s="283"/>
    </row>
    <row r="341" spans="1:1">
      <c r="A341" s="283"/>
    </row>
    <row r="342" spans="1:1">
      <c r="A342" s="283"/>
    </row>
    <row r="343" spans="1:1">
      <c r="A343" s="283"/>
    </row>
    <row r="344" spans="1:1">
      <c r="A344" s="283"/>
    </row>
    <row r="345" spans="1:1">
      <c r="A345" s="283"/>
    </row>
    <row r="346" spans="1:1">
      <c r="A346" s="283"/>
    </row>
    <row r="347" spans="1:1">
      <c r="A347" s="283"/>
    </row>
    <row r="348" spans="1:1">
      <c r="A348" s="283"/>
    </row>
    <row r="349" spans="1:1">
      <c r="A349" s="283"/>
    </row>
    <row r="350" spans="1:1">
      <c r="A350" s="283"/>
    </row>
    <row r="351" spans="1:1">
      <c r="A351" s="283"/>
    </row>
    <row r="352" spans="1:1">
      <c r="A352" s="283"/>
    </row>
    <row r="353" spans="1:1">
      <c r="A353" s="283"/>
    </row>
    <row r="354" spans="1:1">
      <c r="A354" s="283"/>
    </row>
    <row r="355" spans="1:1">
      <c r="A355" s="283"/>
    </row>
    <row r="356" spans="1:1">
      <c r="A356" s="283"/>
    </row>
    <row r="357" spans="1:1">
      <c r="A357" s="283"/>
    </row>
    <row r="358" spans="1:1">
      <c r="A358" s="283"/>
    </row>
    <row r="359" spans="1:1">
      <c r="A359" s="283"/>
    </row>
    <row r="360" spans="1:1">
      <c r="A360" s="283"/>
    </row>
    <row r="361" spans="1:1">
      <c r="A361" s="283"/>
    </row>
    <row r="362" spans="1:1">
      <c r="A362" s="283"/>
    </row>
    <row r="363" spans="1:1">
      <c r="A363" s="283"/>
    </row>
    <row r="364" spans="1:1">
      <c r="A364" s="283"/>
    </row>
    <row r="365" spans="1:1">
      <c r="A365" s="283"/>
    </row>
    <row r="366" spans="1:1">
      <c r="A366" s="283"/>
    </row>
    <row r="367" spans="1:1">
      <c r="A367" s="283"/>
    </row>
    <row r="368" spans="1:1">
      <c r="A368" s="283"/>
    </row>
    <row r="369" spans="1:1">
      <c r="A369" s="283"/>
    </row>
    <row r="370" spans="1:1">
      <c r="A370" s="283"/>
    </row>
    <row r="371" spans="1:1">
      <c r="A371" s="283"/>
    </row>
    <row r="372" spans="1:1">
      <c r="A372" s="283"/>
    </row>
    <row r="373" spans="1:1">
      <c r="A373" s="283"/>
    </row>
    <row r="374" spans="1:1">
      <c r="A374" s="283"/>
    </row>
    <row r="375" spans="1:1">
      <c r="A375" s="283"/>
    </row>
    <row r="376" spans="1:1">
      <c r="A376" s="283"/>
    </row>
    <row r="377" spans="1:1">
      <c r="A377" s="283"/>
    </row>
    <row r="378" spans="1:1">
      <c r="A378" s="283"/>
    </row>
    <row r="379" spans="1:1">
      <c r="A379" s="283"/>
    </row>
    <row r="380" spans="1:1">
      <c r="A380" s="283"/>
    </row>
    <row r="381" spans="1:1">
      <c r="A381" s="283"/>
    </row>
    <row r="382" spans="1:1">
      <c r="A382" s="283"/>
    </row>
    <row r="383" spans="1:1">
      <c r="A383" s="283"/>
    </row>
    <row r="384" spans="1:1">
      <c r="A384" s="283"/>
    </row>
    <row r="385" spans="1:1">
      <c r="A385" s="283"/>
    </row>
    <row r="386" spans="1:1">
      <c r="A386" s="283"/>
    </row>
    <row r="387" spans="1:1">
      <c r="A387" s="283"/>
    </row>
    <row r="388" spans="1:1">
      <c r="A388" s="283"/>
    </row>
    <row r="389" spans="1:1">
      <c r="A389" s="283"/>
    </row>
    <row r="390" spans="1:1">
      <c r="A390" s="283"/>
    </row>
    <row r="391" spans="1:1">
      <c r="A391" s="283"/>
    </row>
    <row r="392" spans="1:1">
      <c r="A392" s="283"/>
    </row>
    <row r="393" spans="1:1">
      <c r="A393" s="283"/>
    </row>
    <row r="394" spans="1:1">
      <c r="A394" s="283"/>
    </row>
    <row r="395" spans="1:1">
      <c r="A395" s="283"/>
    </row>
    <row r="396" spans="1:1">
      <c r="A396" s="283"/>
    </row>
    <row r="397" spans="1:1">
      <c r="A397" s="283"/>
    </row>
    <row r="398" spans="1:1">
      <c r="A398" s="283"/>
    </row>
    <row r="399" spans="1:1">
      <c r="A399" s="283"/>
    </row>
    <row r="400" spans="1:1">
      <c r="A400" s="283"/>
    </row>
    <row r="401" spans="1:1">
      <c r="A401" s="283"/>
    </row>
    <row r="402" spans="1:1">
      <c r="A402" s="283"/>
    </row>
    <row r="403" spans="1:1">
      <c r="A403" s="283"/>
    </row>
    <row r="404" spans="1:1">
      <c r="A404" s="283"/>
    </row>
    <row r="405" spans="1:1">
      <c r="A405" s="283"/>
    </row>
    <row r="406" spans="1:1">
      <c r="A406" s="283"/>
    </row>
    <row r="407" spans="1:1">
      <c r="A407" s="283"/>
    </row>
    <row r="408" spans="1:1">
      <c r="A408" s="283"/>
    </row>
    <row r="409" spans="1:1">
      <c r="A409" s="283"/>
    </row>
    <row r="410" spans="1:1">
      <c r="A410" s="283"/>
    </row>
    <row r="411" spans="1:1">
      <c r="A411" s="283"/>
    </row>
    <row r="412" spans="1:1">
      <c r="A412" s="283"/>
    </row>
    <row r="413" spans="1:1">
      <c r="A413" s="283"/>
    </row>
    <row r="414" spans="1:1">
      <c r="A414" s="283"/>
    </row>
    <row r="415" spans="1:1">
      <c r="A415" s="283"/>
    </row>
    <row r="416" spans="1:1">
      <c r="A416" s="283"/>
    </row>
    <row r="417" spans="1:1">
      <c r="A417" s="283"/>
    </row>
    <row r="418" spans="1:1">
      <c r="A418" s="283"/>
    </row>
    <row r="419" spans="1:1">
      <c r="A419" s="283"/>
    </row>
    <row r="420" spans="1:1">
      <c r="A420" s="283"/>
    </row>
    <row r="421" spans="1:1">
      <c r="A421" s="283"/>
    </row>
    <row r="422" spans="1:1">
      <c r="A422" s="283"/>
    </row>
    <row r="423" spans="1:1">
      <c r="A423" s="283"/>
    </row>
    <row r="424" spans="1:1">
      <c r="A424" s="283"/>
    </row>
    <row r="425" spans="1:1">
      <c r="A425" s="283"/>
    </row>
    <row r="426" spans="1:1">
      <c r="A426" s="283"/>
    </row>
    <row r="427" spans="1:1">
      <c r="A427" s="283"/>
    </row>
    <row r="428" spans="1:1">
      <c r="A428" s="283"/>
    </row>
    <row r="429" spans="1:1">
      <c r="A429" s="283"/>
    </row>
    <row r="430" spans="1:1">
      <c r="A430" s="283"/>
    </row>
    <row r="431" spans="1:1">
      <c r="A431" s="283"/>
    </row>
    <row r="432" spans="1:1">
      <c r="A432" s="283"/>
    </row>
    <row r="433" spans="1:1">
      <c r="A433" s="283"/>
    </row>
    <row r="434" spans="1:1">
      <c r="A434" s="283"/>
    </row>
    <row r="435" spans="1:1">
      <c r="A435" s="283"/>
    </row>
    <row r="436" spans="1:1">
      <c r="A436" s="283"/>
    </row>
    <row r="437" spans="1:1">
      <c r="A437" s="283"/>
    </row>
    <row r="438" spans="1:1">
      <c r="A438" s="283"/>
    </row>
    <row r="439" spans="1:1">
      <c r="A439" s="283"/>
    </row>
    <row r="440" spans="1:1">
      <c r="A440" s="283"/>
    </row>
    <row r="441" spans="1:1">
      <c r="A441" s="283"/>
    </row>
    <row r="442" spans="1:1">
      <c r="A442" s="283"/>
    </row>
    <row r="443" spans="1:1">
      <c r="A443" s="283"/>
    </row>
    <row r="444" spans="1:1">
      <c r="A444" s="283"/>
    </row>
    <row r="445" spans="1:1">
      <c r="A445" s="283"/>
    </row>
    <row r="446" spans="1:1">
      <c r="A446" s="283"/>
    </row>
    <row r="447" spans="1:1">
      <c r="A447" s="283"/>
    </row>
    <row r="448" spans="1:1">
      <c r="A448" s="283"/>
    </row>
    <row r="449" spans="1:1">
      <c r="A449" s="283"/>
    </row>
    <row r="450" spans="1:1">
      <c r="A450" s="283"/>
    </row>
    <row r="451" spans="1:1">
      <c r="A451" s="283"/>
    </row>
    <row r="452" spans="1:1">
      <c r="A452" s="283"/>
    </row>
    <row r="453" spans="1:1">
      <c r="A453" s="283"/>
    </row>
    <row r="454" spans="1:1">
      <c r="A454" s="283"/>
    </row>
    <row r="455" spans="1:1">
      <c r="A455" s="283"/>
    </row>
    <row r="456" spans="1:1">
      <c r="A456" s="283"/>
    </row>
    <row r="457" spans="1:1">
      <c r="A457" s="283"/>
    </row>
    <row r="458" spans="1:1">
      <c r="A458" s="283"/>
    </row>
    <row r="459" spans="1:1">
      <c r="A459" s="283"/>
    </row>
    <row r="460" spans="1:1">
      <c r="A460" s="283"/>
    </row>
    <row r="461" spans="1:1">
      <c r="A461" s="283"/>
    </row>
    <row r="462" spans="1:1">
      <c r="A462" s="283"/>
    </row>
    <row r="463" spans="1:1">
      <c r="A463" s="283"/>
    </row>
    <row r="464" spans="1:1">
      <c r="A464" s="283"/>
    </row>
    <row r="465" spans="1:1">
      <c r="A465" s="283"/>
    </row>
    <row r="466" spans="1:1">
      <c r="A466" s="283"/>
    </row>
    <row r="467" spans="1:1">
      <c r="A467" s="283"/>
    </row>
    <row r="468" spans="1:1">
      <c r="A468" s="283"/>
    </row>
    <row r="469" spans="1:1">
      <c r="A469" s="283"/>
    </row>
    <row r="470" spans="1:1">
      <c r="A470" s="283"/>
    </row>
    <row r="471" spans="1:1">
      <c r="A471" s="283"/>
    </row>
    <row r="472" spans="1:1">
      <c r="A472" s="283"/>
    </row>
    <row r="473" spans="1:1">
      <c r="A473" s="283"/>
    </row>
    <row r="474" spans="1:1">
      <c r="A474" s="283"/>
    </row>
    <row r="475" spans="1:1">
      <c r="A475" s="283"/>
    </row>
    <row r="476" spans="1:1">
      <c r="A476" s="283"/>
    </row>
    <row r="477" spans="1:1">
      <c r="A477" s="283"/>
    </row>
    <row r="478" spans="1:1">
      <c r="A478" s="283"/>
    </row>
    <row r="479" spans="1:1">
      <c r="A479" s="283"/>
    </row>
    <row r="480" spans="1:1">
      <c r="A480" s="283"/>
    </row>
    <row r="481" spans="1:1">
      <c r="A481" s="283"/>
    </row>
    <row r="482" spans="1:1">
      <c r="A482" s="283"/>
    </row>
    <row r="483" spans="1:1">
      <c r="A483" s="283"/>
    </row>
    <row r="484" spans="1:1">
      <c r="A484" s="283"/>
    </row>
    <row r="485" spans="1:1">
      <c r="A485" s="283"/>
    </row>
    <row r="486" spans="1:1">
      <c r="A486" s="283"/>
    </row>
    <row r="487" spans="1:1">
      <c r="A487" s="283"/>
    </row>
    <row r="488" spans="1:1">
      <c r="A488" s="283"/>
    </row>
    <row r="489" spans="1:1">
      <c r="A489" s="283"/>
    </row>
    <row r="490" spans="1:1">
      <c r="A490" s="283"/>
    </row>
    <row r="491" spans="1:1">
      <c r="A491" s="283"/>
    </row>
    <row r="492" spans="1:1">
      <c r="A492" s="283"/>
    </row>
    <row r="493" spans="1:1">
      <c r="A493" s="283"/>
    </row>
    <row r="494" spans="1:1">
      <c r="A494" s="283"/>
    </row>
    <row r="495" spans="1:1">
      <c r="A495" s="283"/>
    </row>
    <row r="496" spans="1:1">
      <c r="A496" s="283"/>
    </row>
    <row r="497" spans="1:1">
      <c r="A497" s="283"/>
    </row>
    <row r="498" spans="1:1">
      <c r="A498" s="283"/>
    </row>
    <row r="499" spans="1:1">
      <c r="A499" s="283"/>
    </row>
    <row r="500" spans="1:1">
      <c r="A500" s="283"/>
    </row>
    <row r="501" spans="1:1">
      <c r="A501" s="283"/>
    </row>
    <row r="502" spans="1:1">
      <c r="A502" s="283"/>
    </row>
    <row r="503" spans="1:1">
      <c r="A503" s="283"/>
    </row>
    <row r="504" spans="1:1">
      <c r="A504" s="283"/>
    </row>
    <row r="505" spans="1:1">
      <c r="A505" s="283"/>
    </row>
    <row r="506" spans="1:1">
      <c r="A506" s="283"/>
    </row>
    <row r="507" spans="1:1">
      <c r="A507" s="283"/>
    </row>
    <row r="508" spans="1:1">
      <c r="A508" s="283"/>
    </row>
    <row r="509" spans="1:1">
      <c r="A509" s="283"/>
    </row>
    <row r="510" spans="1:1">
      <c r="A510" s="283"/>
    </row>
    <row r="511" spans="1:1">
      <c r="A511" s="283"/>
    </row>
    <row r="512" spans="1:1">
      <c r="A512" s="283"/>
    </row>
    <row r="513" spans="1:1">
      <c r="A513" s="283"/>
    </row>
    <row r="514" spans="1:1">
      <c r="A514" s="283"/>
    </row>
    <row r="515" spans="1:1">
      <c r="A515" s="283"/>
    </row>
    <row r="516" spans="1:1">
      <c r="A516" s="283"/>
    </row>
    <row r="517" spans="1:1">
      <c r="A517" s="283"/>
    </row>
    <row r="518" spans="1:1">
      <c r="A518" s="283"/>
    </row>
    <row r="519" spans="1:1">
      <c r="A519" s="283"/>
    </row>
    <row r="520" spans="1:1">
      <c r="A520" s="283"/>
    </row>
    <row r="521" spans="1:1">
      <c r="A521" s="283"/>
    </row>
    <row r="522" spans="1:1">
      <c r="A522" s="283"/>
    </row>
    <row r="523" spans="1:1">
      <c r="A523" s="283"/>
    </row>
    <row r="524" spans="1:1">
      <c r="A524" s="283"/>
    </row>
    <row r="525" spans="1:1">
      <c r="A525" s="283"/>
    </row>
    <row r="526" spans="1:1">
      <c r="A526" s="283"/>
    </row>
    <row r="527" spans="1:1">
      <c r="A527" s="283"/>
    </row>
    <row r="528" spans="1:1">
      <c r="A528" s="283"/>
    </row>
    <row r="529" spans="1:1">
      <c r="A529" s="283"/>
    </row>
    <row r="530" spans="1:1">
      <c r="A530" s="283"/>
    </row>
    <row r="531" spans="1:1">
      <c r="A531" s="283"/>
    </row>
    <row r="532" spans="1:1">
      <c r="A532" s="283"/>
    </row>
    <row r="533" spans="1:1">
      <c r="A533" s="283"/>
    </row>
    <row r="534" spans="1:1">
      <c r="A534" s="283"/>
    </row>
    <row r="535" spans="1:1">
      <c r="A535" s="283"/>
    </row>
    <row r="536" spans="1:1">
      <c r="A536" s="283"/>
    </row>
    <row r="537" spans="1:1">
      <c r="A537" s="283"/>
    </row>
    <row r="538" spans="1:1">
      <c r="A538" s="283"/>
    </row>
    <row r="539" spans="1:1">
      <c r="A539" s="283"/>
    </row>
    <row r="540" spans="1:1">
      <c r="A540" s="283"/>
    </row>
    <row r="541" spans="1:1">
      <c r="A541" s="283"/>
    </row>
    <row r="542" spans="1:1">
      <c r="A542" s="283"/>
    </row>
    <row r="543" spans="1:1">
      <c r="A543" s="283"/>
    </row>
    <row r="544" spans="1:1">
      <c r="A544" s="283"/>
    </row>
    <row r="545" spans="1:1">
      <c r="A545" s="283"/>
    </row>
    <row r="546" spans="1:1">
      <c r="A546" s="283"/>
    </row>
    <row r="547" spans="1:1">
      <c r="A547" s="283"/>
    </row>
    <row r="548" spans="1:1">
      <c r="A548" s="283"/>
    </row>
    <row r="549" spans="1:1">
      <c r="A549" s="283"/>
    </row>
    <row r="550" spans="1:1">
      <c r="A550" s="283"/>
    </row>
    <row r="551" spans="1:1">
      <c r="A551" s="283"/>
    </row>
    <row r="552" spans="1:1">
      <c r="A552" s="283"/>
    </row>
    <row r="553" spans="1:1">
      <c r="A553" s="283"/>
    </row>
    <row r="554" spans="1:1">
      <c r="A554" s="283"/>
    </row>
    <row r="555" spans="1:1">
      <c r="A555" s="283"/>
    </row>
    <row r="556" spans="1:1">
      <c r="A556" s="283"/>
    </row>
    <row r="557" spans="1:1">
      <c r="A557" s="283"/>
    </row>
    <row r="558" spans="1:1">
      <c r="A558" s="283"/>
    </row>
    <row r="559" spans="1:1">
      <c r="A559" s="283"/>
    </row>
    <row r="560" spans="1:1">
      <c r="A560" s="283"/>
    </row>
    <row r="561" spans="1:1">
      <c r="A561" s="283"/>
    </row>
    <row r="562" spans="1:1">
      <c r="A562" s="283"/>
    </row>
    <row r="563" spans="1:1">
      <c r="A563" s="283"/>
    </row>
    <row r="564" spans="1:1">
      <c r="A564" s="283"/>
    </row>
    <row r="565" spans="1:1">
      <c r="A565" s="283"/>
    </row>
    <row r="566" spans="1:1">
      <c r="A566" s="283"/>
    </row>
    <row r="567" spans="1:1">
      <c r="A567" s="283"/>
    </row>
    <row r="568" spans="1:1">
      <c r="A568" s="283"/>
    </row>
    <row r="569" spans="1:1">
      <c r="A569" s="283"/>
    </row>
    <row r="570" spans="1:1">
      <c r="A570" s="283"/>
    </row>
    <row r="571" spans="1:1">
      <c r="A571" s="283"/>
    </row>
    <row r="572" spans="1:1">
      <c r="A572" s="283"/>
    </row>
    <row r="573" spans="1:1">
      <c r="A573" s="283"/>
    </row>
    <row r="574" spans="1:1">
      <c r="A574" s="283"/>
    </row>
    <row r="575" spans="1:1">
      <c r="A575" s="283"/>
    </row>
    <row r="576" spans="1:1">
      <c r="A576" s="283"/>
    </row>
    <row r="577" spans="1:1">
      <c r="A577" s="283"/>
    </row>
    <row r="578" spans="1:1">
      <c r="A578" s="283"/>
    </row>
    <row r="579" spans="1:1">
      <c r="A579" s="283"/>
    </row>
    <row r="580" spans="1:1">
      <c r="A580" s="283"/>
    </row>
    <row r="581" spans="1:1">
      <c r="A581" s="283"/>
    </row>
    <row r="582" spans="1:1">
      <c r="A582" s="283"/>
    </row>
    <row r="583" spans="1:1">
      <c r="A583" s="283"/>
    </row>
    <row r="584" spans="1:1">
      <c r="A584" s="283"/>
    </row>
    <row r="585" spans="1:1">
      <c r="A585" s="283"/>
    </row>
    <row r="586" spans="1:1">
      <c r="A586" s="283"/>
    </row>
    <row r="587" spans="1:1">
      <c r="A587" s="283"/>
    </row>
    <row r="588" spans="1:1">
      <c r="A588" s="283"/>
    </row>
    <row r="589" spans="1:1">
      <c r="A589" s="283"/>
    </row>
    <row r="590" spans="1:1">
      <c r="A590" s="283"/>
    </row>
    <row r="591" spans="1:1">
      <c r="A591" s="283"/>
    </row>
    <row r="592" spans="1:1">
      <c r="A592" s="283"/>
    </row>
    <row r="593" spans="1:1">
      <c r="A593" s="283"/>
    </row>
    <row r="594" spans="1:1">
      <c r="A594" s="283"/>
    </row>
    <row r="595" spans="1:1">
      <c r="A595" s="283"/>
    </row>
    <row r="596" spans="1:1">
      <c r="A596" s="283"/>
    </row>
    <row r="597" spans="1:1">
      <c r="A597" s="283"/>
    </row>
    <row r="598" spans="1:1">
      <c r="A598" s="283"/>
    </row>
    <row r="599" spans="1:1">
      <c r="A599" s="283"/>
    </row>
    <row r="600" spans="1:1">
      <c r="A600" s="283"/>
    </row>
    <row r="601" spans="1:1">
      <c r="A601" s="283"/>
    </row>
    <row r="602" spans="1:1">
      <c r="A602" s="283"/>
    </row>
  </sheetData>
  <conditionalFormatting sqref="A2:H1048576">
    <cfRule type="expression" dxfId="19" priority="1">
      <formula>AND(COUNTA($A2:$F2)&gt;0,  OR(COUNTBLANK($A2:$F2)&gt;0,    AND(LOWER(TRIM($A2))="ddjj",    LEN(TRIM($G2))=0)))</formula>
    </cfRule>
  </conditionalFormatting>
  <conditionalFormatting sqref="A1048576:H1048576">
    <cfRule type="expression" dxfId="18" priority="127">
      <formula>AND(COUNTA($A:$F)&gt;0,  OR(COUNTBLANK($A:$F)&gt;0,    AND(LOWER(TRIM(#REF!))="ddjj",    LEN(TRIM(#REF!))=0)))</formula>
    </cfRule>
  </conditionalFormatting>
  <conditionalFormatting sqref="F2:F1048576">
    <cfRule type="expression" dxfId="17" priority="2">
      <formula>OR(ISNUMBER(SEARCH("A",F2)),  ISNUMBER(SEARCH("B",F2)),  ISNUMBER(SEARCH("C",F2)),  ISNUMBER(SEARCH("D",F2)),  ISNUMBER(SEARCH("E",F2)),  ISNUMBER(SEARCH("F",F2)),  ISNUMBER(SEARCH("G",F2)),  ISNUMBER(SEARCH("H",F2)),  ISNUMBER(SEARCH("I",F2)),  ISNUMBER(SEARCH("J",F2)),  ISNUMBER(SEARCH("K",F2)),  ISNUMBER(SEARCH("L",F2)),  ISNUMBER(SEARCH("M",F2)),  ISNUMBER(SEARCH("N",F2)),  ISNUMBER(SEARCH("O",F2)),  ISNUMBER(SEARCH("P",F2)),  ISNUMBER(SEARCH("Q",F2)),  ISNUMBER(SEARCH("R",F2)),  ISNUMBER(SEARCH("S",F2)),  ISNUMBER(SEARCH("T",F2)),  ISNUMBER(SEARCH("U",F2)),  ISNUMBER(SEARCH("V",F2)),  ISNUMBER(SEARCH("W",F2)),  ISNUMBER(SEARCH("X",F2)),  ISNUMBER(SEARCH("Y",F2)),  ISNUMBER(SEARCH("Z",F2)))</formula>
    </cfRule>
  </conditionalFormatting>
  <dataValidations count="6">
    <dataValidation type="whole" allowBlank="1" showInputMessage="1" showErrorMessage="1" sqref="F1" xr:uid="{0CFD2C41-CB67-4E46-95CB-B9EF9B0DF404}">
      <formula1>1E+21</formula1>
      <formula2>9.99999999999999E+21</formula2>
    </dataValidation>
    <dataValidation type="whole" allowBlank="1" showInputMessage="1" showErrorMessage="1" error="El campo debe contener 11 digitos numericos_x000a_" sqref="E2:E600 D2:D492" xr:uid="{DBC2EB96-2675-4424-A370-38145B9D241C}">
      <formula1>10000000000</formula1>
      <formula2>99999999999</formula2>
    </dataValidation>
    <dataValidation type="whole" allowBlank="1" showInputMessage="1" showErrorMessage="1" error="El campo debe contener 4 digitos numericos" sqref="H2:H542" xr:uid="{36100A6B-8829-4202-B205-4F77DD49564B}">
      <formula1>1900</formula1>
      <formula2>2100</formula2>
    </dataValidation>
    <dataValidation type="textLength" operator="equal" allowBlank="1" showInputMessage="1" showErrorMessage="1" error="El campo debe tener 22 digitos numericos" sqref="F2:F1048576" xr:uid="{F86CD55A-188D-4604-8461-62745A5292DB}">
      <formula1>22</formula1>
    </dataValidation>
    <dataValidation type="decimal" allowBlank="1" showInputMessage="1" showErrorMessage="1" error="El campo debe tener maximo 9.999.999.999.999,99" sqref="B2:B1048576" xr:uid="{88425065-B4AB-4D46-A865-1C1FE5E1BD13}">
      <formula1>0</formula1>
      <formula2>9999999999999990</formula2>
    </dataValidation>
    <dataValidation type="date" allowBlank="1" showInputMessage="1" showErrorMessage="1" error="El campo debe ser mayor a 01/05/2001 y menor a 31/12/2100" sqref="C2:C1048576" xr:uid="{6FC748A1-91D0-4E74-BDDA-07D44CA8D4A8}">
      <formula1>44317</formula1>
      <formula2>73415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7FE12C6-0980-4FFC-8E21-7A7D3CA023EA}">
          <x14:formula1>
            <xm:f>SIAP!$E$3:$E$4</xm:f>
          </x14:formula1>
          <xm:sqref>A603:A1048576</xm:sqref>
        </x14:dataValidation>
        <x14:dataValidation type="list" allowBlank="1" showInputMessage="1" showErrorMessage="1" xr:uid="{17F79C98-DA6B-4136-B578-E516AC4C4861}">
          <x14:formula1>
            <xm:f>SIAP!$E$7:$E$9</xm:f>
          </x14:formula1>
          <xm:sqref>G495:G1048576</xm:sqref>
        </x14:dataValidation>
        <x14:dataValidation type="list" allowBlank="1" showInputMessage="1" showErrorMessage="1" error="Debe seleecionar uno de la lista desplegable_x000a_" xr:uid="{28DCE434-D619-43E1-BDC1-566C9415E7CD}">
          <x14:formula1>
            <xm:f>SIAP!$F$3:$F$4</xm:f>
          </x14:formula1>
          <xm:sqref>A2:A602</xm:sqref>
        </x14:dataValidation>
        <x14:dataValidation type="list" allowBlank="1" showInputMessage="1" showErrorMessage="1" error="Debe seleecionar uno de la lista desplegable" xr:uid="{0EF678CF-961D-4A21-9481-D195DF8E423A}">
          <x14:formula1>
            <xm:f>SIAP!$E$7:$E$9</xm:f>
          </x14:formula1>
          <xm:sqref>G2:G494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D736-83D5-4B04-85F4-50AAD83DFD72}">
  <sheetPr codeName="Sheet12">
    <tabColor rgb="FF7030A0"/>
  </sheetPr>
  <dimension ref="A1:I3"/>
  <sheetViews>
    <sheetView showGridLines="0" workbookViewId="0">
      <pane ySplit="1" topLeftCell="A2" activePane="bottomLeft" state="frozen"/>
      <selection pane="bottomLeft" activeCell="A7" sqref="A7"/>
      <selection activeCell="D2" sqref="D2"/>
    </sheetView>
  </sheetViews>
  <sheetFormatPr defaultColWidth="9.140625" defaultRowHeight="12.6"/>
  <cols>
    <col min="1" max="1" width="15.28515625" style="283" customWidth="1"/>
    <col min="2" max="2" width="18" style="279" bestFit="1" customWidth="1"/>
    <col min="3" max="3" width="17.85546875" style="284" bestFit="1" customWidth="1"/>
    <col min="4" max="4" width="31.140625" style="613" bestFit="1" customWidth="1"/>
    <col min="5" max="5" width="26.42578125" style="284" bestFit="1" customWidth="1"/>
    <col min="6" max="6" width="24.85546875" style="284" bestFit="1" customWidth="1"/>
    <col min="7" max="7" width="24.42578125" style="543" customWidth="1"/>
    <col min="8" max="8" width="11.42578125" style="284" customWidth="1"/>
    <col min="9" max="9" width="14.140625" style="284" bestFit="1" customWidth="1"/>
    <col min="10" max="16384" width="9.140625" style="282"/>
  </cols>
  <sheetData>
    <row r="1" spans="1:9" ht="12.95">
      <c r="A1" s="285" t="s">
        <v>4495</v>
      </c>
      <c r="B1" s="534" t="s">
        <v>4496</v>
      </c>
      <c r="C1" s="286" t="s">
        <v>4502</v>
      </c>
      <c r="D1" s="548" t="s">
        <v>4497</v>
      </c>
      <c r="E1" s="286" t="s">
        <v>4498</v>
      </c>
      <c r="F1" s="286" t="s">
        <v>4499</v>
      </c>
      <c r="G1" s="286" t="s">
        <v>4500</v>
      </c>
      <c r="H1" s="286" t="s">
        <v>275</v>
      </c>
      <c r="I1" s="286" t="s">
        <v>4501</v>
      </c>
    </row>
    <row r="2" spans="1:9">
      <c r="G2" s="632"/>
    </row>
    <row r="3" spans="1:9">
      <c r="G3" s="632"/>
    </row>
  </sheetData>
  <conditionalFormatting sqref="A2:H1048576">
    <cfRule type="expression" dxfId="16" priority="3">
      <formula>AND(LEN(TRIM($A2&amp;$B2&amp;$C2&amp;$D2&amp;$E2&amp;$F2&amp;$G2&amp;$H2))&gt;0,   OR(LEN(TRIM($A2))=0,     LEN(TRIM($B2))=0,     LEN(TRIM($C2))=0,     LEN(TRIM($D2))=0,     LEN(TRIM($E2))=0,     LEN(TRIM($F2))=0,     LEN(TRIM($G2))=0,     LEN(TRIM($H2))=0))</formula>
    </cfRule>
  </conditionalFormatting>
  <conditionalFormatting sqref="A2:I1048576">
    <cfRule type="expression" dxfId="15" priority="1">
      <formula>AND(LEN(TRIM($A2&amp;$B2&amp;$C2&amp;$D2&amp;$E2&amp;$F2&amp;$G2&amp;$H2&amp;$I2))&gt;0,   OR(LEN(TRIM($A2))=0,     LEN(TRIM($B2))=0,     LEN(TRIM($C2))=0,     LEN(TRIM($D2))=0,     LEN(TRIM($E2))=0,     LEN(TRIM($F2))=0,     LEN(TRIM($G2))=0,     LEN(TRIM($H2))=0,     LEN(TRIM($I2))=0))</formula>
    </cfRule>
  </conditionalFormatting>
  <conditionalFormatting sqref="G2:G1048576">
    <cfRule type="expression" dxfId="14" priority="2">
      <formula>OR(ISNUMBER(SEARCH("A",G2)),  ISNUMBER(SEARCH("B",G2)),  ISNUMBER(SEARCH("C",G2)),  ISNUMBER(SEARCH("D",G2)),  ISNUMBER(SEARCH("E",G2)),  ISNUMBER(SEARCH("F",G2)),  ISNUMBER(SEARCH("G",G2)),  ISNUMBER(SEARCH("H",G2)),  ISNUMBER(SEARCH("I",G2)),  ISNUMBER(SEARCH("J",G2)),  ISNUMBER(SEARCH("K",G2)),  ISNUMBER(SEARCH("L",G2)),  ISNUMBER(SEARCH("M",G2)),  ISNUMBER(SEARCH("N",G2)),  ISNUMBER(SEARCH("O",G2)),  ISNUMBER(SEARCH("P",G2)),  ISNUMBER(SEARCH("Q",G2)),  ISNUMBER(SEARCH("R",G2)),  ISNUMBER(SEARCH("S",G2)),  ISNUMBER(SEARCH("T",G2)),  ISNUMBER(SEARCH("U",G2)),  ISNUMBER(SEARCH("V",G2)),  ISNUMBER(SEARCH("W",G2)),  ISNUMBER(SEARCH("X",G2)),  ISNUMBER(SEARCH("Y",G2)),  ISNUMBER(SEARCH("Z",G2)))</formula>
    </cfRule>
  </conditionalFormatting>
  <dataValidations count="6">
    <dataValidation type="whole" allowBlank="1" showInputMessage="1" showErrorMessage="1" error="El campo debe contener 11 digitos numericos_x000a_" sqref="E3:E480 E2:F2 F3:F482" xr:uid="{B8F046E1-0A36-4E56-8917-FBAF911FA6AE}">
      <formula1>10000000000</formula1>
      <formula2>99999999999</formula2>
    </dataValidation>
    <dataValidation type="whole" allowBlank="1" showInputMessage="1" showErrorMessage="1" error="El campo debe contener 4 digitos numericos" sqref="I2:I493" xr:uid="{5B5BB4BB-3F31-43F4-8723-462D55786AFC}">
      <formula1>1900</formula1>
      <formula2>2100</formula2>
    </dataValidation>
    <dataValidation type="whole" allowBlank="1" showInputMessage="1" showErrorMessage="1" error="El campo debe ir de 1 a 12" sqref="C2:C1048576" xr:uid="{E1C3D62A-6CED-46B2-97BB-05E73A1C6433}">
      <formula1>1</formula1>
      <formula2>12</formula2>
    </dataValidation>
    <dataValidation type="decimal" allowBlank="1" showInputMessage="1" showErrorMessage="1" error="El campo debe tener maximo 9.999.999.999.999,99" sqref="B2:B1048576" xr:uid="{97DED9D4-C387-450D-8051-0D3C99CBA32E}">
      <formula1>0</formula1>
      <formula2>999999999999999</formula2>
    </dataValidation>
    <dataValidation type="date" allowBlank="1" showInputMessage="1" showErrorMessage="1" error="El campo debe ser mayor a 01/05/2001 y menor a 31/12/2100" sqref="D2:D1048576" xr:uid="{E38EE415-C9E4-4378-BE6A-081520DE8BF5}">
      <formula1>44317</formula1>
      <formula2>73415</formula2>
    </dataValidation>
    <dataValidation type="textLength" operator="equal" allowBlank="1" showInputMessage="1" showErrorMessage="1" error="El campo debe tener 22 digitos numericos" sqref="G2:G1048576" xr:uid="{5D421E0E-63EF-4BA0-A655-0077B3201A7B}">
      <formula1>22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453BACE-456B-486B-99A3-AB1BCD7ECDEF}">
          <x14:formula1>
            <xm:f>SIAP!$E$7:$E$9</xm:f>
          </x14:formula1>
          <xm:sqref>H493:H1048576</xm:sqref>
        </x14:dataValidation>
        <x14:dataValidation type="list" allowBlank="1" showInputMessage="1" showErrorMessage="1" xr:uid="{426DC0C5-BDB2-4544-A95F-9F510689ABDF}">
          <x14:formula1>
            <xm:f>SIAP!$F$3:$F$4</xm:f>
          </x14:formula1>
          <xm:sqref>A542:A1048576</xm:sqref>
        </x14:dataValidation>
        <x14:dataValidation type="list" allowBlank="1" showInputMessage="1" showErrorMessage="1" error="Debe seleecionar uno de la lista desplegable_x000a_" xr:uid="{12F70914-F9A8-42BA-B4EB-B341EDEE55C1}">
          <x14:formula1>
            <xm:f>SIAP!$F$3:$F$4</xm:f>
          </x14:formula1>
          <xm:sqref>A2:A541</xm:sqref>
        </x14:dataValidation>
        <x14:dataValidation type="list" allowBlank="1" showInputMessage="1" showErrorMessage="1" error="Debe seleecionar uno de la lista desplegable" xr:uid="{74AB7303-E1C1-4CA9-AEFD-EF810E123A06}">
          <x14:formula1>
            <xm:f>SIAP!$E$7:$E$9</xm:f>
          </x14:formula1>
          <xm:sqref>H2:H492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ED01-2815-43B5-9B55-76402597A56B}">
  <sheetPr codeName="Sheet13">
    <tabColor rgb="FF7030A0"/>
  </sheetPr>
  <dimension ref="A1:N228"/>
  <sheetViews>
    <sheetView showGridLines="0" zoomScaleNormal="100" zoomScaleSheetLayoutView="70" workbookViewId="0">
      <pane ySplit="1" topLeftCell="A2" activePane="bottomLeft" state="frozen"/>
      <selection pane="bottomLeft" activeCell="M11" sqref="A9:M11"/>
      <selection activeCell="D2" sqref="D2"/>
    </sheetView>
  </sheetViews>
  <sheetFormatPr defaultColWidth="8.85546875" defaultRowHeight="12.95"/>
  <cols>
    <col min="1" max="1" width="18.42578125" style="91" bestFit="1" customWidth="1"/>
    <col min="2" max="2" width="23.5703125" style="46" bestFit="1" customWidth="1"/>
    <col min="3" max="3" width="11.28515625" style="46" customWidth="1"/>
    <col min="4" max="4" width="17.42578125" style="46" bestFit="1" customWidth="1"/>
    <col min="5" max="5" width="7.42578125" style="46" bestFit="1" customWidth="1"/>
    <col min="6" max="6" width="16.7109375" style="91" bestFit="1" customWidth="1"/>
    <col min="7" max="7" width="16.7109375" style="289" customWidth="1"/>
    <col min="8" max="8" width="15.85546875" style="577" bestFit="1" customWidth="1"/>
    <col min="9" max="9" width="18.140625" style="62" bestFit="1" customWidth="1"/>
    <col min="10" max="10" width="15" style="46" bestFit="1" customWidth="1"/>
    <col min="11" max="11" width="18.140625" style="577" bestFit="1" customWidth="1"/>
    <col min="12" max="12" width="16.28515625" style="46" bestFit="1" customWidth="1"/>
    <col min="13" max="13" width="20.85546875" style="46" bestFit="1" customWidth="1"/>
    <col min="14" max="14" width="23.28515625" style="46" bestFit="1" customWidth="1"/>
    <col min="15" max="16384" width="8.85546875" style="11"/>
  </cols>
  <sheetData>
    <row r="1" spans="1:14">
      <c r="A1" s="287" t="s">
        <v>4503</v>
      </c>
      <c r="B1" s="288" t="s">
        <v>4504</v>
      </c>
      <c r="C1" s="288" t="s">
        <v>275</v>
      </c>
      <c r="D1" s="288" t="s">
        <v>4505</v>
      </c>
      <c r="E1" s="547" t="s">
        <v>4506</v>
      </c>
      <c r="F1" s="546" t="s">
        <v>4507</v>
      </c>
      <c r="G1" s="287" t="s">
        <v>4508</v>
      </c>
      <c r="H1" s="288" t="s">
        <v>4509</v>
      </c>
      <c r="I1" s="288" t="s">
        <v>4510</v>
      </c>
      <c r="J1" s="288" t="s">
        <v>4511</v>
      </c>
      <c r="K1" s="288" t="s">
        <v>4512</v>
      </c>
      <c r="L1" s="288" t="s">
        <v>4513</v>
      </c>
      <c r="M1" s="288" t="s">
        <v>4514</v>
      </c>
      <c r="N1" s="288" t="s">
        <v>4515</v>
      </c>
    </row>
    <row r="2" spans="1:14">
      <c r="A2" s="278"/>
      <c r="J2" s="62"/>
      <c r="L2" s="289"/>
      <c r="N2" s="289"/>
    </row>
    <row r="3" spans="1:14">
      <c r="A3" s="278"/>
      <c r="J3" s="62"/>
      <c r="L3" s="289"/>
      <c r="N3" s="289"/>
    </row>
    <row r="4" spans="1:14">
      <c r="A4" s="545"/>
      <c r="J4" s="62"/>
      <c r="L4" s="289"/>
      <c r="N4" s="289"/>
    </row>
    <row r="5" spans="1:14">
      <c r="A5" s="278"/>
      <c r="J5" s="62"/>
      <c r="L5" s="289"/>
      <c r="N5" s="289"/>
    </row>
    <row r="6" spans="1:14">
      <c r="A6" s="278"/>
      <c r="J6" s="62"/>
      <c r="L6" s="289"/>
      <c r="N6" s="289"/>
    </row>
    <row r="7" spans="1:14">
      <c r="A7" s="278"/>
      <c r="J7" s="62"/>
      <c r="L7" s="289"/>
      <c r="N7" s="289"/>
    </row>
    <row r="8" spans="1:14">
      <c r="A8" s="278"/>
      <c r="J8" s="62"/>
      <c r="L8" s="289"/>
      <c r="N8" s="289"/>
    </row>
    <row r="9" spans="1:14">
      <c r="A9" s="278"/>
      <c r="L9" s="289"/>
      <c r="N9" s="289"/>
    </row>
    <row r="10" spans="1:14">
      <c r="A10" s="278"/>
      <c r="J10" s="62"/>
      <c r="L10" s="289"/>
      <c r="N10" s="289"/>
    </row>
    <row r="11" spans="1:14">
      <c r="A11" s="278"/>
      <c r="J11" s="62"/>
      <c r="L11" s="289"/>
      <c r="N11" s="289"/>
    </row>
    <row r="12" spans="1:14">
      <c r="A12" s="278"/>
      <c r="J12" s="62"/>
      <c r="L12" s="289"/>
      <c r="N12" s="289"/>
    </row>
    <row r="13" spans="1:14">
      <c r="A13" s="278"/>
      <c r="J13" s="62"/>
      <c r="L13" s="289"/>
      <c r="N13" s="289"/>
    </row>
    <row r="14" spans="1:14">
      <c r="A14" s="278"/>
      <c r="J14" s="62"/>
      <c r="L14" s="289"/>
      <c r="N14" s="289"/>
    </row>
    <row r="15" spans="1:14">
      <c r="A15" s="278"/>
      <c r="J15" s="62"/>
      <c r="L15" s="289"/>
      <c r="N15" s="289"/>
    </row>
    <row r="16" spans="1:14">
      <c r="A16" s="278"/>
      <c r="J16" s="62"/>
      <c r="L16" s="289"/>
      <c r="N16" s="289"/>
    </row>
    <row r="17" spans="1:14">
      <c r="A17" s="278"/>
      <c r="J17" s="62"/>
      <c r="L17" s="289"/>
      <c r="N17" s="289"/>
    </row>
    <row r="18" spans="1:14">
      <c r="A18" s="278"/>
      <c r="J18" s="62"/>
      <c r="L18" s="289"/>
      <c r="N18" s="289"/>
    </row>
    <row r="19" spans="1:14">
      <c r="A19" s="278"/>
      <c r="J19" s="62"/>
      <c r="L19" s="289"/>
      <c r="N19" s="289"/>
    </row>
    <row r="20" spans="1:14">
      <c r="A20" s="278"/>
      <c r="J20" s="62"/>
      <c r="L20" s="289"/>
      <c r="N20" s="289"/>
    </row>
    <row r="21" spans="1:14">
      <c r="A21" s="278"/>
      <c r="J21" s="62"/>
      <c r="L21" s="289"/>
      <c r="N21" s="289"/>
    </row>
    <row r="22" spans="1:14">
      <c r="A22" s="278"/>
      <c r="J22" s="62"/>
      <c r="L22" s="289"/>
      <c r="N22" s="289"/>
    </row>
    <row r="23" spans="1:14">
      <c r="A23" s="278"/>
      <c r="J23" s="62"/>
      <c r="L23" s="289"/>
      <c r="N23" s="289"/>
    </row>
    <row r="24" spans="1:14">
      <c r="A24" s="278"/>
      <c r="J24" s="62"/>
      <c r="L24" s="289"/>
      <c r="N24" s="289"/>
    </row>
    <row r="25" spans="1:14">
      <c r="A25" s="278"/>
      <c r="J25" s="62"/>
      <c r="L25" s="289"/>
      <c r="N25" s="289"/>
    </row>
    <row r="26" spans="1:14">
      <c r="A26" s="278"/>
      <c r="J26" s="62"/>
      <c r="L26" s="289"/>
      <c r="N26" s="289"/>
    </row>
    <row r="27" spans="1:14">
      <c r="A27" s="278"/>
      <c r="J27" s="62"/>
      <c r="L27" s="289"/>
      <c r="N27" s="289"/>
    </row>
    <row r="28" spans="1:14">
      <c r="A28" s="278"/>
      <c r="J28" s="62"/>
      <c r="L28" s="289"/>
      <c r="N28" s="289"/>
    </row>
    <row r="29" spans="1:14">
      <c r="A29" s="278"/>
      <c r="J29" s="62"/>
      <c r="L29" s="289"/>
      <c r="N29" s="289"/>
    </row>
    <row r="30" spans="1:14">
      <c r="A30" s="278"/>
      <c r="J30" s="62"/>
      <c r="L30" s="289"/>
      <c r="N30" s="289"/>
    </row>
    <row r="31" spans="1:14">
      <c r="A31" s="278"/>
      <c r="J31" s="62"/>
      <c r="L31" s="289"/>
      <c r="N31" s="289"/>
    </row>
    <row r="32" spans="1:14">
      <c r="A32" s="278"/>
      <c r="J32" s="62"/>
      <c r="L32" s="289"/>
      <c r="N32" s="289"/>
    </row>
    <row r="33" spans="1:14">
      <c r="A33" s="278"/>
      <c r="J33" s="62"/>
      <c r="L33" s="289"/>
      <c r="N33" s="289"/>
    </row>
    <row r="34" spans="1:14">
      <c r="A34" s="278"/>
      <c r="J34" s="62"/>
      <c r="L34" s="289"/>
      <c r="N34" s="289"/>
    </row>
    <row r="35" spans="1:14">
      <c r="A35" s="278"/>
      <c r="J35" s="62"/>
      <c r="L35" s="289"/>
      <c r="N35" s="289"/>
    </row>
    <row r="36" spans="1:14">
      <c r="A36" s="278"/>
      <c r="J36" s="62"/>
      <c r="L36" s="289"/>
      <c r="N36" s="289"/>
    </row>
    <row r="37" spans="1:14">
      <c r="A37" s="278"/>
      <c r="J37" s="62"/>
      <c r="L37" s="289"/>
      <c r="N37" s="289"/>
    </row>
    <row r="38" spans="1:14">
      <c r="A38" s="278"/>
      <c r="J38" s="62"/>
      <c r="L38" s="289"/>
      <c r="N38" s="289"/>
    </row>
    <row r="39" spans="1:14">
      <c r="A39" s="278"/>
      <c r="J39" s="62"/>
      <c r="L39" s="289"/>
      <c r="N39" s="289"/>
    </row>
    <row r="40" spans="1:14">
      <c r="A40" s="278"/>
      <c r="J40" s="62"/>
      <c r="L40" s="289"/>
      <c r="N40" s="289"/>
    </row>
    <row r="41" spans="1:14">
      <c r="A41" s="278"/>
      <c r="J41" s="62"/>
      <c r="L41" s="289"/>
      <c r="N41" s="289"/>
    </row>
    <row r="42" spans="1:14">
      <c r="A42" s="278"/>
      <c r="J42" s="62"/>
      <c r="L42" s="289"/>
      <c r="N42" s="289"/>
    </row>
    <row r="43" spans="1:14">
      <c r="A43" s="278"/>
      <c r="J43" s="62"/>
      <c r="L43" s="289"/>
      <c r="N43" s="289"/>
    </row>
    <row r="44" spans="1:14">
      <c r="A44" s="278"/>
      <c r="J44" s="62"/>
      <c r="L44" s="289"/>
      <c r="N44" s="289"/>
    </row>
    <row r="45" spans="1:14">
      <c r="A45" s="278"/>
      <c r="J45" s="62"/>
      <c r="L45" s="289"/>
      <c r="N45" s="289"/>
    </row>
    <row r="46" spans="1:14">
      <c r="A46" s="278"/>
      <c r="J46" s="62"/>
      <c r="L46" s="289"/>
      <c r="N46" s="289"/>
    </row>
    <row r="47" spans="1:14">
      <c r="A47" s="278"/>
      <c r="J47" s="62"/>
      <c r="L47" s="289"/>
      <c r="N47" s="289"/>
    </row>
    <row r="48" spans="1:14">
      <c r="A48" s="278"/>
      <c r="J48" s="62"/>
      <c r="L48" s="289"/>
      <c r="N48" s="289"/>
    </row>
    <row r="49" spans="1:14">
      <c r="A49" s="278"/>
      <c r="J49" s="62"/>
      <c r="L49" s="289"/>
      <c r="N49" s="289"/>
    </row>
    <row r="50" spans="1:14">
      <c r="A50" s="278"/>
      <c r="J50" s="62"/>
      <c r="L50" s="289"/>
      <c r="N50" s="289"/>
    </row>
    <row r="51" spans="1:14">
      <c r="A51" s="278"/>
      <c r="J51" s="62"/>
      <c r="L51" s="289"/>
      <c r="N51" s="289"/>
    </row>
    <row r="52" spans="1:14">
      <c r="A52" s="278"/>
      <c r="J52" s="62"/>
      <c r="L52" s="289"/>
      <c r="N52" s="289"/>
    </row>
    <row r="53" spans="1:14">
      <c r="A53" s="278"/>
      <c r="J53" s="62"/>
      <c r="L53" s="289"/>
      <c r="N53" s="289"/>
    </row>
    <row r="54" spans="1:14">
      <c r="A54" s="278"/>
      <c r="J54" s="62"/>
      <c r="L54" s="289"/>
      <c r="N54" s="289"/>
    </row>
    <row r="55" spans="1:14">
      <c r="A55" s="278"/>
      <c r="J55" s="62"/>
      <c r="L55" s="289"/>
      <c r="N55" s="289"/>
    </row>
    <row r="56" spans="1:14">
      <c r="A56" s="278"/>
      <c r="J56" s="62"/>
      <c r="L56" s="289"/>
      <c r="N56" s="289"/>
    </row>
    <row r="57" spans="1:14">
      <c r="A57" s="278"/>
      <c r="J57" s="62"/>
      <c r="L57" s="289"/>
      <c r="N57" s="289"/>
    </row>
    <row r="58" spans="1:14">
      <c r="A58" s="278"/>
      <c r="L58" s="289"/>
      <c r="N58" s="289"/>
    </row>
    <row r="59" spans="1:14">
      <c r="A59" s="278"/>
      <c r="L59" s="289"/>
      <c r="N59" s="289"/>
    </row>
    <row r="60" spans="1:14">
      <c r="A60" s="278"/>
      <c r="J60" s="62"/>
      <c r="L60" s="289"/>
      <c r="N60" s="289"/>
    </row>
    <row r="61" spans="1:14">
      <c r="A61" s="278"/>
      <c r="J61" s="62"/>
      <c r="L61" s="289"/>
      <c r="N61" s="289"/>
    </row>
    <row r="62" spans="1:14">
      <c r="A62" s="278"/>
      <c r="J62" s="62"/>
      <c r="L62" s="289"/>
      <c r="N62" s="289"/>
    </row>
    <row r="63" spans="1:14">
      <c r="A63" s="278"/>
      <c r="J63" s="62"/>
      <c r="L63" s="289"/>
      <c r="N63" s="289"/>
    </row>
    <row r="64" spans="1:14">
      <c r="A64" s="278"/>
      <c r="J64" s="62"/>
      <c r="L64" s="289"/>
      <c r="N64" s="289"/>
    </row>
    <row r="65" spans="1:14">
      <c r="A65" s="278"/>
      <c r="J65" s="62"/>
      <c r="L65" s="289"/>
      <c r="N65" s="289"/>
    </row>
    <row r="66" spans="1:14">
      <c r="A66" s="278"/>
      <c r="J66" s="62"/>
      <c r="L66" s="289"/>
      <c r="N66" s="289"/>
    </row>
    <row r="67" spans="1:14">
      <c r="A67" s="278"/>
      <c r="J67" s="62"/>
      <c r="L67" s="289"/>
      <c r="N67" s="289"/>
    </row>
    <row r="68" spans="1:14">
      <c r="A68" s="278"/>
      <c r="J68" s="62"/>
      <c r="L68" s="289"/>
      <c r="N68" s="289"/>
    </row>
    <row r="69" spans="1:14">
      <c r="A69" s="278"/>
      <c r="J69" s="62"/>
      <c r="L69" s="289"/>
      <c r="N69" s="289"/>
    </row>
    <row r="70" spans="1:14">
      <c r="A70" s="278"/>
      <c r="J70" s="62"/>
      <c r="L70" s="289"/>
      <c r="N70" s="289"/>
    </row>
    <row r="71" spans="1:14">
      <c r="A71" s="278"/>
      <c r="J71" s="62"/>
      <c r="L71" s="289"/>
      <c r="N71" s="289"/>
    </row>
    <row r="72" spans="1:14">
      <c r="A72" s="278"/>
      <c r="J72" s="62"/>
      <c r="L72" s="289"/>
      <c r="N72" s="289"/>
    </row>
    <row r="73" spans="1:14">
      <c r="A73" s="278"/>
      <c r="J73" s="62"/>
      <c r="L73" s="289"/>
      <c r="N73" s="289"/>
    </row>
    <row r="74" spans="1:14">
      <c r="A74" s="278"/>
      <c r="J74" s="62"/>
      <c r="L74" s="289"/>
      <c r="N74" s="289"/>
    </row>
    <row r="75" spans="1:14">
      <c r="A75" s="278"/>
      <c r="J75" s="62"/>
      <c r="L75" s="289"/>
      <c r="N75" s="289"/>
    </row>
    <row r="76" spans="1:14">
      <c r="A76" s="278"/>
      <c r="J76" s="62"/>
      <c r="L76" s="289"/>
      <c r="N76" s="289"/>
    </row>
    <row r="77" spans="1:14">
      <c r="A77" s="278"/>
      <c r="J77" s="62"/>
      <c r="L77" s="289"/>
      <c r="N77" s="289"/>
    </row>
    <row r="78" spans="1:14">
      <c r="A78" s="278"/>
      <c r="J78" s="62"/>
      <c r="L78" s="289"/>
      <c r="N78" s="289"/>
    </row>
    <row r="79" spans="1:14">
      <c r="A79" s="278"/>
      <c r="J79" s="62"/>
      <c r="L79" s="289"/>
      <c r="N79" s="289"/>
    </row>
    <row r="80" spans="1:14">
      <c r="A80" s="278"/>
      <c r="J80" s="62"/>
      <c r="L80" s="289"/>
      <c r="N80" s="289"/>
    </row>
    <row r="81" spans="1:14">
      <c r="A81" s="278"/>
      <c r="J81" s="62"/>
      <c r="L81" s="289"/>
      <c r="N81" s="289"/>
    </row>
    <row r="82" spans="1:14">
      <c r="A82" s="278"/>
      <c r="J82" s="62"/>
      <c r="L82" s="289"/>
      <c r="N82" s="289"/>
    </row>
    <row r="83" spans="1:14">
      <c r="A83" s="278"/>
      <c r="J83" s="62"/>
      <c r="L83" s="289"/>
      <c r="N83" s="289"/>
    </row>
    <row r="84" spans="1:14">
      <c r="A84" s="278"/>
      <c r="J84" s="62"/>
      <c r="L84" s="289"/>
      <c r="N84" s="289"/>
    </row>
    <row r="85" spans="1:14">
      <c r="A85" s="278"/>
      <c r="J85" s="62"/>
      <c r="L85" s="289"/>
      <c r="N85" s="289"/>
    </row>
    <row r="86" spans="1:14">
      <c r="A86" s="278"/>
      <c r="J86" s="62"/>
      <c r="L86" s="289"/>
      <c r="N86" s="289"/>
    </row>
    <row r="87" spans="1:14">
      <c r="A87" s="278"/>
      <c r="J87" s="62"/>
      <c r="L87" s="289"/>
      <c r="N87" s="289"/>
    </row>
    <row r="88" spans="1:14">
      <c r="A88" s="278"/>
      <c r="J88" s="62"/>
      <c r="L88" s="289"/>
      <c r="N88" s="289"/>
    </row>
    <row r="89" spans="1:14">
      <c r="A89" s="278"/>
      <c r="J89" s="62"/>
      <c r="L89" s="289"/>
      <c r="N89" s="289"/>
    </row>
    <row r="90" spans="1:14">
      <c r="A90" s="278"/>
      <c r="J90" s="62"/>
      <c r="L90" s="289"/>
      <c r="N90" s="289"/>
    </row>
    <row r="91" spans="1:14">
      <c r="A91" s="278"/>
      <c r="J91" s="62"/>
      <c r="L91" s="289"/>
      <c r="N91" s="289"/>
    </row>
    <row r="92" spans="1:14">
      <c r="A92" s="278"/>
      <c r="J92" s="62"/>
      <c r="L92" s="289"/>
      <c r="N92" s="289"/>
    </row>
    <row r="93" spans="1:14">
      <c r="A93" s="278"/>
      <c r="J93" s="62"/>
      <c r="L93" s="289"/>
      <c r="N93" s="289"/>
    </row>
    <row r="94" spans="1:14">
      <c r="A94" s="278"/>
      <c r="J94" s="62"/>
      <c r="L94" s="289"/>
      <c r="N94" s="289"/>
    </row>
    <row r="95" spans="1:14">
      <c r="A95" s="278"/>
      <c r="J95" s="62"/>
      <c r="L95" s="289"/>
      <c r="N95" s="289"/>
    </row>
    <row r="96" spans="1:14">
      <c r="A96" s="278"/>
      <c r="J96" s="62"/>
      <c r="L96" s="289"/>
      <c r="N96" s="289"/>
    </row>
    <row r="97" spans="1:14">
      <c r="A97" s="278"/>
      <c r="J97" s="62"/>
      <c r="L97" s="289"/>
      <c r="N97" s="289"/>
    </row>
    <row r="98" spans="1:14">
      <c r="A98" s="278"/>
      <c r="J98" s="62"/>
      <c r="L98" s="289"/>
      <c r="N98" s="289"/>
    </row>
    <row r="99" spans="1:14">
      <c r="A99" s="278"/>
      <c r="J99" s="62"/>
      <c r="L99" s="289"/>
      <c r="N99" s="289"/>
    </row>
    <row r="100" spans="1:14">
      <c r="A100" s="278"/>
      <c r="J100" s="62"/>
      <c r="L100" s="289"/>
      <c r="N100" s="289"/>
    </row>
    <row r="101" spans="1:14">
      <c r="A101" s="278"/>
      <c r="J101" s="62"/>
      <c r="L101" s="289"/>
      <c r="N101" s="289"/>
    </row>
    <row r="102" spans="1:14">
      <c r="A102" s="278"/>
      <c r="J102" s="62"/>
      <c r="L102" s="289"/>
      <c r="N102" s="289"/>
    </row>
    <row r="103" spans="1:14">
      <c r="A103" s="278"/>
      <c r="J103" s="62"/>
      <c r="L103" s="289"/>
      <c r="N103" s="289"/>
    </row>
    <row r="104" spans="1:14">
      <c r="A104" s="278"/>
      <c r="J104" s="62"/>
      <c r="L104" s="289"/>
      <c r="N104" s="289"/>
    </row>
    <row r="105" spans="1:14">
      <c r="A105" s="278"/>
      <c r="J105" s="62"/>
      <c r="L105" s="289"/>
      <c r="N105" s="289"/>
    </row>
    <row r="106" spans="1:14">
      <c r="A106" s="278"/>
      <c r="J106" s="62"/>
      <c r="L106" s="289"/>
      <c r="N106" s="289"/>
    </row>
    <row r="107" spans="1:14">
      <c r="A107" s="278"/>
      <c r="J107" s="62"/>
      <c r="L107" s="289"/>
      <c r="N107" s="289"/>
    </row>
    <row r="108" spans="1:14">
      <c r="A108" s="278"/>
      <c r="J108" s="62"/>
      <c r="L108" s="289"/>
      <c r="N108" s="289"/>
    </row>
    <row r="109" spans="1:14">
      <c r="A109" s="278"/>
      <c r="J109" s="62"/>
      <c r="L109" s="289"/>
      <c r="N109" s="289"/>
    </row>
    <row r="110" spans="1:14">
      <c r="A110" s="278"/>
      <c r="J110" s="62"/>
      <c r="L110" s="289"/>
      <c r="N110" s="289"/>
    </row>
    <row r="111" spans="1:14">
      <c r="A111" s="278"/>
      <c r="J111" s="62"/>
      <c r="L111" s="289"/>
      <c r="N111" s="289"/>
    </row>
    <row r="112" spans="1:14">
      <c r="A112" s="278"/>
      <c r="J112" s="62"/>
      <c r="L112" s="289"/>
      <c r="N112" s="289"/>
    </row>
    <row r="113" spans="1:14">
      <c r="A113" s="278"/>
      <c r="J113" s="62"/>
      <c r="L113" s="289"/>
      <c r="N113" s="289"/>
    </row>
    <row r="114" spans="1:14">
      <c r="A114" s="278"/>
      <c r="J114" s="62"/>
      <c r="L114" s="289"/>
      <c r="N114" s="289"/>
    </row>
    <row r="115" spans="1:14">
      <c r="A115" s="278"/>
      <c r="J115" s="62"/>
      <c r="L115" s="289"/>
      <c r="N115" s="289"/>
    </row>
    <row r="116" spans="1:14">
      <c r="A116" s="278"/>
      <c r="J116" s="62"/>
      <c r="L116" s="289"/>
      <c r="N116" s="289"/>
    </row>
    <row r="117" spans="1:14">
      <c r="A117" s="278"/>
      <c r="J117" s="62"/>
      <c r="L117" s="289"/>
      <c r="N117" s="289"/>
    </row>
    <row r="118" spans="1:14">
      <c r="A118" s="278"/>
      <c r="J118" s="62"/>
      <c r="L118" s="289"/>
      <c r="N118" s="289"/>
    </row>
    <row r="119" spans="1:14">
      <c r="A119" s="278"/>
      <c r="J119" s="62"/>
      <c r="L119" s="289"/>
      <c r="N119" s="289"/>
    </row>
    <row r="120" spans="1:14">
      <c r="A120" s="278"/>
      <c r="J120" s="62"/>
      <c r="L120" s="289"/>
      <c r="N120" s="289"/>
    </row>
    <row r="121" spans="1:14">
      <c r="A121" s="278"/>
      <c r="J121" s="62"/>
      <c r="L121" s="289"/>
      <c r="N121" s="289"/>
    </row>
    <row r="122" spans="1:14">
      <c r="A122" s="278"/>
      <c r="J122" s="62"/>
      <c r="L122" s="289"/>
      <c r="N122" s="289"/>
    </row>
    <row r="123" spans="1:14">
      <c r="A123" s="278"/>
      <c r="J123" s="62"/>
      <c r="L123" s="289"/>
      <c r="N123" s="289"/>
    </row>
    <row r="124" spans="1:14">
      <c r="A124" s="278"/>
      <c r="J124" s="62"/>
      <c r="L124" s="289"/>
      <c r="N124" s="289"/>
    </row>
    <row r="125" spans="1:14">
      <c r="A125" s="278"/>
      <c r="J125" s="62"/>
      <c r="L125" s="289"/>
      <c r="N125" s="289"/>
    </row>
    <row r="126" spans="1:14">
      <c r="A126" s="278"/>
      <c r="J126" s="62"/>
      <c r="L126" s="289"/>
      <c r="N126" s="289"/>
    </row>
    <row r="127" spans="1:14">
      <c r="A127" s="278"/>
      <c r="J127" s="62"/>
      <c r="L127" s="289"/>
      <c r="N127" s="289"/>
    </row>
    <row r="128" spans="1:14">
      <c r="A128" s="278"/>
      <c r="J128" s="62"/>
      <c r="L128" s="289"/>
      <c r="N128" s="289"/>
    </row>
    <row r="129" spans="1:14">
      <c r="A129" s="278"/>
      <c r="J129" s="62"/>
      <c r="L129" s="289"/>
      <c r="N129" s="289"/>
    </row>
    <row r="130" spans="1:14">
      <c r="A130" s="278"/>
      <c r="J130" s="62"/>
      <c r="L130" s="289"/>
      <c r="N130" s="289"/>
    </row>
    <row r="131" spans="1:14">
      <c r="A131" s="278"/>
      <c r="J131" s="62"/>
      <c r="L131" s="289"/>
      <c r="N131" s="289"/>
    </row>
    <row r="132" spans="1:14">
      <c r="A132" s="278"/>
      <c r="J132" s="62"/>
      <c r="L132" s="289"/>
      <c r="N132" s="289"/>
    </row>
    <row r="133" spans="1:14">
      <c r="A133" s="278"/>
      <c r="J133" s="62"/>
      <c r="L133" s="289"/>
      <c r="N133" s="289"/>
    </row>
    <row r="134" spans="1:14">
      <c r="A134" s="278"/>
      <c r="J134" s="62"/>
      <c r="L134" s="289"/>
      <c r="N134" s="289"/>
    </row>
    <row r="135" spans="1:14">
      <c r="A135" s="278"/>
      <c r="J135" s="62"/>
      <c r="L135" s="289"/>
      <c r="N135" s="289"/>
    </row>
    <row r="136" spans="1:14">
      <c r="A136" s="278"/>
      <c r="J136" s="62"/>
      <c r="L136" s="289"/>
      <c r="N136" s="289"/>
    </row>
    <row r="137" spans="1:14">
      <c r="A137" s="278"/>
      <c r="J137" s="62"/>
      <c r="L137" s="289"/>
      <c r="N137" s="289"/>
    </row>
    <row r="138" spans="1:14">
      <c r="A138" s="278"/>
      <c r="J138" s="62"/>
      <c r="L138" s="289"/>
      <c r="N138" s="289"/>
    </row>
    <row r="139" spans="1:14">
      <c r="A139" s="278"/>
      <c r="J139" s="62"/>
      <c r="L139" s="289"/>
      <c r="N139" s="289"/>
    </row>
    <row r="140" spans="1:14">
      <c r="A140" s="278"/>
      <c r="J140" s="62"/>
      <c r="L140" s="289"/>
      <c r="N140" s="289"/>
    </row>
    <row r="141" spans="1:14">
      <c r="A141" s="278"/>
      <c r="J141" s="62"/>
      <c r="L141" s="289"/>
      <c r="N141" s="289"/>
    </row>
    <row r="142" spans="1:14">
      <c r="A142" s="278"/>
      <c r="J142" s="62"/>
      <c r="L142" s="289"/>
      <c r="N142" s="289"/>
    </row>
    <row r="143" spans="1:14">
      <c r="A143" s="278"/>
      <c r="J143" s="62"/>
      <c r="L143" s="289"/>
      <c r="N143" s="289"/>
    </row>
    <row r="144" spans="1:14">
      <c r="A144" s="278"/>
      <c r="J144" s="62"/>
      <c r="L144" s="289"/>
      <c r="N144" s="289"/>
    </row>
    <row r="145" spans="1:14">
      <c r="A145" s="278"/>
      <c r="J145" s="62"/>
      <c r="L145" s="289"/>
      <c r="N145" s="289"/>
    </row>
    <row r="146" spans="1:14">
      <c r="A146" s="278"/>
      <c r="J146" s="62"/>
      <c r="L146" s="289"/>
      <c r="N146" s="289"/>
    </row>
    <row r="147" spans="1:14">
      <c r="A147" s="278"/>
      <c r="J147" s="62"/>
      <c r="L147" s="289"/>
      <c r="N147" s="289"/>
    </row>
    <row r="148" spans="1:14">
      <c r="A148" s="278"/>
      <c r="J148" s="62"/>
      <c r="L148" s="289"/>
      <c r="N148" s="289"/>
    </row>
    <row r="149" spans="1:14">
      <c r="A149" s="278"/>
      <c r="J149" s="62"/>
      <c r="L149" s="289"/>
      <c r="N149" s="289"/>
    </row>
    <row r="150" spans="1:14">
      <c r="A150" s="278"/>
      <c r="J150" s="62"/>
      <c r="L150" s="289"/>
      <c r="N150" s="289"/>
    </row>
    <row r="151" spans="1:14">
      <c r="A151" s="278"/>
      <c r="J151" s="62"/>
      <c r="L151" s="289"/>
      <c r="N151" s="289"/>
    </row>
    <row r="152" spans="1:14">
      <c r="A152" s="278"/>
      <c r="J152" s="62"/>
      <c r="L152" s="289"/>
      <c r="N152" s="289"/>
    </row>
    <row r="153" spans="1:14">
      <c r="A153" s="278"/>
      <c r="J153" s="62"/>
      <c r="L153" s="289"/>
      <c r="N153" s="289"/>
    </row>
    <row r="154" spans="1:14">
      <c r="A154" s="278"/>
      <c r="J154" s="62"/>
      <c r="L154" s="289"/>
      <c r="N154" s="289"/>
    </row>
    <row r="155" spans="1:14">
      <c r="A155" s="278"/>
      <c r="J155" s="62"/>
      <c r="L155" s="289"/>
      <c r="N155" s="289"/>
    </row>
    <row r="156" spans="1:14">
      <c r="A156" s="278"/>
      <c r="J156" s="62"/>
      <c r="L156" s="289"/>
      <c r="N156" s="289"/>
    </row>
    <row r="157" spans="1:14">
      <c r="A157" s="278"/>
      <c r="J157" s="62"/>
      <c r="L157" s="289"/>
      <c r="N157" s="289"/>
    </row>
    <row r="158" spans="1:14">
      <c r="A158" s="278"/>
      <c r="L158" s="289"/>
      <c r="N158" s="289"/>
    </row>
    <row r="159" spans="1:14">
      <c r="A159" s="278"/>
      <c r="J159" s="62"/>
      <c r="L159" s="289"/>
      <c r="N159" s="289"/>
    </row>
    <row r="160" spans="1:14">
      <c r="A160" s="278"/>
      <c r="J160" s="62"/>
      <c r="L160" s="289"/>
      <c r="N160" s="289"/>
    </row>
    <row r="161" spans="1:14">
      <c r="A161" s="278"/>
      <c r="J161" s="62"/>
      <c r="L161" s="289"/>
      <c r="N161" s="289"/>
    </row>
    <row r="162" spans="1:14">
      <c r="A162" s="278"/>
      <c r="J162" s="62"/>
      <c r="L162" s="289"/>
      <c r="N162" s="289"/>
    </row>
    <row r="163" spans="1:14">
      <c r="A163" s="278"/>
      <c r="J163" s="62"/>
      <c r="L163" s="289"/>
      <c r="N163" s="289"/>
    </row>
    <row r="164" spans="1:14">
      <c r="A164" s="278"/>
      <c r="J164" s="62"/>
      <c r="L164" s="289"/>
      <c r="N164" s="289"/>
    </row>
    <row r="165" spans="1:14">
      <c r="A165" s="278"/>
      <c r="J165" s="62"/>
      <c r="L165" s="289"/>
      <c r="N165" s="289"/>
    </row>
    <row r="166" spans="1:14">
      <c r="A166" s="278"/>
      <c r="J166" s="62"/>
      <c r="L166" s="289"/>
      <c r="N166" s="289"/>
    </row>
    <row r="167" spans="1:14">
      <c r="A167" s="278"/>
      <c r="L167" s="289"/>
      <c r="N167" s="289"/>
    </row>
    <row r="168" spans="1:14">
      <c r="A168" s="278"/>
      <c r="J168" s="62"/>
      <c r="L168" s="289"/>
      <c r="N168" s="289"/>
    </row>
    <row r="169" spans="1:14">
      <c r="A169" s="278"/>
      <c r="J169" s="62"/>
      <c r="L169" s="289"/>
      <c r="N169" s="289"/>
    </row>
    <row r="170" spans="1:14">
      <c r="A170" s="278"/>
      <c r="J170" s="62"/>
      <c r="L170" s="289"/>
      <c r="N170" s="289"/>
    </row>
    <row r="171" spans="1:14">
      <c r="A171" s="278"/>
      <c r="J171" s="62"/>
      <c r="L171" s="289"/>
    </row>
    <row r="172" spans="1:14">
      <c r="A172" s="278"/>
      <c r="J172" s="62"/>
      <c r="L172" s="289"/>
    </row>
    <row r="173" spans="1:14">
      <c r="A173" s="278"/>
      <c r="J173" s="62"/>
      <c r="L173" s="289"/>
    </row>
    <row r="174" spans="1:14">
      <c r="A174" s="278"/>
      <c r="J174" s="62"/>
      <c r="L174" s="289"/>
    </row>
    <row r="175" spans="1:14">
      <c r="A175" s="278"/>
      <c r="J175" s="62"/>
      <c r="L175" s="289"/>
    </row>
    <row r="176" spans="1:14">
      <c r="A176" s="278"/>
      <c r="J176" s="62"/>
      <c r="L176" s="289"/>
    </row>
    <row r="177" spans="1:12">
      <c r="A177" s="278"/>
      <c r="J177" s="62"/>
      <c r="L177" s="289"/>
    </row>
    <row r="178" spans="1:12">
      <c r="A178" s="278"/>
      <c r="J178" s="62"/>
      <c r="L178" s="289"/>
    </row>
    <row r="179" spans="1:12">
      <c r="A179" s="278"/>
      <c r="J179" s="62"/>
      <c r="L179" s="289"/>
    </row>
    <row r="180" spans="1:12">
      <c r="A180" s="278"/>
      <c r="J180" s="62"/>
      <c r="L180" s="289"/>
    </row>
    <row r="181" spans="1:12">
      <c r="A181" s="278"/>
      <c r="J181" s="62"/>
      <c r="L181" s="289"/>
    </row>
    <row r="182" spans="1:12">
      <c r="A182" s="278"/>
      <c r="J182" s="62"/>
      <c r="L182" s="289"/>
    </row>
    <row r="183" spans="1:12">
      <c r="A183" s="278"/>
      <c r="L183" s="289"/>
    </row>
    <row r="184" spans="1:12">
      <c r="A184" s="278"/>
      <c r="J184" s="62"/>
      <c r="L184" s="289"/>
    </row>
    <row r="185" spans="1:12">
      <c r="A185" s="278"/>
      <c r="J185" s="62"/>
      <c r="L185" s="289"/>
    </row>
    <row r="186" spans="1:12">
      <c r="A186" s="278"/>
    </row>
    <row r="187" spans="1:12">
      <c r="A187" s="278"/>
    </row>
    <row r="188" spans="1:12">
      <c r="A188" s="278"/>
    </row>
    <row r="189" spans="1:12">
      <c r="A189" s="278"/>
    </row>
    <row r="190" spans="1:12">
      <c r="A190" s="278"/>
    </row>
    <row r="191" spans="1:12">
      <c r="A191" s="278"/>
    </row>
    <row r="192" spans="1:12">
      <c r="A192" s="278"/>
    </row>
    <row r="193" spans="1:1">
      <c r="A193" s="278"/>
    </row>
    <row r="194" spans="1:1">
      <c r="A194" s="278"/>
    </row>
    <row r="195" spans="1:1">
      <c r="A195" s="278"/>
    </row>
    <row r="196" spans="1:1">
      <c r="A196" s="278"/>
    </row>
    <row r="197" spans="1:1">
      <c r="A197" s="278"/>
    </row>
    <row r="198" spans="1:1">
      <c r="A198" s="278"/>
    </row>
    <row r="199" spans="1:1">
      <c r="A199" s="278"/>
    </row>
    <row r="200" spans="1:1">
      <c r="A200" s="278"/>
    </row>
    <row r="201" spans="1:1">
      <c r="A201" s="278"/>
    </row>
    <row r="202" spans="1:1">
      <c r="A202" s="278"/>
    </row>
    <row r="203" spans="1:1">
      <c r="A203" s="278"/>
    </row>
    <row r="204" spans="1:1">
      <c r="A204" s="278"/>
    </row>
    <row r="205" spans="1:1">
      <c r="A205" s="278"/>
    </row>
    <row r="206" spans="1:1">
      <c r="A206" s="278"/>
    </row>
    <row r="207" spans="1:1">
      <c r="A207" s="278"/>
    </row>
    <row r="208" spans="1:1">
      <c r="A208" s="278"/>
    </row>
    <row r="209" spans="1:1">
      <c r="A209" s="278"/>
    </row>
    <row r="210" spans="1:1">
      <c r="A210" s="278"/>
    </row>
    <row r="211" spans="1:1">
      <c r="A211" s="278"/>
    </row>
    <row r="212" spans="1:1">
      <c r="A212" s="278"/>
    </row>
    <row r="213" spans="1:1">
      <c r="A213" s="278"/>
    </row>
    <row r="214" spans="1:1">
      <c r="A214" s="278"/>
    </row>
    <row r="215" spans="1:1">
      <c r="A215" s="278"/>
    </row>
    <row r="216" spans="1:1">
      <c r="A216" s="278"/>
    </row>
    <row r="217" spans="1:1">
      <c r="A217" s="278"/>
    </row>
    <row r="218" spans="1:1">
      <c r="A218" s="278"/>
    </row>
    <row r="219" spans="1:1">
      <c r="A219" s="278"/>
    </row>
    <row r="220" spans="1:1">
      <c r="A220" s="278"/>
    </row>
    <row r="221" spans="1:1">
      <c r="A221" s="278"/>
    </row>
    <row r="222" spans="1:1">
      <c r="A222" s="278"/>
    </row>
    <row r="223" spans="1:1">
      <c r="A223" s="278"/>
    </row>
    <row r="224" spans="1:1">
      <c r="A224" s="278"/>
    </row>
    <row r="225" spans="1:1">
      <c r="A225" s="278"/>
    </row>
    <row r="226" spans="1:1">
      <c r="A226" s="278"/>
    </row>
    <row r="227" spans="1:1">
      <c r="A227" s="278"/>
    </row>
    <row r="228" spans="1:1">
      <c r="A228" s="278"/>
    </row>
  </sheetData>
  <conditionalFormatting sqref="A2:N1048576">
    <cfRule type="expression" dxfId="13" priority="1">
      <formula>AND(LEN(TRIM($A2&amp;$B2&amp;$C2&amp;$D2&amp;$E2&amp;$F2&amp;$G2&amp;$H2&amp;$I2&amp;$J2&amp;$K2&amp;$L2&amp;$M2&amp;$N2))&gt;0,   OR(LEN(TRIM($A2))=0,     LEN(TRIM($B2))=0,     LEN(TRIM($C2))=0,     LEN(TRIM($D2))=0,     LEN(TRIM($E2))=0,     LEN(TRIM($F2))=0,     LEN(TRIM($G2))=0,     LEN(TRIM($H2))=0,     LEN(TRIM($I2))=0,     LEN(TRIM($J2))=0,     LEN(TRIM($K2))=0,     LEN(TRIM($L2))=0,     LEN(TRIM($M2))=0,     LEN(TRIM($N2))=0))</formula>
    </cfRule>
  </conditionalFormatting>
  <conditionalFormatting sqref="B2:B1048576 D2:D1048576 F2:F1048576 M2:M1048576">
    <cfRule type="expression" dxfId="12" priority="3">
      <formula>OR(ISNUMBER(SEARCH("0",B2)),  ISNUMBER(SEARCH("1",B2)),  ISNUMBER(SEARCH("2",B2)),  ISNUMBER(SEARCH("3",B2)),  ISNUMBER(SEARCH("4",B2)),  ISNUMBER(SEARCH("5",B2)),  ISNUMBER(SEARCH("6",B2)),  ISNUMBER(SEARCH("7",B2)),  ISNUMBER(SEARCH("8",B2)),  ISNUMBER(SEARCH("9",B2)))</formula>
    </cfRule>
  </conditionalFormatting>
  <dataValidations count="7">
    <dataValidation type="decimal" allowBlank="1" showInputMessage="1" showErrorMessage="1" error="El campo debe tener como maximo 9.999.999.999.999,99" sqref="C2:C223" xr:uid="{7FF0F324-040C-4D86-8435-70F32B1A9A0A}">
      <formula1>0</formula1>
      <formula2>999999999999999</formula2>
    </dataValidation>
    <dataValidation type="textLength" operator="lessThanOrEqual" allowBlank="1" showInputMessage="1" showErrorMessage="1" error="El campo debe tener maximo 30 caracteres" sqref="K2:K1048576 H2:H1048576" xr:uid="{5B87E46A-AA88-425A-8A5A-9730130392BB}">
      <formula1>30</formula1>
    </dataValidation>
    <dataValidation type="date" allowBlank="1" showInputMessage="1" showErrorMessage="1" error="El campo debe estar entre 01/01/1900 y 31/12/2100" sqref="G1:G1048576 N2:N1048576 L2:L1048576" xr:uid="{CAD8ADB4-2B70-4D18-9FD6-3F1D7955F1CC}">
      <formula1>1</formula1>
      <formula2>73415</formula2>
    </dataValidation>
    <dataValidation type="decimal" allowBlank="1" showInputMessage="1" showErrorMessage="1" error="El campo debe tener como maximo 9.999.999.999.999,99" sqref="J2:J1048576" xr:uid="{C441A25A-39D1-4E78-9135-402A5E8D34CA}">
      <formula1>0</formula1>
      <formula2>99999999999999</formula2>
    </dataValidation>
    <dataValidation type="whole" allowBlank="1" showInputMessage="1" showErrorMessage="1" error="El campo debe tener 11 digitos numericos" sqref="A2:A1048576" xr:uid="{61B6CEB7-09CD-4972-8098-AAB3CD03AA8F}">
      <formula1>10000000000</formula1>
      <formula2>99999999999</formula2>
    </dataValidation>
    <dataValidation type="textLength" operator="lessThanOrEqual" allowBlank="1" showInputMessage="1" showErrorMessage="1" error="El campo debe tener maximo 50 caracteres" sqref="M2:M1048576 D2:D1048576 F2:F1048576 I2:I1048576 B2:B1048576" xr:uid="{6737C791-F614-4427-91D7-6FFBFF75E495}">
      <formula1>50</formula1>
    </dataValidation>
    <dataValidation type="whole" allowBlank="1" showInputMessage="1" showErrorMessage="1" error="El campo debe tener 3 digitos numericos" sqref="E2:E1048576" xr:uid="{D4CEA837-1F09-496A-B3B4-551A3A7ED756}">
      <formula1>0</formula1>
      <formula2>999</formula2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3574-A7F4-4C38-9927-D9A4A0F2F9A9}">
  <sheetPr>
    <tabColor rgb="FF7030A0"/>
  </sheetPr>
  <dimension ref="A1:F437"/>
  <sheetViews>
    <sheetView showGridLines="0" zoomScaleNormal="100" zoomScaleSheetLayoutView="70" workbookViewId="0">
      <pane ySplit="1" topLeftCell="A2" activePane="bottomLeft" state="frozen"/>
      <selection pane="bottomLeft" activeCell="B7" sqref="B7"/>
      <selection activeCell="D2" sqref="D2"/>
    </sheetView>
  </sheetViews>
  <sheetFormatPr defaultColWidth="8.85546875" defaultRowHeight="12.95"/>
  <cols>
    <col min="1" max="1" width="54.85546875" style="294" customWidth="1"/>
    <col min="2" max="2" width="25.5703125" style="294" customWidth="1"/>
    <col min="3" max="3" width="18.28515625" style="294" bestFit="1" customWidth="1"/>
    <col min="4" max="4" width="17.42578125" style="643" bestFit="1" customWidth="1"/>
    <col min="5" max="5" width="15.28515625" style="91" customWidth="1"/>
    <col min="6" max="6" width="16.7109375" style="295" bestFit="1" customWidth="1"/>
    <col min="7" max="16384" width="8.85546875" style="11"/>
  </cols>
  <sheetData>
    <row r="1" spans="1:6">
      <c r="A1" s="642" t="s">
        <v>4516</v>
      </c>
      <c r="B1" s="642" t="s">
        <v>4517</v>
      </c>
      <c r="C1" s="642" t="s">
        <v>4518</v>
      </c>
      <c r="D1" s="642" t="s">
        <v>4519</v>
      </c>
      <c r="E1" s="644" t="s">
        <v>4506</v>
      </c>
      <c r="F1" s="546" t="s">
        <v>4133</v>
      </c>
    </row>
    <row r="2" spans="1:6">
      <c r="A2" s="640" t="str">
        <f>IF(OR(LEN('RETEN. y PERC.'!F2)=0,'RETEN. y PERC.'!F2=0),"",'RETEN. y PERC.'!F2)</f>
        <v/>
      </c>
      <c r="B2" s="640" t="str">
        <f>IF(OR(LEN('RETEN. y PERC.'!A2)=0,'RETEN. y PERC.'!A2=0),"",'RETEN. y PERC.'!A2)</f>
        <v/>
      </c>
      <c r="C2" s="640" t="str">
        <f>IF(OR(LEN('RETEN. y PERC.'!H2)=0,'RETEN. y PERC.'!H2=0),"",'RETEN. y PERC.'!H2)</f>
        <v/>
      </c>
      <c r="D2" s="640" t="str">
        <f>IF(OR(LEN('RETEN. y PERC.'!N2)=0,'RETEN. y PERC.'!N2=0),"",'RETEN. y PERC.'!N2)</f>
        <v/>
      </c>
      <c r="F2" s="645" t="str">
        <f>IF(OR(LEN('RETEN. y PERC.'!J2)=0,'RETEN. y PERC.'!J2=0),"",'RETEN. y PERC.'!J2)</f>
        <v/>
      </c>
    </row>
    <row r="3" spans="1:6">
      <c r="A3" s="640" t="str">
        <f>IF(OR(LEN('RETEN. y PERC.'!F3)=0,'RETEN. y PERC.'!F3=0),"",'RETEN. y PERC.'!F3)</f>
        <v/>
      </c>
      <c r="B3" s="640" t="str">
        <f>IF(OR(LEN('RETEN. y PERC.'!A3)=0,'RETEN. y PERC.'!A3=0),"",'RETEN. y PERC.'!A3)</f>
        <v/>
      </c>
      <c r="C3" s="640" t="str">
        <f>IF(OR(LEN('RETEN. y PERC.'!H3)=0,'RETEN. y PERC.'!H3=0),"",'RETEN. y PERC.'!H3)</f>
        <v/>
      </c>
      <c r="D3" s="640" t="str">
        <f>IF(OR(LEN('RETEN. y PERC.'!N3)=0,'RETEN. y PERC.'!N3=0),"",'RETEN. y PERC.'!N3)</f>
        <v/>
      </c>
      <c r="F3" s="645" t="str">
        <f>IF(OR(LEN('RETEN. y PERC.'!J3)=0,'RETEN. y PERC.'!J3=0),"",'RETEN. y PERC.'!J3)</f>
        <v/>
      </c>
    </row>
    <row r="4" spans="1:6">
      <c r="A4" s="640" t="str">
        <f>IF(OR(LEN('RETEN. y PERC.'!F4)=0,'RETEN. y PERC.'!F4=0),"",'RETEN. y PERC.'!F4)</f>
        <v/>
      </c>
      <c r="B4" s="640" t="str">
        <f>IF(OR(LEN('RETEN. y PERC.'!A4)=0,'RETEN. y PERC.'!A4=0),"",'RETEN. y PERC.'!A4)</f>
        <v/>
      </c>
      <c r="C4" s="640" t="str">
        <f>IF(OR(LEN('RETEN. y PERC.'!H4)=0,'RETEN. y PERC.'!H4=0),"",'RETEN. y PERC.'!H4)</f>
        <v/>
      </c>
      <c r="D4" s="640" t="str">
        <f>IF(OR(LEN('RETEN. y PERC.'!N4)=0,'RETEN. y PERC.'!N4=0),"",'RETEN. y PERC.'!N4)</f>
        <v/>
      </c>
      <c r="F4" s="645" t="str">
        <f>IF(OR(LEN('RETEN. y PERC.'!J4)=0,'RETEN. y PERC.'!J4=0),"",'RETEN. y PERC.'!J4)</f>
        <v/>
      </c>
    </row>
    <row r="5" spans="1:6">
      <c r="A5" s="640" t="str">
        <f>IF(OR(LEN('RETEN. y PERC.'!F5)=0,'RETEN. y PERC.'!F5=0),"",'RETEN. y PERC.'!F5)</f>
        <v/>
      </c>
      <c r="B5" s="640" t="str">
        <f>IF(OR(LEN('RETEN. y PERC.'!A5)=0,'RETEN. y PERC.'!A5=0),"",'RETEN. y PERC.'!A5)</f>
        <v/>
      </c>
      <c r="C5" s="640" t="str">
        <f>IF(OR(LEN('RETEN. y PERC.'!H5)=0,'RETEN. y PERC.'!H5=0),"",'RETEN. y PERC.'!H5)</f>
        <v/>
      </c>
      <c r="D5" s="640" t="str">
        <f>IF(OR(LEN('RETEN. y PERC.'!N5)=0,'RETEN. y PERC.'!N5=0),"",'RETEN. y PERC.'!N5)</f>
        <v/>
      </c>
      <c r="F5" s="645" t="str">
        <f>IF(OR(LEN('RETEN. y PERC.'!J5)=0,'RETEN. y PERC.'!J5=0),"",'RETEN. y PERC.'!J5)</f>
        <v/>
      </c>
    </row>
    <row r="6" spans="1:6">
      <c r="A6" s="640" t="str">
        <f>IF(OR(LEN('RETEN. y PERC.'!F6)=0,'RETEN. y PERC.'!F6=0),"",'RETEN. y PERC.'!F6)</f>
        <v/>
      </c>
      <c r="B6" s="640" t="str">
        <f>IF(OR(LEN('RETEN. y PERC.'!A6)=0,'RETEN. y PERC.'!A6=0),"",'RETEN. y PERC.'!A6)</f>
        <v/>
      </c>
      <c r="C6" s="640" t="str">
        <f>IF(OR(LEN('RETEN. y PERC.'!H6)=0,'RETEN. y PERC.'!H6=0),"",'RETEN. y PERC.'!H6)</f>
        <v/>
      </c>
      <c r="D6" s="640" t="str">
        <f>IF(OR(LEN('RETEN. y PERC.'!N6)=0,'RETEN. y PERC.'!N6=0),"",'RETEN. y PERC.'!N6)</f>
        <v/>
      </c>
      <c r="F6" s="645" t="str">
        <f>IF(OR(LEN('RETEN. y PERC.'!J6)=0,'RETEN. y PERC.'!J6=0),"",'RETEN. y PERC.'!J6)</f>
        <v/>
      </c>
    </row>
    <row r="7" spans="1:6">
      <c r="A7" s="640" t="str">
        <f>IF(OR(LEN('RETEN. y PERC.'!F7)=0,'RETEN. y PERC.'!F7=0),"",'RETEN. y PERC.'!F7)</f>
        <v/>
      </c>
      <c r="B7" s="640" t="str">
        <f>IF(OR(LEN('RETEN. y PERC.'!A7)=0,'RETEN. y PERC.'!A7=0),"",'RETEN. y PERC.'!A7)</f>
        <v/>
      </c>
      <c r="C7" s="640" t="str">
        <f>IF(OR(LEN('RETEN. y PERC.'!H7)=0,'RETEN. y PERC.'!H7=0),"",'RETEN. y PERC.'!H7)</f>
        <v/>
      </c>
      <c r="D7" s="640" t="str">
        <f>IF(OR(LEN('RETEN. y PERC.'!N7)=0,'RETEN. y PERC.'!N7=0),"",'RETEN. y PERC.'!N7)</f>
        <v/>
      </c>
      <c r="F7" s="645" t="str">
        <f>IF(OR(LEN('RETEN. y PERC.'!J7)=0,'RETEN. y PERC.'!J7=0),"",'RETEN. y PERC.'!J7)</f>
        <v/>
      </c>
    </row>
    <row r="8" spans="1:6">
      <c r="A8" s="640" t="str">
        <f>IF(OR(LEN('RETEN. y PERC.'!F8)=0,'RETEN. y PERC.'!F8=0),"",'RETEN. y PERC.'!F8)</f>
        <v/>
      </c>
      <c r="B8" s="640" t="str">
        <f>IF(OR(LEN('RETEN. y PERC.'!A8)=0,'RETEN. y PERC.'!A8=0),"",'RETEN. y PERC.'!A8)</f>
        <v/>
      </c>
      <c r="C8" s="640" t="str">
        <f>IF(OR(LEN('RETEN. y PERC.'!H8)=0,'RETEN. y PERC.'!H8=0),"",'RETEN. y PERC.'!H8)</f>
        <v/>
      </c>
      <c r="D8" s="640" t="str">
        <f>IF(OR(LEN('RETEN. y PERC.'!N8)=0,'RETEN. y PERC.'!N8=0),"",'RETEN. y PERC.'!N8)</f>
        <v/>
      </c>
      <c r="F8" s="645" t="str">
        <f>IF(OR(LEN('RETEN. y PERC.'!J8)=0,'RETEN. y PERC.'!J8=0),"",'RETEN. y PERC.'!J8)</f>
        <v/>
      </c>
    </row>
    <row r="9" spans="1:6">
      <c r="A9" s="640" t="str">
        <f>IF(OR(LEN('RETEN. y PERC.'!F9)=0,'RETEN. y PERC.'!F9=0),"",'RETEN. y PERC.'!F9)</f>
        <v/>
      </c>
      <c r="B9" s="640" t="str">
        <f>IF(OR(LEN('RETEN. y PERC.'!A9)=0,'RETEN. y PERC.'!A9=0),"",'RETEN. y PERC.'!A9)</f>
        <v/>
      </c>
      <c r="C9" s="640" t="str">
        <f>IF(OR(LEN('RETEN. y PERC.'!H9)=0,'RETEN. y PERC.'!H9=0),"",'RETEN. y PERC.'!H9)</f>
        <v/>
      </c>
      <c r="D9" s="640" t="str">
        <f>IF(OR(LEN('RETEN. y PERC.'!N9)=0,'RETEN. y PERC.'!N9=0),"",'RETEN. y PERC.'!N9)</f>
        <v/>
      </c>
      <c r="F9" s="645" t="str">
        <f>IF(OR(LEN('RETEN. y PERC.'!J9)=0,'RETEN. y PERC.'!J9=0),"",'RETEN. y PERC.'!J9)</f>
        <v/>
      </c>
    </row>
    <row r="10" spans="1:6">
      <c r="A10" s="640" t="str">
        <f>IF(OR(LEN('RETEN. y PERC.'!F10)=0,'RETEN. y PERC.'!F10=0),"",'RETEN. y PERC.'!F10)</f>
        <v/>
      </c>
      <c r="B10" s="640" t="str">
        <f>IF(OR(LEN('RETEN. y PERC.'!A10)=0,'RETEN. y PERC.'!A10=0),"",'RETEN. y PERC.'!A10)</f>
        <v/>
      </c>
      <c r="C10" s="640" t="str">
        <f>IF(OR(LEN('RETEN. y PERC.'!H10)=0,'RETEN. y PERC.'!H10=0),"",'RETEN. y PERC.'!H10)</f>
        <v/>
      </c>
      <c r="D10" s="640" t="str">
        <f>IF(OR(LEN('RETEN. y PERC.'!N10)=0,'RETEN. y PERC.'!N10=0),"",'RETEN. y PERC.'!N10)</f>
        <v/>
      </c>
      <c r="F10" s="645" t="str">
        <f>IF(OR(LEN('RETEN. y PERC.'!J10)=0,'RETEN. y PERC.'!J10=0),"",'RETEN. y PERC.'!J10)</f>
        <v/>
      </c>
    </row>
    <row r="11" spans="1:6">
      <c r="A11" s="640" t="str">
        <f>IF(OR(LEN('RETEN. y PERC.'!F11)=0,'RETEN. y PERC.'!F11=0),"",'RETEN. y PERC.'!F11)</f>
        <v/>
      </c>
      <c r="B11" s="640" t="str">
        <f>IF(OR(LEN('RETEN. y PERC.'!A11)=0,'RETEN. y PERC.'!A11=0),"",'RETEN. y PERC.'!A11)</f>
        <v/>
      </c>
      <c r="C11" s="640" t="str">
        <f>IF(OR(LEN('RETEN. y PERC.'!H11)=0,'RETEN. y PERC.'!H11=0),"",'RETEN. y PERC.'!H11)</f>
        <v/>
      </c>
      <c r="D11" s="640" t="str">
        <f>IF(OR(LEN('RETEN. y PERC.'!N11)=0,'RETEN. y PERC.'!N11=0),"",'RETEN. y PERC.'!N11)</f>
        <v/>
      </c>
      <c r="F11" s="645" t="str">
        <f>IF(OR(LEN('RETEN. y PERC.'!J11)=0,'RETEN. y PERC.'!J11=0),"",'RETEN. y PERC.'!J11)</f>
        <v/>
      </c>
    </row>
    <row r="12" spans="1:6">
      <c r="A12" s="640" t="str">
        <f>IF(OR(LEN('RETEN. y PERC.'!F12)=0,'RETEN. y PERC.'!F12=0),"",'RETEN. y PERC.'!F12)</f>
        <v/>
      </c>
      <c r="B12" s="640" t="str">
        <f>IF(OR(LEN('RETEN. y PERC.'!A12)=0,'RETEN. y PERC.'!A12=0),"",'RETEN. y PERC.'!A12)</f>
        <v/>
      </c>
      <c r="C12" s="640" t="str">
        <f>IF(OR(LEN('RETEN. y PERC.'!H12)=0,'RETEN. y PERC.'!H12=0),"",'RETEN. y PERC.'!H12)</f>
        <v/>
      </c>
      <c r="D12" s="640" t="str">
        <f>IF(OR(LEN('RETEN. y PERC.'!N12)=0,'RETEN. y PERC.'!N12=0),"",'RETEN. y PERC.'!N12)</f>
        <v/>
      </c>
      <c r="F12" s="645" t="str">
        <f>IF(OR(LEN('RETEN. y PERC.'!J12)=0,'RETEN. y PERC.'!J12=0),"",'RETEN. y PERC.'!J12)</f>
        <v/>
      </c>
    </row>
    <row r="13" spans="1:6">
      <c r="A13" s="640" t="str">
        <f>IF(OR(LEN('RETEN. y PERC.'!F13)=0,'RETEN. y PERC.'!F13=0),"",'RETEN. y PERC.'!F13)</f>
        <v/>
      </c>
      <c r="B13" s="640" t="str">
        <f>IF(OR(LEN('RETEN. y PERC.'!A13)=0,'RETEN. y PERC.'!A13=0),"",'RETEN. y PERC.'!A13)</f>
        <v/>
      </c>
      <c r="C13" s="640" t="str">
        <f>IF(OR(LEN('RETEN. y PERC.'!H13)=0,'RETEN. y PERC.'!H13=0),"",'RETEN. y PERC.'!H13)</f>
        <v/>
      </c>
      <c r="D13" s="640" t="str">
        <f>IF(OR(LEN('RETEN. y PERC.'!N13)=0,'RETEN. y PERC.'!N13=0),"",'RETEN. y PERC.'!N13)</f>
        <v/>
      </c>
      <c r="F13" s="645" t="str">
        <f>IF(OR(LEN('RETEN. y PERC.'!J13)=0,'RETEN. y PERC.'!J13=0),"",'RETEN. y PERC.'!J13)</f>
        <v/>
      </c>
    </row>
    <row r="14" spans="1:6">
      <c r="A14" s="640" t="str">
        <f>IF(OR(LEN('RETEN. y PERC.'!F14)=0,'RETEN. y PERC.'!F14=0),"",'RETEN. y PERC.'!F14)</f>
        <v/>
      </c>
      <c r="B14" s="640" t="str">
        <f>IF(OR(LEN('RETEN. y PERC.'!A14)=0,'RETEN. y PERC.'!A14=0),"",'RETEN. y PERC.'!A14)</f>
        <v/>
      </c>
      <c r="C14" s="640" t="str">
        <f>IF(OR(LEN('RETEN. y PERC.'!H14)=0,'RETEN. y PERC.'!H14=0),"",'RETEN. y PERC.'!H14)</f>
        <v/>
      </c>
      <c r="D14" s="640" t="str">
        <f>IF(OR(LEN('RETEN. y PERC.'!N14)=0,'RETEN. y PERC.'!N14=0),"",'RETEN. y PERC.'!N14)</f>
        <v/>
      </c>
      <c r="F14" s="645" t="str">
        <f>IF(OR(LEN('RETEN. y PERC.'!J14)=0,'RETEN. y PERC.'!J14=0),"",'RETEN. y PERC.'!J14)</f>
        <v/>
      </c>
    </row>
    <row r="15" spans="1:6">
      <c r="A15" s="640" t="str">
        <f>IF(OR(LEN('RETEN. y PERC.'!F15)=0,'RETEN. y PERC.'!F15=0),"",'RETEN. y PERC.'!F15)</f>
        <v/>
      </c>
      <c r="B15" s="640" t="str">
        <f>IF(OR(LEN('RETEN. y PERC.'!A15)=0,'RETEN. y PERC.'!A15=0),"",'RETEN. y PERC.'!A15)</f>
        <v/>
      </c>
      <c r="C15" s="640" t="str">
        <f>IF(OR(LEN('RETEN. y PERC.'!H15)=0,'RETEN. y PERC.'!H15=0),"",'RETEN. y PERC.'!H15)</f>
        <v/>
      </c>
      <c r="D15" s="640" t="str">
        <f>IF(OR(LEN('RETEN. y PERC.'!N15)=0,'RETEN. y PERC.'!N15=0),"",'RETEN. y PERC.'!N15)</f>
        <v/>
      </c>
      <c r="F15" s="645" t="str">
        <f>IF(OR(LEN('RETEN. y PERC.'!J15)=0,'RETEN. y PERC.'!J15=0),"",'RETEN. y PERC.'!J15)</f>
        <v/>
      </c>
    </row>
    <row r="16" spans="1:6">
      <c r="A16" s="640" t="str">
        <f>IF(OR(LEN('RETEN. y PERC.'!F16)=0,'RETEN. y PERC.'!F16=0),"",'RETEN. y PERC.'!F16)</f>
        <v/>
      </c>
      <c r="B16" s="640" t="str">
        <f>IF(OR(LEN('RETEN. y PERC.'!A16)=0,'RETEN. y PERC.'!A16=0),"",'RETEN. y PERC.'!A16)</f>
        <v/>
      </c>
      <c r="C16" s="640" t="str">
        <f>IF(OR(LEN('RETEN. y PERC.'!H16)=0,'RETEN. y PERC.'!H16=0),"",'RETEN. y PERC.'!H16)</f>
        <v/>
      </c>
      <c r="D16" s="640" t="str">
        <f>IF(OR(LEN('RETEN. y PERC.'!N16)=0,'RETEN. y PERC.'!N16=0),"",'RETEN. y PERC.'!N16)</f>
        <v/>
      </c>
      <c r="F16" s="645" t="str">
        <f>IF(OR(LEN('RETEN. y PERC.'!J16)=0,'RETEN. y PERC.'!J16=0),"",'RETEN. y PERC.'!J16)</f>
        <v/>
      </c>
    </row>
    <row r="17" spans="1:6">
      <c r="A17" s="640" t="str">
        <f>IF(OR(LEN('RETEN. y PERC.'!F17)=0,'RETEN. y PERC.'!F17=0),"",'RETEN. y PERC.'!F17)</f>
        <v/>
      </c>
      <c r="B17" s="640" t="str">
        <f>IF(OR(LEN('RETEN. y PERC.'!A17)=0,'RETEN. y PERC.'!A17=0),"",'RETEN. y PERC.'!A17)</f>
        <v/>
      </c>
      <c r="C17" s="640" t="str">
        <f>IF(OR(LEN('RETEN. y PERC.'!H17)=0,'RETEN. y PERC.'!H17=0),"",'RETEN. y PERC.'!H17)</f>
        <v/>
      </c>
      <c r="D17" s="640" t="str">
        <f>IF(OR(LEN('RETEN. y PERC.'!N17)=0,'RETEN. y PERC.'!N17=0),"",'RETEN. y PERC.'!N17)</f>
        <v/>
      </c>
      <c r="F17" s="645" t="str">
        <f>IF(OR(LEN('RETEN. y PERC.'!J17)=0,'RETEN. y PERC.'!J17=0),"",'RETEN. y PERC.'!J17)</f>
        <v/>
      </c>
    </row>
    <row r="18" spans="1:6">
      <c r="A18" s="640" t="str">
        <f>IF(OR(LEN('RETEN. y PERC.'!F18)=0,'RETEN. y PERC.'!F18=0),"",'RETEN. y PERC.'!F18)</f>
        <v/>
      </c>
      <c r="B18" s="640" t="str">
        <f>IF(OR(LEN('RETEN. y PERC.'!A18)=0,'RETEN. y PERC.'!A18=0),"",'RETEN. y PERC.'!A18)</f>
        <v/>
      </c>
      <c r="C18" s="640" t="str">
        <f>IF(OR(LEN('RETEN. y PERC.'!H18)=0,'RETEN. y PERC.'!H18=0),"",'RETEN. y PERC.'!H18)</f>
        <v/>
      </c>
      <c r="D18" s="640" t="str">
        <f>IF(OR(LEN('RETEN. y PERC.'!N18)=0,'RETEN. y PERC.'!N18=0),"",'RETEN. y PERC.'!N18)</f>
        <v/>
      </c>
      <c r="F18" s="645" t="str">
        <f>IF(OR(LEN('RETEN. y PERC.'!J18)=0,'RETEN. y PERC.'!J18=0),"",'RETEN. y PERC.'!J18)</f>
        <v/>
      </c>
    </row>
    <row r="19" spans="1:6">
      <c r="A19" s="640" t="str">
        <f>IF(OR(LEN('RETEN. y PERC.'!F19)=0,'RETEN. y PERC.'!F19=0),"",'RETEN. y PERC.'!F19)</f>
        <v/>
      </c>
      <c r="B19" s="640" t="str">
        <f>IF(OR(LEN('RETEN. y PERC.'!A19)=0,'RETEN. y PERC.'!A19=0),"",'RETEN. y PERC.'!A19)</f>
        <v/>
      </c>
      <c r="C19" s="640" t="str">
        <f>IF(OR(LEN('RETEN. y PERC.'!H19)=0,'RETEN. y PERC.'!H19=0),"",'RETEN. y PERC.'!H19)</f>
        <v/>
      </c>
      <c r="D19" s="640" t="str">
        <f>IF(OR(LEN('RETEN. y PERC.'!N19)=0,'RETEN. y PERC.'!N19=0),"",'RETEN. y PERC.'!N19)</f>
        <v/>
      </c>
      <c r="F19" s="645" t="str">
        <f>IF(OR(LEN('RETEN. y PERC.'!J19)=0,'RETEN. y PERC.'!J19=0),"",'RETEN. y PERC.'!J19)</f>
        <v/>
      </c>
    </row>
    <row r="20" spans="1:6">
      <c r="A20" s="640" t="str">
        <f>IF(OR(LEN('RETEN. y PERC.'!F20)=0,'RETEN. y PERC.'!F20=0),"",'RETEN. y PERC.'!F20)</f>
        <v/>
      </c>
      <c r="B20" s="640" t="str">
        <f>IF(OR(LEN('RETEN. y PERC.'!A20)=0,'RETEN. y PERC.'!A20=0),"",'RETEN. y PERC.'!A20)</f>
        <v/>
      </c>
      <c r="C20" s="640" t="str">
        <f>IF(OR(LEN('RETEN. y PERC.'!H20)=0,'RETEN. y PERC.'!H20=0),"",'RETEN. y PERC.'!H20)</f>
        <v/>
      </c>
      <c r="D20" s="640" t="str">
        <f>IF(OR(LEN('RETEN. y PERC.'!N20)=0,'RETEN. y PERC.'!N20=0),"",'RETEN. y PERC.'!N20)</f>
        <v/>
      </c>
      <c r="F20" s="645" t="str">
        <f>IF(OR(LEN('RETEN. y PERC.'!J20)=0,'RETEN. y PERC.'!J20=0),"",'RETEN. y PERC.'!J20)</f>
        <v/>
      </c>
    </row>
    <row r="21" spans="1:6">
      <c r="A21" s="640" t="str">
        <f>IF(OR(LEN('RETEN. y PERC.'!F21)=0,'RETEN. y PERC.'!F21=0),"",'RETEN. y PERC.'!F21)</f>
        <v/>
      </c>
      <c r="B21" s="640" t="str">
        <f>IF(OR(LEN('RETEN. y PERC.'!A21)=0,'RETEN. y PERC.'!A21=0),"",'RETEN. y PERC.'!A21)</f>
        <v/>
      </c>
      <c r="C21" s="640" t="str">
        <f>IF(OR(LEN('RETEN. y PERC.'!H21)=0,'RETEN. y PERC.'!H21=0),"",'RETEN. y PERC.'!H21)</f>
        <v/>
      </c>
      <c r="D21" s="640" t="str">
        <f>IF(OR(LEN('RETEN. y PERC.'!N21)=0,'RETEN. y PERC.'!N21=0),"",'RETEN. y PERC.'!N21)</f>
        <v/>
      </c>
      <c r="F21" s="645" t="str">
        <f>IF(OR(LEN('RETEN. y PERC.'!J21)=0,'RETEN. y PERC.'!J21=0),"",'RETEN. y PERC.'!J21)</f>
        <v/>
      </c>
    </row>
    <row r="22" spans="1:6">
      <c r="A22" s="640" t="str">
        <f>IF(OR(LEN('RETEN. y PERC.'!F22)=0,'RETEN. y PERC.'!F22=0),"",'RETEN. y PERC.'!F22)</f>
        <v/>
      </c>
      <c r="B22" s="640" t="str">
        <f>IF(OR(LEN('RETEN. y PERC.'!A22)=0,'RETEN. y PERC.'!A22=0),"",'RETEN. y PERC.'!A22)</f>
        <v/>
      </c>
      <c r="C22" s="640" t="str">
        <f>IF(OR(LEN('RETEN. y PERC.'!H22)=0,'RETEN. y PERC.'!H22=0),"",'RETEN. y PERC.'!H22)</f>
        <v/>
      </c>
      <c r="D22" s="640" t="str">
        <f>IF(OR(LEN('RETEN. y PERC.'!N22)=0,'RETEN. y PERC.'!N22=0),"",'RETEN. y PERC.'!N22)</f>
        <v/>
      </c>
      <c r="F22" s="645" t="str">
        <f>IF(OR(LEN('RETEN. y PERC.'!J22)=0,'RETEN. y PERC.'!J22=0),"",'RETEN. y PERC.'!J22)</f>
        <v/>
      </c>
    </row>
    <row r="23" spans="1:6">
      <c r="A23" s="640" t="str">
        <f>IF(OR(LEN('RETEN. y PERC.'!F23)=0,'RETEN. y PERC.'!F23=0),"",'RETEN. y PERC.'!F23)</f>
        <v/>
      </c>
      <c r="B23" s="640" t="str">
        <f>IF(OR(LEN('RETEN. y PERC.'!A23)=0,'RETEN. y PERC.'!A23=0),"",'RETEN. y PERC.'!A23)</f>
        <v/>
      </c>
      <c r="C23" s="640" t="str">
        <f>IF(OR(LEN('RETEN. y PERC.'!H23)=0,'RETEN. y PERC.'!H23=0),"",'RETEN. y PERC.'!H23)</f>
        <v/>
      </c>
      <c r="D23" s="640" t="str">
        <f>IF(OR(LEN('RETEN. y PERC.'!N23)=0,'RETEN. y PERC.'!N23=0),"",'RETEN. y PERC.'!N23)</f>
        <v/>
      </c>
      <c r="F23" s="645" t="str">
        <f>IF(OR(LEN('RETEN. y PERC.'!J23)=0,'RETEN. y PERC.'!J23=0),"",'RETEN. y PERC.'!J23)</f>
        <v/>
      </c>
    </row>
    <row r="24" spans="1:6">
      <c r="A24" s="640" t="str">
        <f>IF(OR(LEN('RETEN. y PERC.'!F24)=0,'RETEN. y PERC.'!F24=0),"",'RETEN. y PERC.'!F24)</f>
        <v/>
      </c>
      <c r="B24" s="640" t="str">
        <f>IF(OR(LEN('RETEN. y PERC.'!A24)=0,'RETEN. y PERC.'!A24=0),"",'RETEN. y PERC.'!A24)</f>
        <v/>
      </c>
      <c r="C24" s="640" t="str">
        <f>IF(OR(LEN('RETEN. y PERC.'!H24)=0,'RETEN. y PERC.'!H24=0),"",'RETEN. y PERC.'!H24)</f>
        <v/>
      </c>
      <c r="D24" s="640" t="str">
        <f>IF(OR(LEN('RETEN. y PERC.'!N24)=0,'RETEN. y PERC.'!N24=0),"",'RETEN. y PERC.'!N24)</f>
        <v/>
      </c>
      <c r="F24" s="645" t="str">
        <f>IF(OR(LEN('RETEN. y PERC.'!J24)=0,'RETEN. y PERC.'!J24=0),"",'RETEN. y PERC.'!J24)</f>
        <v/>
      </c>
    </row>
    <row r="25" spans="1:6">
      <c r="A25" s="640" t="str">
        <f>IF(OR(LEN('RETEN. y PERC.'!F25)=0,'RETEN. y PERC.'!F25=0),"",'RETEN. y PERC.'!F25)</f>
        <v/>
      </c>
      <c r="B25" s="640" t="str">
        <f>IF(OR(LEN('RETEN. y PERC.'!A25)=0,'RETEN. y PERC.'!A25=0),"",'RETEN. y PERC.'!A25)</f>
        <v/>
      </c>
      <c r="C25" s="640" t="str">
        <f>IF(OR(LEN('RETEN. y PERC.'!H25)=0,'RETEN. y PERC.'!H25=0),"",'RETEN. y PERC.'!H25)</f>
        <v/>
      </c>
      <c r="D25" s="640" t="str">
        <f>IF(OR(LEN('RETEN. y PERC.'!N25)=0,'RETEN. y PERC.'!N25=0),"",'RETEN. y PERC.'!N25)</f>
        <v/>
      </c>
      <c r="F25" s="645" t="str">
        <f>IF(OR(LEN('RETEN. y PERC.'!J25)=0,'RETEN. y PERC.'!J25=0),"",'RETEN. y PERC.'!J25)</f>
        <v/>
      </c>
    </row>
    <row r="26" spans="1:6">
      <c r="A26" s="640" t="str">
        <f>IF(OR(LEN('RETEN. y PERC.'!F26)=0,'RETEN. y PERC.'!F26=0),"",'RETEN. y PERC.'!F26)</f>
        <v/>
      </c>
      <c r="B26" s="640" t="str">
        <f>IF(OR(LEN('RETEN. y PERC.'!A26)=0,'RETEN. y PERC.'!A26=0),"",'RETEN. y PERC.'!A26)</f>
        <v/>
      </c>
      <c r="C26" s="640" t="str">
        <f>IF(OR(LEN('RETEN. y PERC.'!H26)=0,'RETEN. y PERC.'!H26=0),"",'RETEN. y PERC.'!H26)</f>
        <v/>
      </c>
      <c r="D26" s="640" t="str">
        <f>IF(OR(LEN('RETEN. y PERC.'!N26)=0,'RETEN. y PERC.'!N26=0),"",'RETEN. y PERC.'!N26)</f>
        <v/>
      </c>
      <c r="F26" s="645" t="str">
        <f>IF(OR(LEN('RETEN. y PERC.'!J26)=0,'RETEN. y PERC.'!J26=0),"",'RETEN. y PERC.'!J26)</f>
        <v/>
      </c>
    </row>
    <row r="27" spans="1:6">
      <c r="A27" s="640" t="str">
        <f>IF(OR(LEN('RETEN. y PERC.'!F27)=0,'RETEN. y PERC.'!F27=0),"",'RETEN. y PERC.'!F27)</f>
        <v/>
      </c>
      <c r="B27" s="640" t="str">
        <f>IF(OR(LEN('RETEN. y PERC.'!A27)=0,'RETEN. y PERC.'!A27=0),"",'RETEN. y PERC.'!A27)</f>
        <v/>
      </c>
      <c r="C27" s="640" t="str">
        <f>IF(OR(LEN('RETEN. y PERC.'!H27)=0,'RETEN. y PERC.'!H27=0),"",'RETEN. y PERC.'!H27)</f>
        <v/>
      </c>
      <c r="D27" s="640" t="str">
        <f>IF(OR(LEN('RETEN. y PERC.'!N27)=0,'RETEN. y PERC.'!N27=0),"",'RETEN. y PERC.'!N27)</f>
        <v/>
      </c>
      <c r="F27" s="645" t="str">
        <f>IF(OR(LEN('RETEN. y PERC.'!J27)=0,'RETEN. y PERC.'!J27=0),"",'RETEN. y PERC.'!J27)</f>
        <v/>
      </c>
    </row>
    <row r="28" spans="1:6">
      <c r="A28" s="640" t="str">
        <f>IF(OR(LEN('RETEN. y PERC.'!F28)=0,'RETEN. y PERC.'!F28=0),"",'RETEN. y PERC.'!F28)</f>
        <v/>
      </c>
      <c r="B28" s="640" t="str">
        <f>IF(OR(LEN('RETEN. y PERC.'!A28)=0,'RETEN. y PERC.'!A28=0),"",'RETEN. y PERC.'!A28)</f>
        <v/>
      </c>
      <c r="C28" s="640" t="str">
        <f>IF(OR(LEN('RETEN. y PERC.'!H28)=0,'RETEN. y PERC.'!H28=0),"",'RETEN. y PERC.'!H28)</f>
        <v/>
      </c>
      <c r="D28" s="640" t="str">
        <f>IF(OR(LEN('RETEN. y PERC.'!N28)=0,'RETEN. y PERC.'!N28=0),"",'RETEN. y PERC.'!N28)</f>
        <v/>
      </c>
      <c r="F28" s="645" t="str">
        <f>IF(OR(LEN('RETEN. y PERC.'!J28)=0,'RETEN. y PERC.'!J28=0),"",'RETEN. y PERC.'!J28)</f>
        <v/>
      </c>
    </row>
    <row r="29" spans="1:6">
      <c r="A29" s="640" t="str">
        <f>IF(OR(LEN('RETEN. y PERC.'!F29)=0,'RETEN. y PERC.'!F29=0),"",'RETEN. y PERC.'!F29)</f>
        <v/>
      </c>
      <c r="B29" s="640" t="str">
        <f>IF(OR(LEN('RETEN. y PERC.'!A29)=0,'RETEN. y PERC.'!A29=0),"",'RETEN. y PERC.'!A29)</f>
        <v/>
      </c>
      <c r="C29" s="640" t="str">
        <f>IF(OR(LEN('RETEN. y PERC.'!H29)=0,'RETEN. y PERC.'!H29=0),"",'RETEN. y PERC.'!H29)</f>
        <v/>
      </c>
      <c r="D29" s="640" t="str">
        <f>IF(OR(LEN('RETEN. y PERC.'!N29)=0,'RETEN. y PERC.'!N29=0),"",'RETEN. y PERC.'!N29)</f>
        <v/>
      </c>
      <c r="F29" s="645" t="str">
        <f>IF(OR(LEN('RETEN. y PERC.'!J29)=0,'RETEN. y PERC.'!J29=0),"",'RETEN. y PERC.'!J29)</f>
        <v/>
      </c>
    </row>
    <row r="30" spans="1:6">
      <c r="A30" s="640" t="str">
        <f>IF(OR(LEN('RETEN. y PERC.'!F30)=0,'RETEN. y PERC.'!F30=0),"",'RETEN. y PERC.'!F30)</f>
        <v/>
      </c>
      <c r="B30" s="640" t="str">
        <f>IF(OR(LEN('RETEN. y PERC.'!A30)=0,'RETEN. y PERC.'!A30=0),"",'RETEN. y PERC.'!A30)</f>
        <v/>
      </c>
      <c r="C30" s="640" t="str">
        <f>IF(OR(LEN('RETEN. y PERC.'!H30)=0,'RETEN. y PERC.'!H30=0),"",'RETEN. y PERC.'!H30)</f>
        <v/>
      </c>
      <c r="D30" s="640" t="str">
        <f>IF(OR(LEN('RETEN. y PERC.'!N30)=0,'RETEN. y PERC.'!N30=0),"",'RETEN. y PERC.'!N30)</f>
        <v/>
      </c>
      <c r="F30" s="645" t="str">
        <f>IF(OR(LEN('RETEN. y PERC.'!J30)=0,'RETEN. y PERC.'!J30=0),"",'RETEN. y PERC.'!J30)</f>
        <v/>
      </c>
    </row>
    <row r="31" spans="1:6">
      <c r="A31" s="640" t="str">
        <f>IF(OR(LEN('RETEN. y PERC.'!F31)=0,'RETEN. y PERC.'!F31=0),"",'RETEN. y PERC.'!F31)</f>
        <v/>
      </c>
      <c r="B31" s="640" t="str">
        <f>IF(OR(LEN('RETEN. y PERC.'!A31)=0,'RETEN. y PERC.'!A31=0),"",'RETEN. y PERC.'!A31)</f>
        <v/>
      </c>
      <c r="C31" s="640" t="str">
        <f>IF(OR(LEN('RETEN. y PERC.'!H31)=0,'RETEN. y PERC.'!H31=0),"",'RETEN. y PERC.'!H31)</f>
        <v/>
      </c>
      <c r="D31" s="640" t="str">
        <f>IF(OR(LEN('RETEN. y PERC.'!N31)=0,'RETEN. y PERC.'!N31=0),"",'RETEN. y PERC.'!N31)</f>
        <v/>
      </c>
      <c r="F31" s="645" t="str">
        <f>IF(OR(LEN('RETEN. y PERC.'!J31)=0,'RETEN. y PERC.'!J31=0),"",'RETEN. y PERC.'!J31)</f>
        <v/>
      </c>
    </row>
    <row r="32" spans="1:6">
      <c r="A32" s="640" t="str">
        <f>IF(OR(LEN('RETEN. y PERC.'!F32)=0,'RETEN. y PERC.'!F32=0),"",'RETEN. y PERC.'!F32)</f>
        <v/>
      </c>
      <c r="B32" s="640" t="str">
        <f>IF(OR(LEN('RETEN. y PERC.'!A32)=0,'RETEN. y PERC.'!A32=0),"",'RETEN. y PERC.'!A32)</f>
        <v/>
      </c>
      <c r="C32" s="640" t="str">
        <f>IF(OR(LEN('RETEN. y PERC.'!H32)=0,'RETEN. y PERC.'!H32=0),"",'RETEN. y PERC.'!H32)</f>
        <v/>
      </c>
      <c r="D32" s="640" t="str">
        <f>IF(OR(LEN('RETEN. y PERC.'!N32)=0,'RETEN. y PERC.'!N32=0),"",'RETEN. y PERC.'!N32)</f>
        <v/>
      </c>
      <c r="F32" s="645" t="str">
        <f>IF(OR(LEN('RETEN. y PERC.'!J32)=0,'RETEN. y PERC.'!J32=0),"",'RETEN. y PERC.'!J32)</f>
        <v/>
      </c>
    </row>
    <row r="33" spans="1:6">
      <c r="A33" s="640" t="str">
        <f>IF(OR(LEN('RETEN. y PERC.'!F33)=0,'RETEN. y PERC.'!F33=0),"",'RETEN. y PERC.'!F33)</f>
        <v/>
      </c>
      <c r="B33" s="640" t="str">
        <f>IF(OR(LEN('RETEN. y PERC.'!A33)=0,'RETEN. y PERC.'!A33=0),"",'RETEN. y PERC.'!A33)</f>
        <v/>
      </c>
      <c r="C33" s="640" t="str">
        <f>IF(OR(LEN('RETEN. y PERC.'!H33)=0,'RETEN. y PERC.'!H33=0),"",'RETEN. y PERC.'!H33)</f>
        <v/>
      </c>
      <c r="D33" s="640" t="str">
        <f>IF(OR(LEN('RETEN. y PERC.'!N33)=0,'RETEN. y PERC.'!N33=0),"",'RETEN. y PERC.'!N33)</f>
        <v/>
      </c>
      <c r="F33" s="645" t="str">
        <f>IF(OR(LEN('RETEN. y PERC.'!J33)=0,'RETEN. y PERC.'!J33=0),"",'RETEN. y PERC.'!J33)</f>
        <v/>
      </c>
    </row>
    <row r="34" spans="1:6">
      <c r="A34" s="640" t="str">
        <f>IF(OR(LEN('RETEN. y PERC.'!F34)=0,'RETEN. y PERC.'!F34=0),"",'RETEN. y PERC.'!F34)</f>
        <v/>
      </c>
      <c r="B34" s="640" t="str">
        <f>IF(OR(LEN('RETEN. y PERC.'!A34)=0,'RETEN. y PERC.'!A34=0),"",'RETEN. y PERC.'!A34)</f>
        <v/>
      </c>
      <c r="C34" s="640" t="str">
        <f>IF(OR(LEN('RETEN. y PERC.'!H34)=0,'RETEN. y PERC.'!H34=0),"",'RETEN. y PERC.'!H34)</f>
        <v/>
      </c>
      <c r="D34" s="640" t="str">
        <f>IF(OR(LEN('RETEN. y PERC.'!N34)=0,'RETEN. y PERC.'!N34=0),"",'RETEN. y PERC.'!N34)</f>
        <v/>
      </c>
      <c r="F34" s="645" t="str">
        <f>IF(OR(LEN('RETEN. y PERC.'!J34)=0,'RETEN. y PERC.'!J34=0),"",'RETEN. y PERC.'!J34)</f>
        <v/>
      </c>
    </row>
    <row r="35" spans="1:6">
      <c r="A35" s="640" t="str">
        <f>IF(OR(LEN('RETEN. y PERC.'!F35)=0,'RETEN. y PERC.'!F35=0),"",'RETEN. y PERC.'!F35)</f>
        <v/>
      </c>
      <c r="B35" s="640" t="str">
        <f>IF(OR(LEN('RETEN. y PERC.'!A35)=0,'RETEN. y PERC.'!A35=0),"",'RETEN. y PERC.'!A35)</f>
        <v/>
      </c>
      <c r="C35" s="640" t="str">
        <f>IF(OR(LEN('RETEN. y PERC.'!H35)=0,'RETEN. y PERC.'!H35=0),"",'RETEN. y PERC.'!H35)</f>
        <v/>
      </c>
      <c r="D35" s="640" t="str">
        <f>IF(OR(LEN('RETEN. y PERC.'!N35)=0,'RETEN. y PERC.'!N35=0),"",'RETEN. y PERC.'!N35)</f>
        <v/>
      </c>
      <c r="F35" s="645" t="str">
        <f>IF(OR(LEN('RETEN. y PERC.'!J35)=0,'RETEN. y PERC.'!J35=0),"",'RETEN. y PERC.'!J35)</f>
        <v/>
      </c>
    </row>
    <row r="36" spans="1:6">
      <c r="A36" s="640" t="str">
        <f>IF(OR(LEN('RETEN. y PERC.'!F36)=0,'RETEN. y PERC.'!F36=0),"",'RETEN. y PERC.'!F36)</f>
        <v/>
      </c>
      <c r="B36" s="640" t="str">
        <f>IF(OR(LEN('RETEN. y PERC.'!A36)=0,'RETEN. y PERC.'!A36=0),"",'RETEN. y PERC.'!A36)</f>
        <v/>
      </c>
      <c r="C36" s="640" t="str">
        <f>IF(OR(LEN('RETEN. y PERC.'!H36)=0,'RETEN. y PERC.'!H36=0),"",'RETEN. y PERC.'!H36)</f>
        <v/>
      </c>
      <c r="D36" s="640" t="str">
        <f>IF(OR(LEN('RETEN. y PERC.'!N36)=0,'RETEN. y PERC.'!N36=0),"",'RETEN. y PERC.'!N36)</f>
        <v/>
      </c>
      <c r="F36" s="645" t="str">
        <f>IF(OR(LEN('RETEN. y PERC.'!J36)=0,'RETEN. y PERC.'!J36=0),"",'RETEN. y PERC.'!J36)</f>
        <v/>
      </c>
    </row>
    <row r="37" spans="1:6">
      <c r="A37" s="640" t="str">
        <f>IF(OR(LEN('RETEN. y PERC.'!F37)=0,'RETEN. y PERC.'!F37=0),"",'RETEN. y PERC.'!F37)</f>
        <v/>
      </c>
      <c r="B37" s="640" t="str">
        <f>IF(OR(LEN('RETEN. y PERC.'!A37)=0,'RETEN. y PERC.'!A37=0),"",'RETEN. y PERC.'!A37)</f>
        <v/>
      </c>
      <c r="C37" s="640" t="str">
        <f>IF(OR(LEN('RETEN. y PERC.'!H37)=0,'RETEN. y PERC.'!H37=0),"",'RETEN. y PERC.'!H37)</f>
        <v/>
      </c>
      <c r="D37" s="640" t="str">
        <f>IF(OR(LEN('RETEN. y PERC.'!N37)=0,'RETEN. y PERC.'!N37=0),"",'RETEN. y PERC.'!N37)</f>
        <v/>
      </c>
      <c r="F37" s="645" t="str">
        <f>IF(OR(LEN('RETEN. y PERC.'!J37)=0,'RETEN. y PERC.'!J37=0),"",'RETEN. y PERC.'!J37)</f>
        <v/>
      </c>
    </row>
    <row r="38" spans="1:6">
      <c r="A38" s="640" t="str">
        <f>IF(OR(LEN('RETEN. y PERC.'!F38)=0,'RETEN. y PERC.'!F38=0),"",'RETEN. y PERC.'!F38)</f>
        <v/>
      </c>
      <c r="B38" s="640" t="str">
        <f>IF(OR(LEN('RETEN. y PERC.'!A38)=0,'RETEN. y PERC.'!A38=0),"",'RETEN. y PERC.'!A38)</f>
        <v/>
      </c>
      <c r="C38" s="640" t="str">
        <f>IF(OR(LEN('RETEN. y PERC.'!H38)=0,'RETEN. y PERC.'!H38=0),"",'RETEN. y PERC.'!H38)</f>
        <v/>
      </c>
      <c r="D38" s="640" t="str">
        <f>IF(OR(LEN('RETEN. y PERC.'!N38)=0,'RETEN. y PERC.'!N38=0),"",'RETEN. y PERC.'!N38)</f>
        <v/>
      </c>
      <c r="F38" s="645" t="str">
        <f>IF(OR(LEN('RETEN. y PERC.'!J38)=0,'RETEN. y PERC.'!J38=0),"",'RETEN. y PERC.'!J38)</f>
        <v/>
      </c>
    </row>
    <row r="39" spans="1:6">
      <c r="A39" s="640" t="str">
        <f>IF(OR(LEN('RETEN. y PERC.'!F39)=0,'RETEN. y PERC.'!F39=0),"",'RETEN. y PERC.'!F39)</f>
        <v/>
      </c>
      <c r="B39" s="640" t="str">
        <f>IF(OR(LEN('RETEN. y PERC.'!A39)=0,'RETEN. y PERC.'!A39=0),"",'RETEN. y PERC.'!A39)</f>
        <v/>
      </c>
      <c r="C39" s="640" t="str">
        <f>IF(OR(LEN('RETEN. y PERC.'!H39)=0,'RETEN. y PERC.'!H39=0),"",'RETEN. y PERC.'!H39)</f>
        <v/>
      </c>
      <c r="D39" s="640" t="str">
        <f>IF(OR(LEN('RETEN. y PERC.'!N39)=0,'RETEN. y PERC.'!N39=0),"",'RETEN. y PERC.'!N39)</f>
        <v/>
      </c>
      <c r="F39" s="645" t="str">
        <f>IF(OR(LEN('RETEN. y PERC.'!J39)=0,'RETEN. y PERC.'!J39=0),"",'RETEN. y PERC.'!J39)</f>
        <v/>
      </c>
    </row>
    <row r="40" spans="1:6">
      <c r="A40" s="640" t="str">
        <f>IF(OR(LEN('RETEN. y PERC.'!F40)=0,'RETEN. y PERC.'!F40=0),"",'RETEN. y PERC.'!F40)</f>
        <v/>
      </c>
      <c r="B40" s="640" t="str">
        <f>IF(OR(LEN('RETEN. y PERC.'!A40)=0,'RETEN. y PERC.'!A40=0),"",'RETEN. y PERC.'!A40)</f>
        <v/>
      </c>
      <c r="C40" s="640" t="str">
        <f>IF(OR(LEN('RETEN. y PERC.'!H40)=0,'RETEN. y PERC.'!H40=0),"",'RETEN. y PERC.'!H40)</f>
        <v/>
      </c>
      <c r="D40" s="640" t="str">
        <f>IF(OR(LEN('RETEN. y PERC.'!N40)=0,'RETEN. y PERC.'!N40=0),"",'RETEN. y PERC.'!N40)</f>
        <v/>
      </c>
      <c r="F40" s="645" t="str">
        <f>IF(OR(LEN('RETEN. y PERC.'!J40)=0,'RETEN. y PERC.'!J40=0),"",'RETEN. y PERC.'!J40)</f>
        <v/>
      </c>
    </row>
    <row r="41" spans="1:6">
      <c r="A41" s="640" t="str">
        <f>IF(OR(LEN('RETEN. y PERC.'!F41)=0,'RETEN. y PERC.'!F41=0),"",'RETEN. y PERC.'!F41)</f>
        <v/>
      </c>
      <c r="B41" s="640" t="str">
        <f>IF(OR(LEN('RETEN. y PERC.'!A41)=0,'RETEN. y PERC.'!A41=0),"",'RETEN. y PERC.'!A41)</f>
        <v/>
      </c>
      <c r="C41" s="640" t="str">
        <f>IF(OR(LEN('RETEN. y PERC.'!H41)=0,'RETEN. y PERC.'!H41=0),"",'RETEN. y PERC.'!H41)</f>
        <v/>
      </c>
      <c r="D41" s="640" t="str">
        <f>IF(OR(LEN('RETEN. y PERC.'!N41)=0,'RETEN. y PERC.'!N41=0),"",'RETEN. y PERC.'!N41)</f>
        <v/>
      </c>
      <c r="F41" s="645" t="str">
        <f>IF(OR(LEN('RETEN. y PERC.'!J41)=0,'RETEN. y PERC.'!J41=0),"",'RETEN. y PERC.'!J41)</f>
        <v/>
      </c>
    </row>
    <row r="42" spans="1:6">
      <c r="A42" s="640" t="str">
        <f>IF(OR(LEN('RETEN. y PERC.'!F42)=0,'RETEN. y PERC.'!F42=0),"",'RETEN. y PERC.'!F42)</f>
        <v/>
      </c>
      <c r="B42" s="640" t="str">
        <f>IF(OR(LEN('RETEN. y PERC.'!A42)=0,'RETEN. y PERC.'!A42=0),"",'RETEN. y PERC.'!A42)</f>
        <v/>
      </c>
      <c r="C42" s="640" t="str">
        <f>IF(OR(LEN('RETEN. y PERC.'!H42)=0,'RETEN. y PERC.'!H42=0),"",'RETEN. y PERC.'!H42)</f>
        <v/>
      </c>
      <c r="D42" s="640" t="str">
        <f>IF(OR(LEN('RETEN. y PERC.'!N42)=0,'RETEN. y PERC.'!N42=0),"",'RETEN. y PERC.'!N42)</f>
        <v/>
      </c>
      <c r="F42" s="645" t="str">
        <f>IF(OR(LEN('RETEN. y PERC.'!J42)=0,'RETEN. y PERC.'!J42=0),"",'RETEN. y PERC.'!J42)</f>
        <v/>
      </c>
    </row>
    <row r="43" spans="1:6">
      <c r="A43" s="640" t="str">
        <f>IF(OR(LEN('RETEN. y PERC.'!F43)=0,'RETEN. y PERC.'!F43=0),"",'RETEN. y PERC.'!F43)</f>
        <v/>
      </c>
      <c r="B43" s="640" t="str">
        <f>IF(OR(LEN('RETEN. y PERC.'!A43)=0,'RETEN. y PERC.'!A43=0),"",'RETEN. y PERC.'!A43)</f>
        <v/>
      </c>
      <c r="C43" s="640" t="str">
        <f>IF(OR(LEN('RETEN. y PERC.'!H43)=0,'RETEN. y PERC.'!H43=0),"",'RETEN. y PERC.'!H43)</f>
        <v/>
      </c>
      <c r="D43" s="640" t="str">
        <f>IF(OR(LEN('RETEN. y PERC.'!N43)=0,'RETEN. y PERC.'!N43=0),"",'RETEN. y PERC.'!N43)</f>
        <v/>
      </c>
      <c r="F43" s="645" t="str">
        <f>IF(OR(LEN('RETEN. y PERC.'!J43)=0,'RETEN. y PERC.'!J43=0),"",'RETEN. y PERC.'!J43)</f>
        <v/>
      </c>
    </row>
    <row r="44" spans="1:6">
      <c r="A44" s="640" t="str">
        <f>IF(OR(LEN('RETEN. y PERC.'!F44)=0,'RETEN. y PERC.'!F44=0),"",'RETEN. y PERC.'!F44)</f>
        <v/>
      </c>
      <c r="B44" s="640" t="str">
        <f>IF(OR(LEN('RETEN. y PERC.'!A44)=0,'RETEN. y PERC.'!A44=0),"",'RETEN. y PERC.'!A44)</f>
        <v/>
      </c>
      <c r="C44" s="640" t="str">
        <f>IF(OR(LEN('RETEN. y PERC.'!H44)=0,'RETEN. y PERC.'!H44=0),"",'RETEN. y PERC.'!H44)</f>
        <v/>
      </c>
      <c r="D44" s="640" t="str">
        <f>IF(OR(LEN('RETEN. y PERC.'!N44)=0,'RETEN. y PERC.'!N44=0),"",'RETEN. y PERC.'!N44)</f>
        <v/>
      </c>
      <c r="F44" s="645" t="str">
        <f>IF(OR(LEN('RETEN. y PERC.'!J44)=0,'RETEN. y PERC.'!J44=0),"",'RETEN. y PERC.'!J44)</f>
        <v/>
      </c>
    </row>
    <row r="45" spans="1:6">
      <c r="A45" s="640" t="str">
        <f>IF(OR(LEN('RETEN. y PERC.'!F45)=0,'RETEN. y PERC.'!F45=0),"",'RETEN. y PERC.'!F45)</f>
        <v/>
      </c>
      <c r="B45" s="640" t="str">
        <f>IF(OR(LEN('RETEN. y PERC.'!A45)=0,'RETEN. y PERC.'!A45=0),"",'RETEN. y PERC.'!A45)</f>
        <v/>
      </c>
      <c r="C45" s="640" t="str">
        <f>IF(OR(LEN('RETEN. y PERC.'!H45)=0,'RETEN. y PERC.'!H45=0),"",'RETEN. y PERC.'!H45)</f>
        <v/>
      </c>
      <c r="D45" s="640" t="str">
        <f>IF(OR(LEN('RETEN. y PERC.'!N45)=0,'RETEN. y PERC.'!N45=0),"",'RETEN. y PERC.'!N45)</f>
        <v/>
      </c>
      <c r="F45" s="645" t="str">
        <f>IF(OR(LEN('RETEN. y PERC.'!J45)=0,'RETEN. y PERC.'!J45=0),"",'RETEN. y PERC.'!J45)</f>
        <v/>
      </c>
    </row>
    <row r="46" spans="1:6">
      <c r="A46" s="640" t="str">
        <f>IF(OR(LEN('RETEN. y PERC.'!F46)=0,'RETEN. y PERC.'!F46=0),"",'RETEN. y PERC.'!F46)</f>
        <v/>
      </c>
      <c r="B46" s="640" t="str">
        <f>IF(OR(LEN('RETEN. y PERC.'!A46)=0,'RETEN. y PERC.'!A46=0),"",'RETEN. y PERC.'!A46)</f>
        <v/>
      </c>
      <c r="C46" s="640" t="str">
        <f>IF(OR(LEN('RETEN. y PERC.'!H46)=0,'RETEN. y PERC.'!H46=0),"",'RETEN. y PERC.'!H46)</f>
        <v/>
      </c>
      <c r="D46" s="640" t="str">
        <f>IF(OR(LEN('RETEN. y PERC.'!N46)=0,'RETEN. y PERC.'!N46=0),"",'RETEN. y PERC.'!N46)</f>
        <v/>
      </c>
      <c r="F46" s="645" t="str">
        <f>IF(OR(LEN('RETEN. y PERC.'!J46)=0,'RETEN. y PERC.'!J46=0),"",'RETEN. y PERC.'!J46)</f>
        <v/>
      </c>
    </row>
    <row r="47" spans="1:6">
      <c r="A47" s="640" t="str">
        <f>IF(OR(LEN('RETEN. y PERC.'!F47)=0,'RETEN. y PERC.'!F47=0),"",'RETEN. y PERC.'!F47)</f>
        <v/>
      </c>
      <c r="B47" s="640" t="str">
        <f>IF(OR(LEN('RETEN. y PERC.'!A47)=0,'RETEN. y PERC.'!A47=0),"",'RETEN. y PERC.'!A47)</f>
        <v/>
      </c>
      <c r="C47" s="640" t="str">
        <f>IF(OR(LEN('RETEN. y PERC.'!H47)=0,'RETEN. y PERC.'!H47=0),"",'RETEN. y PERC.'!H47)</f>
        <v/>
      </c>
      <c r="D47" s="640" t="str">
        <f>IF(OR(LEN('RETEN. y PERC.'!N47)=0,'RETEN. y PERC.'!N47=0),"",'RETEN. y PERC.'!N47)</f>
        <v/>
      </c>
      <c r="F47" s="645" t="str">
        <f>IF(OR(LEN('RETEN. y PERC.'!J47)=0,'RETEN. y PERC.'!J47=0),"",'RETEN. y PERC.'!J47)</f>
        <v/>
      </c>
    </row>
    <row r="48" spans="1:6">
      <c r="A48" s="640" t="str">
        <f>IF(OR(LEN('RETEN. y PERC.'!F48)=0,'RETEN. y PERC.'!F48=0),"",'RETEN. y PERC.'!F48)</f>
        <v/>
      </c>
      <c r="B48" s="640" t="str">
        <f>IF(OR(LEN('RETEN. y PERC.'!A48)=0,'RETEN. y PERC.'!A48=0),"",'RETEN. y PERC.'!A48)</f>
        <v/>
      </c>
      <c r="C48" s="640" t="str">
        <f>IF(OR(LEN('RETEN. y PERC.'!H48)=0,'RETEN. y PERC.'!H48=0),"",'RETEN. y PERC.'!H48)</f>
        <v/>
      </c>
      <c r="D48" s="640" t="str">
        <f>IF(OR(LEN('RETEN. y PERC.'!N48)=0,'RETEN. y PERC.'!N48=0),"",'RETEN. y PERC.'!N48)</f>
        <v/>
      </c>
      <c r="F48" s="645" t="str">
        <f>IF(OR(LEN('RETEN. y PERC.'!J48)=0,'RETEN. y PERC.'!J48=0),"",'RETEN. y PERC.'!J48)</f>
        <v/>
      </c>
    </row>
    <row r="49" spans="1:6">
      <c r="A49" s="640" t="str">
        <f>IF(OR(LEN('RETEN. y PERC.'!F49)=0,'RETEN. y PERC.'!F49=0),"",'RETEN. y PERC.'!F49)</f>
        <v/>
      </c>
      <c r="B49" s="640" t="str">
        <f>IF(OR(LEN('RETEN. y PERC.'!A49)=0,'RETEN. y PERC.'!A49=0),"",'RETEN. y PERC.'!A49)</f>
        <v/>
      </c>
      <c r="C49" s="640" t="str">
        <f>IF(OR(LEN('RETEN. y PERC.'!H49)=0,'RETEN. y PERC.'!H49=0),"",'RETEN. y PERC.'!H49)</f>
        <v/>
      </c>
      <c r="D49" s="640" t="str">
        <f>IF(OR(LEN('RETEN. y PERC.'!N49)=0,'RETEN. y PERC.'!N49=0),"",'RETEN. y PERC.'!N49)</f>
        <v/>
      </c>
      <c r="F49" s="645" t="str">
        <f>IF(OR(LEN('RETEN. y PERC.'!J49)=0,'RETEN. y PERC.'!J49=0),"",'RETEN. y PERC.'!J49)</f>
        <v/>
      </c>
    </row>
    <row r="50" spans="1:6">
      <c r="A50" s="640" t="str">
        <f>IF(OR(LEN('RETEN. y PERC.'!F50)=0,'RETEN. y PERC.'!F50=0),"",'RETEN. y PERC.'!F50)</f>
        <v/>
      </c>
      <c r="B50" s="640" t="str">
        <f>IF(OR(LEN('RETEN. y PERC.'!A50)=0,'RETEN. y PERC.'!A50=0),"",'RETEN. y PERC.'!A50)</f>
        <v/>
      </c>
      <c r="C50" s="640" t="str">
        <f>IF(OR(LEN('RETEN. y PERC.'!H50)=0,'RETEN. y PERC.'!H50=0),"",'RETEN. y PERC.'!H50)</f>
        <v/>
      </c>
      <c r="D50" s="640" t="str">
        <f>IF(OR(LEN('RETEN. y PERC.'!N50)=0,'RETEN. y PERC.'!N50=0),"",'RETEN. y PERC.'!N50)</f>
        <v/>
      </c>
      <c r="F50" s="645" t="str">
        <f>IF(OR(LEN('RETEN. y PERC.'!J50)=0,'RETEN. y PERC.'!J50=0),"",'RETEN. y PERC.'!J50)</f>
        <v/>
      </c>
    </row>
    <row r="51" spans="1:6">
      <c r="A51" s="640" t="str">
        <f>IF(OR(LEN('RETEN. y PERC.'!F51)=0,'RETEN. y PERC.'!F51=0),"",'RETEN. y PERC.'!F51)</f>
        <v/>
      </c>
      <c r="B51" s="640" t="str">
        <f>IF(OR(LEN('RETEN. y PERC.'!A51)=0,'RETEN. y PERC.'!A51=0),"",'RETEN. y PERC.'!A51)</f>
        <v/>
      </c>
      <c r="C51" s="640" t="str">
        <f>IF(OR(LEN('RETEN. y PERC.'!H51)=0,'RETEN. y PERC.'!H51=0),"",'RETEN. y PERC.'!H51)</f>
        <v/>
      </c>
      <c r="D51" s="640" t="str">
        <f>IF(OR(LEN('RETEN. y PERC.'!N51)=0,'RETEN. y PERC.'!N51=0),"",'RETEN. y PERC.'!N51)</f>
        <v/>
      </c>
      <c r="F51" s="645" t="str">
        <f>IF(OR(LEN('RETEN. y PERC.'!J51)=0,'RETEN. y PERC.'!J51=0),"",'RETEN. y PERC.'!J51)</f>
        <v/>
      </c>
    </row>
    <row r="52" spans="1:6">
      <c r="A52" s="640" t="str">
        <f>IF(OR(LEN('RETEN. y PERC.'!F52)=0,'RETEN. y PERC.'!F52=0),"",'RETEN. y PERC.'!F52)</f>
        <v/>
      </c>
      <c r="B52" s="640" t="str">
        <f>IF(OR(LEN('RETEN. y PERC.'!A52)=0,'RETEN. y PERC.'!A52=0),"",'RETEN. y PERC.'!A52)</f>
        <v/>
      </c>
      <c r="C52" s="640" t="str">
        <f>IF(OR(LEN('RETEN. y PERC.'!H52)=0,'RETEN. y PERC.'!H52=0),"",'RETEN. y PERC.'!H52)</f>
        <v/>
      </c>
      <c r="D52" s="640" t="str">
        <f>IF(OR(LEN('RETEN. y PERC.'!N52)=0,'RETEN. y PERC.'!N52=0),"",'RETEN. y PERC.'!N52)</f>
        <v/>
      </c>
      <c r="F52" s="645" t="str">
        <f>IF(OR(LEN('RETEN. y PERC.'!J52)=0,'RETEN. y PERC.'!J52=0),"",'RETEN. y PERC.'!J52)</f>
        <v/>
      </c>
    </row>
    <row r="53" spans="1:6">
      <c r="A53" s="640" t="str">
        <f>IF(OR(LEN('RETEN. y PERC.'!F53)=0,'RETEN. y PERC.'!F53=0),"",'RETEN. y PERC.'!F53)</f>
        <v/>
      </c>
      <c r="B53" s="640" t="str">
        <f>IF(OR(LEN('RETEN. y PERC.'!A53)=0,'RETEN. y PERC.'!A53=0),"",'RETEN. y PERC.'!A53)</f>
        <v/>
      </c>
      <c r="C53" s="640" t="str">
        <f>IF(OR(LEN('RETEN. y PERC.'!H53)=0,'RETEN. y PERC.'!H53=0),"",'RETEN. y PERC.'!H53)</f>
        <v/>
      </c>
      <c r="D53" s="640" t="str">
        <f>IF(OR(LEN('RETEN. y PERC.'!N53)=0,'RETEN. y PERC.'!N53=0),"",'RETEN. y PERC.'!N53)</f>
        <v/>
      </c>
      <c r="F53" s="645" t="str">
        <f>IF(OR(LEN('RETEN. y PERC.'!J53)=0,'RETEN. y PERC.'!J53=0),"",'RETEN. y PERC.'!J53)</f>
        <v/>
      </c>
    </row>
    <row r="54" spans="1:6">
      <c r="A54" s="640" t="str">
        <f>IF(OR(LEN('RETEN. y PERC.'!F54)=0,'RETEN. y PERC.'!F54=0),"",'RETEN. y PERC.'!F54)</f>
        <v/>
      </c>
      <c r="B54" s="640" t="str">
        <f>IF(OR(LEN('RETEN. y PERC.'!A54)=0,'RETEN. y PERC.'!A54=0),"",'RETEN. y PERC.'!A54)</f>
        <v/>
      </c>
      <c r="C54" s="640" t="str">
        <f>IF(OR(LEN('RETEN. y PERC.'!H54)=0,'RETEN. y PERC.'!H54=0),"",'RETEN. y PERC.'!H54)</f>
        <v/>
      </c>
      <c r="D54" s="640" t="str">
        <f>IF(OR(LEN('RETEN. y PERC.'!N54)=0,'RETEN. y PERC.'!N54=0),"",'RETEN. y PERC.'!N54)</f>
        <v/>
      </c>
      <c r="F54" s="645" t="str">
        <f>IF(OR(LEN('RETEN. y PERC.'!J54)=0,'RETEN. y PERC.'!J54=0),"",'RETEN. y PERC.'!J54)</f>
        <v/>
      </c>
    </row>
    <row r="55" spans="1:6">
      <c r="A55" s="640" t="str">
        <f>IF(OR(LEN('RETEN. y PERC.'!F55)=0,'RETEN. y PERC.'!F55=0),"",'RETEN. y PERC.'!F55)</f>
        <v/>
      </c>
      <c r="B55" s="640" t="str">
        <f>IF(OR(LEN('RETEN. y PERC.'!A55)=0,'RETEN. y PERC.'!A55=0),"",'RETEN. y PERC.'!A55)</f>
        <v/>
      </c>
      <c r="C55" s="640" t="str">
        <f>IF(OR(LEN('RETEN. y PERC.'!H55)=0,'RETEN. y PERC.'!H55=0),"",'RETEN. y PERC.'!H55)</f>
        <v/>
      </c>
      <c r="D55" s="640" t="str">
        <f>IF(OR(LEN('RETEN. y PERC.'!N55)=0,'RETEN. y PERC.'!N55=0),"",'RETEN. y PERC.'!N55)</f>
        <v/>
      </c>
      <c r="F55" s="645" t="str">
        <f>IF(OR(LEN('RETEN. y PERC.'!J55)=0,'RETEN. y PERC.'!J55=0),"",'RETEN. y PERC.'!J55)</f>
        <v/>
      </c>
    </row>
    <row r="56" spans="1:6">
      <c r="A56" s="640" t="str">
        <f>IF(OR(LEN('RETEN. y PERC.'!F56)=0,'RETEN. y PERC.'!F56=0),"",'RETEN. y PERC.'!F56)</f>
        <v/>
      </c>
      <c r="B56" s="640" t="str">
        <f>IF(OR(LEN('RETEN. y PERC.'!A56)=0,'RETEN. y PERC.'!A56=0),"",'RETEN. y PERC.'!A56)</f>
        <v/>
      </c>
      <c r="C56" s="640" t="str">
        <f>IF(OR(LEN('RETEN. y PERC.'!H56)=0,'RETEN. y PERC.'!H56=0),"",'RETEN. y PERC.'!H56)</f>
        <v/>
      </c>
      <c r="D56" s="640" t="str">
        <f>IF(OR(LEN('RETEN. y PERC.'!N56)=0,'RETEN. y PERC.'!N56=0),"",'RETEN. y PERC.'!N56)</f>
        <v/>
      </c>
      <c r="F56" s="645" t="str">
        <f>IF(OR(LEN('RETEN. y PERC.'!J56)=0,'RETEN. y PERC.'!J56=0),"",'RETEN. y PERC.'!J56)</f>
        <v/>
      </c>
    </row>
    <row r="57" spans="1:6">
      <c r="A57" s="640" t="str">
        <f>IF(OR(LEN('RETEN. y PERC.'!F57)=0,'RETEN. y PERC.'!F57=0),"",'RETEN. y PERC.'!F57)</f>
        <v/>
      </c>
      <c r="B57" s="640" t="str">
        <f>IF(OR(LEN('RETEN. y PERC.'!A57)=0,'RETEN. y PERC.'!A57=0),"",'RETEN. y PERC.'!A57)</f>
        <v/>
      </c>
      <c r="C57" s="640" t="str">
        <f>IF(OR(LEN('RETEN. y PERC.'!H57)=0,'RETEN. y PERC.'!H57=0),"",'RETEN. y PERC.'!H57)</f>
        <v/>
      </c>
      <c r="D57" s="640" t="str">
        <f>IF(OR(LEN('RETEN. y PERC.'!N57)=0,'RETEN. y PERC.'!N57=0),"",'RETEN. y PERC.'!N57)</f>
        <v/>
      </c>
      <c r="F57" s="645" t="str">
        <f>IF(OR(LEN('RETEN. y PERC.'!J57)=0,'RETEN. y PERC.'!J57=0),"",'RETEN. y PERC.'!J57)</f>
        <v/>
      </c>
    </row>
    <row r="58" spans="1:6">
      <c r="A58" s="640" t="str">
        <f>IF(OR(LEN('RETEN. y PERC.'!F58)=0,'RETEN. y PERC.'!F58=0),"",'RETEN. y PERC.'!F58)</f>
        <v/>
      </c>
      <c r="B58" s="640" t="str">
        <f>IF(OR(LEN('RETEN. y PERC.'!A58)=0,'RETEN. y PERC.'!A58=0),"",'RETEN. y PERC.'!A58)</f>
        <v/>
      </c>
      <c r="C58" s="640" t="str">
        <f>IF(OR(LEN('RETEN. y PERC.'!H58)=0,'RETEN. y PERC.'!H58=0),"",'RETEN. y PERC.'!H58)</f>
        <v/>
      </c>
      <c r="D58" s="640" t="str">
        <f>IF(OR(LEN('RETEN. y PERC.'!N58)=0,'RETEN. y PERC.'!N58=0),"",'RETEN. y PERC.'!N58)</f>
        <v/>
      </c>
      <c r="F58" s="645" t="str">
        <f>IF(OR(LEN('RETEN. y PERC.'!J58)=0,'RETEN. y PERC.'!J58=0),"",'RETEN. y PERC.'!J58)</f>
        <v/>
      </c>
    </row>
    <row r="59" spans="1:6">
      <c r="A59" s="640" t="str">
        <f>IF(OR(LEN('RETEN. y PERC.'!F59)=0,'RETEN. y PERC.'!F59=0),"",'RETEN. y PERC.'!F59)</f>
        <v/>
      </c>
      <c r="B59" s="640" t="str">
        <f>IF(OR(LEN('RETEN. y PERC.'!A59)=0,'RETEN. y PERC.'!A59=0),"",'RETEN. y PERC.'!A59)</f>
        <v/>
      </c>
      <c r="C59" s="640" t="str">
        <f>IF(OR(LEN('RETEN. y PERC.'!H59)=0,'RETEN. y PERC.'!H59=0),"",'RETEN. y PERC.'!H59)</f>
        <v/>
      </c>
      <c r="D59" s="640" t="str">
        <f>IF(OR(LEN('RETEN. y PERC.'!N59)=0,'RETEN. y PERC.'!N59=0),"",'RETEN. y PERC.'!N59)</f>
        <v/>
      </c>
      <c r="F59" s="645" t="str">
        <f>IF(OR(LEN('RETEN. y PERC.'!J59)=0,'RETEN. y PERC.'!J59=0),"",'RETEN. y PERC.'!J59)</f>
        <v/>
      </c>
    </row>
    <row r="60" spans="1:6">
      <c r="A60" s="640" t="str">
        <f>IF(OR(LEN('RETEN. y PERC.'!F60)=0,'RETEN. y PERC.'!F60=0),"",'RETEN. y PERC.'!F60)</f>
        <v/>
      </c>
      <c r="B60" s="640" t="str">
        <f>IF(OR(LEN('RETEN. y PERC.'!A60)=0,'RETEN. y PERC.'!A60=0),"",'RETEN. y PERC.'!A60)</f>
        <v/>
      </c>
      <c r="C60" s="640" t="str">
        <f>IF(OR(LEN('RETEN. y PERC.'!H60)=0,'RETEN. y PERC.'!H60=0),"",'RETEN. y PERC.'!H60)</f>
        <v/>
      </c>
      <c r="D60" s="640" t="str">
        <f>IF(OR(LEN('RETEN. y PERC.'!N60)=0,'RETEN. y PERC.'!N60=0),"",'RETEN. y PERC.'!N60)</f>
        <v/>
      </c>
      <c r="F60" s="645" t="str">
        <f>IF(OR(LEN('RETEN. y PERC.'!J60)=0,'RETEN. y PERC.'!J60=0),"",'RETEN. y PERC.'!J60)</f>
        <v/>
      </c>
    </row>
    <row r="61" spans="1:6">
      <c r="A61" s="640" t="str">
        <f>IF(OR(LEN('RETEN. y PERC.'!F61)=0,'RETEN. y PERC.'!F61=0),"",'RETEN. y PERC.'!F61)</f>
        <v/>
      </c>
      <c r="B61" s="640" t="str">
        <f>IF(OR(LEN('RETEN. y PERC.'!A61)=0,'RETEN. y PERC.'!A61=0),"",'RETEN. y PERC.'!A61)</f>
        <v/>
      </c>
      <c r="C61" s="640" t="str">
        <f>IF(OR(LEN('RETEN. y PERC.'!H61)=0,'RETEN. y PERC.'!H61=0),"",'RETEN. y PERC.'!H61)</f>
        <v/>
      </c>
      <c r="D61" s="640" t="str">
        <f>IF(OR(LEN('RETEN. y PERC.'!N61)=0,'RETEN. y PERC.'!N61=0),"",'RETEN. y PERC.'!N61)</f>
        <v/>
      </c>
      <c r="F61" s="645" t="str">
        <f>IF(OR(LEN('RETEN. y PERC.'!J61)=0,'RETEN. y PERC.'!J61=0),"",'RETEN. y PERC.'!J61)</f>
        <v/>
      </c>
    </row>
    <row r="62" spans="1:6">
      <c r="A62" s="640" t="str">
        <f>IF(OR(LEN('RETEN. y PERC.'!F62)=0,'RETEN. y PERC.'!F62=0),"",'RETEN. y PERC.'!F62)</f>
        <v/>
      </c>
      <c r="B62" s="640" t="str">
        <f>IF(OR(LEN('RETEN. y PERC.'!A62)=0,'RETEN. y PERC.'!A62=0),"",'RETEN. y PERC.'!A62)</f>
        <v/>
      </c>
      <c r="C62" s="640" t="str">
        <f>IF(OR(LEN('RETEN. y PERC.'!H62)=0,'RETEN. y PERC.'!H62=0),"",'RETEN. y PERC.'!H62)</f>
        <v/>
      </c>
      <c r="D62" s="640" t="str">
        <f>IF(OR(LEN('RETEN. y PERC.'!N62)=0,'RETEN. y PERC.'!N62=0),"",'RETEN. y PERC.'!N62)</f>
        <v/>
      </c>
      <c r="F62" s="645" t="str">
        <f>IF(OR(LEN('RETEN. y PERC.'!J62)=0,'RETEN. y PERC.'!J62=0),"",'RETEN. y PERC.'!J62)</f>
        <v/>
      </c>
    </row>
    <row r="63" spans="1:6">
      <c r="A63" s="640" t="str">
        <f>IF(OR(LEN('RETEN. y PERC.'!F63)=0,'RETEN. y PERC.'!F63=0),"",'RETEN. y PERC.'!F63)</f>
        <v/>
      </c>
      <c r="B63" s="640" t="str">
        <f>IF(OR(LEN('RETEN. y PERC.'!A63)=0,'RETEN. y PERC.'!A63=0),"",'RETEN. y PERC.'!A63)</f>
        <v/>
      </c>
      <c r="C63" s="640" t="str">
        <f>IF(OR(LEN('RETEN. y PERC.'!H63)=0,'RETEN. y PERC.'!H63=0),"",'RETEN. y PERC.'!H63)</f>
        <v/>
      </c>
      <c r="D63" s="640" t="str">
        <f>IF(OR(LEN('RETEN. y PERC.'!N63)=0,'RETEN. y PERC.'!N63=0),"",'RETEN. y PERC.'!N63)</f>
        <v/>
      </c>
      <c r="F63" s="645" t="str">
        <f>IF(OR(LEN('RETEN. y PERC.'!J63)=0,'RETEN. y PERC.'!J63=0),"",'RETEN. y PERC.'!J63)</f>
        <v/>
      </c>
    </row>
    <row r="64" spans="1:6">
      <c r="A64" s="640" t="str">
        <f>IF(OR(LEN('RETEN. y PERC.'!F64)=0,'RETEN. y PERC.'!F64=0),"",'RETEN. y PERC.'!F64)</f>
        <v/>
      </c>
      <c r="B64" s="640" t="str">
        <f>IF(OR(LEN('RETEN. y PERC.'!A64)=0,'RETEN. y PERC.'!A64=0),"",'RETEN. y PERC.'!A64)</f>
        <v/>
      </c>
      <c r="C64" s="640" t="str">
        <f>IF(OR(LEN('RETEN. y PERC.'!H64)=0,'RETEN. y PERC.'!H64=0),"",'RETEN. y PERC.'!H64)</f>
        <v/>
      </c>
      <c r="D64" s="640" t="str">
        <f>IF(OR(LEN('RETEN. y PERC.'!N64)=0,'RETEN. y PERC.'!N64=0),"",'RETEN. y PERC.'!N64)</f>
        <v/>
      </c>
      <c r="F64" s="645" t="str">
        <f>IF(OR(LEN('RETEN. y PERC.'!J64)=0,'RETEN. y PERC.'!J64=0),"",'RETEN. y PERC.'!J64)</f>
        <v/>
      </c>
    </row>
    <row r="65" spans="1:6">
      <c r="A65" s="640" t="str">
        <f>IF(OR(LEN('RETEN. y PERC.'!F65)=0,'RETEN. y PERC.'!F65=0),"",'RETEN. y PERC.'!F65)</f>
        <v/>
      </c>
      <c r="B65" s="640" t="str">
        <f>IF(OR(LEN('RETEN. y PERC.'!A65)=0,'RETEN. y PERC.'!A65=0),"",'RETEN. y PERC.'!A65)</f>
        <v/>
      </c>
      <c r="C65" s="640" t="str">
        <f>IF(OR(LEN('RETEN. y PERC.'!H65)=0,'RETEN. y PERC.'!H65=0),"",'RETEN. y PERC.'!H65)</f>
        <v/>
      </c>
      <c r="D65" s="640" t="str">
        <f>IF(OR(LEN('RETEN. y PERC.'!N65)=0,'RETEN. y PERC.'!N65=0),"",'RETEN. y PERC.'!N65)</f>
        <v/>
      </c>
      <c r="F65" s="645" t="str">
        <f>IF(OR(LEN('RETEN. y PERC.'!J65)=0,'RETEN. y PERC.'!J65=0),"",'RETEN. y PERC.'!J65)</f>
        <v/>
      </c>
    </row>
    <row r="66" spans="1:6">
      <c r="A66" s="640" t="str">
        <f>IF(OR(LEN('RETEN. y PERC.'!F66)=0,'RETEN. y PERC.'!F66=0),"",'RETEN. y PERC.'!F66)</f>
        <v/>
      </c>
      <c r="B66" s="640" t="str">
        <f>IF(OR(LEN('RETEN. y PERC.'!A66)=0,'RETEN. y PERC.'!A66=0),"",'RETEN. y PERC.'!A66)</f>
        <v/>
      </c>
      <c r="C66" s="640" t="str">
        <f>IF(OR(LEN('RETEN. y PERC.'!H66)=0,'RETEN. y PERC.'!H66=0),"",'RETEN. y PERC.'!H66)</f>
        <v/>
      </c>
      <c r="D66" s="640" t="str">
        <f>IF(OR(LEN('RETEN. y PERC.'!N66)=0,'RETEN. y PERC.'!N66=0),"",'RETEN. y PERC.'!N66)</f>
        <v/>
      </c>
      <c r="F66" s="645" t="str">
        <f>IF(OR(LEN('RETEN. y PERC.'!J66)=0,'RETEN. y PERC.'!J66=0),"",'RETEN. y PERC.'!J66)</f>
        <v/>
      </c>
    </row>
    <row r="67" spans="1:6">
      <c r="A67" s="640" t="str">
        <f>IF(OR(LEN('RETEN. y PERC.'!F67)=0,'RETEN. y PERC.'!F67=0),"",'RETEN. y PERC.'!F67)</f>
        <v/>
      </c>
      <c r="B67" s="640" t="str">
        <f>IF(OR(LEN('RETEN. y PERC.'!A67)=0,'RETEN. y PERC.'!A67=0),"",'RETEN. y PERC.'!A67)</f>
        <v/>
      </c>
      <c r="C67" s="640" t="str">
        <f>IF(OR(LEN('RETEN. y PERC.'!H67)=0,'RETEN. y PERC.'!H67=0),"",'RETEN. y PERC.'!H67)</f>
        <v/>
      </c>
      <c r="D67" s="640" t="str">
        <f>IF(OR(LEN('RETEN. y PERC.'!N67)=0,'RETEN. y PERC.'!N67=0),"",'RETEN. y PERC.'!N67)</f>
        <v/>
      </c>
      <c r="F67" s="645" t="str">
        <f>IF(OR(LEN('RETEN. y PERC.'!J67)=0,'RETEN. y PERC.'!J67=0),"",'RETEN. y PERC.'!J67)</f>
        <v/>
      </c>
    </row>
    <row r="68" spans="1:6">
      <c r="A68" s="640" t="str">
        <f>IF(OR(LEN('RETEN. y PERC.'!F68)=0,'RETEN. y PERC.'!F68=0),"",'RETEN. y PERC.'!F68)</f>
        <v/>
      </c>
      <c r="B68" s="640" t="str">
        <f>IF(OR(LEN('RETEN. y PERC.'!A68)=0,'RETEN. y PERC.'!A68=0),"",'RETEN. y PERC.'!A68)</f>
        <v/>
      </c>
      <c r="C68" s="640" t="str">
        <f>IF(OR(LEN('RETEN. y PERC.'!H68)=0,'RETEN. y PERC.'!H68=0),"",'RETEN. y PERC.'!H68)</f>
        <v/>
      </c>
      <c r="D68" s="640" t="str">
        <f>IF(OR(LEN('RETEN. y PERC.'!N68)=0,'RETEN. y PERC.'!N68=0),"",'RETEN. y PERC.'!N68)</f>
        <v/>
      </c>
      <c r="F68" s="645" t="str">
        <f>IF(OR(LEN('RETEN. y PERC.'!J68)=0,'RETEN. y PERC.'!J68=0),"",'RETEN. y PERC.'!J68)</f>
        <v/>
      </c>
    </row>
    <row r="69" spans="1:6">
      <c r="A69" s="640" t="str">
        <f>IF(OR(LEN('RETEN. y PERC.'!F69)=0,'RETEN. y PERC.'!F69=0),"",'RETEN. y PERC.'!F69)</f>
        <v/>
      </c>
      <c r="B69" s="640" t="str">
        <f>IF(OR(LEN('RETEN. y PERC.'!A69)=0,'RETEN. y PERC.'!A69=0),"",'RETEN. y PERC.'!A69)</f>
        <v/>
      </c>
      <c r="C69" s="640" t="str">
        <f>IF(OR(LEN('RETEN. y PERC.'!H69)=0,'RETEN. y PERC.'!H69=0),"",'RETEN. y PERC.'!H69)</f>
        <v/>
      </c>
      <c r="D69" s="640" t="str">
        <f>IF(OR(LEN('RETEN. y PERC.'!N69)=0,'RETEN. y PERC.'!N69=0),"",'RETEN. y PERC.'!N69)</f>
        <v/>
      </c>
      <c r="F69" s="645" t="str">
        <f>IF(OR(LEN('RETEN. y PERC.'!J69)=0,'RETEN. y PERC.'!J69=0),"",'RETEN. y PERC.'!J69)</f>
        <v/>
      </c>
    </row>
    <row r="70" spans="1:6">
      <c r="A70" s="640" t="str">
        <f>IF(OR(LEN('RETEN. y PERC.'!F70)=0,'RETEN. y PERC.'!F70=0),"",'RETEN. y PERC.'!F70)</f>
        <v/>
      </c>
      <c r="B70" s="640" t="str">
        <f>IF(OR(LEN('RETEN. y PERC.'!A70)=0,'RETEN. y PERC.'!A70=0),"",'RETEN. y PERC.'!A70)</f>
        <v/>
      </c>
      <c r="C70" s="640" t="str">
        <f>IF(OR(LEN('RETEN. y PERC.'!H70)=0,'RETEN. y PERC.'!H70=0),"",'RETEN. y PERC.'!H70)</f>
        <v/>
      </c>
      <c r="D70" s="640" t="str">
        <f>IF(OR(LEN('RETEN. y PERC.'!N70)=0,'RETEN. y PERC.'!N70=0),"",'RETEN. y PERC.'!N70)</f>
        <v/>
      </c>
      <c r="F70" s="645" t="str">
        <f>IF(OR(LEN('RETEN. y PERC.'!J70)=0,'RETEN. y PERC.'!J70=0),"",'RETEN. y PERC.'!J70)</f>
        <v/>
      </c>
    </row>
    <row r="71" spans="1:6">
      <c r="A71" s="640" t="str">
        <f>IF(OR(LEN('RETEN. y PERC.'!F71)=0,'RETEN. y PERC.'!F71=0),"",'RETEN. y PERC.'!F71)</f>
        <v/>
      </c>
      <c r="B71" s="640" t="str">
        <f>IF(OR(LEN('RETEN. y PERC.'!A71)=0,'RETEN. y PERC.'!A71=0),"",'RETEN. y PERC.'!A71)</f>
        <v/>
      </c>
      <c r="C71" s="640" t="str">
        <f>IF(OR(LEN('RETEN. y PERC.'!H71)=0,'RETEN. y PERC.'!H71=0),"",'RETEN. y PERC.'!H71)</f>
        <v/>
      </c>
      <c r="D71" s="640" t="str">
        <f>IF(OR(LEN('RETEN. y PERC.'!N71)=0,'RETEN. y PERC.'!N71=0),"",'RETEN. y PERC.'!N71)</f>
        <v/>
      </c>
      <c r="F71" s="645" t="str">
        <f>IF(OR(LEN('RETEN. y PERC.'!J71)=0,'RETEN. y PERC.'!J71=0),"",'RETEN. y PERC.'!J71)</f>
        <v/>
      </c>
    </row>
    <row r="72" spans="1:6">
      <c r="A72" s="640" t="str">
        <f>IF(OR(LEN('RETEN. y PERC.'!F72)=0,'RETEN. y PERC.'!F72=0),"",'RETEN. y PERC.'!F72)</f>
        <v/>
      </c>
      <c r="B72" s="640" t="str">
        <f>IF(OR(LEN('RETEN. y PERC.'!A72)=0,'RETEN. y PERC.'!A72=0),"",'RETEN. y PERC.'!A72)</f>
        <v/>
      </c>
      <c r="C72" s="640" t="str">
        <f>IF(OR(LEN('RETEN. y PERC.'!H72)=0,'RETEN. y PERC.'!H72=0),"",'RETEN. y PERC.'!H72)</f>
        <v/>
      </c>
      <c r="D72" s="640" t="str">
        <f>IF(OR(LEN('RETEN. y PERC.'!N72)=0,'RETEN. y PERC.'!N72=0),"",'RETEN. y PERC.'!N72)</f>
        <v/>
      </c>
      <c r="F72" s="645" t="str">
        <f>IF(OR(LEN('RETEN. y PERC.'!J72)=0,'RETEN. y PERC.'!J72=0),"",'RETEN. y PERC.'!J72)</f>
        <v/>
      </c>
    </row>
    <row r="73" spans="1:6">
      <c r="A73" s="640" t="str">
        <f>IF(OR(LEN('RETEN. y PERC.'!F73)=0,'RETEN. y PERC.'!F73=0),"",'RETEN. y PERC.'!F73)</f>
        <v/>
      </c>
      <c r="B73" s="640" t="str">
        <f>IF(OR(LEN('RETEN. y PERC.'!A73)=0,'RETEN. y PERC.'!A73=0),"",'RETEN. y PERC.'!A73)</f>
        <v/>
      </c>
      <c r="C73" s="640" t="str">
        <f>IF(OR(LEN('RETEN. y PERC.'!H73)=0,'RETEN. y PERC.'!H73=0),"",'RETEN. y PERC.'!H73)</f>
        <v/>
      </c>
      <c r="D73" s="640" t="str">
        <f>IF(OR(LEN('RETEN. y PERC.'!N73)=0,'RETEN. y PERC.'!N73=0),"",'RETEN. y PERC.'!N73)</f>
        <v/>
      </c>
      <c r="F73" s="645" t="str">
        <f>IF(OR(LEN('RETEN. y PERC.'!J73)=0,'RETEN. y PERC.'!J73=0),"",'RETEN. y PERC.'!J73)</f>
        <v/>
      </c>
    </row>
    <row r="74" spans="1:6">
      <c r="A74" s="640" t="str">
        <f>IF(OR(LEN('RETEN. y PERC.'!F74)=0,'RETEN. y PERC.'!F74=0),"",'RETEN. y PERC.'!F74)</f>
        <v/>
      </c>
      <c r="B74" s="640" t="str">
        <f>IF(OR(LEN('RETEN. y PERC.'!A74)=0,'RETEN. y PERC.'!A74=0),"",'RETEN. y PERC.'!A74)</f>
        <v/>
      </c>
      <c r="C74" s="640" t="str">
        <f>IF(OR(LEN('RETEN. y PERC.'!H74)=0,'RETEN. y PERC.'!H74=0),"",'RETEN. y PERC.'!H74)</f>
        <v/>
      </c>
      <c r="D74" s="640" t="str">
        <f>IF(OR(LEN('RETEN. y PERC.'!N74)=0,'RETEN. y PERC.'!N74=0),"",'RETEN. y PERC.'!N74)</f>
        <v/>
      </c>
      <c r="F74" s="645" t="str">
        <f>IF(OR(LEN('RETEN. y PERC.'!J74)=0,'RETEN. y PERC.'!J74=0),"",'RETEN. y PERC.'!J74)</f>
        <v/>
      </c>
    </row>
    <row r="75" spans="1:6">
      <c r="A75" s="640" t="str">
        <f>IF(OR(LEN('RETEN. y PERC.'!F75)=0,'RETEN. y PERC.'!F75=0),"",'RETEN. y PERC.'!F75)</f>
        <v/>
      </c>
      <c r="B75" s="640" t="str">
        <f>IF(OR(LEN('RETEN. y PERC.'!A75)=0,'RETEN. y PERC.'!A75=0),"",'RETEN. y PERC.'!A75)</f>
        <v/>
      </c>
      <c r="C75" s="640" t="str">
        <f>IF(OR(LEN('RETEN. y PERC.'!H75)=0,'RETEN. y PERC.'!H75=0),"",'RETEN. y PERC.'!H75)</f>
        <v/>
      </c>
      <c r="D75" s="640" t="str">
        <f>IF(OR(LEN('RETEN. y PERC.'!N75)=0,'RETEN. y PERC.'!N75=0),"",'RETEN. y PERC.'!N75)</f>
        <v/>
      </c>
      <c r="F75" s="645" t="str">
        <f>IF(OR(LEN('RETEN. y PERC.'!J75)=0,'RETEN. y PERC.'!J75=0),"",'RETEN. y PERC.'!J75)</f>
        <v/>
      </c>
    </row>
    <row r="76" spans="1:6">
      <c r="A76" s="640" t="str">
        <f>IF(OR(LEN('RETEN. y PERC.'!F76)=0,'RETEN. y PERC.'!F76=0),"",'RETEN. y PERC.'!F76)</f>
        <v/>
      </c>
      <c r="B76" s="640" t="str">
        <f>IF(OR(LEN('RETEN. y PERC.'!A76)=0,'RETEN. y PERC.'!A76=0),"",'RETEN. y PERC.'!A76)</f>
        <v/>
      </c>
      <c r="C76" s="640" t="str">
        <f>IF(OR(LEN('RETEN. y PERC.'!H76)=0,'RETEN. y PERC.'!H76=0),"",'RETEN. y PERC.'!H76)</f>
        <v/>
      </c>
      <c r="D76" s="640" t="str">
        <f>IF(OR(LEN('RETEN. y PERC.'!N76)=0,'RETEN. y PERC.'!N76=0),"",'RETEN. y PERC.'!N76)</f>
        <v/>
      </c>
      <c r="F76" s="645" t="str">
        <f>IF(OR(LEN('RETEN. y PERC.'!J76)=0,'RETEN. y PERC.'!J76=0),"",'RETEN. y PERC.'!J76)</f>
        <v/>
      </c>
    </row>
    <row r="77" spans="1:6">
      <c r="A77" s="640" t="str">
        <f>IF(OR(LEN('RETEN. y PERC.'!F77)=0,'RETEN. y PERC.'!F77=0),"",'RETEN. y PERC.'!F77)</f>
        <v/>
      </c>
      <c r="B77" s="640" t="str">
        <f>IF(OR(LEN('RETEN. y PERC.'!A77)=0,'RETEN. y PERC.'!A77=0),"",'RETEN. y PERC.'!A77)</f>
        <v/>
      </c>
      <c r="C77" s="640" t="str">
        <f>IF(OR(LEN('RETEN. y PERC.'!H77)=0,'RETEN. y PERC.'!H77=0),"",'RETEN. y PERC.'!H77)</f>
        <v/>
      </c>
      <c r="D77" s="640" t="str">
        <f>IF(OR(LEN('RETEN. y PERC.'!N77)=0,'RETEN. y PERC.'!N77=0),"",'RETEN. y PERC.'!N77)</f>
        <v/>
      </c>
      <c r="F77" s="645" t="str">
        <f>IF(OR(LEN('RETEN. y PERC.'!J77)=0,'RETEN. y PERC.'!J77=0),"",'RETEN. y PERC.'!J77)</f>
        <v/>
      </c>
    </row>
    <row r="78" spans="1:6">
      <c r="A78" s="640" t="str">
        <f>IF(OR(LEN('RETEN. y PERC.'!F78)=0,'RETEN. y PERC.'!F78=0),"",'RETEN. y PERC.'!F78)</f>
        <v/>
      </c>
      <c r="B78" s="640" t="str">
        <f>IF(OR(LEN('RETEN. y PERC.'!A78)=0,'RETEN. y PERC.'!A78=0),"",'RETEN. y PERC.'!A78)</f>
        <v/>
      </c>
      <c r="C78" s="640" t="str">
        <f>IF(OR(LEN('RETEN. y PERC.'!H78)=0,'RETEN. y PERC.'!H78=0),"",'RETEN. y PERC.'!H78)</f>
        <v/>
      </c>
      <c r="D78" s="640" t="str">
        <f>IF(OR(LEN('RETEN. y PERC.'!N78)=0,'RETEN. y PERC.'!N78=0),"",'RETEN. y PERC.'!N78)</f>
        <v/>
      </c>
      <c r="F78" s="645" t="str">
        <f>IF(OR(LEN('RETEN. y PERC.'!J78)=0,'RETEN. y PERC.'!J78=0),"",'RETEN. y PERC.'!J78)</f>
        <v/>
      </c>
    </row>
    <row r="79" spans="1:6">
      <c r="A79" s="640" t="str">
        <f>IF(OR(LEN('RETEN. y PERC.'!F79)=0,'RETEN. y PERC.'!F79=0),"",'RETEN. y PERC.'!F79)</f>
        <v/>
      </c>
      <c r="B79" s="640" t="str">
        <f>IF(OR(LEN('RETEN. y PERC.'!A79)=0,'RETEN. y PERC.'!A79=0),"",'RETEN. y PERC.'!A79)</f>
        <v/>
      </c>
      <c r="C79" s="640" t="str">
        <f>IF(OR(LEN('RETEN. y PERC.'!H79)=0,'RETEN. y PERC.'!H79=0),"",'RETEN. y PERC.'!H79)</f>
        <v/>
      </c>
      <c r="D79" s="640" t="str">
        <f>IF(OR(LEN('RETEN. y PERC.'!N79)=0,'RETEN. y PERC.'!N79=0),"",'RETEN. y PERC.'!N79)</f>
        <v/>
      </c>
      <c r="F79" s="645" t="str">
        <f>IF(OR(LEN('RETEN. y PERC.'!J79)=0,'RETEN. y PERC.'!J79=0),"",'RETEN. y PERC.'!J79)</f>
        <v/>
      </c>
    </row>
    <row r="80" spans="1:6">
      <c r="A80" s="640" t="str">
        <f>IF(OR(LEN('RETEN. y PERC.'!F80)=0,'RETEN. y PERC.'!F80=0),"",'RETEN. y PERC.'!F80)</f>
        <v/>
      </c>
      <c r="B80" s="640" t="str">
        <f>IF(OR(LEN('RETEN. y PERC.'!A80)=0,'RETEN. y PERC.'!A80=0),"",'RETEN. y PERC.'!A80)</f>
        <v/>
      </c>
      <c r="C80" s="640" t="str">
        <f>IF(OR(LEN('RETEN. y PERC.'!H80)=0,'RETEN. y PERC.'!H80=0),"",'RETEN. y PERC.'!H80)</f>
        <v/>
      </c>
      <c r="D80" s="640" t="str">
        <f>IF(OR(LEN('RETEN. y PERC.'!N80)=0,'RETEN. y PERC.'!N80=0),"",'RETEN. y PERC.'!N80)</f>
        <v/>
      </c>
      <c r="F80" s="645" t="str">
        <f>IF(OR(LEN('RETEN. y PERC.'!J80)=0,'RETEN. y PERC.'!J80=0),"",'RETEN. y PERC.'!J80)</f>
        <v/>
      </c>
    </row>
    <row r="81" spans="1:6">
      <c r="A81" s="640" t="str">
        <f>IF(OR(LEN('RETEN. y PERC.'!F81)=0,'RETEN. y PERC.'!F81=0),"",'RETEN. y PERC.'!F81)</f>
        <v/>
      </c>
      <c r="B81" s="640" t="str">
        <f>IF(OR(LEN('RETEN. y PERC.'!A81)=0,'RETEN. y PERC.'!A81=0),"",'RETEN. y PERC.'!A81)</f>
        <v/>
      </c>
      <c r="C81" s="640" t="str">
        <f>IF(OR(LEN('RETEN. y PERC.'!H81)=0,'RETEN. y PERC.'!H81=0),"",'RETEN. y PERC.'!H81)</f>
        <v/>
      </c>
      <c r="D81" s="640" t="str">
        <f>IF(OR(LEN('RETEN. y PERC.'!N81)=0,'RETEN. y PERC.'!N81=0),"",'RETEN. y PERC.'!N81)</f>
        <v/>
      </c>
      <c r="F81" s="645" t="str">
        <f>IF(OR(LEN('RETEN. y PERC.'!J81)=0,'RETEN. y PERC.'!J81=0),"",'RETEN. y PERC.'!J81)</f>
        <v/>
      </c>
    </row>
    <row r="82" spans="1:6">
      <c r="A82" s="640" t="str">
        <f>IF(OR(LEN('RETEN. y PERC.'!F82)=0,'RETEN. y PERC.'!F82=0),"",'RETEN. y PERC.'!F82)</f>
        <v/>
      </c>
      <c r="B82" s="640" t="str">
        <f>IF(OR(LEN('RETEN. y PERC.'!A82)=0,'RETEN. y PERC.'!A82=0),"",'RETEN. y PERC.'!A82)</f>
        <v/>
      </c>
      <c r="C82" s="640" t="str">
        <f>IF(OR(LEN('RETEN. y PERC.'!H82)=0,'RETEN. y PERC.'!H82=0),"",'RETEN. y PERC.'!H82)</f>
        <v/>
      </c>
      <c r="D82" s="640" t="str">
        <f>IF(OR(LEN('RETEN. y PERC.'!N82)=0,'RETEN. y PERC.'!N82=0),"",'RETEN. y PERC.'!N82)</f>
        <v/>
      </c>
      <c r="F82" s="645" t="str">
        <f>IF(OR(LEN('RETEN. y PERC.'!J82)=0,'RETEN. y PERC.'!J82=0),"",'RETEN. y PERC.'!J82)</f>
        <v/>
      </c>
    </row>
    <row r="83" spans="1:6">
      <c r="A83" s="640" t="str">
        <f>IF(OR(LEN('RETEN. y PERC.'!F83)=0,'RETEN. y PERC.'!F83=0),"",'RETEN. y PERC.'!F83)</f>
        <v/>
      </c>
      <c r="B83" s="640" t="str">
        <f>IF(OR(LEN('RETEN. y PERC.'!A83)=0,'RETEN. y PERC.'!A83=0),"",'RETEN. y PERC.'!A83)</f>
        <v/>
      </c>
      <c r="C83" s="640" t="str">
        <f>IF(OR(LEN('RETEN. y PERC.'!H83)=0,'RETEN. y PERC.'!H83=0),"",'RETEN. y PERC.'!H83)</f>
        <v/>
      </c>
      <c r="D83" s="640" t="str">
        <f>IF(OR(LEN('RETEN. y PERC.'!N83)=0,'RETEN. y PERC.'!N83=0),"",'RETEN. y PERC.'!N83)</f>
        <v/>
      </c>
      <c r="F83" s="645" t="str">
        <f>IF(OR(LEN('RETEN. y PERC.'!J83)=0,'RETEN. y PERC.'!J83=0),"",'RETEN. y PERC.'!J83)</f>
        <v/>
      </c>
    </row>
    <row r="84" spans="1:6">
      <c r="A84" s="640" t="str">
        <f>IF(OR(LEN('RETEN. y PERC.'!F84)=0,'RETEN. y PERC.'!F84=0),"",'RETEN. y PERC.'!F84)</f>
        <v/>
      </c>
      <c r="B84" s="640" t="str">
        <f>IF(OR(LEN('RETEN. y PERC.'!A84)=0,'RETEN. y PERC.'!A84=0),"",'RETEN. y PERC.'!A84)</f>
        <v/>
      </c>
      <c r="C84" s="640" t="str">
        <f>IF(OR(LEN('RETEN. y PERC.'!H84)=0,'RETEN. y PERC.'!H84=0),"",'RETEN. y PERC.'!H84)</f>
        <v/>
      </c>
      <c r="D84" s="640" t="str">
        <f>IF(OR(LEN('RETEN. y PERC.'!N84)=0,'RETEN. y PERC.'!N84=0),"",'RETEN. y PERC.'!N84)</f>
        <v/>
      </c>
      <c r="F84" s="645" t="str">
        <f>IF(OR(LEN('RETEN. y PERC.'!J84)=0,'RETEN. y PERC.'!J84=0),"",'RETEN. y PERC.'!J84)</f>
        <v/>
      </c>
    </row>
    <row r="85" spans="1:6">
      <c r="A85" s="640" t="str">
        <f>IF(OR(LEN('RETEN. y PERC.'!F85)=0,'RETEN. y PERC.'!F85=0),"",'RETEN. y PERC.'!F85)</f>
        <v/>
      </c>
      <c r="B85" s="640" t="str">
        <f>IF(OR(LEN('RETEN. y PERC.'!A85)=0,'RETEN. y PERC.'!A85=0),"",'RETEN. y PERC.'!A85)</f>
        <v/>
      </c>
      <c r="C85" s="640" t="str">
        <f>IF(OR(LEN('RETEN. y PERC.'!H85)=0,'RETEN. y PERC.'!H85=0),"",'RETEN. y PERC.'!H85)</f>
        <v/>
      </c>
      <c r="D85" s="640" t="str">
        <f>IF(OR(LEN('RETEN. y PERC.'!N85)=0,'RETEN. y PERC.'!N85=0),"",'RETEN. y PERC.'!N85)</f>
        <v/>
      </c>
      <c r="F85" s="645" t="str">
        <f>IF(OR(LEN('RETEN. y PERC.'!J85)=0,'RETEN. y PERC.'!J85=0),"",'RETEN. y PERC.'!J85)</f>
        <v/>
      </c>
    </row>
    <row r="86" spans="1:6">
      <c r="A86" s="640" t="str">
        <f>IF(OR(LEN('RETEN. y PERC.'!F86)=0,'RETEN. y PERC.'!F86=0),"",'RETEN. y PERC.'!F86)</f>
        <v/>
      </c>
      <c r="B86" s="640" t="str">
        <f>IF(OR(LEN('RETEN. y PERC.'!A86)=0,'RETEN. y PERC.'!A86=0),"",'RETEN. y PERC.'!A86)</f>
        <v/>
      </c>
      <c r="C86" s="640" t="str">
        <f>IF(OR(LEN('RETEN. y PERC.'!H86)=0,'RETEN. y PERC.'!H86=0),"",'RETEN. y PERC.'!H86)</f>
        <v/>
      </c>
      <c r="D86" s="640" t="str">
        <f>IF(OR(LEN('RETEN. y PERC.'!N86)=0,'RETEN. y PERC.'!N86=0),"",'RETEN. y PERC.'!N86)</f>
        <v/>
      </c>
      <c r="F86" s="645" t="str">
        <f>IF(OR(LEN('RETEN. y PERC.'!J86)=0,'RETEN. y PERC.'!J86=0),"",'RETEN. y PERC.'!J86)</f>
        <v/>
      </c>
    </row>
    <row r="87" spans="1:6">
      <c r="A87" s="640" t="str">
        <f>IF(OR(LEN('RETEN. y PERC.'!F87)=0,'RETEN. y PERC.'!F87=0),"",'RETEN. y PERC.'!F87)</f>
        <v/>
      </c>
      <c r="B87" s="640" t="str">
        <f>IF(OR(LEN('RETEN. y PERC.'!A87)=0,'RETEN. y PERC.'!A87=0),"",'RETEN. y PERC.'!A87)</f>
        <v/>
      </c>
      <c r="C87" s="640" t="str">
        <f>IF(OR(LEN('RETEN. y PERC.'!H87)=0,'RETEN. y PERC.'!H87=0),"",'RETEN. y PERC.'!H87)</f>
        <v/>
      </c>
      <c r="D87" s="640" t="str">
        <f>IF(OR(LEN('RETEN. y PERC.'!N87)=0,'RETEN. y PERC.'!N87=0),"",'RETEN. y PERC.'!N87)</f>
        <v/>
      </c>
      <c r="F87" s="645" t="str">
        <f>IF(OR(LEN('RETEN. y PERC.'!J87)=0,'RETEN. y PERC.'!J87=0),"",'RETEN. y PERC.'!J87)</f>
        <v/>
      </c>
    </row>
    <row r="88" spans="1:6">
      <c r="A88" s="640" t="str">
        <f>IF(OR(LEN('RETEN. y PERC.'!F88)=0,'RETEN. y PERC.'!F88=0),"",'RETEN. y PERC.'!F88)</f>
        <v/>
      </c>
      <c r="B88" s="640" t="str">
        <f>IF(OR(LEN('RETEN. y PERC.'!A88)=0,'RETEN. y PERC.'!A88=0),"",'RETEN. y PERC.'!A88)</f>
        <v/>
      </c>
      <c r="C88" s="640" t="str">
        <f>IF(OR(LEN('RETEN. y PERC.'!H88)=0,'RETEN. y PERC.'!H88=0),"",'RETEN. y PERC.'!H88)</f>
        <v/>
      </c>
      <c r="D88" s="640" t="str">
        <f>IF(OR(LEN('RETEN. y PERC.'!N88)=0,'RETEN. y PERC.'!N88=0),"",'RETEN. y PERC.'!N88)</f>
        <v/>
      </c>
      <c r="F88" s="645" t="str">
        <f>IF(OR(LEN('RETEN. y PERC.'!J88)=0,'RETEN. y PERC.'!J88=0),"",'RETEN. y PERC.'!J88)</f>
        <v/>
      </c>
    </row>
    <row r="89" spans="1:6">
      <c r="A89" s="640" t="str">
        <f>IF(OR(LEN('RETEN. y PERC.'!F89)=0,'RETEN. y PERC.'!F89=0),"",'RETEN. y PERC.'!F89)</f>
        <v/>
      </c>
      <c r="B89" s="640" t="str">
        <f>IF(OR(LEN('RETEN. y PERC.'!A89)=0,'RETEN. y PERC.'!A89=0),"",'RETEN. y PERC.'!A89)</f>
        <v/>
      </c>
      <c r="C89" s="640" t="str">
        <f>IF(OR(LEN('RETEN. y PERC.'!H89)=0,'RETEN. y PERC.'!H89=0),"",'RETEN. y PERC.'!H89)</f>
        <v/>
      </c>
      <c r="D89" s="640" t="str">
        <f>IF(OR(LEN('RETEN. y PERC.'!N89)=0,'RETEN. y PERC.'!N89=0),"",'RETEN. y PERC.'!N89)</f>
        <v/>
      </c>
      <c r="F89" s="645" t="str">
        <f>IF(OR(LEN('RETEN. y PERC.'!J89)=0,'RETEN. y PERC.'!J89=0),"",'RETEN. y PERC.'!J89)</f>
        <v/>
      </c>
    </row>
    <row r="90" spans="1:6">
      <c r="A90" s="640" t="str">
        <f>IF(OR(LEN('RETEN. y PERC.'!F90)=0,'RETEN. y PERC.'!F90=0),"",'RETEN. y PERC.'!F90)</f>
        <v/>
      </c>
      <c r="B90" s="640" t="str">
        <f>IF(OR(LEN('RETEN. y PERC.'!A90)=0,'RETEN. y PERC.'!A90=0),"",'RETEN. y PERC.'!A90)</f>
        <v/>
      </c>
      <c r="C90" s="640" t="str">
        <f>IF(OR(LEN('RETEN. y PERC.'!H90)=0,'RETEN. y PERC.'!H90=0),"",'RETEN. y PERC.'!H90)</f>
        <v/>
      </c>
      <c r="D90" s="640" t="str">
        <f>IF(OR(LEN('RETEN. y PERC.'!N90)=0,'RETEN. y PERC.'!N90=0),"",'RETEN. y PERC.'!N90)</f>
        <v/>
      </c>
      <c r="F90" s="645" t="str">
        <f>IF(OR(LEN('RETEN. y PERC.'!J90)=0,'RETEN. y PERC.'!J90=0),"",'RETEN. y PERC.'!J90)</f>
        <v/>
      </c>
    </row>
    <row r="91" spans="1:6">
      <c r="A91" s="640" t="str">
        <f>IF(OR(LEN('RETEN. y PERC.'!F91)=0,'RETEN. y PERC.'!F91=0),"",'RETEN. y PERC.'!F91)</f>
        <v/>
      </c>
      <c r="B91" s="640" t="str">
        <f>IF(OR(LEN('RETEN. y PERC.'!A91)=0,'RETEN. y PERC.'!A91=0),"",'RETEN. y PERC.'!A91)</f>
        <v/>
      </c>
      <c r="C91" s="640" t="str">
        <f>IF(OR(LEN('RETEN. y PERC.'!H91)=0,'RETEN. y PERC.'!H91=0),"",'RETEN. y PERC.'!H91)</f>
        <v/>
      </c>
      <c r="D91" s="640" t="str">
        <f>IF(OR(LEN('RETEN. y PERC.'!N91)=0,'RETEN. y PERC.'!N91=0),"",'RETEN. y PERC.'!N91)</f>
        <v/>
      </c>
      <c r="F91" s="645" t="str">
        <f>IF(OR(LEN('RETEN. y PERC.'!J91)=0,'RETEN. y PERC.'!J91=0),"",'RETEN. y PERC.'!J91)</f>
        <v/>
      </c>
    </row>
    <row r="92" spans="1:6">
      <c r="A92" s="640" t="str">
        <f>IF(OR(LEN('RETEN. y PERC.'!F92)=0,'RETEN. y PERC.'!F92=0),"",'RETEN. y PERC.'!F92)</f>
        <v/>
      </c>
      <c r="B92" s="640" t="str">
        <f>IF(OR(LEN('RETEN. y PERC.'!A92)=0,'RETEN. y PERC.'!A92=0),"",'RETEN. y PERC.'!A92)</f>
        <v/>
      </c>
      <c r="C92" s="640" t="str">
        <f>IF(OR(LEN('RETEN. y PERC.'!H92)=0,'RETEN. y PERC.'!H92=0),"",'RETEN. y PERC.'!H92)</f>
        <v/>
      </c>
      <c r="D92" s="640" t="str">
        <f>IF(OR(LEN('RETEN. y PERC.'!N92)=0,'RETEN. y PERC.'!N92=0),"",'RETEN. y PERC.'!N92)</f>
        <v/>
      </c>
      <c r="F92" s="645" t="str">
        <f>IF(OR(LEN('RETEN. y PERC.'!J92)=0,'RETEN. y PERC.'!J92=0),"",'RETEN. y PERC.'!J92)</f>
        <v/>
      </c>
    </row>
    <row r="93" spans="1:6">
      <c r="A93" s="640" t="str">
        <f>IF(OR(LEN('RETEN. y PERC.'!F93)=0,'RETEN. y PERC.'!F93=0),"",'RETEN. y PERC.'!F93)</f>
        <v/>
      </c>
      <c r="B93" s="640" t="str">
        <f>IF(OR(LEN('RETEN. y PERC.'!A93)=0,'RETEN. y PERC.'!A93=0),"",'RETEN. y PERC.'!A93)</f>
        <v/>
      </c>
      <c r="C93" s="640" t="str">
        <f>IF(OR(LEN('RETEN. y PERC.'!H93)=0,'RETEN. y PERC.'!H93=0),"",'RETEN. y PERC.'!H93)</f>
        <v/>
      </c>
      <c r="D93" s="640" t="str">
        <f>IF(OR(LEN('RETEN. y PERC.'!N93)=0,'RETEN. y PERC.'!N93=0),"",'RETEN. y PERC.'!N93)</f>
        <v/>
      </c>
      <c r="F93" s="645" t="str">
        <f>IF(OR(LEN('RETEN. y PERC.'!J93)=0,'RETEN. y PERC.'!J93=0),"",'RETEN. y PERC.'!J93)</f>
        <v/>
      </c>
    </row>
    <row r="94" spans="1:6">
      <c r="A94" s="640" t="str">
        <f>IF(OR(LEN('RETEN. y PERC.'!F94)=0,'RETEN. y PERC.'!F94=0),"",'RETEN. y PERC.'!F94)</f>
        <v/>
      </c>
      <c r="B94" s="640" t="str">
        <f>IF(OR(LEN('RETEN. y PERC.'!A94)=0,'RETEN. y PERC.'!A94=0),"",'RETEN. y PERC.'!A94)</f>
        <v/>
      </c>
      <c r="C94" s="640" t="str">
        <f>IF(OR(LEN('RETEN. y PERC.'!H94)=0,'RETEN. y PERC.'!H94=0),"",'RETEN. y PERC.'!H94)</f>
        <v/>
      </c>
      <c r="D94" s="640" t="str">
        <f>IF(OR(LEN('RETEN. y PERC.'!N94)=0,'RETEN. y PERC.'!N94=0),"",'RETEN. y PERC.'!N94)</f>
        <v/>
      </c>
      <c r="F94" s="645" t="str">
        <f>IF(OR(LEN('RETEN. y PERC.'!J94)=0,'RETEN. y PERC.'!J94=0),"",'RETEN. y PERC.'!J94)</f>
        <v/>
      </c>
    </row>
    <row r="95" spans="1:6">
      <c r="A95" s="640" t="str">
        <f>IF(OR(LEN('RETEN. y PERC.'!F95)=0,'RETEN. y PERC.'!F95=0),"",'RETEN. y PERC.'!F95)</f>
        <v/>
      </c>
      <c r="B95" s="640" t="str">
        <f>IF(OR(LEN('RETEN. y PERC.'!A95)=0,'RETEN. y PERC.'!A95=0),"",'RETEN. y PERC.'!A95)</f>
        <v/>
      </c>
      <c r="C95" s="640" t="str">
        <f>IF(OR(LEN('RETEN. y PERC.'!H95)=0,'RETEN. y PERC.'!H95=0),"",'RETEN. y PERC.'!H95)</f>
        <v/>
      </c>
      <c r="D95" s="640" t="str">
        <f>IF(OR(LEN('RETEN. y PERC.'!N95)=0,'RETEN. y PERC.'!N95=0),"",'RETEN. y PERC.'!N95)</f>
        <v/>
      </c>
      <c r="F95" s="645" t="str">
        <f>IF(OR(LEN('RETEN. y PERC.'!J95)=0,'RETEN. y PERC.'!J95=0),"",'RETEN. y PERC.'!J95)</f>
        <v/>
      </c>
    </row>
    <row r="96" spans="1:6">
      <c r="A96" s="640" t="str">
        <f>IF(OR(LEN('RETEN. y PERC.'!F96)=0,'RETEN. y PERC.'!F96=0),"",'RETEN. y PERC.'!F96)</f>
        <v/>
      </c>
      <c r="B96" s="640" t="str">
        <f>IF(OR(LEN('RETEN. y PERC.'!A96)=0,'RETEN. y PERC.'!A96=0),"",'RETEN. y PERC.'!A96)</f>
        <v/>
      </c>
      <c r="C96" s="640" t="str">
        <f>IF(OR(LEN('RETEN. y PERC.'!H96)=0,'RETEN. y PERC.'!H96=0),"",'RETEN. y PERC.'!H96)</f>
        <v/>
      </c>
      <c r="D96" s="640" t="str">
        <f>IF(OR(LEN('RETEN. y PERC.'!N96)=0,'RETEN. y PERC.'!N96=0),"",'RETEN. y PERC.'!N96)</f>
        <v/>
      </c>
      <c r="F96" s="645" t="str">
        <f>IF(OR(LEN('RETEN. y PERC.'!J96)=0,'RETEN. y PERC.'!J96=0),"",'RETEN. y PERC.'!J96)</f>
        <v/>
      </c>
    </row>
    <row r="97" spans="1:6">
      <c r="A97" s="640" t="str">
        <f>IF(OR(LEN('RETEN. y PERC.'!F97)=0,'RETEN. y PERC.'!F97=0),"",'RETEN. y PERC.'!F97)</f>
        <v/>
      </c>
      <c r="B97" s="640" t="str">
        <f>IF(OR(LEN('RETEN. y PERC.'!A97)=0,'RETEN. y PERC.'!A97=0),"",'RETEN. y PERC.'!A97)</f>
        <v/>
      </c>
      <c r="C97" s="640" t="str">
        <f>IF(OR(LEN('RETEN. y PERC.'!H97)=0,'RETEN. y PERC.'!H97=0),"",'RETEN. y PERC.'!H97)</f>
        <v/>
      </c>
      <c r="D97" s="640" t="str">
        <f>IF(OR(LEN('RETEN. y PERC.'!N97)=0,'RETEN. y PERC.'!N97=0),"",'RETEN. y PERC.'!N97)</f>
        <v/>
      </c>
      <c r="F97" s="645" t="str">
        <f>IF(OR(LEN('RETEN. y PERC.'!J97)=0,'RETEN. y PERC.'!J97=0),"",'RETEN. y PERC.'!J97)</f>
        <v/>
      </c>
    </row>
    <row r="98" spans="1:6">
      <c r="A98" s="640" t="str">
        <f>IF(OR(LEN('RETEN. y PERC.'!F98)=0,'RETEN. y PERC.'!F98=0),"",'RETEN. y PERC.'!F98)</f>
        <v/>
      </c>
      <c r="B98" s="640" t="str">
        <f>IF(OR(LEN('RETEN. y PERC.'!A98)=0,'RETEN. y PERC.'!A98=0),"",'RETEN. y PERC.'!A98)</f>
        <v/>
      </c>
      <c r="C98" s="640" t="str">
        <f>IF(OR(LEN('RETEN. y PERC.'!H98)=0,'RETEN. y PERC.'!H98=0),"",'RETEN. y PERC.'!H98)</f>
        <v/>
      </c>
      <c r="D98" s="640" t="str">
        <f>IF(OR(LEN('RETEN. y PERC.'!N98)=0,'RETEN. y PERC.'!N98=0),"",'RETEN. y PERC.'!N98)</f>
        <v/>
      </c>
      <c r="F98" s="645" t="str">
        <f>IF(OR(LEN('RETEN. y PERC.'!J98)=0,'RETEN. y PERC.'!J98=0),"",'RETEN. y PERC.'!J98)</f>
        <v/>
      </c>
    </row>
    <row r="99" spans="1:6">
      <c r="A99" s="640" t="str">
        <f>IF(OR(LEN('RETEN. y PERC.'!F99)=0,'RETEN. y PERC.'!F99=0),"",'RETEN. y PERC.'!F99)</f>
        <v/>
      </c>
      <c r="B99" s="640" t="str">
        <f>IF(OR(LEN('RETEN. y PERC.'!A99)=0,'RETEN. y PERC.'!A99=0),"",'RETEN. y PERC.'!A99)</f>
        <v/>
      </c>
      <c r="C99" s="640" t="str">
        <f>IF(OR(LEN('RETEN. y PERC.'!H99)=0,'RETEN. y PERC.'!H99=0),"",'RETEN. y PERC.'!H99)</f>
        <v/>
      </c>
      <c r="D99" s="640" t="str">
        <f>IF(OR(LEN('RETEN. y PERC.'!N99)=0,'RETEN. y PERC.'!N99=0),"",'RETEN. y PERC.'!N99)</f>
        <v/>
      </c>
      <c r="F99" s="645" t="str">
        <f>IF(OR(LEN('RETEN. y PERC.'!J99)=0,'RETEN. y PERC.'!J99=0),"",'RETEN. y PERC.'!J99)</f>
        <v/>
      </c>
    </row>
    <row r="100" spans="1:6">
      <c r="A100" s="640" t="str">
        <f>IF(OR(LEN('RETEN. y PERC.'!F100)=0,'RETEN. y PERC.'!F100=0),"",'RETEN. y PERC.'!F100)</f>
        <v/>
      </c>
      <c r="B100" s="640" t="str">
        <f>IF(OR(LEN('RETEN. y PERC.'!A100)=0,'RETEN. y PERC.'!A100=0),"",'RETEN. y PERC.'!A100)</f>
        <v/>
      </c>
      <c r="C100" s="640" t="str">
        <f>IF(OR(LEN('RETEN. y PERC.'!H100)=0,'RETEN. y PERC.'!H100=0),"",'RETEN. y PERC.'!H100)</f>
        <v/>
      </c>
      <c r="D100" s="640" t="str">
        <f>IF(OR(LEN('RETEN. y PERC.'!N100)=0,'RETEN. y PERC.'!N100=0),"",'RETEN. y PERC.'!N100)</f>
        <v/>
      </c>
      <c r="F100" s="645" t="str">
        <f>IF(OR(LEN('RETEN. y PERC.'!J100)=0,'RETEN. y PERC.'!J100=0),"",'RETEN. y PERC.'!J100)</f>
        <v/>
      </c>
    </row>
    <row r="101" spans="1:6">
      <c r="A101" s="640" t="str">
        <f>IF(OR(LEN('RETEN. y PERC.'!F101)=0,'RETEN. y PERC.'!F101=0),"",'RETEN. y PERC.'!F101)</f>
        <v/>
      </c>
      <c r="B101" s="640" t="str">
        <f>IF(OR(LEN('RETEN. y PERC.'!A101)=0,'RETEN. y PERC.'!A101=0),"",'RETEN. y PERC.'!A101)</f>
        <v/>
      </c>
      <c r="C101" s="640" t="str">
        <f>IF(OR(LEN('RETEN. y PERC.'!H101)=0,'RETEN. y PERC.'!H101=0),"",'RETEN. y PERC.'!H101)</f>
        <v/>
      </c>
      <c r="D101" s="640" t="str">
        <f>IF(OR(LEN('RETEN. y PERC.'!N101)=0,'RETEN. y PERC.'!N101=0),"",'RETEN. y PERC.'!N101)</f>
        <v/>
      </c>
      <c r="F101" s="645" t="str">
        <f>IF(OR(LEN('RETEN. y PERC.'!J101)=0,'RETEN. y PERC.'!J101=0),"",'RETEN. y PERC.'!J101)</f>
        <v/>
      </c>
    </row>
    <row r="102" spans="1:6">
      <c r="A102" s="640" t="str">
        <f>IF(OR(LEN('RETEN. y PERC.'!F102)=0,'RETEN. y PERC.'!F102=0),"",'RETEN. y PERC.'!F102)</f>
        <v/>
      </c>
      <c r="B102" s="640" t="str">
        <f>IF(OR(LEN('RETEN. y PERC.'!A102)=0,'RETEN. y PERC.'!A102=0),"",'RETEN. y PERC.'!A102)</f>
        <v/>
      </c>
      <c r="C102" s="640" t="str">
        <f>IF(OR(LEN('RETEN. y PERC.'!H102)=0,'RETEN. y PERC.'!H102=0),"",'RETEN. y PERC.'!H102)</f>
        <v/>
      </c>
      <c r="D102" s="640" t="str">
        <f>IF(OR(LEN('RETEN. y PERC.'!N102)=0,'RETEN. y PERC.'!N102=0),"",'RETEN. y PERC.'!N102)</f>
        <v/>
      </c>
      <c r="F102" s="645" t="str">
        <f>IF(OR(LEN('RETEN. y PERC.'!J102)=0,'RETEN. y PERC.'!J102=0),"",'RETEN. y PERC.'!J102)</f>
        <v/>
      </c>
    </row>
    <row r="103" spans="1:6">
      <c r="A103" s="640" t="str">
        <f>IF(OR(LEN('RETEN. y PERC.'!F103)=0,'RETEN. y PERC.'!F103=0),"",'RETEN. y PERC.'!F103)</f>
        <v/>
      </c>
      <c r="B103" s="640" t="str">
        <f>IF(OR(LEN('RETEN. y PERC.'!A103)=0,'RETEN. y PERC.'!A103=0),"",'RETEN. y PERC.'!A103)</f>
        <v/>
      </c>
      <c r="C103" s="640" t="str">
        <f>IF(OR(LEN('RETEN. y PERC.'!H103)=0,'RETEN. y PERC.'!H103=0),"",'RETEN. y PERC.'!H103)</f>
        <v/>
      </c>
      <c r="D103" s="640" t="str">
        <f>IF(OR(LEN('RETEN. y PERC.'!N103)=0,'RETEN. y PERC.'!N103=0),"",'RETEN. y PERC.'!N103)</f>
        <v/>
      </c>
      <c r="F103" s="645" t="str">
        <f>IF(OR(LEN('RETEN. y PERC.'!J103)=0,'RETEN. y PERC.'!J103=0),"",'RETEN. y PERC.'!J103)</f>
        <v/>
      </c>
    </row>
    <row r="104" spans="1:6">
      <c r="A104" s="640" t="str">
        <f>IF(OR(LEN('RETEN. y PERC.'!F104)=0,'RETEN. y PERC.'!F104=0),"",'RETEN. y PERC.'!F104)</f>
        <v/>
      </c>
      <c r="B104" s="640" t="str">
        <f>IF(OR(LEN('RETEN. y PERC.'!A104)=0,'RETEN. y PERC.'!A104=0),"",'RETEN. y PERC.'!A104)</f>
        <v/>
      </c>
      <c r="C104" s="640" t="str">
        <f>IF(OR(LEN('RETEN. y PERC.'!H104)=0,'RETEN. y PERC.'!H104=0),"",'RETEN. y PERC.'!H104)</f>
        <v/>
      </c>
      <c r="D104" s="640" t="str">
        <f>IF(OR(LEN('RETEN. y PERC.'!N104)=0,'RETEN. y PERC.'!N104=0),"",'RETEN. y PERC.'!N104)</f>
        <v/>
      </c>
      <c r="F104" s="645" t="str">
        <f>IF(OR(LEN('RETEN. y PERC.'!J104)=0,'RETEN. y PERC.'!J104=0),"",'RETEN. y PERC.'!J104)</f>
        <v/>
      </c>
    </row>
    <row r="105" spans="1:6">
      <c r="A105" s="640" t="str">
        <f>IF(OR(LEN('RETEN. y PERC.'!F105)=0,'RETEN. y PERC.'!F105=0),"",'RETEN. y PERC.'!F105)</f>
        <v/>
      </c>
      <c r="B105" s="640" t="str">
        <f>IF(OR(LEN('RETEN. y PERC.'!A105)=0,'RETEN. y PERC.'!A105=0),"",'RETEN. y PERC.'!A105)</f>
        <v/>
      </c>
      <c r="C105" s="640" t="str">
        <f>IF(OR(LEN('RETEN. y PERC.'!H105)=0,'RETEN. y PERC.'!H105=0),"",'RETEN. y PERC.'!H105)</f>
        <v/>
      </c>
      <c r="D105" s="640" t="str">
        <f>IF(OR(LEN('RETEN. y PERC.'!N105)=0,'RETEN. y PERC.'!N105=0),"",'RETEN. y PERC.'!N105)</f>
        <v/>
      </c>
      <c r="F105" s="645" t="str">
        <f>IF(OR(LEN('RETEN. y PERC.'!J105)=0,'RETEN. y PERC.'!J105=0),"",'RETEN. y PERC.'!J105)</f>
        <v/>
      </c>
    </row>
    <row r="106" spans="1:6">
      <c r="A106" s="640" t="str">
        <f>IF(OR(LEN('RETEN. y PERC.'!F106)=0,'RETEN. y PERC.'!F106=0),"",'RETEN. y PERC.'!F106)</f>
        <v/>
      </c>
      <c r="B106" s="640" t="str">
        <f>IF(OR(LEN('RETEN. y PERC.'!A106)=0,'RETEN. y PERC.'!A106=0),"",'RETEN. y PERC.'!A106)</f>
        <v/>
      </c>
      <c r="C106" s="640" t="str">
        <f>IF(OR(LEN('RETEN. y PERC.'!H106)=0,'RETEN. y PERC.'!H106=0),"",'RETEN. y PERC.'!H106)</f>
        <v/>
      </c>
      <c r="D106" s="640" t="str">
        <f>IF(OR(LEN('RETEN. y PERC.'!N106)=0,'RETEN. y PERC.'!N106=0),"",'RETEN. y PERC.'!N106)</f>
        <v/>
      </c>
      <c r="F106" s="645" t="str">
        <f>IF(OR(LEN('RETEN. y PERC.'!J106)=0,'RETEN. y PERC.'!J106=0),"",'RETEN. y PERC.'!J106)</f>
        <v/>
      </c>
    </row>
    <row r="107" spans="1:6">
      <c r="A107" s="640" t="str">
        <f>IF(OR(LEN('RETEN. y PERC.'!F107)=0,'RETEN. y PERC.'!F107=0),"",'RETEN. y PERC.'!F107)</f>
        <v/>
      </c>
      <c r="B107" s="640" t="str">
        <f>IF(OR(LEN('RETEN. y PERC.'!A107)=0,'RETEN. y PERC.'!A107=0),"",'RETEN. y PERC.'!A107)</f>
        <v/>
      </c>
      <c r="C107" s="640" t="str">
        <f>IF(OR(LEN('RETEN. y PERC.'!H107)=0,'RETEN. y PERC.'!H107=0),"",'RETEN. y PERC.'!H107)</f>
        <v/>
      </c>
      <c r="D107" s="640" t="str">
        <f>IF(OR(LEN('RETEN. y PERC.'!N107)=0,'RETEN. y PERC.'!N107=0),"",'RETEN. y PERC.'!N107)</f>
        <v/>
      </c>
      <c r="F107" s="645" t="str">
        <f>IF(OR(LEN('RETEN. y PERC.'!J107)=0,'RETEN. y PERC.'!J107=0),"",'RETEN. y PERC.'!J107)</f>
        <v/>
      </c>
    </row>
    <row r="108" spans="1:6">
      <c r="A108" s="640" t="str">
        <f>IF(OR(LEN('RETEN. y PERC.'!F108)=0,'RETEN. y PERC.'!F108=0),"",'RETEN. y PERC.'!F108)</f>
        <v/>
      </c>
      <c r="B108" s="640" t="str">
        <f>IF(OR(LEN('RETEN. y PERC.'!A108)=0,'RETEN. y PERC.'!A108=0),"",'RETEN. y PERC.'!A108)</f>
        <v/>
      </c>
      <c r="C108" s="640" t="str">
        <f>IF(OR(LEN('RETEN. y PERC.'!H108)=0,'RETEN. y PERC.'!H108=0),"",'RETEN. y PERC.'!H108)</f>
        <v/>
      </c>
      <c r="D108" s="640" t="str">
        <f>IF(OR(LEN('RETEN. y PERC.'!N108)=0,'RETEN. y PERC.'!N108=0),"",'RETEN. y PERC.'!N108)</f>
        <v/>
      </c>
      <c r="F108" s="645" t="str">
        <f>IF(OR(LEN('RETEN. y PERC.'!J108)=0,'RETEN. y PERC.'!J108=0),"",'RETEN. y PERC.'!J108)</f>
        <v/>
      </c>
    </row>
    <row r="109" spans="1:6">
      <c r="A109" s="640" t="str">
        <f>IF(OR(LEN('RETEN. y PERC.'!F109)=0,'RETEN. y PERC.'!F109=0),"",'RETEN. y PERC.'!F109)</f>
        <v/>
      </c>
      <c r="B109" s="640" t="str">
        <f>IF(OR(LEN('RETEN. y PERC.'!A109)=0,'RETEN. y PERC.'!A109=0),"",'RETEN. y PERC.'!A109)</f>
        <v/>
      </c>
      <c r="C109" s="640" t="str">
        <f>IF(OR(LEN('RETEN. y PERC.'!H109)=0,'RETEN. y PERC.'!H109=0),"",'RETEN. y PERC.'!H109)</f>
        <v/>
      </c>
      <c r="D109" s="640" t="str">
        <f>IF(OR(LEN('RETEN. y PERC.'!N109)=0,'RETEN. y PERC.'!N109=0),"",'RETEN. y PERC.'!N109)</f>
        <v/>
      </c>
      <c r="F109" s="645" t="str">
        <f>IF(OR(LEN('RETEN. y PERC.'!J109)=0,'RETEN. y PERC.'!J109=0),"",'RETEN. y PERC.'!J109)</f>
        <v/>
      </c>
    </row>
    <row r="110" spans="1:6">
      <c r="A110" s="640" t="str">
        <f>IF(OR(LEN('RETEN. y PERC.'!F110)=0,'RETEN. y PERC.'!F110=0),"",'RETEN. y PERC.'!F110)</f>
        <v/>
      </c>
      <c r="B110" s="640" t="str">
        <f>IF(OR(LEN('RETEN. y PERC.'!A110)=0,'RETEN. y PERC.'!A110=0),"",'RETEN. y PERC.'!A110)</f>
        <v/>
      </c>
      <c r="C110" s="640" t="str">
        <f>IF(OR(LEN('RETEN. y PERC.'!H110)=0,'RETEN. y PERC.'!H110=0),"",'RETEN. y PERC.'!H110)</f>
        <v/>
      </c>
      <c r="D110" s="640" t="str">
        <f>IF(OR(LEN('RETEN. y PERC.'!N110)=0,'RETEN. y PERC.'!N110=0),"",'RETEN. y PERC.'!N110)</f>
        <v/>
      </c>
      <c r="F110" s="645" t="str">
        <f>IF(OR(LEN('RETEN. y PERC.'!J110)=0,'RETEN. y PERC.'!J110=0),"",'RETEN. y PERC.'!J110)</f>
        <v/>
      </c>
    </row>
    <row r="111" spans="1:6">
      <c r="A111" s="640" t="str">
        <f>IF(OR(LEN('RETEN. y PERC.'!F111)=0,'RETEN. y PERC.'!F111=0),"",'RETEN. y PERC.'!F111)</f>
        <v/>
      </c>
      <c r="B111" s="640" t="str">
        <f>IF(OR(LEN('RETEN. y PERC.'!A111)=0,'RETEN. y PERC.'!A111=0),"",'RETEN. y PERC.'!A111)</f>
        <v/>
      </c>
      <c r="C111" s="640" t="str">
        <f>IF(OR(LEN('RETEN. y PERC.'!H111)=0,'RETEN. y PERC.'!H111=0),"",'RETEN. y PERC.'!H111)</f>
        <v/>
      </c>
      <c r="D111" s="640" t="str">
        <f>IF(OR(LEN('RETEN. y PERC.'!N111)=0,'RETEN. y PERC.'!N111=0),"",'RETEN. y PERC.'!N111)</f>
        <v/>
      </c>
      <c r="F111" s="645" t="str">
        <f>IF(OR(LEN('RETEN. y PERC.'!J111)=0,'RETEN. y PERC.'!J111=0),"",'RETEN. y PERC.'!J111)</f>
        <v/>
      </c>
    </row>
    <row r="112" spans="1:6">
      <c r="A112" s="640" t="str">
        <f>IF(OR(LEN('RETEN. y PERC.'!F112)=0,'RETEN. y PERC.'!F112=0),"",'RETEN. y PERC.'!F112)</f>
        <v/>
      </c>
      <c r="B112" s="640" t="str">
        <f>IF(OR(LEN('RETEN. y PERC.'!A112)=0,'RETEN. y PERC.'!A112=0),"",'RETEN. y PERC.'!A112)</f>
        <v/>
      </c>
      <c r="C112" s="640" t="str">
        <f>IF(OR(LEN('RETEN. y PERC.'!H112)=0,'RETEN. y PERC.'!H112=0),"",'RETEN. y PERC.'!H112)</f>
        <v/>
      </c>
      <c r="D112" s="640" t="str">
        <f>IF(OR(LEN('RETEN. y PERC.'!N112)=0,'RETEN. y PERC.'!N112=0),"",'RETEN. y PERC.'!N112)</f>
        <v/>
      </c>
      <c r="F112" s="645" t="str">
        <f>IF(OR(LEN('RETEN. y PERC.'!J112)=0,'RETEN. y PERC.'!J112=0),"",'RETEN. y PERC.'!J112)</f>
        <v/>
      </c>
    </row>
    <row r="113" spans="1:6">
      <c r="A113" s="640" t="str">
        <f>IF(OR(LEN('RETEN. y PERC.'!F113)=0,'RETEN. y PERC.'!F113=0),"",'RETEN. y PERC.'!F113)</f>
        <v/>
      </c>
      <c r="B113" s="640" t="str">
        <f>IF(OR(LEN('RETEN. y PERC.'!A113)=0,'RETEN. y PERC.'!A113=0),"",'RETEN. y PERC.'!A113)</f>
        <v/>
      </c>
      <c r="C113" s="640" t="str">
        <f>IF(OR(LEN('RETEN. y PERC.'!H113)=0,'RETEN. y PERC.'!H113=0),"",'RETEN. y PERC.'!H113)</f>
        <v/>
      </c>
      <c r="D113" s="640" t="str">
        <f>IF(OR(LEN('RETEN. y PERC.'!N113)=0,'RETEN. y PERC.'!N113=0),"",'RETEN. y PERC.'!N113)</f>
        <v/>
      </c>
      <c r="F113" s="645" t="str">
        <f>IF(OR(LEN('RETEN. y PERC.'!J113)=0,'RETEN. y PERC.'!J113=0),"",'RETEN. y PERC.'!J113)</f>
        <v/>
      </c>
    </row>
    <row r="114" spans="1:6">
      <c r="A114" s="640" t="str">
        <f>IF(OR(LEN('RETEN. y PERC.'!F114)=0,'RETEN. y PERC.'!F114=0),"",'RETEN. y PERC.'!F114)</f>
        <v/>
      </c>
      <c r="B114" s="640" t="str">
        <f>IF(OR(LEN('RETEN. y PERC.'!A114)=0,'RETEN. y PERC.'!A114=0),"",'RETEN. y PERC.'!A114)</f>
        <v/>
      </c>
      <c r="C114" s="640" t="str">
        <f>IF(OR(LEN('RETEN. y PERC.'!H114)=0,'RETEN. y PERC.'!H114=0),"",'RETEN. y PERC.'!H114)</f>
        <v/>
      </c>
      <c r="D114" s="640" t="str">
        <f>IF(OR(LEN('RETEN. y PERC.'!N114)=0,'RETEN. y PERC.'!N114=0),"",'RETEN. y PERC.'!N114)</f>
        <v/>
      </c>
      <c r="F114" s="645" t="str">
        <f>IF(OR(LEN('RETEN. y PERC.'!J114)=0,'RETEN. y PERC.'!J114=0),"",'RETEN. y PERC.'!J114)</f>
        <v/>
      </c>
    </row>
    <row r="115" spans="1:6">
      <c r="A115" s="640" t="str">
        <f>IF(OR(LEN('RETEN. y PERC.'!F115)=0,'RETEN. y PERC.'!F115=0),"",'RETEN. y PERC.'!F115)</f>
        <v/>
      </c>
      <c r="B115" s="640" t="str">
        <f>IF(OR(LEN('RETEN. y PERC.'!A115)=0,'RETEN. y PERC.'!A115=0),"",'RETEN. y PERC.'!A115)</f>
        <v/>
      </c>
      <c r="C115" s="640" t="str">
        <f>IF(OR(LEN('RETEN. y PERC.'!H115)=0,'RETEN. y PERC.'!H115=0),"",'RETEN. y PERC.'!H115)</f>
        <v/>
      </c>
      <c r="D115" s="640" t="str">
        <f>IF(OR(LEN('RETEN. y PERC.'!N115)=0,'RETEN. y PERC.'!N115=0),"",'RETEN. y PERC.'!N115)</f>
        <v/>
      </c>
      <c r="F115" s="645" t="str">
        <f>IF(OR(LEN('RETEN. y PERC.'!J115)=0,'RETEN. y PERC.'!J115=0),"",'RETEN. y PERC.'!J115)</f>
        <v/>
      </c>
    </row>
    <row r="116" spans="1:6">
      <c r="A116" s="640" t="str">
        <f>IF(OR(LEN('RETEN. y PERC.'!F116)=0,'RETEN. y PERC.'!F116=0),"",'RETEN. y PERC.'!F116)</f>
        <v/>
      </c>
      <c r="B116" s="640" t="str">
        <f>IF(OR(LEN('RETEN. y PERC.'!A116)=0,'RETEN. y PERC.'!A116=0),"",'RETEN. y PERC.'!A116)</f>
        <v/>
      </c>
      <c r="C116" s="640" t="str">
        <f>IF(OR(LEN('RETEN. y PERC.'!H116)=0,'RETEN. y PERC.'!H116=0),"",'RETEN. y PERC.'!H116)</f>
        <v/>
      </c>
      <c r="D116" s="640" t="str">
        <f>IF(OR(LEN('RETEN. y PERC.'!N116)=0,'RETEN. y PERC.'!N116=0),"",'RETEN. y PERC.'!N116)</f>
        <v/>
      </c>
      <c r="F116" s="645" t="str">
        <f>IF(OR(LEN('RETEN. y PERC.'!J116)=0,'RETEN. y PERC.'!J116=0),"",'RETEN. y PERC.'!J116)</f>
        <v/>
      </c>
    </row>
    <row r="117" spans="1:6">
      <c r="A117" s="640" t="str">
        <f>IF(OR(LEN('RETEN. y PERC.'!F117)=0,'RETEN. y PERC.'!F117=0),"",'RETEN. y PERC.'!F117)</f>
        <v/>
      </c>
      <c r="B117" s="640" t="str">
        <f>IF(OR(LEN('RETEN. y PERC.'!A117)=0,'RETEN. y PERC.'!A117=0),"",'RETEN. y PERC.'!A117)</f>
        <v/>
      </c>
      <c r="C117" s="640" t="str">
        <f>IF(OR(LEN('RETEN. y PERC.'!H117)=0,'RETEN. y PERC.'!H117=0),"",'RETEN. y PERC.'!H117)</f>
        <v/>
      </c>
      <c r="D117" s="640" t="str">
        <f>IF(OR(LEN('RETEN. y PERC.'!N117)=0,'RETEN. y PERC.'!N117=0),"",'RETEN. y PERC.'!N117)</f>
        <v/>
      </c>
      <c r="F117" s="645" t="str">
        <f>IF(OR(LEN('RETEN. y PERC.'!J117)=0,'RETEN. y PERC.'!J117=0),"",'RETEN. y PERC.'!J117)</f>
        <v/>
      </c>
    </row>
    <row r="118" spans="1:6">
      <c r="A118" s="640" t="str">
        <f>IF(OR(LEN('RETEN. y PERC.'!F118)=0,'RETEN. y PERC.'!F118=0),"",'RETEN. y PERC.'!F118)</f>
        <v/>
      </c>
      <c r="B118" s="640" t="str">
        <f>IF(OR(LEN('RETEN. y PERC.'!A118)=0,'RETEN. y PERC.'!A118=0),"",'RETEN. y PERC.'!A118)</f>
        <v/>
      </c>
      <c r="C118" s="640" t="str">
        <f>IF(OR(LEN('RETEN. y PERC.'!H118)=0,'RETEN. y PERC.'!H118=0),"",'RETEN. y PERC.'!H118)</f>
        <v/>
      </c>
      <c r="D118" s="640" t="str">
        <f>IF(OR(LEN('RETEN. y PERC.'!N118)=0,'RETEN. y PERC.'!N118=0),"",'RETEN. y PERC.'!N118)</f>
        <v/>
      </c>
      <c r="F118" s="645" t="str">
        <f>IF(OR(LEN('RETEN. y PERC.'!J118)=0,'RETEN. y PERC.'!J118=0),"",'RETEN. y PERC.'!J118)</f>
        <v/>
      </c>
    </row>
    <row r="119" spans="1:6">
      <c r="A119" s="640" t="str">
        <f>IF(OR(LEN('RETEN. y PERC.'!F119)=0,'RETEN. y PERC.'!F119=0),"",'RETEN. y PERC.'!F119)</f>
        <v/>
      </c>
      <c r="B119" s="640" t="str">
        <f>IF(OR(LEN('RETEN. y PERC.'!A119)=0,'RETEN. y PERC.'!A119=0),"",'RETEN. y PERC.'!A119)</f>
        <v/>
      </c>
      <c r="C119" s="640" t="str">
        <f>IF(OR(LEN('RETEN. y PERC.'!H119)=0,'RETEN. y PERC.'!H119=0),"",'RETEN. y PERC.'!H119)</f>
        <v/>
      </c>
      <c r="D119" s="640" t="str">
        <f>IF(OR(LEN('RETEN. y PERC.'!N119)=0,'RETEN. y PERC.'!N119=0),"",'RETEN. y PERC.'!N119)</f>
        <v/>
      </c>
      <c r="F119" s="645" t="str">
        <f>IF(OR(LEN('RETEN. y PERC.'!J119)=0,'RETEN. y PERC.'!J119=0),"",'RETEN. y PERC.'!J119)</f>
        <v/>
      </c>
    </row>
    <row r="120" spans="1:6">
      <c r="A120" s="640" t="str">
        <f>IF(OR(LEN('RETEN. y PERC.'!F120)=0,'RETEN. y PERC.'!F120=0),"",'RETEN. y PERC.'!F120)</f>
        <v/>
      </c>
      <c r="B120" s="640" t="str">
        <f>IF(OR(LEN('RETEN. y PERC.'!A120)=0,'RETEN. y PERC.'!A120=0),"",'RETEN. y PERC.'!A120)</f>
        <v/>
      </c>
      <c r="C120" s="640" t="str">
        <f>IF(OR(LEN('RETEN. y PERC.'!H120)=0,'RETEN. y PERC.'!H120=0),"",'RETEN. y PERC.'!H120)</f>
        <v/>
      </c>
      <c r="D120" s="640" t="str">
        <f>IF(OR(LEN('RETEN. y PERC.'!N120)=0,'RETEN. y PERC.'!N120=0),"",'RETEN. y PERC.'!N120)</f>
        <v/>
      </c>
      <c r="F120" s="645" t="str">
        <f>IF(OR(LEN('RETEN. y PERC.'!J120)=0,'RETEN. y PERC.'!J120=0),"",'RETEN. y PERC.'!J120)</f>
        <v/>
      </c>
    </row>
    <row r="121" spans="1:6">
      <c r="A121" s="640" t="str">
        <f>IF(OR(LEN('RETEN. y PERC.'!F121)=0,'RETEN. y PERC.'!F121=0),"",'RETEN. y PERC.'!F121)</f>
        <v/>
      </c>
      <c r="B121" s="640" t="str">
        <f>IF(OR(LEN('RETEN. y PERC.'!A121)=0,'RETEN. y PERC.'!A121=0),"",'RETEN. y PERC.'!A121)</f>
        <v/>
      </c>
      <c r="C121" s="640" t="str">
        <f>IF(OR(LEN('RETEN. y PERC.'!H121)=0,'RETEN. y PERC.'!H121=0),"",'RETEN. y PERC.'!H121)</f>
        <v/>
      </c>
      <c r="D121" s="640" t="str">
        <f>IF(OR(LEN('RETEN. y PERC.'!N121)=0,'RETEN. y PERC.'!N121=0),"",'RETEN. y PERC.'!N121)</f>
        <v/>
      </c>
      <c r="F121" s="645" t="str">
        <f>IF(OR(LEN('RETEN. y PERC.'!J121)=0,'RETEN. y PERC.'!J121=0),"",'RETEN. y PERC.'!J121)</f>
        <v/>
      </c>
    </row>
    <row r="122" spans="1:6">
      <c r="A122" s="640" t="str">
        <f>IF(OR(LEN('RETEN. y PERC.'!F122)=0,'RETEN. y PERC.'!F122=0),"",'RETEN. y PERC.'!F122)</f>
        <v/>
      </c>
      <c r="B122" s="640" t="str">
        <f>IF(OR(LEN('RETEN. y PERC.'!A122)=0,'RETEN. y PERC.'!A122=0),"",'RETEN. y PERC.'!A122)</f>
        <v/>
      </c>
      <c r="C122" s="640" t="str">
        <f>IF(OR(LEN('RETEN. y PERC.'!H122)=0,'RETEN. y PERC.'!H122=0),"",'RETEN. y PERC.'!H122)</f>
        <v/>
      </c>
      <c r="D122" s="640" t="str">
        <f>IF(OR(LEN('RETEN. y PERC.'!N122)=0,'RETEN. y PERC.'!N122=0),"",'RETEN. y PERC.'!N122)</f>
        <v/>
      </c>
      <c r="F122" s="645" t="str">
        <f>IF(OR(LEN('RETEN. y PERC.'!J122)=0,'RETEN. y PERC.'!J122=0),"",'RETEN. y PERC.'!J122)</f>
        <v/>
      </c>
    </row>
    <row r="123" spans="1:6">
      <c r="A123" s="640" t="str">
        <f>IF(OR(LEN('RETEN. y PERC.'!F123)=0,'RETEN. y PERC.'!F123=0),"",'RETEN. y PERC.'!F123)</f>
        <v/>
      </c>
      <c r="B123" s="640" t="str">
        <f>IF(OR(LEN('RETEN. y PERC.'!A123)=0,'RETEN. y PERC.'!A123=0),"",'RETEN. y PERC.'!A123)</f>
        <v/>
      </c>
      <c r="C123" s="640" t="str">
        <f>IF(OR(LEN('RETEN. y PERC.'!H123)=0,'RETEN. y PERC.'!H123=0),"",'RETEN. y PERC.'!H123)</f>
        <v/>
      </c>
      <c r="D123" s="640" t="str">
        <f>IF(OR(LEN('RETEN. y PERC.'!N123)=0,'RETEN. y PERC.'!N123=0),"",'RETEN. y PERC.'!N123)</f>
        <v/>
      </c>
      <c r="F123" s="645" t="str">
        <f>IF(OR(LEN('RETEN. y PERC.'!J123)=0,'RETEN. y PERC.'!J123=0),"",'RETEN. y PERC.'!J123)</f>
        <v/>
      </c>
    </row>
    <row r="124" spans="1:6">
      <c r="A124" s="640" t="str">
        <f>IF(OR(LEN('RETEN. y PERC.'!F124)=0,'RETEN. y PERC.'!F124=0),"",'RETEN. y PERC.'!F124)</f>
        <v/>
      </c>
      <c r="B124" s="640" t="str">
        <f>IF(OR(LEN('RETEN. y PERC.'!A124)=0,'RETEN. y PERC.'!A124=0),"",'RETEN. y PERC.'!A124)</f>
        <v/>
      </c>
      <c r="C124" s="640" t="str">
        <f>IF(OR(LEN('RETEN. y PERC.'!H124)=0,'RETEN. y PERC.'!H124=0),"",'RETEN. y PERC.'!H124)</f>
        <v/>
      </c>
      <c r="D124" s="640" t="str">
        <f>IF(OR(LEN('RETEN. y PERC.'!N124)=0,'RETEN. y PERC.'!N124=0),"",'RETEN. y PERC.'!N124)</f>
        <v/>
      </c>
      <c r="F124" s="645" t="str">
        <f>IF(OR(LEN('RETEN. y PERC.'!J124)=0,'RETEN. y PERC.'!J124=0),"",'RETEN. y PERC.'!J124)</f>
        <v/>
      </c>
    </row>
    <row r="125" spans="1:6">
      <c r="A125" s="640" t="str">
        <f>IF(OR(LEN('RETEN. y PERC.'!F125)=0,'RETEN. y PERC.'!F125=0),"",'RETEN. y PERC.'!F125)</f>
        <v/>
      </c>
      <c r="B125" s="640" t="str">
        <f>IF(OR(LEN('RETEN. y PERC.'!A125)=0,'RETEN. y PERC.'!A125=0),"",'RETEN. y PERC.'!A125)</f>
        <v/>
      </c>
      <c r="C125" s="640" t="str">
        <f>IF(OR(LEN('RETEN. y PERC.'!H125)=0,'RETEN. y PERC.'!H125=0),"",'RETEN. y PERC.'!H125)</f>
        <v/>
      </c>
      <c r="D125" s="640" t="str">
        <f>IF(OR(LEN('RETEN. y PERC.'!N125)=0,'RETEN. y PERC.'!N125=0),"",'RETEN. y PERC.'!N125)</f>
        <v/>
      </c>
      <c r="F125" s="645" t="str">
        <f>IF(OR(LEN('RETEN. y PERC.'!J125)=0,'RETEN. y PERC.'!J125=0),"",'RETEN. y PERC.'!J125)</f>
        <v/>
      </c>
    </row>
    <row r="126" spans="1:6">
      <c r="A126" s="640" t="str">
        <f>IF(OR(LEN('RETEN. y PERC.'!F126)=0,'RETEN. y PERC.'!F126=0),"",'RETEN. y PERC.'!F126)</f>
        <v/>
      </c>
      <c r="B126" s="640" t="str">
        <f>IF(OR(LEN('RETEN. y PERC.'!A126)=0,'RETEN. y PERC.'!A126=0),"",'RETEN. y PERC.'!A126)</f>
        <v/>
      </c>
      <c r="C126" s="640" t="str">
        <f>IF(OR(LEN('RETEN. y PERC.'!H126)=0,'RETEN. y PERC.'!H126=0),"",'RETEN. y PERC.'!H126)</f>
        <v/>
      </c>
      <c r="D126" s="640" t="str">
        <f>IF(OR(LEN('RETEN. y PERC.'!N126)=0,'RETEN. y PERC.'!N126=0),"",'RETEN. y PERC.'!N126)</f>
        <v/>
      </c>
      <c r="F126" s="645" t="str">
        <f>IF(OR(LEN('RETEN. y PERC.'!J126)=0,'RETEN. y PERC.'!J126=0),"",'RETEN. y PERC.'!J126)</f>
        <v/>
      </c>
    </row>
    <row r="127" spans="1:6">
      <c r="A127" s="640" t="str">
        <f>IF(OR(LEN('RETEN. y PERC.'!F127)=0,'RETEN. y PERC.'!F127=0),"",'RETEN. y PERC.'!F127)</f>
        <v/>
      </c>
      <c r="B127" s="640" t="str">
        <f>IF(OR(LEN('RETEN. y PERC.'!A127)=0,'RETEN. y PERC.'!A127=0),"",'RETEN. y PERC.'!A127)</f>
        <v/>
      </c>
      <c r="C127" s="640" t="str">
        <f>IF(OR(LEN('RETEN. y PERC.'!H127)=0,'RETEN. y PERC.'!H127=0),"",'RETEN. y PERC.'!H127)</f>
        <v/>
      </c>
      <c r="D127" s="640" t="str">
        <f>IF(OR(LEN('RETEN. y PERC.'!N127)=0,'RETEN. y PERC.'!N127=0),"",'RETEN. y PERC.'!N127)</f>
        <v/>
      </c>
      <c r="F127" s="645" t="str">
        <f>IF(OR(LEN('RETEN. y PERC.'!J127)=0,'RETEN. y PERC.'!J127=0),"",'RETEN. y PERC.'!J127)</f>
        <v/>
      </c>
    </row>
    <row r="128" spans="1:6">
      <c r="A128" s="640" t="str">
        <f>IF(OR(LEN('RETEN. y PERC.'!F128)=0,'RETEN. y PERC.'!F128=0),"",'RETEN. y PERC.'!F128)</f>
        <v/>
      </c>
      <c r="B128" s="640" t="str">
        <f>IF(OR(LEN('RETEN. y PERC.'!A128)=0,'RETEN. y PERC.'!A128=0),"",'RETEN. y PERC.'!A128)</f>
        <v/>
      </c>
      <c r="C128" s="640" t="str">
        <f>IF(OR(LEN('RETEN. y PERC.'!H128)=0,'RETEN. y PERC.'!H128=0),"",'RETEN. y PERC.'!H128)</f>
        <v/>
      </c>
      <c r="D128" s="640" t="str">
        <f>IF(OR(LEN('RETEN. y PERC.'!N128)=0,'RETEN. y PERC.'!N128=0),"",'RETEN. y PERC.'!N128)</f>
        <v/>
      </c>
      <c r="F128" s="645" t="str">
        <f>IF(OR(LEN('RETEN. y PERC.'!J128)=0,'RETEN. y PERC.'!J128=0),"",'RETEN. y PERC.'!J128)</f>
        <v/>
      </c>
    </row>
    <row r="129" spans="1:6">
      <c r="A129" s="640" t="str">
        <f>IF(OR(LEN('RETEN. y PERC.'!F129)=0,'RETEN. y PERC.'!F129=0),"",'RETEN. y PERC.'!F129)</f>
        <v/>
      </c>
      <c r="B129" s="640" t="str">
        <f>IF(OR(LEN('RETEN. y PERC.'!A129)=0,'RETEN. y PERC.'!A129=0),"",'RETEN. y PERC.'!A129)</f>
        <v/>
      </c>
      <c r="C129" s="640" t="str">
        <f>IF(OR(LEN('RETEN. y PERC.'!H129)=0,'RETEN. y PERC.'!H129=0),"",'RETEN. y PERC.'!H129)</f>
        <v/>
      </c>
      <c r="D129" s="640" t="str">
        <f>IF(OR(LEN('RETEN. y PERC.'!N129)=0,'RETEN. y PERC.'!N129=0),"",'RETEN. y PERC.'!N129)</f>
        <v/>
      </c>
      <c r="F129" s="645" t="str">
        <f>IF(OR(LEN('RETEN. y PERC.'!J129)=0,'RETEN. y PERC.'!J129=0),"",'RETEN. y PERC.'!J129)</f>
        <v/>
      </c>
    </row>
    <row r="130" spans="1:6">
      <c r="A130" s="640" t="str">
        <f>IF(OR(LEN('RETEN. y PERC.'!F130)=0,'RETEN. y PERC.'!F130=0),"",'RETEN. y PERC.'!F130)</f>
        <v/>
      </c>
      <c r="B130" s="640" t="str">
        <f>IF(OR(LEN('RETEN. y PERC.'!A130)=0,'RETEN. y PERC.'!A130=0),"",'RETEN. y PERC.'!A130)</f>
        <v/>
      </c>
      <c r="C130" s="640" t="str">
        <f>IF(OR(LEN('RETEN. y PERC.'!H130)=0,'RETEN. y PERC.'!H130=0),"",'RETEN. y PERC.'!H130)</f>
        <v/>
      </c>
      <c r="D130" s="640" t="str">
        <f>IF(OR(LEN('RETEN. y PERC.'!N130)=0,'RETEN. y PERC.'!N130=0),"",'RETEN. y PERC.'!N130)</f>
        <v/>
      </c>
      <c r="F130" s="645" t="str">
        <f>IF(OR(LEN('RETEN. y PERC.'!J130)=0,'RETEN. y PERC.'!J130=0),"",'RETEN. y PERC.'!J130)</f>
        <v/>
      </c>
    </row>
    <row r="131" spans="1:6">
      <c r="A131" s="640" t="str">
        <f>IF(OR(LEN('RETEN. y PERC.'!F131)=0,'RETEN. y PERC.'!F131=0),"",'RETEN. y PERC.'!F131)</f>
        <v/>
      </c>
      <c r="B131" s="640" t="str">
        <f>IF(OR(LEN('RETEN. y PERC.'!A131)=0,'RETEN. y PERC.'!A131=0),"",'RETEN. y PERC.'!A131)</f>
        <v/>
      </c>
      <c r="C131" s="640" t="str">
        <f>IF(OR(LEN('RETEN. y PERC.'!H131)=0,'RETEN. y PERC.'!H131=0),"",'RETEN. y PERC.'!H131)</f>
        <v/>
      </c>
      <c r="D131" s="640" t="str">
        <f>IF(OR(LEN('RETEN. y PERC.'!N131)=0,'RETEN. y PERC.'!N131=0),"",'RETEN. y PERC.'!N131)</f>
        <v/>
      </c>
      <c r="F131" s="645" t="str">
        <f>IF(OR(LEN('RETEN. y PERC.'!J131)=0,'RETEN. y PERC.'!J131=0),"",'RETEN. y PERC.'!J131)</f>
        <v/>
      </c>
    </row>
    <row r="132" spans="1:6">
      <c r="A132" s="640" t="str">
        <f>IF(OR(LEN('RETEN. y PERC.'!F132)=0,'RETEN. y PERC.'!F132=0),"",'RETEN. y PERC.'!F132)</f>
        <v/>
      </c>
      <c r="B132" s="640" t="str">
        <f>IF(OR(LEN('RETEN. y PERC.'!A132)=0,'RETEN. y PERC.'!A132=0),"",'RETEN. y PERC.'!A132)</f>
        <v/>
      </c>
      <c r="C132" s="640" t="str">
        <f>IF(OR(LEN('RETEN. y PERC.'!H132)=0,'RETEN. y PERC.'!H132=0),"",'RETEN. y PERC.'!H132)</f>
        <v/>
      </c>
      <c r="D132" s="640" t="str">
        <f>IF(OR(LEN('RETEN. y PERC.'!N132)=0,'RETEN. y PERC.'!N132=0),"",'RETEN. y PERC.'!N132)</f>
        <v/>
      </c>
      <c r="F132" s="645" t="str">
        <f>IF(OR(LEN('RETEN. y PERC.'!J132)=0,'RETEN. y PERC.'!J132=0),"",'RETEN. y PERC.'!J132)</f>
        <v/>
      </c>
    </row>
    <row r="133" spans="1:6">
      <c r="A133" s="640" t="str">
        <f>IF(OR(LEN('RETEN. y PERC.'!F133)=0,'RETEN. y PERC.'!F133=0),"",'RETEN. y PERC.'!F133)</f>
        <v/>
      </c>
      <c r="B133" s="640" t="str">
        <f>IF(OR(LEN('RETEN. y PERC.'!A133)=0,'RETEN. y PERC.'!A133=0),"",'RETEN. y PERC.'!A133)</f>
        <v/>
      </c>
      <c r="C133" s="640" t="str">
        <f>IF(OR(LEN('RETEN. y PERC.'!H133)=0,'RETEN. y PERC.'!H133=0),"",'RETEN. y PERC.'!H133)</f>
        <v/>
      </c>
      <c r="D133" s="640" t="str">
        <f>IF(OR(LEN('RETEN. y PERC.'!N133)=0,'RETEN. y PERC.'!N133=0),"",'RETEN. y PERC.'!N133)</f>
        <v/>
      </c>
      <c r="F133" s="645" t="str">
        <f>IF(OR(LEN('RETEN. y PERC.'!J133)=0,'RETEN. y PERC.'!J133=0),"",'RETEN. y PERC.'!J133)</f>
        <v/>
      </c>
    </row>
    <row r="134" spans="1:6">
      <c r="A134" s="640" t="str">
        <f>IF(OR(LEN('RETEN. y PERC.'!F134)=0,'RETEN. y PERC.'!F134=0),"",'RETEN. y PERC.'!F134)</f>
        <v/>
      </c>
      <c r="B134" s="640" t="str">
        <f>IF(OR(LEN('RETEN. y PERC.'!A134)=0,'RETEN. y PERC.'!A134=0),"",'RETEN. y PERC.'!A134)</f>
        <v/>
      </c>
      <c r="C134" s="640" t="str">
        <f>IF(OR(LEN('RETEN. y PERC.'!H134)=0,'RETEN. y PERC.'!H134=0),"",'RETEN. y PERC.'!H134)</f>
        <v/>
      </c>
      <c r="D134" s="640" t="str">
        <f>IF(OR(LEN('RETEN. y PERC.'!N134)=0,'RETEN. y PERC.'!N134=0),"",'RETEN. y PERC.'!N134)</f>
        <v/>
      </c>
      <c r="F134" s="645" t="str">
        <f>IF(OR(LEN('RETEN. y PERC.'!J134)=0,'RETEN. y PERC.'!J134=0),"",'RETEN. y PERC.'!J134)</f>
        <v/>
      </c>
    </row>
    <row r="135" spans="1:6">
      <c r="A135" s="640" t="str">
        <f>IF(OR(LEN('RETEN. y PERC.'!F135)=0,'RETEN. y PERC.'!F135=0),"",'RETEN. y PERC.'!F135)</f>
        <v/>
      </c>
      <c r="B135" s="640" t="str">
        <f>IF(OR(LEN('RETEN. y PERC.'!A135)=0,'RETEN. y PERC.'!A135=0),"",'RETEN. y PERC.'!A135)</f>
        <v/>
      </c>
      <c r="C135" s="640" t="str">
        <f>IF(OR(LEN('RETEN. y PERC.'!H135)=0,'RETEN. y PERC.'!H135=0),"",'RETEN. y PERC.'!H135)</f>
        <v/>
      </c>
      <c r="D135" s="640" t="str">
        <f>IF(OR(LEN('RETEN. y PERC.'!N135)=0,'RETEN. y PERC.'!N135=0),"",'RETEN. y PERC.'!N135)</f>
        <v/>
      </c>
      <c r="F135" s="645" t="str">
        <f>IF(OR(LEN('RETEN. y PERC.'!J135)=0,'RETEN. y PERC.'!J135=0),"",'RETEN. y PERC.'!J135)</f>
        <v/>
      </c>
    </row>
    <row r="136" spans="1:6">
      <c r="A136" s="640" t="str">
        <f>IF(OR(LEN('RETEN. y PERC.'!F136)=0,'RETEN. y PERC.'!F136=0),"",'RETEN. y PERC.'!F136)</f>
        <v/>
      </c>
      <c r="B136" s="640" t="str">
        <f>IF(OR(LEN('RETEN. y PERC.'!A136)=0,'RETEN. y PERC.'!A136=0),"",'RETEN. y PERC.'!A136)</f>
        <v/>
      </c>
      <c r="C136" s="640" t="str">
        <f>IF(OR(LEN('RETEN. y PERC.'!H136)=0,'RETEN. y PERC.'!H136=0),"",'RETEN. y PERC.'!H136)</f>
        <v/>
      </c>
      <c r="D136" s="640" t="str">
        <f>IF(OR(LEN('RETEN. y PERC.'!N136)=0,'RETEN. y PERC.'!N136=0),"",'RETEN. y PERC.'!N136)</f>
        <v/>
      </c>
      <c r="F136" s="645" t="str">
        <f>IF(OR(LEN('RETEN. y PERC.'!J136)=0,'RETEN. y PERC.'!J136=0),"",'RETEN. y PERC.'!J136)</f>
        <v/>
      </c>
    </row>
    <row r="137" spans="1:6">
      <c r="A137" s="640" t="str">
        <f>IF(OR(LEN('RETEN. y PERC.'!F137)=0,'RETEN. y PERC.'!F137=0),"",'RETEN. y PERC.'!F137)</f>
        <v/>
      </c>
      <c r="B137" s="640" t="str">
        <f>IF(OR(LEN('RETEN. y PERC.'!A137)=0,'RETEN. y PERC.'!A137=0),"",'RETEN. y PERC.'!A137)</f>
        <v/>
      </c>
      <c r="C137" s="640" t="str">
        <f>IF(OR(LEN('RETEN. y PERC.'!H137)=0,'RETEN. y PERC.'!H137=0),"",'RETEN. y PERC.'!H137)</f>
        <v/>
      </c>
      <c r="D137" s="640" t="str">
        <f>IF(OR(LEN('RETEN. y PERC.'!N137)=0,'RETEN. y PERC.'!N137=0),"",'RETEN. y PERC.'!N137)</f>
        <v/>
      </c>
      <c r="F137" s="645" t="str">
        <f>IF(OR(LEN('RETEN. y PERC.'!J137)=0,'RETEN. y PERC.'!J137=0),"",'RETEN. y PERC.'!J137)</f>
        <v/>
      </c>
    </row>
    <row r="138" spans="1:6">
      <c r="A138" s="640" t="str">
        <f>IF(OR(LEN('RETEN. y PERC.'!F138)=0,'RETEN. y PERC.'!F138=0),"",'RETEN. y PERC.'!F138)</f>
        <v/>
      </c>
      <c r="B138" s="640" t="str">
        <f>IF(OR(LEN('RETEN. y PERC.'!A138)=0,'RETEN. y PERC.'!A138=0),"",'RETEN. y PERC.'!A138)</f>
        <v/>
      </c>
      <c r="C138" s="640" t="str">
        <f>IF(OR(LEN('RETEN. y PERC.'!H138)=0,'RETEN. y PERC.'!H138=0),"",'RETEN. y PERC.'!H138)</f>
        <v/>
      </c>
      <c r="D138" s="640" t="str">
        <f>IF(OR(LEN('RETEN. y PERC.'!N138)=0,'RETEN. y PERC.'!N138=0),"",'RETEN. y PERC.'!N138)</f>
        <v/>
      </c>
      <c r="F138" s="645" t="str">
        <f>IF(OR(LEN('RETEN. y PERC.'!J138)=0,'RETEN. y PERC.'!J138=0),"",'RETEN. y PERC.'!J138)</f>
        <v/>
      </c>
    </row>
    <row r="139" spans="1:6">
      <c r="A139" s="640" t="str">
        <f>IF(OR(LEN('RETEN. y PERC.'!F139)=0,'RETEN. y PERC.'!F139=0),"",'RETEN. y PERC.'!F139)</f>
        <v/>
      </c>
      <c r="B139" s="640" t="str">
        <f>IF(OR(LEN('RETEN. y PERC.'!A139)=0,'RETEN. y PERC.'!A139=0),"",'RETEN. y PERC.'!A139)</f>
        <v/>
      </c>
      <c r="C139" s="640" t="str">
        <f>IF(OR(LEN('RETEN. y PERC.'!H139)=0,'RETEN. y PERC.'!H139=0),"",'RETEN. y PERC.'!H139)</f>
        <v/>
      </c>
      <c r="D139" s="640" t="str">
        <f>IF(OR(LEN('RETEN. y PERC.'!N139)=0,'RETEN. y PERC.'!N139=0),"",'RETEN. y PERC.'!N139)</f>
        <v/>
      </c>
      <c r="F139" s="645" t="str">
        <f>IF(OR(LEN('RETEN. y PERC.'!J139)=0,'RETEN. y PERC.'!J139=0),"",'RETEN. y PERC.'!J139)</f>
        <v/>
      </c>
    </row>
    <row r="140" spans="1:6">
      <c r="A140" s="640" t="str">
        <f>IF(OR(LEN('RETEN. y PERC.'!F140)=0,'RETEN. y PERC.'!F140=0),"",'RETEN. y PERC.'!F140)</f>
        <v/>
      </c>
      <c r="B140" s="640" t="str">
        <f>IF(OR(LEN('RETEN. y PERC.'!A140)=0,'RETEN. y PERC.'!A140=0),"",'RETEN. y PERC.'!A140)</f>
        <v/>
      </c>
      <c r="C140" s="640" t="str">
        <f>IF(OR(LEN('RETEN. y PERC.'!H140)=0,'RETEN. y PERC.'!H140=0),"",'RETEN. y PERC.'!H140)</f>
        <v/>
      </c>
      <c r="D140" s="640" t="str">
        <f>IF(OR(LEN('RETEN. y PERC.'!N140)=0,'RETEN. y PERC.'!N140=0),"",'RETEN. y PERC.'!N140)</f>
        <v/>
      </c>
      <c r="F140" s="645" t="str">
        <f>IF(OR(LEN('RETEN. y PERC.'!J140)=0,'RETEN. y PERC.'!J140=0),"",'RETEN. y PERC.'!J140)</f>
        <v/>
      </c>
    </row>
    <row r="141" spans="1:6">
      <c r="A141" s="640" t="str">
        <f>IF(OR(LEN('RETEN. y PERC.'!F141)=0,'RETEN. y PERC.'!F141=0),"",'RETEN. y PERC.'!F141)</f>
        <v/>
      </c>
      <c r="B141" s="640" t="str">
        <f>IF(OR(LEN('RETEN. y PERC.'!A141)=0,'RETEN. y PERC.'!A141=0),"",'RETEN. y PERC.'!A141)</f>
        <v/>
      </c>
      <c r="C141" s="640" t="str">
        <f>IF(OR(LEN('RETEN. y PERC.'!H141)=0,'RETEN. y PERC.'!H141=0),"",'RETEN. y PERC.'!H141)</f>
        <v/>
      </c>
      <c r="D141" s="640" t="str">
        <f>IF(OR(LEN('RETEN. y PERC.'!N141)=0,'RETEN. y PERC.'!N141=0),"",'RETEN. y PERC.'!N141)</f>
        <v/>
      </c>
      <c r="F141" s="645" t="str">
        <f>IF(OR(LEN('RETEN. y PERC.'!J141)=0,'RETEN. y PERC.'!J141=0),"",'RETEN. y PERC.'!J141)</f>
        <v/>
      </c>
    </row>
    <row r="142" spans="1:6">
      <c r="A142" s="640" t="str">
        <f>IF(OR(LEN('RETEN. y PERC.'!F142)=0,'RETEN. y PERC.'!F142=0),"",'RETEN. y PERC.'!F142)</f>
        <v/>
      </c>
      <c r="B142" s="640" t="str">
        <f>IF(OR(LEN('RETEN. y PERC.'!A142)=0,'RETEN. y PERC.'!A142=0),"",'RETEN. y PERC.'!A142)</f>
        <v/>
      </c>
      <c r="C142" s="640" t="str">
        <f>IF(OR(LEN('RETEN. y PERC.'!H142)=0,'RETEN. y PERC.'!H142=0),"",'RETEN. y PERC.'!H142)</f>
        <v/>
      </c>
      <c r="D142" s="640" t="str">
        <f>IF(OR(LEN('RETEN. y PERC.'!N142)=0,'RETEN. y PERC.'!N142=0),"",'RETEN. y PERC.'!N142)</f>
        <v/>
      </c>
      <c r="F142" s="645" t="str">
        <f>IF(OR(LEN('RETEN. y PERC.'!J142)=0,'RETEN. y PERC.'!J142=0),"",'RETEN. y PERC.'!J142)</f>
        <v/>
      </c>
    </row>
    <row r="143" spans="1:6">
      <c r="A143" s="640" t="str">
        <f>IF(OR(LEN('RETEN. y PERC.'!F143)=0,'RETEN. y PERC.'!F143=0),"",'RETEN. y PERC.'!F143)</f>
        <v/>
      </c>
      <c r="B143" s="640" t="str">
        <f>IF(OR(LEN('RETEN. y PERC.'!A143)=0,'RETEN. y PERC.'!A143=0),"",'RETEN. y PERC.'!A143)</f>
        <v/>
      </c>
      <c r="C143" s="640" t="str">
        <f>IF(OR(LEN('RETEN. y PERC.'!H143)=0,'RETEN. y PERC.'!H143=0),"",'RETEN. y PERC.'!H143)</f>
        <v/>
      </c>
      <c r="D143" s="640" t="str">
        <f>IF(OR(LEN('RETEN. y PERC.'!N143)=0,'RETEN. y PERC.'!N143=0),"",'RETEN. y PERC.'!N143)</f>
        <v/>
      </c>
      <c r="F143" s="645" t="str">
        <f>IF(OR(LEN('RETEN. y PERC.'!J143)=0,'RETEN. y PERC.'!J143=0),"",'RETEN. y PERC.'!J143)</f>
        <v/>
      </c>
    </row>
    <row r="144" spans="1:6">
      <c r="A144" s="640" t="str">
        <f>IF(OR(LEN('RETEN. y PERC.'!F144)=0,'RETEN. y PERC.'!F144=0),"",'RETEN. y PERC.'!F144)</f>
        <v/>
      </c>
      <c r="B144" s="640" t="str">
        <f>IF(OR(LEN('RETEN. y PERC.'!A144)=0,'RETEN. y PERC.'!A144=0),"",'RETEN. y PERC.'!A144)</f>
        <v/>
      </c>
      <c r="C144" s="640" t="str">
        <f>IF(OR(LEN('RETEN. y PERC.'!H144)=0,'RETEN. y PERC.'!H144=0),"",'RETEN. y PERC.'!H144)</f>
        <v/>
      </c>
      <c r="D144" s="640" t="str">
        <f>IF(OR(LEN('RETEN. y PERC.'!N144)=0,'RETEN. y PERC.'!N144=0),"",'RETEN. y PERC.'!N144)</f>
        <v/>
      </c>
      <c r="F144" s="645" t="str">
        <f>IF(OR(LEN('RETEN. y PERC.'!J144)=0,'RETEN. y PERC.'!J144=0),"",'RETEN. y PERC.'!J144)</f>
        <v/>
      </c>
    </row>
    <row r="145" spans="1:6">
      <c r="A145" s="640" t="str">
        <f>IF(OR(LEN('RETEN. y PERC.'!F145)=0,'RETEN. y PERC.'!F145=0),"",'RETEN. y PERC.'!F145)</f>
        <v/>
      </c>
      <c r="B145" s="640" t="str">
        <f>IF(OR(LEN('RETEN. y PERC.'!A145)=0,'RETEN. y PERC.'!A145=0),"",'RETEN. y PERC.'!A145)</f>
        <v/>
      </c>
      <c r="C145" s="640" t="str">
        <f>IF(OR(LEN('RETEN. y PERC.'!H145)=0,'RETEN. y PERC.'!H145=0),"",'RETEN. y PERC.'!H145)</f>
        <v/>
      </c>
      <c r="D145" s="640" t="str">
        <f>IF(OR(LEN('RETEN. y PERC.'!N145)=0,'RETEN. y PERC.'!N145=0),"",'RETEN. y PERC.'!N145)</f>
        <v/>
      </c>
      <c r="F145" s="645" t="str">
        <f>IF(OR(LEN('RETEN. y PERC.'!J145)=0,'RETEN. y PERC.'!J145=0),"",'RETEN. y PERC.'!J145)</f>
        <v/>
      </c>
    </row>
    <row r="146" spans="1:6">
      <c r="A146" s="640" t="str">
        <f>IF(OR(LEN('RETEN. y PERC.'!F146)=0,'RETEN. y PERC.'!F146=0),"",'RETEN. y PERC.'!F146)</f>
        <v/>
      </c>
      <c r="B146" s="640" t="str">
        <f>IF(OR(LEN('RETEN. y PERC.'!A146)=0,'RETEN. y PERC.'!A146=0),"",'RETEN. y PERC.'!A146)</f>
        <v/>
      </c>
      <c r="C146" s="640" t="str">
        <f>IF(OR(LEN('RETEN. y PERC.'!H146)=0,'RETEN. y PERC.'!H146=0),"",'RETEN. y PERC.'!H146)</f>
        <v/>
      </c>
      <c r="D146" s="640" t="str">
        <f>IF(OR(LEN('RETEN. y PERC.'!N146)=0,'RETEN. y PERC.'!N146=0),"",'RETEN. y PERC.'!N146)</f>
        <v/>
      </c>
      <c r="F146" s="645" t="str">
        <f>IF(OR(LEN('RETEN. y PERC.'!J146)=0,'RETEN. y PERC.'!J146=0),"",'RETEN. y PERC.'!J146)</f>
        <v/>
      </c>
    </row>
    <row r="147" spans="1:6">
      <c r="A147" s="640" t="str">
        <f>IF(OR(LEN('RETEN. y PERC.'!F147)=0,'RETEN. y PERC.'!F147=0),"",'RETEN. y PERC.'!F147)</f>
        <v/>
      </c>
      <c r="B147" s="640" t="str">
        <f>IF(OR(LEN('RETEN. y PERC.'!A147)=0,'RETEN. y PERC.'!A147=0),"",'RETEN. y PERC.'!A147)</f>
        <v/>
      </c>
      <c r="C147" s="640" t="str">
        <f>IF(OR(LEN('RETEN. y PERC.'!H147)=0,'RETEN. y PERC.'!H147=0),"",'RETEN. y PERC.'!H147)</f>
        <v/>
      </c>
      <c r="D147" s="640" t="str">
        <f>IF(OR(LEN('RETEN. y PERC.'!N147)=0,'RETEN. y PERC.'!N147=0),"",'RETEN. y PERC.'!N147)</f>
        <v/>
      </c>
      <c r="F147" s="645" t="str">
        <f>IF(OR(LEN('RETEN. y PERC.'!J147)=0,'RETEN. y PERC.'!J147=0),"",'RETEN. y PERC.'!J147)</f>
        <v/>
      </c>
    </row>
    <row r="148" spans="1:6">
      <c r="A148" s="640" t="str">
        <f>IF(OR(LEN('RETEN. y PERC.'!F148)=0,'RETEN. y PERC.'!F148=0),"",'RETEN. y PERC.'!F148)</f>
        <v/>
      </c>
      <c r="B148" s="640" t="str">
        <f>IF(OR(LEN('RETEN. y PERC.'!A148)=0,'RETEN. y PERC.'!A148=0),"",'RETEN. y PERC.'!A148)</f>
        <v/>
      </c>
      <c r="C148" s="640" t="str">
        <f>IF(OR(LEN('RETEN. y PERC.'!H148)=0,'RETEN. y PERC.'!H148=0),"",'RETEN. y PERC.'!H148)</f>
        <v/>
      </c>
      <c r="D148" s="640" t="str">
        <f>IF(OR(LEN('RETEN. y PERC.'!N148)=0,'RETEN. y PERC.'!N148=0),"",'RETEN. y PERC.'!N148)</f>
        <v/>
      </c>
      <c r="F148" s="645" t="str">
        <f>IF(OR(LEN('RETEN. y PERC.'!J148)=0,'RETEN. y PERC.'!J148=0),"",'RETEN. y PERC.'!J148)</f>
        <v/>
      </c>
    </row>
    <row r="149" spans="1:6">
      <c r="A149" s="640" t="str">
        <f>IF(OR(LEN('RETEN. y PERC.'!F149)=0,'RETEN. y PERC.'!F149=0),"",'RETEN. y PERC.'!F149)</f>
        <v/>
      </c>
      <c r="B149" s="640" t="str">
        <f>IF(OR(LEN('RETEN. y PERC.'!A149)=0,'RETEN. y PERC.'!A149=0),"",'RETEN. y PERC.'!A149)</f>
        <v/>
      </c>
      <c r="C149" s="640" t="str">
        <f>IF(OR(LEN('RETEN. y PERC.'!H149)=0,'RETEN. y PERC.'!H149=0),"",'RETEN. y PERC.'!H149)</f>
        <v/>
      </c>
      <c r="D149" s="640" t="str">
        <f>IF(OR(LEN('RETEN. y PERC.'!N149)=0,'RETEN. y PERC.'!N149=0),"",'RETEN. y PERC.'!N149)</f>
        <v/>
      </c>
      <c r="F149" s="645" t="str">
        <f>IF(OR(LEN('RETEN. y PERC.'!J149)=0,'RETEN. y PERC.'!J149=0),"",'RETEN. y PERC.'!J149)</f>
        <v/>
      </c>
    </row>
    <row r="150" spans="1:6">
      <c r="A150" s="640" t="str">
        <f>IF(OR(LEN('RETEN. y PERC.'!F150)=0,'RETEN. y PERC.'!F150=0),"",'RETEN. y PERC.'!F150)</f>
        <v/>
      </c>
      <c r="B150" s="640" t="str">
        <f>IF(OR(LEN('RETEN. y PERC.'!A150)=0,'RETEN. y PERC.'!A150=0),"",'RETEN. y PERC.'!A150)</f>
        <v/>
      </c>
      <c r="C150" s="640" t="str">
        <f>IF(OR(LEN('RETEN. y PERC.'!H150)=0,'RETEN. y PERC.'!H150=0),"",'RETEN. y PERC.'!H150)</f>
        <v/>
      </c>
      <c r="D150" s="640" t="str">
        <f>IF(OR(LEN('RETEN. y PERC.'!N150)=0,'RETEN. y PERC.'!N150=0),"",'RETEN. y PERC.'!N150)</f>
        <v/>
      </c>
      <c r="F150" s="645" t="str">
        <f>IF(OR(LEN('RETEN. y PERC.'!J150)=0,'RETEN. y PERC.'!J150=0),"",'RETEN. y PERC.'!J150)</f>
        <v/>
      </c>
    </row>
    <row r="151" spans="1:6">
      <c r="A151" s="640" t="str">
        <f>IF(OR(LEN('RETEN. y PERC.'!F151)=0,'RETEN. y PERC.'!F151=0),"",'RETEN. y PERC.'!F151)</f>
        <v/>
      </c>
      <c r="B151" s="640" t="str">
        <f>IF(OR(LEN('RETEN. y PERC.'!A151)=0,'RETEN. y PERC.'!A151=0),"",'RETEN. y PERC.'!A151)</f>
        <v/>
      </c>
      <c r="C151" s="640" t="str">
        <f>IF(OR(LEN('RETEN. y PERC.'!H151)=0,'RETEN. y PERC.'!H151=0),"",'RETEN. y PERC.'!H151)</f>
        <v/>
      </c>
      <c r="D151" s="640" t="str">
        <f>IF(OR(LEN('RETEN. y PERC.'!N151)=0,'RETEN. y PERC.'!N151=0),"",'RETEN. y PERC.'!N151)</f>
        <v/>
      </c>
      <c r="F151" s="645" t="str">
        <f>IF(OR(LEN('RETEN. y PERC.'!J151)=0,'RETEN. y PERC.'!J151=0),"",'RETEN. y PERC.'!J151)</f>
        <v/>
      </c>
    </row>
    <row r="152" spans="1:6">
      <c r="A152" s="640" t="str">
        <f>IF(OR(LEN('RETEN. y PERC.'!F152)=0,'RETEN. y PERC.'!F152=0),"",'RETEN. y PERC.'!F152)</f>
        <v/>
      </c>
      <c r="B152" s="640" t="str">
        <f>IF(OR(LEN('RETEN. y PERC.'!A152)=0,'RETEN. y PERC.'!A152=0),"",'RETEN. y PERC.'!A152)</f>
        <v/>
      </c>
      <c r="C152" s="640" t="str">
        <f>IF(OR(LEN('RETEN. y PERC.'!H152)=0,'RETEN. y PERC.'!H152=0),"",'RETEN. y PERC.'!H152)</f>
        <v/>
      </c>
      <c r="D152" s="640" t="str">
        <f>IF(OR(LEN('RETEN. y PERC.'!N152)=0,'RETEN. y PERC.'!N152=0),"",'RETEN. y PERC.'!N152)</f>
        <v/>
      </c>
      <c r="F152" s="645" t="str">
        <f>IF(OR(LEN('RETEN. y PERC.'!J152)=0,'RETEN. y PERC.'!J152=0),"",'RETEN. y PERC.'!J152)</f>
        <v/>
      </c>
    </row>
    <row r="153" spans="1:6">
      <c r="A153" s="640" t="str">
        <f>IF(OR(LEN('RETEN. y PERC.'!F153)=0,'RETEN. y PERC.'!F153=0),"",'RETEN. y PERC.'!F153)</f>
        <v/>
      </c>
      <c r="B153" s="640" t="str">
        <f>IF(OR(LEN('RETEN. y PERC.'!A153)=0,'RETEN. y PERC.'!A153=0),"",'RETEN. y PERC.'!A153)</f>
        <v/>
      </c>
      <c r="C153" s="640" t="str">
        <f>IF(OR(LEN('RETEN. y PERC.'!H153)=0,'RETEN. y PERC.'!H153=0),"",'RETEN. y PERC.'!H153)</f>
        <v/>
      </c>
      <c r="D153" s="640" t="str">
        <f>IF(OR(LEN('RETEN. y PERC.'!N153)=0,'RETEN. y PERC.'!N153=0),"",'RETEN. y PERC.'!N153)</f>
        <v/>
      </c>
      <c r="F153" s="645" t="str">
        <f>IF(OR(LEN('RETEN. y PERC.'!J153)=0,'RETEN. y PERC.'!J153=0),"",'RETEN. y PERC.'!J153)</f>
        <v/>
      </c>
    </row>
    <row r="154" spans="1:6">
      <c r="A154" s="640" t="str">
        <f>IF(OR(LEN('RETEN. y PERC.'!F154)=0,'RETEN. y PERC.'!F154=0),"",'RETEN. y PERC.'!F154)</f>
        <v/>
      </c>
      <c r="B154" s="640" t="str">
        <f>IF(OR(LEN('RETEN. y PERC.'!A154)=0,'RETEN. y PERC.'!A154=0),"",'RETEN. y PERC.'!A154)</f>
        <v/>
      </c>
      <c r="C154" s="640" t="str">
        <f>IF(OR(LEN('RETEN. y PERC.'!H154)=0,'RETEN. y PERC.'!H154=0),"",'RETEN. y PERC.'!H154)</f>
        <v/>
      </c>
      <c r="D154" s="640" t="str">
        <f>IF(OR(LEN('RETEN. y PERC.'!N154)=0,'RETEN. y PERC.'!N154=0),"",'RETEN. y PERC.'!N154)</f>
        <v/>
      </c>
      <c r="F154" s="645" t="str">
        <f>IF(OR(LEN('RETEN. y PERC.'!J154)=0,'RETEN. y PERC.'!J154=0),"",'RETEN. y PERC.'!J154)</f>
        <v/>
      </c>
    </row>
    <row r="155" spans="1:6">
      <c r="A155" s="640" t="str">
        <f>IF(OR(LEN('RETEN. y PERC.'!F155)=0,'RETEN. y PERC.'!F155=0),"",'RETEN. y PERC.'!F155)</f>
        <v/>
      </c>
      <c r="B155" s="640" t="str">
        <f>IF(OR(LEN('RETEN. y PERC.'!A155)=0,'RETEN. y PERC.'!A155=0),"",'RETEN. y PERC.'!A155)</f>
        <v/>
      </c>
      <c r="C155" s="640" t="str">
        <f>IF(OR(LEN('RETEN. y PERC.'!H155)=0,'RETEN. y PERC.'!H155=0),"",'RETEN. y PERC.'!H155)</f>
        <v/>
      </c>
      <c r="D155" s="640" t="str">
        <f>IF(OR(LEN('RETEN. y PERC.'!N155)=0,'RETEN. y PERC.'!N155=0),"",'RETEN. y PERC.'!N155)</f>
        <v/>
      </c>
      <c r="F155" s="645" t="str">
        <f>IF(OR(LEN('RETEN. y PERC.'!J155)=0,'RETEN. y PERC.'!J155=0),"",'RETEN. y PERC.'!J155)</f>
        <v/>
      </c>
    </row>
    <row r="156" spans="1:6">
      <c r="A156" s="640" t="str">
        <f>IF(OR(LEN('RETEN. y PERC.'!F156)=0,'RETEN. y PERC.'!F156=0),"",'RETEN. y PERC.'!F156)</f>
        <v/>
      </c>
      <c r="B156" s="640" t="str">
        <f>IF(OR(LEN('RETEN. y PERC.'!A156)=0,'RETEN. y PERC.'!A156=0),"",'RETEN. y PERC.'!A156)</f>
        <v/>
      </c>
      <c r="C156" s="640" t="str">
        <f>IF(OR(LEN('RETEN. y PERC.'!H156)=0,'RETEN. y PERC.'!H156=0),"",'RETEN. y PERC.'!H156)</f>
        <v/>
      </c>
      <c r="D156" s="640" t="str">
        <f>IF(OR(LEN('RETEN. y PERC.'!N156)=0,'RETEN. y PERC.'!N156=0),"",'RETEN. y PERC.'!N156)</f>
        <v/>
      </c>
      <c r="F156" s="645" t="str">
        <f>IF(OR(LEN('RETEN. y PERC.'!J156)=0,'RETEN. y PERC.'!J156=0),"",'RETEN. y PERC.'!J156)</f>
        <v/>
      </c>
    </row>
    <row r="157" spans="1:6">
      <c r="A157" s="640" t="str">
        <f>IF(OR(LEN('RETEN. y PERC.'!F157)=0,'RETEN. y PERC.'!F157=0),"",'RETEN. y PERC.'!F157)</f>
        <v/>
      </c>
      <c r="B157" s="640" t="str">
        <f>IF(OR(LEN('RETEN. y PERC.'!A157)=0,'RETEN. y PERC.'!A157=0),"",'RETEN. y PERC.'!A157)</f>
        <v/>
      </c>
      <c r="C157" s="640" t="str">
        <f>IF(OR(LEN('RETEN. y PERC.'!H157)=0,'RETEN. y PERC.'!H157=0),"",'RETEN. y PERC.'!H157)</f>
        <v/>
      </c>
      <c r="D157" s="640" t="str">
        <f>IF(OR(LEN('RETEN. y PERC.'!N157)=0,'RETEN. y PERC.'!N157=0),"",'RETEN. y PERC.'!N157)</f>
        <v/>
      </c>
      <c r="F157" s="645" t="str">
        <f>IF(OR(LEN('RETEN. y PERC.'!J157)=0,'RETEN. y PERC.'!J157=0),"",'RETEN. y PERC.'!J157)</f>
        <v/>
      </c>
    </row>
    <row r="158" spans="1:6">
      <c r="A158" s="640" t="str">
        <f>IF(OR(LEN('RETEN. y PERC.'!F158)=0,'RETEN. y PERC.'!F158=0),"",'RETEN. y PERC.'!F158)</f>
        <v/>
      </c>
      <c r="B158" s="640" t="str">
        <f>IF(OR(LEN('RETEN. y PERC.'!A158)=0,'RETEN. y PERC.'!A158=0),"",'RETEN. y PERC.'!A158)</f>
        <v/>
      </c>
      <c r="C158" s="640" t="str">
        <f>IF(OR(LEN('RETEN. y PERC.'!H158)=0,'RETEN. y PERC.'!H158=0),"",'RETEN. y PERC.'!H158)</f>
        <v/>
      </c>
      <c r="D158" s="640" t="str">
        <f>IF(OR(LEN('RETEN. y PERC.'!N158)=0,'RETEN. y PERC.'!N158=0),"",'RETEN. y PERC.'!N158)</f>
        <v/>
      </c>
      <c r="F158" s="645" t="str">
        <f>IF(OR(LEN('RETEN. y PERC.'!J158)=0,'RETEN. y PERC.'!J158=0),"",'RETEN. y PERC.'!J158)</f>
        <v/>
      </c>
    </row>
    <row r="159" spans="1:6">
      <c r="A159" s="640" t="str">
        <f>IF(OR(LEN('RETEN. y PERC.'!F159)=0,'RETEN. y PERC.'!F159=0),"",'RETEN. y PERC.'!F159)</f>
        <v/>
      </c>
      <c r="B159" s="640" t="str">
        <f>IF(OR(LEN('RETEN. y PERC.'!A159)=0,'RETEN. y PERC.'!A159=0),"",'RETEN. y PERC.'!A159)</f>
        <v/>
      </c>
      <c r="C159" s="640" t="str">
        <f>IF(OR(LEN('RETEN. y PERC.'!H159)=0,'RETEN. y PERC.'!H159=0),"",'RETEN. y PERC.'!H159)</f>
        <v/>
      </c>
      <c r="D159" s="640" t="str">
        <f>IF(OR(LEN('RETEN. y PERC.'!N159)=0,'RETEN. y PERC.'!N159=0),"",'RETEN. y PERC.'!N159)</f>
        <v/>
      </c>
      <c r="F159" s="645" t="str">
        <f>IF(OR(LEN('RETEN. y PERC.'!J159)=0,'RETEN. y PERC.'!J159=0),"",'RETEN. y PERC.'!J159)</f>
        <v/>
      </c>
    </row>
    <row r="160" spans="1:6">
      <c r="A160" s="640" t="str">
        <f>IF(OR(LEN('RETEN. y PERC.'!F160)=0,'RETEN. y PERC.'!F160=0),"",'RETEN. y PERC.'!F160)</f>
        <v/>
      </c>
      <c r="B160" s="640" t="str">
        <f>IF(OR(LEN('RETEN. y PERC.'!A160)=0,'RETEN. y PERC.'!A160=0),"",'RETEN. y PERC.'!A160)</f>
        <v/>
      </c>
      <c r="C160" s="640" t="str">
        <f>IF(OR(LEN('RETEN. y PERC.'!H160)=0,'RETEN. y PERC.'!H160=0),"",'RETEN. y PERC.'!H160)</f>
        <v/>
      </c>
      <c r="D160" s="640" t="str">
        <f>IF(OR(LEN('RETEN. y PERC.'!N160)=0,'RETEN. y PERC.'!N160=0),"",'RETEN. y PERC.'!N160)</f>
        <v/>
      </c>
      <c r="F160" s="645" t="str">
        <f>IF(OR(LEN('RETEN. y PERC.'!J160)=0,'RETEN. y PERC.'!J160=0),"",'RETEN. y PERC.'!J160)</f>
        <v/>
      </c>
    </row>
    <row r="161" spans="1:6">
      <c r="A161" s="640" t="str">
        <f>IF(OR(LEN('RETEN. y PERC.'!F161)=0,'RETEN. y PERC.'!F161=0),"",'RETEN. y PERC.'!F161)</f>
        <v/>
      </c>
      <c r="B161" s="640" t="str">
        <f>IF(OR(LEN('RETEN. y PERC.'!A161)=0,'RETEN. y PERC.'!A161=0),"",'RETEN. y PERC.'!A161)</f>
        <v/>
      </c>
      <c r="C161" s="640" t="str">
        <f>IF(OR(LEN('RETEN. y PERC.'!H161)=0,'RETEN. y PERC.'!H161=0),"",'RETEN. y PERC.'!H161)</f>
        <v/>
      </c>
      <c r="D161" s="640" t="str">
        <f>IF(OR(LEN('RETEN. y PERC.'!N161)=0,'RETEN. y PERC.'!N161=0),"",'RETEN. y PERC.'!N161)</f>
        <v/>
      </c>
      <c r="F161" s="645" t="str">
        <f>IF(OR(LEN('RETEN. y PERC.'!J161)=0,'RETEN. y PERC.'!J161=0),"",'RETEN. y PERC.'!J161)</f>
        <v/>
      </c>
    </row>
    <row r="162" spans="1:6">
      <c r="A162" s="640" t="str">
        <f>IF(OR(LEN('RETEN. y PERC.'!F162)=0,'RETEN. y PERC.'!F162=0),"",'RETEN. y PERC.'!F162)</f>
        <v/>
      </c>
      <c r="B162" s="640" t="str">
        <f>IF(OR(LEN('RETEN. y PERC.'!A162)=0,'RETEN. y PERC.'!A162=0),"",'RETEN. y PERC.'!A162)</f>
        <v/>
      </c>
      <c r="C162" s="640" t="str">
        <f>IF(OR(LEN('RETEN. y PERC.'!H162)=0,'RETEN. y PERC.'!H162=0),"",'RETEN. y PERC.'!H162)</f>
        <v/>
      </c>
      <c r="D162" s="640" t="str">
        <f>IF(OR(LEN('RETEN. y PERC.'!N162)=0,'RETEN. y PERC.'!N162=0),"",'RETEN. y PERC.'!N162)</f>
        <v/>
      </c>
      <c r="F162" s="645" t="str">
        <f>IF(OR(LEN('RETEN. y PERC.'!J162)=0,'RETEN. y PERC.'!J162=0),"",'RETEN. y PERC.'!J162)</f>
        <v/>
      </c>
    </row>
    <row r="163" spans="1:6">
      <c r="A163" s="640" t="str">
        <f>IF(OR(LEN('RETEN. y PERC.'!F163)=0,'RETEN. y PERC.'!F163=0),"",'RETEN. y PERC.'!F163)</f>
        <v/>
      </c>
      <c r="B163" s="640" t="str">
        <f>IF(OR(LEN('RETEN. y PERC.'!A163)=0,'RETEN. y PERC.'!A163=0),"",'RETEN. y PERC.'!A163)</f>
        <v/>
      </c>
      <c r="C163" s="640" t="str">
        <f>IF(OR(LEN('RETEN. y PERC.'!H163)=0,'RETEN. y PERC.'!H163=0),"",'RETEN. y PERC.'!H163)</f>
        <v/>
      </c>
      <c r="D163" s="640" t="str">
        <f>IF(OR(LEN('RETEN. y PERC.'!N163)=0,'RETEN. y PERC.'!N163=0),"",'RETEN. y PERC.'!N163)</f>
        <v/>
      </c>
      <c r="F163" s="645" t="str">
        <f>IF(OR(LEN('RETEN. y PERC.'!J163)=0,'RETEN. y PERC.'!J163=0),"",'RETEN. y PERC.'!J163)</f>
        <v/>
      </c>
    </row>
    <row r="164" spans="1:6">
      <c r="A164" s="640" t="str">
        <f>IF(OR(LEN('RETEN. y PERC.'!F164)=0,'RETEN. y PERC.'!F164=0),"",'RETEN. y PERC.'!F164)</f>
        <v/>
      </c>
      <c r="B164" s="640" t="str">
        <f>IF(OR(LEN('RETEN. y PERC.'!A164)=0,'RETEN. y PERC.'!A164=0),"",'RETEN. y PERC.'!A164)</f>
        <v/>
      </c>
      <c r="C164" s="640" t="str">
        <f>IF(OR(LEN('RETEN. y PERC.'!H164)=0,'RETEN. y PERC.'!H164=0),"",'RETEN. y PERC.'!H164)</f>
        <v/>
      </c>
      <c r="D164" s="640" t="str">
        <f>IF(OR(LEN('RETEN. y PERC.'!N164)=0,'RETEN. y PERC.'!N164=0),"",'RETEN. y PERC.'!N164)</f>
        <v/>
      </c>
      <c r="F164" s="645" t="str">
        <f>IF(OR(LEN('RETEN. y PERC.'!J164)=0,'RETEN. y PERC.'!J164=0),"",'RETEN. y PERC.'!J164)</f>
        <v/>
      </c>
    </row>
    <row r="165" spans="1:6">
      <c r="A165" s="640" t="str">
        <f>IF(OR(LEN('RETEN. y PERC.'!F165)=0,'RETEN. y PERC.'!F165=0),"",'RETEN. y PERC.'!F165)</f>
        <v/>
      </c>
      <c r="B165" s="640" t="str">
        <f>IF(OR(LEN('RETEN. y PERC.'!A165)=0,'RETEN. y PERC.'!A165=0),"",'RETEN. y PERC.'!A165)</f>
        <v/>
      </c>
      <c r="C165" s="640" t="str">
        <f>IF(OR(LEN('RETEN. y PERC.'!H165)=0,'RETEN. y PERC.'!H165=0),"",'RETEN. y PERC.'!H165)</f>
        <v/>
      </c>
      <c r="D165" s="640" t="str">
        <f>IF(OR(LEN('RETEN. y PERC.'!N165)=0,'RETEN. y PERC.'!N165=0),"",'RETEN. y PERC.'!N165)</f>
        <v/>
      </c>
      <c r="F165" s="645" t="str">
        <f>IF(OR(LEN('RETEN. y PERC.'!J165)=0,'RETEN. y PERC.'!J165=0),"",'RETEN. y PERC.'!J165)</f>
        <v/>
      </c>
    </row>
    <row r="166" spans="1:6">
      <c r="A166" s="640" t="str">
        <f>IF(OR(LEN('RETEN. y PERC.'!F166)=0,'RETEN. y PERC.'!F166=0),"",'RETEN. y PERC.'!F166)</f>
        <v/>
      </c>
      <c r="B166" s="640" t="str">
        <f>IF(OR(LEN('RETEN. y PERC.'!A166)=0,'RETEN. y PERC.'!A166=0),"",'RETEN. y PERC.'!A166)</f>
        <v/>
      </c>
      <c r="C166" s="640" t="str">
        <f>IF(OR(LEN('RETEN. y PERC.'!H166)=0,'RETEN. y PERC.'!H166=0),"",'RETEN. y PERC.'!H166)</f>
        <v/>
      </c>
      <c r="D166" s="640" t="str">
        <f>IF(OR(LEN('RETEN. y PERC.'!N166)=0,'RETEN. y PERC.'!N166=0),"",'RETEN. y PERC.'!N166)</f>
        <v/>
      </c>
      <c r="F166" s="645" t="str">
        <f>IF(OR(LEN('RETEN. y PERC.'!J166)=0,'RETEN. y PERC.'!J166=0),"",'RETEN. y PERC.'!J166)</f>
        <v/>
      </c>
    </row>
    <row r="167" spans="1:6">
      <c r="A167" s="640" t="str">
        <f>IF(OR(LEN('RETEN. y PERC.'!F167)=0,'RETEN. y PERC.'!F167=0),"",'RETEN. y PERC.'!F167)</f>
        <v/>
      </c>
      <c r="B167" s="640" t="str">
        <f>IF(OR(LEN('RETEN. y PERC.'!A167)=0,'RETEN. y PERC.'!A167=0),"",'RETEN. y PERC.'!A167)</f>
        <v/>
      </c>
      <c r="C167" s="640" t="str">
        <f>IF(OR(LEN('RETEN. y PERC.'!H167)=0,'RETEN. y PERC.'!H167=0),"",'RETEN. y PERC.'!H167)</f>
        <v/>
      </c>
      <c r="D167" s="640" t="str">
        <f>IF(OR(LEN('RETEN. y PERC.'!N167)=0,'RETEN. y PERC.'!N167=0),"",'RETEN. y PERC.'!N167)</f>
        <v/>
      </c>
      <c r="F167" s="645" t="str">
        <f>IF(OR(LEN('RETEN. y PERC.'!J167)=0,'RETEN. y PERC.'!J167=0),"",'RETEN. y PERC.'!J167)</f>
        <v/>
      </c>
    </row>
    <row r="168" spans="1:6">
      <c r="A168" s="640" t="str">
        <f>IF(OR(LEN('RETEN. y PERC.'!F168)=0,'RETEN. y PERC.'!F168=0),"",'RETEN. y PERC.'!F168)</f>
        <v/>
      </c>
      <c r="B168" s="640" t="str">
        <f>IF(OR(LEN('RETEN. y PERC.'!A168)=0,'RETEN. y PERC.'!A168=0),"",'RETEN. y PERC.'!A168)</f>
        <v/>
      </c>
      <c r="C168" s="640" t="str">
        <f>IF(OR(LEN('RETEN. y PERC.'!H168)=0,'RETEN. y PERC.'!H168=0),"",'RETEN. y PERC.'!H168)</f>
        <v/>
      </c>
      <c r="D168" s="640" t="str">
        <f>IF(OR(LEN('RETEN. y PERC.'!N168)=0,'RETEN. y PERC.'!N168=0),"",'RETEN. y PERC.'!N168)</f>
        <v/>
      </c>
      <c r="F168" s="645" t="str">
        <f>IF(OR(LEN('RETEN. y PERC.'!J168)=0,'RETEN. y PERC.'!J168=0),"",'RETEN. y PERC.'!J168)</f>
        <v/>
      </c>
    </row>
    <row r="169" spans="1:6">
      <c r="A169" s="640" t="str">
        <f>IF(OR(LEN('RETEN. y PERC.'!F169)=0,'RETEN. y PERC.'!F169=0),"",'RETEN. y PERC.'!F169)</f>
        <v/>
      </c>
      <c r="B169" s="640" t="str">
        <f>IF(OR(LEN('RETEN. y PERC.'!A169)=0,'RETEN. y PERC.'!A169=0),"",'RETEN. y PERC.'!A169)</f>
        <v/>
      </c>
      <c r="C169" s="640" t="str">
        <f>IF(OR(LEN('RETEN. y PERC.'!H169)=0,'RETEN. y PERC.'!H169=0),"",'RETEN. y PERC.'!H169)</f>
        <v/>
      </c>
      <c r="D169" s="640" t="str">
        <f>IF(OR(LEN('RETEN. y PERC.'!N169)=0,'RETEN. y PERC.'!N169=0),"",'RETEN. y PERC.'!N169)</f>
        <v/>
      </c>
      <c r="F169" s="645" t="str">
        <f>IF(OR(LEN('RETEN. y PERC.'!J169)=0,'RETEN. y PERC.'!J169=0),"",'RETEN. y PERC.'!J169)</f>
        <v/>
      </c>
    </row>
    <row r="170" spans="1:6">
      <c r="A170" s="640" t="str">
        <f>IF(OR(LEN('RETEN. y PERC.'!F170)=0,'RETEN. y PERC.'!F170=0),"",'RETEN. y PERC.'!F170)</f>
        <v/>
      </c>
      <c r="B170" s="640" t="str">
        <f>IF(OR(LEN('RETEN. y PERC.'!A170)=0,'RETEN. y PERC.'!A170=0),"",'RETEN. y PERC.'!A170)</f>
        <v/>
      </c>
      <c r="C170" s="640" t="str">
        <f>IF(OR(LEN('RETEN. y PERC.'!H170)=0,'RETEN. y PERC.'!H170=0),"",'RETEN. y PERC.'!H170)</f>
        <v/>
      </c>
      <c r="D170" s="640" t="str">
        <f>IF(OR(LEN('RETEN. y PERC.'!N170)=0,'RETEN. y PERC.'!N170=0),"",'RETEN. y PERC.'!N170)</f>
        <v/>
      </c>
      <c r="F170" s="645" t="str">
        <f>IF(OR(LEN('RETEN. y PERC.'!J170)=0,'RETEN. y PERC.'!J170=0),"",'RETEN. y PERC.'!J170)</f>
        <v/>
      </c>
    </row>
    <row r="171" spans="1:6">
      <c r="A171" s="640" t="str">
        <f>IF(OR(LEN('RETEN. y PERC.'!F171)=0,'RETEN. y PERC.'!F171=0),"",'RETEN. y PERC.'!F171)</f>
        <v/>
      </c>
      <c r="B171" s="640" t="str">
        <f>IF(OR(LEN('RETEN. y PERC.'!A171)=0,'RETEN. y PERC.'!A171=0),"",'RETEN. y PERC.'!A171)</f>
        <v/>
      </c>
      <c r="C171" s="640" t="str">
        <f>IF(OR(LEN('RETEN. y PERC.'!H171)=0,'RETEN. y PERC.'!H171=0),"",'RETEN. y PERC.'!H171)</f>
        <v/>
      </c>
      <c r="D171" s="640" t="str">
        <f>IF(OR(LEN('RETEN. y PERC.'!N171)=0,'RETEN. y PERC.'!N171=0),"",'RETEN. y PERC.'!N171)</f>
        <v/>
      </c>
      <c r="F171" s="645" t="str">
        <f>IF(OR(LEN('RETEN. y PERC.'!J171)=0,'RETEN. y PERC.'!J171=0),"",'RETEN. y PERC.'!J171)</f>
        <v/>
      </c>
    </row>
    <row r="172" spans="1:6">
      <c r="A172" s="640" t="str">
        <f>IF(OR(LEN('RETEN. y PERC.'!F172)=0,'RETEN. y PERC.'!F172=0),"",'RETEN. y PERC.'!F172)</f>
        <v/>
      </c>
      <c r="B172" s="640" t="str">
        <f>IF(OR(LEN('RETEN. y PERC.'!A172)=0,'RETEN. y PERC.'!A172=0),"",'RETEN. y PERC.'!A172)</f>
        <v/>
      </c>
      <c r="C172" s="640" t="str">
        <f>IF(OR(LEN('RETEN. y PERC.'!H172)=0,'RETEN. y PERC.'!H172=0),"",'RETEN. y PERC.'!H172)</f>
        <v/>
      </c>
      <c r="D172" s="640" t="str">
        <f>IF(OR(LEN('RETEN. y PERC.'!N172)=0,'RETEN. y PERC.'!N172=0),"",'RETEN. y PERC.'!N172)</f>
        <v/>
      </c>
      <c r="F172" s="645" t="str">
        <f>IF(OR(LEN('RETEN. y PERC.'!J172)=0,'RETEN. y PERC.'!J172=0),"",'RETEN. y PERC.'!J172)</f>
        <v/>
      </c>
    </row>
    <row r="173" spans="1:6">
      <c r="A173" s="640" t="str">
        <f>IF(OR(LEN('RETEN. y PERC.'!F173)=0,'RETEN. y PERC.'!F173=0),"",'RETEN. y PERC.'!F173)</f>
        <v/>
      </c>
      <c r="B173" s="640" t="str">
        <f>IF(OR(LEN('RETEN. y PERC.'!A173)=0,'RETEN. y PERC.'!A173=0),"",'RETEN. y PERC.'!A173)</f>
        <v/>
      </c>
      <c r="C173" s="640" t="str">
        <f>IF(OR(LEN('RETEN. y PERC.'!H173)=0,'RETEN. y PERC.'!H173=0),"",'RETEN. y PERC.'!H173)</f>
        <v/>
      </c>
      <c r="D173" s="640" t="str">
        <f>IF(OR(LEN('RETEN. y PERC.'!N173)=0,'RETEN. y PERC.'!N173=0),"",'RETEN. y PERC.'!N173)</f>
        <v/>
      </c>
      <c r="F173" s="645" t="str">
        <f>IF(OR(LEN('RETEN. y PERC.'!J173)=0,'RETEN. y PERC.'!J173=0),"",'RETEN. y PERC.'!J173)</f>
        <v/>
      </c>
    </row>
    <row r="174" spans="1:6">
      <c r="A174" s="640" t="str">
        <f>IF(OR(LEN('RETEN. y PERC.'!F174)=0,'RETEN. y PERC.'!F174=0),"",'RETEN. y PERC.'!F174)</f>
        <v/>
      </c>
      <c r="B174" s="640" t="str">
        <f>IF(OR(LEN('RETEN. y PERC.'!A174)=0,'RETEN. y PERC.'!A174=0),"",'RETEN. y PERC.'!A174)</f>
        <v/>
      </c>
      <c r="C174" s="640" t="str">
        <f>IF(OR(LEN('RETEN. y PERC.'!H174)=0,'RETEN. y PERC.'!H174=0),"",'RETEN. y PERC.'!H174)</f>
        <v/>
      </c>
      <c r="D174" s="640" t="str">
        <f>IF(OR(LEN('RETEN. y PERC.'!N174)=0,'RETEN. y PERC.'!N174=0),"",'RETEN. y PERC.'!N174)</f>
        <v/>
      </c>
      <c r="F174" s="645" t="str">
        <f>IF(OR(LEN('RETEN. y PERC.'!J174)=0,'RETEN. y PERC.'!J174=0),"",'RETEN. y PERC.'!J174)</f>
        <v/>
      </c>
    </row>
    <row r="175" spans="1:6">
      <c r="A175" s="640" t="str">
        <f>IF(OR(LEN('RETEN. y PERC.'!F175)=0,'RETEN. y PERC.'!F175=0),"",'RETEN. y PERC.'!F175)</f>
        <v/>
      </c>
      <c r="B175" s="640" t="str">
        <f>IF(OR(LEN('RETEN. y PERC.'!A175)=0,'RETEN. y PERC.'!A175=0),"",'RETEN. y PERC.'!A175)</f>
        <v/>
      </c>
      <c r="C175" s="640" t="str">
        <f>IF(OR(LEN('RETEN. y PERC.'!H175)=0,'RETEN. y PERC.'!H175=0),"",'RETEN. y PERC.'!H175)</f>
        <v/>
      </c>
      <c r="D175" s="640" t="str">
        <f>IF(OR(LEN('RETEN. y PERC.'!N175)=0,'RETEN. y PERC.'!N175=0),"",'RETEN. y PERC.'!N175)</f>
        <v/>
      </c>
      <c r="F175" s="645" t="str">
        <f>IF(OR(LEN('RETEN. y PERC.'!J175)=0,'RETEN. y PERC.'!J175=0),"",'RETEN. y PERC.'!J175)</f>
        <v/>
      </c>
    </row>
    <row r="176" spans="1:6">
      <c r="A176" s="640" t="str">
        <f>IF(OR(LEN('RETEN. y PERC.'!F176)=0,'RETEN. y PERC.'!F176=0),"",'RETEN. y PERC.'!F176)</f>
        <v/>
      </c>
      <c r="B176" s="640" t="str">
        <f>IF(OR(LEN('RETEN. y PERC.'!A176)=0,'RETEN. y PERC.'!A176=0),"",'RETEN. y PERC.'!A176)</f>
        <v/>
      </c>
      <c r="C176" s="640" t="str">
        <f>IF(OR(LEN('RETEN. y PERC.'!H176)=0,'RETEN. y PERC.'!H176=0),"",'RETEN. y PERC.'!H176)</f>
        <v/>
      </c>
      <c r="D176" s="640" t="str">
        <f>IF(OR(LEN('RETEN. y PERC.'!N176)=0,'RETEN. y PERC.'!N176=0),"",'RETEN. y PERC.'!N176)</f>
        <v/>
      </c>
      <c r="F176" s="645" t="str">
        <f>IF(OR(LEN('RETEN. y PERC.'!J176)=0,'RETEN. y PERC.'!J176=0),"",'RETEN. y PERC.'!J176)</f>
        <v/>
      </c>
    </row>
    <row r="177" spans="1:6">
      <c r="A177" s="640" t="str">
        <f>IF(OR(LEN('RETEN. y PERC.'!F177)=0,'RETEN. y PERC.'!F177=0),"",'RETEN. y PERC.'!F177)</f>
        <v/>
      </c>
      <c r="B177" s="640" t="str">
        <f>IF(OR(LEN('RETEN. y PERC.'!A177)=0,'RETEN. y PERC.'!A177=0),"",'RETEN. y PERC.'!A177)</f>
        <v/>
      </c>
      <c r="C177" s="640" t="str">
        <f>IF(OR(LEN('RETEN. y PERC.'!H177)=0,'RETEN. y PERC.'!H177=0),"",'RETEN. y PERC.'!H177)</f>
        <v/>
      </c>
      <c r="D177" s="640" t="str">
        <f>IF(OR(LEN('RETEN. y PERC.'!N177)=0,'RETEN. y PERC.'!N177=0),"",'RETEN. y PERC.'!N177)</f>
        <v/>
      </c>
      <c r="F177" s="645" t="str">
        <f>IF(OR(LEN('RETEN. y PERC.'!J177)=0,'RETEN. y PERC.'!J177=0),"",'RETEN. y PERC.'!J177)</f>
        <v/>
      </c>
    </row>
    <row r="178" spans="1:6">
      <c r="A178" s="640" t="str">
        <f>IF(OR(LEN('RETEN. y PERC.'!F178)=0,'RETEN. y PERC.'!F178=0),"",'RETEN. y PERC.'!F178)</f>
        <v/>
      </c>
      <c r="B178" s="640" t="str">
        <f>IF(OR(LEN('RETEN. y PERC.'!A178)=0,'RETEN. y PERC.'!A178=0),"",'RETEN. y PERC.'!A178)</f>
        <v/>
      </c>
      <c r="C178" s="640" t="str">
        <f>IF(OR(LEN('RETEN. y PERC.'!H178)=0,'RETEN. y PERC.'!H178=0),"",'RETEN. y PERC.'!H178)</f>
        <v/>
      </c>
      <c r="D178" s="640" t="str">
        <f>IF(OR(LEN('RETEN. y PERC.'!N178)=0,'RETEN. y PERC.'!N178=0),"",'RETEN. y PERC.'!N178)</f>
        <v/>
      </c>
      <c r="F178" s="645" t="str">
        <f>IF(OR(LEN('RETEN. y PERC.'!J178)=0,'RETEN. y PERC.'!J178=0),"",'RETEN. y PERC.'!J178)</f>
        <v/>
      </c>
    </row>
    <row r="179" spans="1:6">
      <c r="A179" s="640" t="str">
        <f>IF(OR(LEN('RETEN. y PERC.'!F179)=0,'RETEN. y PERC.'!F179=0),"",'RETEN. y PERC.'!F179)</f>
        <v/>
      </c>
      <c r="B179" s="640" t="str">
        <f>IF(OR(LEN('RETEN. y PERC.'!A179)=0,'RETEN. y PERC.'!A179=0),"",'RETEN. y PERC.'!A179)</f>
        <v/>
      </c>
      <c r="C179" s="640" t="str">
        <f>IF(OR(LEN('RETEN. y PERC.'!H179)=0,'RETEN. y PERC.'!H179=0),"",'RETEN. y PERC.'!H179)</f>
        <v/>
      </c>
      <c r="D179" s="640" t="str">
        <f>IF(OR(LEN('RETEN. y PERC.'!N179)=0,'RETEN. y PERC.'!N179=0),"",'RETEN. y PERC.'!N179)</f>
        <v/>
      </c>
      <c r="F179" s="645" t="str">
        <f>IF(OR(LEN('RETEN. y PERC.'!J179)=0,'RETEN. y PERC.'!J179=0),"",'RETEN. y PERC.'!J179)</f>
        <v/>
      </c>
    </row>
    <row r="180" spans="1:6">
      <c r="A180" s="640" t="str">
        <f>IF(OR(LEN('RETEN. y PERC.'!F180)=0,'RETEN. y PERC.'!F180=0),"",'RETEN. y PERC.'!F180)</f>
        <v/>
      </c>
      <c r="B180" s="640" t="str">
        <f>IF(OR(LEN('RETEN. y PERC.'!A180)=0,'RETEN. y PERC.'!A180=0),"",'RETEN. y PERC.'!A180)</f>
        <v/>
      </c>
      <c r="C180" s="640" t="str">
        <f>IF(OR(LEN('RETEN. y PERC.'!H180)=0,'RETEN. y PERC.'!H180=0),"",'RETEN. y PERC.'!H180)</f>
        <v/>
      </c>
      <c r="D180" s="640" t="str">
        <f>IF(OR(LEN('RETEN. y PERC.'!N180)=0,'RETEN. y PERC.'!N180=0),"",'RETEN. y PERC.'!N180)</f>
        <v/>
      </c>
      <c r="F180" s="645" t="str">
        <f>IF(OR(LEN('RETEN. y PERC.'!J180)=0,'RETEN. y PERC.'!J180=0),"",'RETEN. y PERC.'!J180)</f>
        <v/>
      </c>
    </row>
    <row r="181" spans="1:6">
      <c r="A181" s="640" t="str">
        <f>IF(OR(LEN('RETEN. y PERC.'!F181)=0,'RETEN. y PERC.'!F181=0),"",'RETEN. y PERC.'!F181)</f>
        <v/>
      </c>
      <c r="B181" s="640" t="str">
        <f>IF(OR(LEN('RETEN. y PERC.'!A181)=0,'RETEN. y PERC.'!A181=0),"",'RETEN. y PERC.'!A181)</f>
        <v/>
      </c>
      <c r="C181" s="640" t="str">
        <f>IF(OR(LEN('RETEN. y PERC.'!H181)=0,'RETEN. y PERC.'!H181=0),"",'RETEN. y PERC.'!H181)</f>
        <v/>
      </c>
      <c r="D181" s="640" t="str">
        <f>IF(OR(LEN('RETEN. y PERC.'!N181)=0,'RETEN. y PERC.'!N181=0),"",'RETEN. y PERC.'!N181)</f>
        <v/>
      </c>
      <c r="F181" s="645" t="str">
        <f>IF(OR(LEN('RETEN. y PERC.'!J181)=0,'RETEN. y PERC.'!J181=0),"",'RETEN. y PERC.'!J181)</f>
        <v/>
      </c>
    </row>
    <row r="182" spans="1:6">
      <c r="A182" s="640" t="str">
        <f>IF(OR(LEN('RETEN. y PERC.'!F182)=0,'RETEN. y PERC.'!F182=0),"",'RETEN. y PERC.'!F182)</f>
        <v/>
      </c>
      <c r="B182" s="640" t="str">
        <f>IF(OR(LEN('RETEN. y PERC.'!A182)=0,'RETEN. y PERC.'!A182=0),"",'RETEN. y PERC.'!A182)</f>
        <v/>
      </c>
      <c r="C182" s="640" t="str">
        <f>IF(OR(LEN('RETEN. y PERC.'!H182)=0,'RETEN. y PERC.'!H182=0),"",'RETEN. y PERC.'!H182)</f>
        <v/>
      </c>
      <c r="D182" s="640" t="str">
        <f>IF(OR(LEN('RETEN. y PERC.'!N182)=0,'RETEN. y PERC.'!N182=0),"",'RETEN. y PERC.'!N182)</f>
        <v/>
      </c>
      <c r="F182" s="645" t="str">
        <f>IF(OR(LEN('RETEN. y PERC.'!J182)=0,'RETEN. y PERC.'!J182=0),"",'RETEN. y PERC.'!J182)</f>
        <v/>
      </c>
    </row>
    <row r="183" spans="1:6">
      <c r="A183" s="640" t="str">
        <f>IF(OR(LEN('RETEN. y PERC.'!F183)=0,'RETEN. y PERC.'!F183=0),"",'RETEN. y PERC.'!F183)</f>
        <v/>
      </c>
      <c r="B183" s="640" t="str">
        <f>IF(OR(LEN('RETEN. y PERC.'!A183)=0,'RETEN. y PERC.'!A183=0),"",'RETEN. y PERC.'!A183)</f>
        <v/>
      </c>
      <c r="C183" s="640" t="str">
        <f>IF(OR(LEN('RETEN. y PERC.'!H183)=0,'RETEN. y PERC.'!H183=0),"",'RETEN. y PERC.'!H183)</f>
        <v/>
      </c>
      <c r="D183" s="640" t="str">
        <f>IF(OR(LEN('RETEN. y PERC.'!N183)=0,'RETEN. y PERC.'!N183=0),"",'RETEN. y PERC.'!N183)</f>
        <v/>
      </c>
      <c r="F183" s="645" t="str">
        <f>IF(OR(LEN('RETEN. y PERC.'!J183)=0,'RETEN. y PERC.'!J183=0),"",'RETEN. y PERC.'!J183)</f>
        <v/>
      </c>
    </row>
    <row r="184" spans="1:6">
      <c r="A184" s="640" t="str">
        <f>IF(OR(LEN('RETEN. y PERC.'!F184)=0,'RETEN. y PERC.'!F184=0),"",'RETEN. y PERC.'!F184)</f>
        <v/>
      </c>
      <c r="B184" s="640" t="str">
        <f>IF(OR(LEN('RETEN. y PERC.'!A184)=0,'RETEN. y PERC.'!A184=0),"",'RETEN. y PERC.'!A184)</f>
        <v/>
      </c>
      <c r="C184" s="640" t="str">
        <f>IF(OR(LEN('RETEN. y PERC.'!H184)=0,'RETEN. y PERC.'!H184=0),"",'RETEN. y PERC.'!H184)</f>
        <v/>
      </c>
      <c r="D184" s="640" t="str">
        <f>IF(OR(LEN('RETEN. y PERC.'!N184)=0,'RETEN. y PERC.'!N184=0),"",'RETEN. y PERC.'!N184)</f>
        <v/>
      </c>
      <c r="F184" s="645" t="str">
        <f>IF(OR(LEN('RETEN. y PERC.'!J184)=0,'RETEN. y PERC.'!J184=0),"",'RETEN. y PERC.'!J184)</f>
        <v/>
      </c>
    </row>
    <row r="185" spans="1:6">
      <c r="A185" s="640" t="str">
        <f>IF(OR(LEN('RETEN. y PERC.'!F185)=0,'RETEN. y PERC.'!F185=0),"",'RETEN. y PERC.'!F185)</f>
        <v/>
      </c>
      <c r="B185" s="640" t="str">
        <f>IF(OR(LEN('RETEN. y PERC.'!A185)=0,'RETEN. y PERC.'!A185=0),"",'RETEN. y PERC.'!A185)</f>
        <v/>
      </c>
      <c r="C185" s="640" t="str">
        <f>IF(OR(LEN('RETEN. y PERC.'!H185)=0,'RETEN. y PERC.'!H185=0),"",'RETEN. y PERC.'!H185)</f>
        <v/>
      </c>
      <c r="D185" s="640" t="str">
        <f>IF(OR(LEN('RETEN. y PERC.'!N185)=0,'RETEN. y PERC.'!N185=0),"",'RETEN. y PERC.'!N185)</f>
        <v/>
      </c>
      <c r="F185" s="645" t="str">
        <f>IF(OR(LEN('RETEN. y PERC.'!J185)=0,'RETEN. y PERC.'!J185=0),"",'RETEN. y PERC.'!J185)</f>
        <v/>
      </c>
    </row>
    <row r="186" spans="1:6">
      <c r="A186" s="640" t="str">
        <f>IF(OR(LEN('RETEN. y PERC.'!F186)=0,'RETEN. y PERC.'!F186=0),"",'RETEN. y PERC.'!F186)</f>
        <v/>
      </c>
      <c r="B186" s="640" t="str">
        <f>IF(OR(LEN('RETEN. y PERC.'!A186)=0,'RETEN. y PERC.'!A186=0),"",'RETEN. y PERC.'!A186)</f>
        <v/>
      </c>
      <c r="C186" s="640" t="str">
        <f>IF(OR(LEN('RETEN. y PERC.'!H186)=0,'RETEN. y PERC.'!H186=0),"",'RETEN. y PERC.'!H186)</f>
        <v/>
      </c>
      <c r="D186" s="640" t="str">
        <f>IF(OR(LEN('RETEN. y PERC.'!N186)=0,'RETEN. y PERC.'!N186=0),"",'RETEN. y PERC.'!N186)</f>
        <v/>
      </c>
      <c r="F186" s="645" t="str">
        <f>IF(OR(LEN('RETEN. y PERC.'!J186)=0,'RETEN. y PERC.'!J186=0),"",'RETEN. y PERC.'!J186)</f>
        <v/>
      </c>
    </row>
    <row r="187" spans="1:6">
      <c r="A187" s="640" t="str">
        <f>IF(OR(LEN('RETEN. y PERC.'!F187)=0,'RETEN. y PERC.'!F187=0),"",'RETEN. y PERC.'!F187)</f>
        <v/>
      </c>
      <c r="B187" s="640" t="str">
        <f>IF(OR(LEN('RETEN. y PERC.'!A187)=0,'RETEN. y PERC.'!A187=0),"",'RETEN. y PERC.'!A187)</f>
        <v/>
      </c>
      <c r="C187" s="640" t="str">
        <f>IF(OR(LEN('RETEN. y PERC.'!H187)=0,'RETEN. y PERC.'!H187=0),"",'RETEN. y PERC.'!H187)</f>
        <v/>
      </c>
      <c r="D187" s="640" t="str">
        <f>IF(OR(LEN('RETEN. y PERC.'!N187)=0,'RETEN. y PERC.'!N187=0),"",'RETEN. y PERC.'!N187)</f>
        <v/>
      </c>
      <c r="F187" s="645" t="str">
        <f>IF(OR(LEN('RETEN. y PERC.'!J187)=0,'RETEN. y PERC.'!J187=0),"",'RETEN. y PERC.'!J187)</f>
        <v/>
      </c>
    </row>
    <row r="188" spans="1:6">
      <c r="A188" s="640" t="str">
        <f>IF(OR(LEN('RETEN. y PERC.'!F188)=0,'RETEN. y PERC.'!F188=0),"",'RETEN. y PERC.'!F188)</f>
        <v/>
      </c>
      <c r="B188" s="640" t="str">
        <f>IF(OR(LEN('RETEN. y PERC.'!A188)=0,'RETEN. y PERC.'!A188=0),"",'RETEN. y PERC.'!A188)</f>
        <v/>
      </c>
      <c r="C188" s="640" t="str">
        <f>IF(OR(LEN('RETEN. y PERC.'!H188)=0,'RETEN. y PERC.'!H188=0),"",'RETEN. y PERC.'!H188)</f>
        <v/>
      </c>
      <c r="D188" s="640" t="str">
        <f>IF(OR(LEN('RETEN. y PERC.'!N188)=0,'RETEN. y PERC.'!N188=0),"",'RETEN. y PERC.'!N188)</f>
        <v/>
      </c>
      <c r="F188" s="645" t="str">
        <f>IF(OR(LEN('RETEN. y PERC.'!J188)=0,'RETEN. y PERC.'!J188=0),"",'RETEN. y PERC.'!J188)</f>
        <v/>
      </c>
    </row>
    <row r="189" spans="1:6">
      <c r="A189" s="640" t="str">
        <f>IF(OR(LEN('RETEN. y PERC.'!F189)=0,'RETEN. y PERC.'!F189=0),"",'RETEN. y PERC.'!F189)</f>
        <v/>
      </c>
      <c r="B189" s="640" t="str">
        <f>IF(OR(LEN('RETEN. y PERC.'!A189)=0,'RETEN. y PERC.'!A189=0),"",'RETEN. y PERC.'!A189)</f>
        <v/>
      </c>
      <c r="C189" s="640" t="str">
        <f>IF(OR(LEN('RETEN. y PERC.'!H189)=0,'RETEN. y PERC.'!H189=0),"",'RETEN. y PERC.'!H189)</f>
        <v/>
      </c>
      <c r="D189" s="640" t="str">
        <f>IF(OR(LEN('RETEN. y PERC.'!N189)=0,'RETEN. y PERC.'!N189=0),"",'RETEN. y PERC.'!N189)</f>
        <v/>
      </c>
      <c r="F189" s="645" t="str">
        <f>IF(OR(LEN('RETEN. y PERC.'!J189)=0,'RETEN. y PERC.'!J189=0),"",'RETEN. y PERC.'!J189)</f>
        <v/>
      </c>
    </row>
    <row r="190" spans="1:6">
      <c r="A190" s="640" t="str">
        <f>IF(OR(LEN('RETEN. y PERC.'!F190)=0,'RETEN. y PERC.'!F190=0),"",'RETEN. y PERC.'!F190)</f>
        <v/>
      </c>
      <c r="B190" s="640" t="str">
        <f>IF(OR(LEN('RETEN. y PERC.'!A190)=0,'RETEN. y PERC.'!A190=0),"",'RETEN. y PERC.'!A190)</f>
        <v/>
      </c>
      <c r="C190" s="640" t="str">
        <f>IF(OR(LEN('RETEN. y PERC.'!H190)=0,'RETEN. y PERC.'!H190=0),"",'RETEN. y PERC.'!H190)</f>
        <v/>
      </c>
      <c r="D190" s="640" t="str">
        <f>IF(OR(LEN('RETEN. y PERC.'!N190)=0,'RETEN. y PERC.'!N190=0),"",'RETEN. y PERC.'!N190)</f>
        <v/>
      </c>
      <c r="F190" s="645" t="str">
        <f>IF(OR(LEN('RETEN. y PERC.'!J190)=0,'RETEN. y PERC.'!J190=0),"",'RETEN. y PERC.'!J190)</f>
        <v/>
      </c>
    </row>
    <row r="191" spans="1:6">
      <c r="A191" s="640" t="str">
        <f>IF(OR(LEN('RETEN. y PERC.'!F191)=0,'RETEN. y PERC.'!F191=0),"",'RETEN. y PERC.'!F191)</f>
        <v/>
      </c>
      <c r="B191" s="640" t="str">
        <f>IF(OR(LEN('RETEN. y PERC.'!A191)=0,'RETEN. y PERC.'!A191=0),"",'RETEN. y PERC.'!A191)</f>
        <v/>
      </c>
      <c r="C191" s="640" t="str">
        <f>IF(OR(LEN('RETEN. y PERC.'!H191)=0,'RETEN. y PERC.'!H191=0),"",'RETEN. y PERC.'!H191)</f>
        <v/>
      </c>
      <c r="D191" s="640" t="str">
        <f>IF(OR(LEN('RETEN. y PERC.'!N191)=0,'RETEN. y PERC.'!N191=0),"",'RETEN. y PERC.'!N191)</f>
        <v/>
      </c>
      <c r="F191" s="645" t="str">
        <f>IF(OR(LEN('RETEN. y PERC.'!J191)=0,'RETEN. y PERC.'!J191=0),"",'RETEN. y PERC.'!J191)</f>
        <v/>
      </c>
    </row>
    <row r="192" spans="1:6">
      <c r="A192" s="640" t="str">
        <f>IF(OR(LEN('RETEN. y PERC.'!F192)=0,'RETEN. y PERC.'!F192=0),"",'RETEN. y PERC.'!F192)</f>
        <v/>
      </c>
      <c r="B192" s="640" t="str">
        <f>IF(OR(LEN('RETEN. y PERC.'!A192)=0,'RETEN. y PERC.'!A192=0),"",'RETEN. y PERC.'!A192)</f>
        <v/>
      </c>
      <c r="C192" s="640" t="str">
        <f>IF(OR(LEN('RETEN. y PERC.'!H192)=0,'RETEN. y PERC.'!H192=0),"",'RETEN. y PERC.'!H192)</f>
        <v/>
      </c>
      <c r="D192" s="640" t="str">
        <f>IF(OR(LEN('RETEN. y PERC.'!N192)=0,'RETEN. y PERC.'!N192=0),"",'RETEN. y PERC.'!N192)</f>
        <v/>
      </c>
      <c r="F192" s="645" t="str">
        <f>IF(OR(LEN('RETEN. y PERC.'!J192)=0,'RETEN. y PERC.'!J192=0),"",'RETEN. y PERC.'!J192)</f>
        <v/>
      </c>
    </row>
    <row r="193" spans="1:6">
      <c r="A193" s="640" t="str">
        <f>IF(OR(LEN('RETEN. y PERC.'!F193)=0,'RETEN. y PERC.'!F193=0),"",'RETEN. y PERC.'!F193)</f>
        <v/>
      </c>
      <c r="B193" s="640" t="str">
        <f>IF(OR(LEN('RETEN. y PERC.'!A193)=0,'RETEN. y PERC.'!A193=0),"",'RETEN. y PERC.'!A193)</f>
        <v/>
      </c>
      <c r="C193" s="640" t="str">
        <f>IF(OR(LEN('RETEN. y PERC.'!H193)=0,'RETEN. y PERC.'!H193=0),"",'RETEN. y PERC.'!H193)</f>
        <v/>
      </c>
      <c r="D193" s="640" t="str">
        <f>IF(OR(LEN('RETEN. y PERC.'!N193)=0,'RETEN. y PERC.'!N193=0),"",'RETEN. y PERC.'!N193)</f>
        <v/>
      </c>
      <c r="F193" s="645" t="str">
        <f>IF(OR(LEN('RETEN. y PERC.'!J193)=0,'RETEN. y PERC.'!J193=0),"",'RETEN. y PERC.'!J193)</f>
        <v/>
      </c>
    </row>
    <row r="194" spans="1:6">
      <c r="A194" s="640" t="str">
        <f>IF(OR(LEN('RETEN. y PERC.'!F194)=0,'RETEN. y PERC.'!F194=0),"",'RETEN. y PERC.'!F194)</f>
        <v/>
      </c>
      <c r="B194" s="640" t="str">
        <f>IF(OR(LEN('RETEN. y PERC.'!A194)=0,'RETEN. y PERC.'!A194=0),"",'RETEN. y PERC.'!A194)</f>
        <v/>
      </c>
      <c r="C194" s="640" t="str">
        <f>IF(OR(LEN('RETEN. y PERC.'!H194)=0,'RETEN. y PERC.'!H194=0),"",'RETEN. y PERC.'!H194)</f>
        <v/>
      </c>
      <c r="D194" s="640" t="str">
        <f>IF(OR(LEN('RETEN. y PERC.'!N194)=0,'RETEN. y PERC.'!N194=0),"",'RETEN. y PERC.'!N194)</f>
        <v/>
      </c>
      <c r="F194" s="645" t="str">
        <f>IF(OR(LEN('RETEN. y PERC.'!J194)=0,'RETEN. y PERC.'!J194=0),"",'RETEN. y PERC.'!J194)</f>
        <v/>
      </c>
    </row>
    <row r="195" spans="1:6">
      <c r="A195" s="640" t="str">
        <f>IF(OR(LEN('RETEN. y PERC.'!F195)=0,'RETEN. y PERC.'!F195=0),"",'RETEN. y PERC.'!F195)</f>
        <v/>
      </c>
      <c r="B195" s="640" t="str">
        <f>IF(OR(LEN('RETEN. y PERC.'!A195)=0,'RETEN. y PERC.'!A195=0),"",'RETEN. y PERC.'!A195)</f>
        <v/>
      </c>
      <c r="C195" s="640" t="str">
        <f>IF(OR(LEN('RETEN. y PERC.'!H195)=0,'RETEN. y PERC.'!H195=0),"",'RETEN. y PERC.'!H195)</f>
        <v/>
      </c>
      <c r="D195" s="640" t="str">
        <f>IF(OR(LEN('RETEN. y PERC.'!N195)=0,'RETEN. y PERC.'!N195=0),"",'RETEN. y PERC.'!N195)</f>
        <v/>
      </c>
      <c r="F195" s="645" t="str">
        <f>IF(OR(LEN('RETEN. y PERC.'!J195)=0,'RETEN. y PERC.'!J195=0),"",'RETEN. y PERC.'!J195)</f>
        <v/>
      </c>
    </row>
    <row r="196" spans="1:6">
      <c r="A196" s="640" t="str">
        <f>IF(OR(LEN('RETEN. y PERC.'!F196)=0,'RETEN. y PERC.'!F196=0),"",'RETEN. y PERC.'!F196)</f>
        <v/>
      </c>
      <c r="B196" s="640" t="str">
        <f>IF(OR(LEN('RETEN. y PERC.'!A196)=0,'RETEN. y PERC.'!A196=0),"",'RETEN. y PERC.'!A196)</f>
        <v/>
      </c>
      <c r="C196" s="640" t="str">
        <f>IF(OR(LEN('RETEN. y PERC.'!H196)=0,'RETEN. y PERC.'!H196=0),"",'RETEN. y PERC.'!H196)</f>
        <v/>
      </c>
      <c r="D196" s="640" t="str">
        <f>IF(OR(LEN('RETEN. y PERC.'!N196)=0,'RETEN. y PERC.'!N196=0),"",'RETEN. y PERC.'!N196)</f>
        <v/>
      </c>
      <c r="F196" s="645" t="str">
        <f>IF(OR(LEN('RETEN. y PERC.'!J196)=0,'RETEN. y PERC.'!J196=0),"",'RETEN. y PERC.'!J196)</f>
        <v/>
      </c>
    </row>
    <row r="197" spans="1:6">
      <c r="A197" s="640" t="str">
        <f>IF(OR(LEN('RETEN. y PERC.'!F197)=0,'RETEN. y PERC.'!F197=0),"",'RETEN. y PERC.'!F197)</f>
        <v/>
      </c>
      <c r="B197" s="640" t="str">
        <f>IF(OR(LEN('RETEN. y PERC.'!A197)=0,'RETEN. y PERC.'!A197=0),"",'RETEN. y PERC.'!A197)</f>
        <v/>
      </c>
      <c r="C197" s="640" t="str">
        <f>IF(OR(LEN('RETEN. y PERC.'!H197)=0,'RETEN. y PERC.'!H197=0),"",'RETEN. y PERC.'!H197)</f>
        <v/>
      </c>
      <c r="D197" s="640" t="str">
        <f>IF(OR(LEN('RETEN. y PERC.'!N197)=0,'RETEN. y PERC.'!N197=0),"",'RETEN. y PERC.'!N197)</f>
        <v/>
      </c>
      <c r="F197" s="645" t="str">
        <f>IF(OR(LEN('RETEN. y PERC.'!J197)=0,'RETEN. y PERC.'!J197=0),"",'RETEN. y PERC.'!J197)</f>
        <v/>
      </c>
    </row>
    <row r="198" spans="1:6">
      <c r="A198" s="640" t="str">
        <f>IF(OR(LEN('RETEN. y PERC.'!F198)=0,'RETEN. y PERC.'!F198=0),"",'RETEN. y PERC.'!F198)</f>
        <v/>
      </c>
      <c r="B198" s="640" t="str">
        <f>IF(OR(LEN('RETEN. y PERC.'!A198)=0,'RETEN. y PERC.'!A198=0),"",'RETEN. y PERC.'!A198)</f>
        <v/>
      </c>
      <c r="C198" s="640" t="str">
        <f>IF(OR(LEN('RETEN. y PERC.'!H198)=0,'RETEN. y PERC.'!H198=0),"",'RETEN. y PERC.'!H198)</f>
        <v/>
      </c>
      <c r="D198" s="640" t="str">
        <f>IF(OR(LEN('RETEN. y PERC.'!N198)=0,'RETEN. y PERC.'!N198=0),"",'RETEN. y PERC.'!N198)</f>
        <v/>
      </c>
      <c r="F198" s="645" t="str">
        <f>IF(OR(LEN('RETEN. y PERC.'!J198)=0,'RETEN. y PERC.'!J198=0),"",'RETEN. y PERC.'!J198)</f>
        <v/>
      </c>
    </row>
    <row r="199" spans="1:6">
      <c r="A199" s="640" t="str">
        <f>IF(OR(LEN('RETEN. y PERC.'!F199)=0,'RETEN. y PERC.'!F199=0),"",'RETEN. y PERC.'!F199)</f>
        <v/>
      </c>
      <c r="B199" s="640" t="str">
        <f>IF(OR(LEN('RETEN. y PERC.'!A199)=0,'RETEN. y PERC.'!A199=0),"",'RETEN. y PERC.'!A199)</f>
        <v/>
      </c>
      <c r="C199" s="640" t="str">
        <f>IF(OR(LEN('RETEN. y PERC.'!H199)=0,'RETEN. y PERC.'!H199=0),"",'RETEN. y PERC.'!H199)</f>
        <v/>
      </c>
      <c r="D199" s="640" t="str">
        <f>IF(OR(LEN('RETEN. y PERC.'!N199)=0,'RETEN. y PERC.'!N199=0),"",'RETEN. y PERC.'!N199)</f>
        <v/>
      </c>
      <c r="F199" s="645" t="str">
        <f>IF(OR(LEN('RETEN. y PERC.'!J199)=0,'RETEN. y PERC.'!J199=0),"",'RETEN. y PERC.'!J199)</f>
        <v/>
      </c>
    </row>
    <row r="200" spans="1:6">
      <c r="A200" s="640" t="str">
        <f>IF(OR(LEN('RETEN. y PERC.'!F200)=0,'RETEN. y PERC.'!F200=0),"",'RETEN. y PERC.'!F200)</f>
        <v/>
      </c>
      <c r="B200" s="640" t="str">
        <f>IF(OR(LEN('RETEN. y PERC.'!A200)=0,'RETEN. y PERC.'!A200=0),"",'RETEN. y PERC.'!A200)</f>
        <v/>
      </c>
      <c r="C200" s="640" t="str">
        <f>IF(OR(LEN('RETEN. y PERC.'!H200)=0,'RETEN. y PERC.'!H200=0),"",'RETEN. y PERC.'!H200)</f>
        <v/>
      </c>
      <c r="D200" s="640" t="str">
        <f>IF(OR(LEN('RETEN. y PERC.'!N200)=0,'RETEN. y PERC.'!N200=0),"",'RETEN. y PERC.'!N200)</f>
        <v/>
      </c>
      <c r="F200" s="645" t="str">
        <f>IF(OR(LEN('RETEN. y PERC.'!J200)=0,'RETEN. y PERC.'!J200=0),"",'RETEN. y PERC.'!J200)</f>
        <v/>
      </c>
    </row>
    <row r="201" spans="1:6">
      <c r="A201" s="640" t="str">
        <f>IF(OR(LEN('RETEN. y PERC.'!F201)=0,'RETEN. y PERC.'!F201=0),"",'RETEN. y PERC.'!F201)</f>
        <v/>
      </c>
      <c r="B201" s="640" t="str">
        <f>IF(OR(LEN('RETEN. y PERC.'!A201)=0,'RETEN. y PERC.'!A201=0),"",'RETEN. y PERC.'!A201)</f>
        <v/>
      </c>
      <c r="C201" s="640" t="str">
        <f>IF(OR(LEN('RETEN. y PERC.'!H201)=0,'RETEN. y PERC.'!H201=0),"",'RETEN. y PERC.'!H201)</f>
        <v/>
      </c>
      <c r="D201" s="640" t="str">
        <f>IF(OR(LEN('RETEN. y PERC.'!N201)=0,'RETEN. y PERC.'!N201=0),"",'RETEN. y PERC.'!N201)</f>
        <v/>
      </c>
      <c r="F201" s="645" t="str">
        <f>IF(OR(LEN('RETEN. y PERC.'!J201)=0,'RETEN. y PERC.'!J201=0),"",'RETEN. y PERC.'!J201)</f>
        <v/>
      </c>
    </row>
    <row r="202" spans="1:6">
      <c r="A202" s="640" t="str">
        <f>IF(OR(LEN('RETEN. y PERC.'!F202)=0,'RETEN. y PERC.'!F202=0),"",'RETEN. y PERC.'!F202)</f>
        <v/>
      </c>
      <c r="B202" s="640" t="str">
        <f>IF(OR(LEN('RETEN. y PERC.'!A202)=0,'RETEN. y PERC.'!A202=0),"",'RETEN. y PERC.'!A202)</f>
        <v/>
      </c>
      <c r="C202" s="640" t="str">
        <f>IF(OR(LEN('RETEN. y PERC.'!H202)=0,'RETEN. y PERC.'!H202=0),"",'RETEN. y PERC.'!H202)</f>
        <v/>
      </c>
      <c r="D202" s="640" t="str">
        <f>IF(OR(LEN('RETEN. y PERC.'!N202)=0,'RETEN. y PERC.'!N202=0),"",'RETEN. y PERC.'!N202)</f>
        <v/>
      </c>
      <c r="F202" s="645" t="str">
        <f>IF(OR(LEN('RETEN. y PERC.'!J202)=0,'RETEN. y PERC.'!J202=0),"",'RETEN. y PERC.'!J202)</f>
        <v/>
      </c>
    </row>
    <row r="203" spans="1:6">
      <c r="A203" s="640" t="str">
        <f>IF(OR(LEN('RETEN. y PERC.'!F203)=0,'RETEN. y PERC.'!F203=0),"",'RETEN. y PERC.'!F203)</f>
        <v/>
      </c>
      <c r="B203" s="640" t="str">
        <f>IF(OR(LEN('RETEN. y PERC.'!A203)=0,'RETEN. y PERC.'!A203=0),"",'RETEN. y PERC.'!A203)</f>
        <v/>
      </c>
      <c r="C203" s="640" t="str">
        <f>IF(OR(LEN('RETEN. y PERC.'!H203)=0,'RETEN. y PERC.'!H203=0),"",'RETEN. y PERC.'!H203)</f>
        <v/>
      </c>
      <c r="D203" s="640" t="str">
        <f>IF(OR(LEN('RETEN. y PERC.'!N203)=0,'RETEN. y PERC.'!N203=0),"",'RETEN. y PERC.'!N203)</f>
        <v/>
      </c>
      <c r="F203" s="645" t="str">
        <f>IF(OR(LEN('RETEN. y PERC.'!J203)=0,'RETEN. y PERC.'!J203=0),"",'RETEN. y PERC.'!J203)</f>
        <v/>
      </c>
    </row>
    <row r="204" spans="1:6">
      <c r="A204" s="640" t="str">
        <f>IF(OR(LEN('RETEN. y PERC.'!F204)=0,'RETEN. y PERC.'!F204=0),"",'RETEN. y PERC.'!F204)</f>
        <v/>
      </c>
      <c r="B204" s="640" t="str">
        <f>IF(OR(LEN('RETEN. y PERC.'!A204)=0,'RETEN. y PERC.'!A204=0),"",'RETEN. y PERC.'!A204)</f>
        <v/>
      </c>
      <c r="C204" s="640" t="str">
        <f>IF(OR(LEN('RETEN. y PERC.'!H204)=0,'RETEN. y PERC.'!H204=0),"",'RETEN. y PERC.'!H204)</f>
        <v/>
      </c>
      <c r="D204" s="640" t="str">
        <f>IF(OR(LEN('RETEN. y PERC.'!N204)=0,'RETEN. y PERC.'!N204=0),"",'RETEN. y PERC.'!N204)</f>
        <v/>
      </c>
      <c r="F204" s="645" t="str">
        <f>IF(OR(LEN('RETEN. y PERC.'!J204)=0,'RETEN. y PERC.'!J204=0),"",'RETEN. y PERC.'!J204)</f>
        <v/>
      </c>
    </row>
    <row r="205" spans="1:6">
      <c r="A205" s="640" t="str">
        <f>IF(OR(LEN('RETEN. y PERC.'!F205)=0,'RETEN. y PERC.'!F205=0),"",'RETEN. y PERC.'!F205)</f>
        <v/>
      </c>
      <c r="B205" s="640" t="str">
        <f>IF(OR(LEN('RETEN. y PERC.'!A205)=0,'RETEN. y PERC.'!A205=0),"",'RETEN. y PERC.'!A205)</f>
        <v/>
      </c>
      <c r="C205" s="640" t="str">
        <f>IF(OR(LEN('RETEN. y PERC.'!H205)=0,'RETEN. y PERC.'!H205=0),"",'RETEN. y PERC.'!H205)</f>
        <v/>
      </c>
      <c r="D205" s="640" t="str">
        <f>IF(OR(LEN('RETEN. y PERC.'!N205)=0,'RETEN. y PERC.'!N205=0),"",'RETEN. y PERC.'!N205)</f>
        <v/>
      </c>
      <c r="F205" s="645" t="str">
        <f>IF(OR(LEN('RETEN. y PERC.'!J205)=0,'RETEN. y PERC.'!J205=0),"",'RETEN. y PERC.'!J205)</f>
        <v/>
      </c>
    </row>
    <row r="206" spans="1:6">
      <c r="A206" s="640" t="str">
        <f>IF(OR(LEN('RETEN. y PERC.'!F206)=0,'RETEN. y PERC.'!F206=0),"",'RETEN. y PERC.'!F206)</f>
        <v/>
      </c>
      <c r="B206" s="640" t="str">
        <f>IF(OR(LEN('RETEN. y PERC.'!A206)=0,'RETEN. y PERC.'!A206=0),"",'RETEN. y PERC.'!A206)</f>
        <v/>
      </c>
      <c r="C206" s="640" t="str">
        <f>IF(OR(LEN('RETEN. y PERC.'!H206)=0,'RETEN. y PERC.'!H206=0),"",'RETEN. y PERC.'!H206)</f>
        <v/>
      </c>
      <c r="D206" s="640" t="str">
        <f>IF(OR(LEN('RETEN. y PERC.'!N206)=0,'RETEN. y PERC.'!N206=0),"",'RETEN. y PERC.'!N206)</f>
        <v/>
      </c>
      <c r="F206" s="645" t="str">
        <f>IF(OR(LEN('RETEN. y PERC.'!J206)=0,'RETEN. y PERC.'!J206=0),"",'RETEN. y PERC.'!J206)</f>
        <v/>
      </c>
    </row>
    <row r="207" spans="1:6">
      <c r="A207" s="640" t="str">
        <f>IF(OR(LEN('RETEN. y PERC.'!F207)=0,'RETEN. y PERC.'!F207=0),"",'RETEN. y PERC.'!F207)</f>
        <v/>
      </c>
      <c r="B207" s="640" t="str">
        <f>IF(OR(LEN('RETEN. y PERC.'!A207)=0,'RETEN. y PERC.'!A207=0),"",'RETEN. y PERC.'!A207)</f>
        <v/>
      </c>
      <c r="C207" s="640" t="str">
        <f>IF(OR(LEN('RETEN. y PERC.'!H207)=0,'RETEN. y PERC.'!H207=0),"",'RETEN. y PERC.'!H207)</f>
        <v/>
      </c>
      <c r="D207" s="640" t="str">
        <f>IF(OR(LEN('RETEN. y PERC.'!N207)=0,'RETEN. y PERC.'!N207=0),"",'RETEN. y PERC.'!N207)</f>
        <v/>
      </c>
      <c r="F207" s="645" t="str">
        <f>IF(OR(LEN('RETEN. y PERC.'!J207)=0,'RETEN. y PERC.'!J207=0),"",'RETEN. y PERC.'!J207)</f>
        <v/>
      </c>
    </row>
    <row r="208" spans="1:6">
      <c r="A208" s="640" t="str">
        <f>IF(OR(LEN('RETEN. y PERC.'!F208)=0,'RETEN. y PERC.'!F208=0),"",'RETEN. y PERC.'!F208)</f>
        <v/>
      </c>
      <c r="B208" s="640" t="str">
        <f>IF(OR(LEN('RETEN. y PERC.'!A208)=0,'RETEN. y PERC.'!A208=0),"",'RETEN. y PERC.'!A208)</f>
        <v/>
      </c>
      <c r="C208" s="640" t="str">
        <f>IF(OR(LEN('RETEN. y PERC.'!H208)=0,'RETEN. y PERC.'!H208=0),"",'RETEN. y PERC.'!H208)</f>
        <v/>
      </c>
      <c r="D208" s="640" t="str">
        <f>IF(OR(LEN('RETEN. y PERC.'!N208)=0,'RETEN. y PERC.'!N208=0),"",'RETEN. y PERC.'!N208)</f>
        <v/>
      </c>
      <c r="F208" s="645" t="str">
        <f>IF(OR(LEN('RETEN. y PERC.'!J208)=0,'RETEN. y PERC.'!J208=0),"",'RETEN. y PERC.'!J208)</f>
        <v/>
      </c>
    </row>
    <row r="209" spans="1:6">
      <c r="A209" s="640" t="str">
        <f>IF(OR(LEN('RETEN. y PERC.'!F209)=0,'RETEN. y PERC.'!F209=0),"",'RETEN. y PERC.'!F209)</f>
        <v/>
      </c>
      <c r="B209" s="640" t="str">
        <f>IF(OR(LEN('RETEN. y PERC.'!A209)=0,'RETEN. y PERC.'!A209=0),"",'RETEN. y PERC.'!A209)</f>
        <v/>
      </c>
      <c r="C209" s="640" t="str">
        <f>IF(OR(LEN('RETEN. y PERC.'!H209)=0,'RETEN. y PERC.'!H209=0),"",'RETEN. y PERC.'!H209)</f>
        <v/>
      </c>
      <c r="D209" s="640" t="str">
        <f>IF(OR(LEN('RETEN. y PERC.'!N209)=0,'RETEN. y PERC.'!N209=0),"",'RETEN. y PERC.'!N209)</f>
        <v/>
      </c>
      <c r="F209" s="645" t="str">
        <f>IF(OR(LEN('RETEN. y PERC.'!J209)=0,'RETEN. y PERC.'!J209=0),"",'RETEN. y PERC.'!J209)</f>
        <v/>
      </c>
    </row>
    <row r="210" spans="1:6">
      <c r="A210" s="640" t="str">
        <f>IF(OR(LEN('RETEN. y PERC.'!F210)=0,'RETEN. y PERC.'!F210=0),"",'RETEN. y PERC.'!F210)</f>
        <v/>
      </c>
      <c r="B210" s="640" t="str">
        <f>IF(OR(LEN('RETEN. y PERC.'!A210)=0,'RETEN. y PERC.'!A210=0),"",'RETEN. y PERC.'!A210)</f>
        <v/>
      </c>
      <c r="C210" s="640" t="str">
        <f>IF(OR(LEN('RETEN. y PERC.'!H210)=0,'RETEN. y PERC.'!H210=0),"",'RETEN. y PERC.'!H210)</f>
        <v/>
      </c>
      <c r="D210" s="640" t="str">
        <f>IF(OR(LEN('RETEN. y PERC.'!N210)=0,'RETEN. y PERC.'!N210=0),"",'RETEN. y PERC.'!N210)</f>
        <v/>
      </c>
      <c r="F210" s="645" t="str">
        <f>IF(OR(LEN('RETEN. y PERC.'!J210)=0,'RETEN. y PERC.'!J210=0),"",'RETEN. y PERC.'!J210)</f>
        <v/>
      </c>
    </row>
    <row r="211" spans="1:6">
      <c r="A211" s="640" t="str">
        <f>IF(OR(LEN('RETEN. y PERC.'!F211)=0,'RETEN. y PERC.'!F211=0),"",'RETEN. y PERC.'!F211)</f>
        <v/>
      </c>
      <c r="B211" s="640" t="str">
        <f>IF(OR(LEN('RETEN. y PERC.'!A211)=0,'RETEN. y PERC.'!A211=0),"",'RETEN. y PERC.'!A211)</f>
        <v/>
      </c>
      <c r="C211" s="640" t="str">
        <f>IF(OR(LEN('RETEN. y PERC.'!H211)=0,'RETEN. y PERC.'!H211=0),"",'RETEN. y PERC.'!H211)</f>
        <v/>
      </c>
      <c r="D211" s="640" t="str">
        <f>IF(OR(LEN('RETEN. y PERC.'!N211)=0,'RETEN. y PERC.'!N211=0),"",'RETEN. y PERC.'!N211)</f>
        <v/>
      </c>
      <c r="F211" s="645" t="str">
        <f>IF(OR(LEN('RETEN. y PERC.'!J211)=0,'RETEN. y PERC.'!J211=0),"",'RETEN. y PERC.'!J211)</f>
        <v/>
      </c>
    </row>
    <row r="212" spans="1:6">
      <c r="A212" s="640" t="str">
        <f>IF(OR(LEN('RETEN. y PERC.'!F212)=0,'RETEN. y PERC.'!F212=0),"",'RETEN. y PERC.'!F212)</f>
        <v/>
      </c>
      <c r="B212" s="640" t="str">
        <f>IF(OR(LEN('RETEN. y PERC.'!A212)=0,'RETEN. y PERC.'!A212=0),"",'RETEN. y PERC.'!A212)</f>
        <v/>
      </c>
      <c r="C212" s="640" t="str">
        <f>IF(OR(LEN('RETEN. y PERC.'!H212)=0,'RETEN. y PERC.'!H212=0),"",'RETEN. y PERC.'!H212)</f>
        <v/>
      </c>
      <c r="D212" s="640" t="str">
        <f>IF(OR(LEN('RETEN. y PERC.'!N212)=0,'RETEN. y PERC.'!N212=0),"",'RETEN. y PERC.'!N212)</f>
        <v/>
      </c>
      <c r="F212" s="645" t="str">
        <f>IF(OR(LEN('RETEN. y PERC.'!J212)=0,'RETEN. y PERC.'!J212=0),"",'RETEN. y PERC.'!J212)</f>
        <v/>
      </c>
    </row>
    <row r="213" spans="1:6">
      <c r="A213" s="640" t="str">
        <f>IF(OR(LEN('RETEN. y PERC.'!F213)=0,'RETEN. y PERC.'!F213=0),"",'RETEN. y PERC.'!F213)</f>
        <v/>
      </c>
      <c r="B213" s="640" t="str">
        <f>IF(OR(LEN('RETEN. y PERC.'!A213)=0,'RETEN. y PERC.'!A213=0),"",'RETEN. y PERC.'!A213)</f>
        <v/>
      </c>
      <c r="C213" s="640" t="str">
        <f>IF(OR(LEN('RETEN. y PERC.'!H213)=0,'RETEN. y PERC.'!H213=0),"",'RETEN. y PERC.'!H213)</f>
        <v/>
      </c>
      <c r="D213" s="640" t="str">
        <f>IF(OR(LEN('RETEN. y PERC.'!N213)=0,'RETEN. y PERC.'!N213=0),"",'RETEN. y PERC.'!N213)</f>
        <v/>
      </c>
      <c r="F213" s="645" t="str">
        <f>IF(OR(LEN('RETEN. y PERC.'!J213)=0,'RETEN. y PERC.'!J213=0),"",'RETEN. y PERC.'!J213)</f>
        <v/>
      </c>
    </row>
    <row r="214" spans="1:6">
      <c r="A214" s="640" t="str">
        <f>IF(OR(LEN('RETEN. y PERC.'!F214)=0,'RETEN. y PERC.'!F214=0),"",'RETEN. y PERC.'!F214)</f>
        <v/>
      </c>
      <c r="B214" s="640" t="str">
        <f>IF(OR(LEN('RETEN. y PERC.'!A214)=0,'RETEN. y PERC.'!A214=0),"",'RETEN. y PERC.'!A214)</f>
        <v/>
      </c>
      <c r="C214" s="640" t="str">
        <f>IF(OR(LEN('RETEN. y PERC.'!H214)=0,'RETEN. y PERC.'!H214=0),"",'RETEN. y PERC.'!H214)</f>
        <v/>
      </c>
      <c r="D214" s="640" t="str">
        <f>IF(OR(LEN('RETEN. y PERC.'!N214)=0,'RETEN. y PERC.'!N214=0),"",'RETEN. y PERC.'!N214)</f>
        <v/>
      </c>
      <c r="F214" s="645" t="str">
        <f>IF(OR(LEN('RETEN. y PERC.'!J214)=0,'RETEN. y PERC.'!J214=0),"",'RETEN. y PERC.'!J214)</f>
        <v/>
      </c>
    </row>
    <row r="215" spans="1:6">
      <c r="A215" s="640" t="str">
        <f>IF(OR(LEN('RETEN. y PERC.'!F215)=0,'RETEN. y PERC.'!F215=0),"",'RETEN. y PERC.'!F215)</f>
        <v/>
      </c>
      <c r="B215" s="640" t="str">
        <f>IF(OR(LEN('RETEN. y PERC.'!A215)=0,'RETEN. y PERC.'!A215=0),"",'RETEN. y PERC.'!A215)</f>
        <v/>
      </c>
      <c r="C215" s="640" t="str">
        <f>IF(OR(LEN('RETEN. y PERC.'!H215)=0,'RETEN. y PERC.'!H215=0),"",'RETEN. y PERC.'!H215)</f>
        <v/>
      </c>
      <c r="D215" s="640" t="str">
        <f>IF(OR(LEN('RETEN. y PERC.'!N215)=0,'RETEN. y PERC.'!N215=0),"",'RETEN. y PERC.'!N215)</f>
        <v/>
      </c>
      <c r="F215" s="645" t="str">
        <f>IF(OR(LEN('RETEN. y PERC.'!J215)=0,'RETEN. y PERC.'!J215=0),"",'RETEN. y PERC.'!J215)</f>
        <v/>
      </c>
    </row>
    <row r="216" spans="1:6">
      <c r="A216" s="640" t="str">
        <f>IF(OR(LEN('RETEN. y PERC.'!F216)=0,'RETEN. y PERC.'!F216=0),"",'RETEN. y PERC.'!F216)</f>
        <v/>
      </c>
      <c r="B216" s="640" t="str">
        <f>IF(OR(LEN('RETEN. y PERC.'!A216)=0,'RETEN. y PERC.'!A216=0),"",'RETEN. y PERC.'!A216)</f>
        <v/>
      </c>
      <c r="C216" s="640" t="str">
        <f>IF(OR(LEN('RETEN. y PERC.'!H216)=0,'RETEN. y PERC.'!H216=0),"",'RETEN. y PERC.'!H216)</f>
        <v/>
      </c>
      <c r="D216" s="640" t="str">
        <f>IF(OR(LEN('RETEN. y PERC.'!N216)=0,'RETEN. y PERC.'!N216=0),"",'RETEN. y PERC.'!N216)</f>
        <v/>
      </c>
      <c r="F216" s="645" t="str">
        <f>IF(OR(LEN('RETEN. y PERC.'!J216)=0,'RETEN. y PERC.'!J216=0),"",'RETEN. y PERC.'!J216)</f>
        <v/>
      </c>
    </row>
    <row r="217" spans="1:6">
      <c r="A217" s="640" t="str">
        <f>IF(OR(LEN('RETEN. y PERC.'!F217)=0,'RETEN. y PERC.'!F217=0),"",'RETEN. y PERC.'!F217)</f>
        <v/>
      </c>
      <c r="B217" s="640" t="str">
        <f>IF(OR(LEN('RETEN. y PERC.'!A217)=0,'RETEN. y PERC.'!A217=0),"",'RETEN. y PERC.'!A217)</f>
        <v/>
      </c>
      <c r="C217" s="640" t="str">
        <f>IF(OR(LEN('RETEN. y PERC.'!H217)=0,'RETEN. y PERC.'!H217=0),"",'RETEN. y PERC.'!H217)</f>
        <v/>
      </c>
      <c r="D217" s="640" t="str">
        <f>IF(OR(LEN('RETEN. y PERC.'!N217)=0,'RETEN. y PERC.'!N217=0),"",'RETEN. y PERC.'!N217)</f>
        <v/>
      </c>
      <c r="F217" s="645" t="str">
        <f>IF(OR(LEN('RETEN. y PERC.'!J217)=0,'RETEN. y PERC.'!J217=0),"",'RETEN. y PERC.'!J217)</f>
        <v/>
      </c>
    </row>
    <row r="218" spans="1:6">
      <c r="A218" s="640" t="str">
        <f>IF(OR(LEN('RETEN. y PERC.'!F218)=0,'RETEN. y PERC.'!F218=0),"",'RETEN. y PERC.'!F218)</f>
        <v/>
      </c>
      <c r="B218" s="640" t="str">
        <f>IF(OR(LEN('RETEN. y PERC.'!A218)=0,'RETEN. y PERC.'!A218=0),"",'RETEN. y PERC.'!A218)</f>
        <v/>
      </c>
      <c r="C218" s="640" t="str">
        <f>IF(OR(LEN('RETEN. y PERC.'!H218)=0,'RETEN. y PERC.'!H218=0),"",'RETEN. y PERC.'!H218)</f>
        <v/>
      </c>
      <c r="D218" s="640" t="str">
        <f>IF(OR(LEN('RETEN. y PERC.'!N218)=0,'RETEN. y PERC.'!N218=0),"",'RETEN. y PERC.'!N218)</f>
        <v/>
      </c>
      <c r="F218" s="645" t="str">
        <f>IF(OR(LEN('RETEN. y PERC.'!J218)=0,'RETEN. y PERC.'!J218=0),"",'RETEN. y PERC.'!J218)</f>
        <v/>
      </c>
    </row>
    <row r="219" spans="1:6">
      <c r="A219" s="640" t="str">
        <f>IF(OR(LEN('RETEN. y PERC.'!F219)=0,'RETEN. y PERC.'!F219=0),"",'RETEN. y PERC.'!F219)</f>
        <v/>
      </c>
      <c r="B219" s="640" t="str">
        <f>IF(OR(LEN('RETEN. y PERC.'!A219)=0,'RETEN. y PERC.'!A219=0),"",'RETEN. y PERC.'!A219)</f>
        <v/>
      </c>
      <c r="C219" s="640" t="str">
        <f>IF(OR(LEN('RETEN. y PERC.'!H219)=0,'RETEN. y PERC.'!H219=0),"",'RETEN. y PERC.'!H219)</f>
        <v/>
      </c>
      <c r="D219" s="640" t="str">
        <f>IF(OR(LEN('RETEN. y PERC.'!N219)=0,'RETEN. y PERC.'!N219=0),"",'RETEN. y PERC.'!N219)</f>
        <v/>
      </c>
      <c r="F219" s="645" t="str">
        <f>IF(OR(LEN('RETEN. y PERC.'!J219)=0,'RETEN. y PERC.'!J219=0),"",'RETEN. y PERC.'!J219)</f>
        <v/>
      </c>
    </row>
    <row r="220" spans="1:6">
      <c r="A220" s="640" t="str">
        <f>IF(OR(LEN('RETEN. y PERC.'!F220)=0,'RETEN. y PERC.'!F220=0),"",'RETEN. y PERC.'!F220)</f>
        <v/>
      </c>
      <c r="B220" s="640" t="str">
        <f>IF(OR(LEN('RETEN. y PERC.'!A220)=0,'RETEN. y PERC.'!A220=0),"",'RETEN. y PERC.'!A220)</f>
        <v/>
      </c>
      <c r="C220" s="640" t="str">
        <f>IF(OR(LEN('RETEN. y PERC.'!H220)=0,'RETEN. y PERC.'!H220=0),"",'RETEN. y PERC.'!H220)</f>
        <v/>
      </c>
      <c r="D220" s="640" t="str">
        <f>IF(OR(LEN('RETEN. y PERC.'!N220)=0,'RETEN. y PERC.'!N220=0),"",'RETEN. y PERC.'!N220)</f>
        <v/>
      </c>
      <c r="F220" s="645" t="str">
        <f>IF(OR(LEN('RETEN. y PERC.'!J220)=0,'RETEN. y PERC.'!J220=0),"",'RETEN. y PERC.'!J220)</f>
        <v/>
      </c>
    </row>
    <row r="221" spans="1:6">
      <c r="A221" s="640" t="str">
        <f>IF(OR(LEN('RETEN. y PERC.'!F221)=0,'RETEN. y PERC.'!F221=0),"",'RETEN. y PERC.'!F221)</f>
        <v/>
      </c>
      <c r="B221" s="640" t="str">
        <f>IF(OR(LEN('RETEN. y PERC.'!A221)=0,'RETEN. y PERC.'!A221=0),"",'RETEN. y PERC.'!A221)</f>
        <v/>
      </c>
      <c r="C221" s="640" t="str">
        <f>IF(OR(LEN('RETEN. y PERC.'!H221)=0,'RETEN. y PERC.'!H221=0),"",'RETEN. y PERC.'!H221)</f>
        <v/>
      </c>
      <c r="D221" s="640" t="str">
        <f>IF(OR(LEN('RETEN. y PERC.'!N221)=0,'RETEN. y PERC.'!N221=0),"",'RETEN. y PERC.'!N221)</f>
        <v/>
      </c>
      <c r="F221" s="645" t="str">
        <f>IF(OR(LEN('RETEN. y PERC.'!J221)=0,'RETEN. y PERC.'!J221=0),"",'RETEN. y PERC.'!J221)</f>
        <v/>
      </c>
    </row>
    <row r="222" spans="1:6">
      <c r="A222" s="640" t="str">
        <f>IF(OR(LEN('RETEN. y PERC.'!F222)=0,'RETEN. y PERC.'!F222=0),"",'RETEN. y PERC.'!F222)</f>
        <v/>
      </c>
      <c r="B222" s="640" t="str">
        <f>IF(OR(LEN('RETEN. y PERC.'!A222)=0,'RETEN. y PERC.'!A222=0),"",'RETEN. y PERC.'!A222)</f>
        <v/>
      </c>
      <c r="C222" s="640" t="str">
        <f>IF(OR(LEN('RETEN. y PERC.'!H222)=0,'RETEN. y PERC.'!H222=0),"",'RETEN. y PERC.'!H222)</f>
        <v/>
      </c>
      <c r="D222" s="640" t="str">
        <f>IF(OR(LEN('RETEN. y PERC.'!N222)=0,'RETEN. y PERC.'!N222=0),"",'RETEN. y PERC.'!N222)</f>
        <v/>
      </c>
      <c r="F222" s="645" t="str">
        <f>IF(OR(LEN('RETEN. y PERC.'!J222)=0,'RETEN. y PERC.'!J222=0),"",'RETEN. y PERC.'!J222)</f>
        <v/>
      </c>
    </row>
    <row r="223" spans="1:6">
      <c r="A223" s="640" t="str">
        <f>IF(OR(LEN('RETEN. y PERC.'!F223)=0,'RETEN. y PERC.'!F223=0),"",'RETEN. y PERC.'!F223)</f>
        <v/>
      </c>
      <c r="B223" s="640" t="str">
        <f>IF(OR(LEN('RETEN. y PERC.'!A223)=0,'RETEN. y PERC.'!A223=0),"",'RETEN. y PERC.'!A223)</f>
        <v/>
      </c>
      <c r="C223" s="640" t="str">
        <f>IF(OR(LEN('RETEN. y PERC.'!H223)=0,'RETEN. y PERC.'!H223=0),"",'RETEN. y PERC.'!H223)</f>
        <v/>
      </c>
      <c r="D223" s="640" t="str">
        <f>IF(OR(LEN('RETEN. y PERC.'!N223)=0,'RETEN. y PERC.'!N223=0),"",'RETEN. y PERC.'!N223)</f>
        <v/>
      </c>
      <c r="F223" s="645" t="str">
        <f>IF(OR(LEN('RETEN. y PERC.'!J223)=0,'RETEN. y PERC.'!J223=0),"",'RETEN. y PERC.'!J223)</f>
        <v/>
      </c>
    </row>
    <row r="224" spans="1:6">
      <c r="A224" s="640" t="str">
        <f>IF(OR(LEN('RETEN. y PERC.'!F224)=0,'RETEN. y PERC.'!F224=0),"",'RETEN. y PERC.'!F224)</f>
        <v/>
      </c>
      <c r="B224" s="640" t="str">
        <f>IF(OR(LEN('RETEN. y PERC.'!A224)=0,'RETEN. y PERC.'!A224=0),"",'RETEN. y PERC.'!A224)</f>
        <v/>
      </c>
      <c r="C224" s="640" t="str">
        <f>IF(OR(LEN('RETEN. y PERC.'!H224)=0,'RETEN. y PERC.'!H224=0),"",'RETEN. y PERC.'!H224)</f>
        <v/>
      </c>
      <c r="D224" s="640" t="str">
        <f>IF(OR(LEN('RETEN. y PERC.'!N224)=0,'RETEN. y PERC.'!N224=0),"",'RETEN. y PERC.'!N224)</f>
        <v/>
      </c>
      <c r="F224" s="645" t="str">
        <f>IF(OR(LEN('RETEN. y PERC.'!J224)=0,'RETEN. y PERC.'!J224=0),"",'RETEN. y PERC.'!J224)</f>
        <v/>
      </c>
    </row>
    <row r="225" spans="1:6">
      <c r="A225" s="640" t="str">
        <f>IF(OR(LEN('RETEN. y PERC.'!F225)=0,'RETEN. y PERC.'!F225=0),"",'RETEN. y PERC.'!F225)</f>
        <v/>
      </c>
      <c r="B225" s="640" t="str">
        <f>IF(OR(LEN('RETEN. y PERC.'!A225)=0,'RETEN. y PERC.'!A225=0),"",'RETEN. y PERC.'!A225)</f>
        <v/>
      </c>
      <c r="C225" s="640" t="str">
        <f>IF(OR(LEN('RETEN. y PERC.'!H225)=0,'RETEN. y PERC.'!H225=0),"",'RETEN. y PERC.'!H225)</f>
        <v/>
      </c>
      <c r="D225" s="640" t="str">
        <f>IF(OR(LEN('RETEN. y PERC.'!N225)=0,'RETEN. y PERC.'!N225=0),"",'RETEN. y PERC.'!N225)</f>
        <v/>
      </c>
      <c r="F225" s="645" t="str">
        <f>IF(OR(LEN('RETEN. y PERC.'!J225)=0,'RETEN. y PERC.'!J225=0),"",'RETEN. y PERC.'!J225)</f>
        <v/>
      </c>
    </row>
    <row r="226" spans="1:6">
      <c r="A226" s="640" t="str">
        <f>IF(OR(LEN('RETEN. y PERC.'!F226)=0,'RETEN. y PERC.'!F226=0),"",'RETEN. y PERC.'!F226)</f>
        <v/>
      </c>
      <c r="B226" s="640" t="str">
        <f>IF(OR(LEN('RETEN. y PERC.'!A226)=0,'RETEN. y PERC.'!A226=0),"",'RETEN. y PERC.'!A226)</f>
        <v/>
      </c>
      <c r="C226" s="640" t="str">
        <f>IF(OR(LEN('RETEN. y PERC.'!H226)=0,'RETEN. y PERC.'!H226=0),"",'RETEN. y PERC.'!H226)</f>
        <v/>
      </c>
      <c r="D226" s="640" t="str">
        <f>IF(OR(LEN('RETEN. y PERC.'!N226)=0,'RETEN. y PERC.'!N226=0),"",'RETEN. y PERC.'!N226)</f>
        <v/>
      </c>
      <c r="F226" s="645" t="str">
        <f>IF(OR(LEN('RETEN. y PERC.'!J226)=0,'RETEN. y PERC.'!J226=0),"",'RETEN. y PERC.'!J226)</f>
        <v/>
      </c>
    </row>
    <row r="227" spans="1:6">
      <c r="A227" s="640" t="str">
        <f>IF(OR(LEN('RETEN. y PERC.'!F227)=0,'RETEN. y PERC.'!F227=0),"",'RETEN. y PERC.'!F227)</f>
        <v/>
      </c>
      <c r="B227" s="640" t="str">
        <f>IF(OR(LEN('RETEN. y PERC.'!A227)=0,'RETEN. y PERC.'!A227=0),"",'RETEN. y PERC.'!A227)</f>
        <v/>
      </c>
      <c r="C227" s="640" t="str">
        <f>IF(OR(LEN('RETEN. y PERC.'!H227)=0,'RETEN. y PERC.'!H227=0),"",'RETEN. y PERC.'!H227)</f>
        <v/>
      </c>
      <c r="D227" s="640" t="str">
        <f>IF(OR(LEN('RETEN. y PERC.'!N227)=0,'RETEN. y PERC.'!N227=0),"",'RETEN. y PERC.'!N227)</f>
        <v/>
      </c>
      <c r="F227" s="645" t="str">
        <f>IF(OR(LEN('RETEN. y PERC.'!J227)=0,'RETEN. y PERC.'!J227=0),"",'RETEN. y PERC.'!J227)</f>
        <v/>
      </c>
    </row>
    <row r="228" spans="1:6">
      <c r="A228" s="640" t="str">
        <f>IF(OR(LEN('RETEN. y PERC.'!F228)=0,'RETEN. y PERC.'!F228=0),"",'RETEN. y PERC.'!F228)</f>
        <v/>
      </c>
      <c r="B228" s="640" t="str">
        <f>IF(OR(LEN('RETEN. y PERC.'!A228)=0,'RETEN. y PERC.'!A228=0),"",'RETEN. y PERC.'!A228)</f>
        <v/>
      </c>
      <c r="C228" s="640" t="str">
        <f>IF(OR(LEN('RETEN. y PERC.'!H228)=0,'RETEN. y PERC.'!H228=0),"",'RETEN. y PERC.'!H228)</f>
        <v/>
      </c>
      <c r="D228" s="640" t="str">
        <f>IF(OR(LEN('RETEN. y PERC.'!N228)=0,'RETEN. y PERC.'!N228=0),"",'RETEN. y PERC.'!N228)</f>
        <v/>
      </c>
      <c r="F228" s="645" t="str">
        <f>IF(OR(LEN('RETEN. y PERC.'!J228)=0,'RETEN. y PERC.'!J228=0),"",'RETEN. y PERC.'!J228)</f>
        <v/>
      </c>
    </row>
    <row r="229" spans="1:6">
      <c r="A229" s="640" t="str">
        <f>IF(OR(LEN('RETEN. y PERC.'!F229)=0,'RETEN. y PERC.'!F229=0),"",'RETEN. y PERC.'!F229)</f>
        <v/>
      </c>
      <c r="B229" s="640" t="str">
        <f>IF(OR(LEN('RETEN. y PERC.'!A229)=0,'RETEN. y PERC.'!A229=0),"",'RETEN. y PERC.'!A229)</f>
        <v/>
      </c>
      <c r="C229" s="640" t="str">
        <f>IF(OR(LEN('RETEN. y PERC.'!H229)=0,'RETEN. y PERC.'!H229=0),"",'RETEN. y PERC.'!H229)</f>
        <v/>
      </c>
      <c r="D229" s="640" t="str">
        <f>IF(OR(LEN('RETEN. y PERC.'!N229)=0,'RETEN. y PERC.'!N229=0),"",'RETEN. y PERC.'!N229)</f>
        <v/>
      </c>
      <c r="F229" s="645" t="str">
        <f>IF(OR(LEN('RETEN. y PERC.'!J229)=0,'RETEN. y PERC.'!J229=0),"",'RETEN. y PERC.'!J229)</f>
        <v/>
      </c>
    </row>
    <row r="230" spans="1:6">
      <c r="A230" s="640" t="str">
        <f>IF(OR(LEN('RETEN. y PERC.'!F230)=0,'RETEN. y PERC.'!F230=0),"",'RETEN. y PERC.'!F230)</f>
        <v/>
      </c>
      <c r="B230" s="640" t="str">
        <f>IF(OR(LEN('RETEN. y PERC.'!A230)=0,'RETEN. y PERC.'!A230=0),"",'RETEN. y PERC.'!A230)</f>
        <v/>
      </c>
      <c r="C230" s="640" t="str">
        <f>IF(OR(LEN('RETEN. y PERC.'!H230)=0,'RETEN. y PERC.'!H230=0),"",'RETEN. y PERC.'!H230)</f>
        <v/>
      </c>
      <c r="D230" s="640" t="str">
        <f>IF(OR(LEN('RETEN. y PERC.'!N230)=0,'RETEN. y PERC.'!N230=0),"",'RETEN. y PERC.'!N230)</f>
        <v/>
      </c>
      <c r="F230" s="645" t="str">
        <f>IF(OR(LEN('RETEN. y PERC.'!J230)=0,'RETEN. y PERC.'!J230=0),"",'RETEN. y PERC.'!J230)</f>
        <v/>
      </c>
    </row>
    <row r="231" spans="1:6">
      <c r="A231" s="640" t="str">
        <f>IF(OR(LEN('RETEN. y PERC.'!F231)=0,'RETEN. y PERC.'!F231=0),"",'RETEN. y PERC.'!F231)</f>
        <v/>
      </c>
      <c r="B231" s="640" t="str">
        <f>IF(OR(LEN('RETEN. y PERC.'!A231)=0,'RETEN. y PERC.'!A231=0),"",'RETEN. y PERC.'!A231)</f>
        <v/>
      </c>
      <c r="C231" s="640" t="str">
        <f>IF(OR(LEN('RETEN. y PERC.'!H231)=0,'RETEN. y PERC.'!H231=0),"",'RETEN. y PERC.'!H231)</f>
        <v/>
      </c>
      <c r="D231" s="640" t="str">
        <f>IF(OR(LEN('RETEN. y PERC.'!N231)=0,'RETEN. y PERC.'!N231=0),"",'RETEN. y PERC.'!N231)</f>
        <v/>
      </c>
      <c r="F231" s="645" t="str">
        <f>IF(OR(LEN('RETEN. y PERC.'!J231)=0,'RETEN. y PERC.'!J231=0),"",'RETEN. y PERC.'!J231)</f>
        <v/>
      </c>
    </row>
    <row r="232" spans="1:6">
      <c r="A232" s="640" t="str">
        <f>IF(OR(LEN('RETEN. y PERC.'!F232)=0,'RETEN. y PERC.'!F232=0),"",'RETEN. y PERC.'!F232)</f>
        <v/>
      </c>
      <c r="B232" s="640" t="str">
        <f>IF(OR(LEN('RETEN. y PERC.'!A232)=0,'RETEN. y PERC.'!A232=0),"",'RETEN. y PERC.'!A232)</f>
        <v/>
      </c>
      <c r="C232" s="640" t="str">
        <f>IF(OR(LEN('RETEN. y PERC.'!H232)=0,'RETEN. y PERC.'!H232=0),"",'RETEN. y PERC.'!H232)</f>
        <v/>
      </c>
      <c r="D232" s="640" t="str">
        <f>IF(OR(LEN('RETEN. y PERC.'!N232)=0,'RETEN. y PERC.'!N232=0),"",'RETEN. y PERC.'!N232)</f>
        <v/>
      </c>
      <c r="F232" s="645" t="str">
        <f>IF(OR(LEN('RETEN. y PERC.'!J232)=0,'RETEN. y PERC.'!J232=0),"",'RETEN. y PERC.'!J232)</f>
        <v/>
      </c>
    </row>
    <row r="233" spans="1:6">
      <c r="A233" s="640" t="str">
        <f>IF(OR(LEN('RETEN. y PERC.'!F233)=0,'RETEN. y PERC.'!F233=0),"",'RETEN. y PERC.'!F233)</f>
        <v/>
      </c>
      <c r="B233" s="640" t="str">
        <f>IF(OR(LEN('RETEN. y PERC.'!A233)=0,'RETEN. y PERC.'!A233=0),"",'RETEN. y PERC.'!A233)</f>
        <v/>
      </c>
      <c r="C233" s="640" t="str">
        <f>IF(OR(LEN('RETEN. y PERC.'!H233)=0,'RETEN. y PERC.'!H233=0),"",'RETEN. y PERC.'!H233)</f>
        <v/>
      </c>
      <c r="D233" s="640" t="str">
        <f>IF(OR(LEN('RETEN. y PERC.'!N233)=0,'RETEN. y PERC.'!N233=0),"",'RETEN. y PERC.'!N233)</f>
        <v/>
      </c>
      <c r="F233" s="645" t="str">
        <f>IF(OR(LEN('RETEN. y PERC.'!J233)=0,'RETEN. y PERC.'!J233=0),"",'RETEN. y PERC.'!J233)</f>
        <v/>
      </c>
    </row>
    <row r="234" spans="1:6">
      <c r="A234" s="640" t="str">
        <f>IF(OR(LEN('RETEN. y PERC.'!F234)=0,'RETEN. y PERC.'!F234=0),"",'RETEN. y PERC.'!F234)</f>
        <v/>
      </c>
      <c r="B234" s="640" t="str">
        <f>IF(OR(LEN('RETEN. y PERC.'!A234)=0,'RETEN. y PERC.'!A234=0),"",'RETEN. y PERC.'!A234)</f>
        <v/>
      </c>
      <c r="C234" s="640" t="str">
        <f>IF(OR(LEN('RETEN. y PERC.'!H234)=0,'RETEN. y PERC.'!H234=0),"",'RETEN. y PERC.'!H234)</f>
        <v/>
      </c>
      <c r="D234" s="640" t="str">
        <f>IF(OR(LEN('RETEN. y PERC.'!N234)=0,'RETEN. y PERC.'!N234=0),"",'RETEN. y PERC.'!N234)</f>
        <v/>
      </c>
      <c r="F234" s="645" t="str">
        <f>IF(OR(LEN('RETEN. y PERC.'!J234)=0,'RETEN. y PERC.'!J234=0),"",'RETEN. y PERC.'!J234)</f>
        <v/>
      </c>
    </row>
    <row r="235" spans="1:6">
      <c r="A235" s="640" t="str">
        <f>IF(OR(LEN('RETEN. y PERC.'!F235)=0,'RETEN. y PERC.'!F235=0),"",'RETEN. y PERC.'!F235)</f>
        <v/>
      </c>
      <c r="B235" s="640" t="str">
        <f>IF(OR(LEN('RETEN. y PERC.'!A235)=0,'RETEN. y PERC.'!A235=0),"",'RETEN. y PERC.'!A235)</f>
        <v/>
      </c>
      <c r="C235" s="640" t="str">
        <f>IF(OR(LEN('RETEN. y PERC.'!H235)=0,'RETEN. y PERC.'!H235=0),"",'RETEN. y PERC.'!H235)</f>
        <v/>
      </c>
      <c r="D235" s="640" t="str">
        <f>IF(OR(LEN('RETEN. y PERC.'!N235)=0,'RETEN. y PERC.'!N235=0),"",'RETEN. y PERC.'!N235)</f>
        <v/>
      </c>
      <c r="F235" s="645" t="str">
        <f>IF(OR(LEN('RETEN. y PERC.'!J235)=0,'RETEN. y PERC.'!J235=0),"",'RETEN. y PERC.'!J235)</f>
        <v/>
      </c>
    </row>
    <row r="236" spans="1:6">
      <c r="A236" s="640" t="str">
        <f>IF(OR(LEN('RETEN. y PERC.'!F236)=0,'RETEN. y PERC.'!F236=0),"",'RETEN. y PERC.'!F236)</f>
        <v/>
      </c>
      <c r="B236" s="640" t="str">
        <f>IF(OR(LEN('RETEN. y PERC.'!A236)=0,'RETEN. y PERC.'!A236=0),"",'RETEN. y PERC.'!A236)</f>
        <v/>
      </c>
      <c r="C236" s="640" t="str">
        <f>IF(OR(LEN('RETEN. y PERC.'!H236)=0,'RETEN. y PERC.'!H236=0),"",'RETEN. y PERC.'!H236)</f>
        <v/>
      </c>
      <c r="D236" s="640" t="str">
        <f>IF(OR(LEN('RETEN. y PERC.'!N236)=0,'RETEN. y PERC.'!N236=0),"",'RETEN. y PERC.'!N236)</f>
        <v/>
      </c>
      <c r="F236" s="645" t="str">
        <f>IF(OR(LEN('RETEN. y PERC.'!J236)=0,'RETEN. y PERC.'!J236=0),"",'RETEN. y PERC.'!J236)</f>
        <v/>
      </c>
    </row>
    <row r="237" spans="1:6">
      <c r="A237" s="640" t="str">
        <f>IF(OR(LEN('RETEN. y PERC.'!F237)=0,'RETEN. y PERC.'!F237=0),"",'RETEN. y PERC.'!F237)</f>
        <v/>
      </c>
      <c r="B237" s="640" t="str">
        <f>IF(OR(LEN('RETEN. y PERC.'!A237)=0,'RETEN. y PERC.'!A237=0),"",'RETEN. y PERC.'!A237)</f>
        <v/>
      </c>
      <c r="C237" s="640" t="str">
        <f>IF(OR(LEN('RETEN. y PERC.'!H237)=0,'RETEN. y PERC.'!H237=0),"",'RETEN. y PERC.'!H237)</f>
        <v/>
      </c>
      <c r="D237" s="640" t="str">
        <f>IF(OR(LEN('RETEN. y PERC.'!N237)=0,'RETEN. y PERC.'!N237=0),"",'RETEN. y PERC.'!N237)</f>
        <v/>
      </c>
      <c r="F237" s="645" t="str">
        <f>IF(OR(LEN('RETEN. y PERC.'!J237)=0,'RETEN. y PERC.'!J237=0),"",'RETEN. y PERC.'!J237)</f>
        <v/>
      </c>
    </row>
    <row r="238" spans="1:6">
      <c r="A238" s="640" t="str">
        <f>IF(OR(LEN('RETEN. y PERC.'!F238)=0,'RETEN. y PERC.'!F238=0),"",'RETEN. y PERC.'!F238)</f>
        <v/>
      </c>
      <c r="B238" s="640" t="str">
        <f>IF(OR(LEN('RETEN. y PERC.'!A238)=0,'RETEN. y PERC.'!A238=0),"",'RETEN. y PERC.'!A238)</f>
        <v/>
      </c>
      <c r="C238" s="640" t="str">
        <f>IF(OR(LEN('RETEN. y PERC.'!H238)=0,'RETEN. y PERC.'!H238=0),"",'RETEN. y PERC.'!H238)</f>
        <v/>
      </c>
      <c r="D238" s="640" t="str">
        <f>IF(OR(LEN('RETEN. y PERC.'!N238)=0,'RETEN. y PERC.'!N238=0),"",'RETEN. y PERC.'!N238)</f>
        <v/>
      </c>
      <c r="F238" s="645" t="str">
        <f>IF(OR(LEN('RETEN. y PERC.'!J238)=0,'RETEN. y PERC.'!J238=0),"",'RETEN. y PERC.'!J238)</f>
        <v/>
      </c>
    </row>
    <row r="239" spans="1:6">
      <c r="A239" s="640" t="str">
        <f>IF(OR(LEN('RETEN. y PERC.'!F239)=0,'RETEN. y PERC.'!F239=0),"",'RETEN. y PERC.'!F239)</f>
        <v/>
      </c>
      <c r="B239" s="640" t="str">
        <f>IF(OR(LEN('RETEN. y PERC.'!A239)=0,'RETEN. y PERC.'!A239=0),"",'RETEN. y PERC.'!A239)</f>
        <v/>
      </c>
      <c r="C239" s="640" t="str">
        <f>IF(OR(LEN('RETEN. y PERC.'!H239)=0,'RETEN. y PERC.'!H239=0),"",'RETEN. y PERC.'!H239)</f>
        <v/>
      </c>
      <c r="D239" s="640" t="str">
        <f>IF(OR(LEN('RETEN. y PERC.'!N239)=0,'RETEN. y PERC.'!N239=0),"",'RETEN. y PERC.'!N239)</f>
        <v/>
      </c>
      <c r="F239" s="645" t="str">
        <f>IF(OR(LEN('RETEN. y PERC.'!J239)=0,'RETEN. y PERC.'!J239=0),"",'RETEN. y PERC.'!J239)</f>
        <v/>
      </c>
    </row>
    <row r="240" spans="1:6">
      <c r="A240" s="640" t="str">
        <f>IF(OR(LEN('RETEN. y PERC.'!F240)=0,'RETEN. y PERC.'!F240=0),"",'RETEN. y PERC.'!F240)</f>
        <v/>
      </c>
      <c r="B240" s="640" t="str">
        <f>IF(OR(LEN('RETEN. y PERC.'!A240)=0,'RETEN. y PERC.'!A240=0),"",'RETEN. y PERC.'!A240)</f>
        <v/>
      </c>
      <c r="C240" s="640" t="str">
        <f>IF(OR(LEN('RETEN. y PERC.'!H240)=0,'RETEN. y PERC.'!H240=0),"",'RETEN. y PERC.'!H240)</f>
        <v/>
      </c>
      <c r="D240" s="640" t="str">
        <f>IF(OR(LEN('RETEN. y PERC.'!N240)=0,'RETEN. y PERC.'!N240=0),"",'RETEN. y PERC.'!N240)</f>
        <v/>
      </c>
      <c r="F240" s="645" t="str">
        <f>IF(OR(LEN('RETEN. y PERC.'!J240)=0,'RETEN. y PERC.'!J240=0),"",'RETEN. y PERC.'!J240)</f>
        <v/>
      </c>
    </row>
    <row r="241" spans="1:6">
      <c r="A241" s="640" t="str">
        <f>IF(OR(LEN('RETEN. y PERC.'!F241)=0,'RETEN. y PERC.'!F241=0),"",'RETEN. y PERC.'!F241)</f>
        <v/>
      </c>
      <c r="B241" s="640" t="str">
        <f>IF(OR(LEN('RETEN. y PERC.'!A241)=0,'RETEN. y PERC.'!A241=0),"",'RETEN. y PERC.'!A241)</f>
        <v/>
      </c>
      <c r="C241" s="640" t="str">
        <f>IF(OR(LEN('RETEN. y PERC.'!H241)=0,'RETEN. y PERC.'!H241=0),"",'RETEN. y PERC.'!H241)</f>
        <v/>
      </c>
      <c r="D241" s="640" t="str">
        <f>IF(OR(LEN('RETEN. y PERC.'!N241)=0,'RETEN. y PERC.'!N241=0),"",'RETEN. y PERC.'!N241)</f>
        <v/>
      </c>
      <c r="F241" s="645" t="str">
        <f>IF(OR(LEN('RETEN. y PERC.'!J241)=0,'RETEN. y PERC.'!J241=0),"",'RETEN. y PERC.'!J241)</f>
        <v/>
      </c>
    </row>
    <row r="242" spans="1:6">
      <c r="A242" s="640" t="str">
        <f>IF(OR(LEN('RETEN. y PERC.'!F242)=0,'RETEN. y PERC.'!F242=0),"",'RETEN. y PERC.'!F242)</f>
        <v/>
      </c>
      <c r="B242" s="640" t="str">
        <f>IF(OR(LEN('RETEN. y PERC.'!A242)=0,'RETEN. y PERC.'!A242=0),"",'RETEN. y PERC.'!A242)</f>
        <v/>
      </c>
      <c r="C242" s="640" t="str">
        <f>IF(OR(LEN('RETEN. y PERC.'!H242)=0,'RETEN. y PERC.'!H242=0),"",'RETEN. y PERC.'!H242)</f>
        <v/>
      </c>
      <c r="D242" s="640" t="str">
        <f>IF(OR(LEN('RETEN. y PERC.'!N242)=0,'RETEN. y PERC.'!N242=0),"",'RETEN. y PERC.'!N242)</f>
        <v/>
      </c>
      <c r="F242" s="645" t="str">
        <f>IF(OR(LEN('RETEN. y PERC.'!J242)=0,'RETEN. y PERC.'!J242=0),"",'RETEN. y PERC.'!J242)</f>
        <v/>
      </c>
    </row>
    <row r="243" spans="1:6">
      <c r="A243" s="640" t="str">
        <f>IF(OR(LEN('RETEN. y PERC.'!F243)=0,'RETEN. y PERC.'!F243=0),"",'RETEN. y PERC.'!F243)</f>
        <v/>
      </c>
      <c r="B243" s="640" t="str">
        <f>IF(OR(LEN('RETEN. y PERC.'!A243)=0,'RETEN. y PERC.'!A243=0),"",'RETEN. y PERC.'!A243)</f>
        <v/>
      </c>
      <c r="C243" s="640" t="str">
        <f>IF(OR(LEN('RETEN. y PERC.'!H243)=0,'RETEN. y PERC.'!H243=0),"",'RETEN. y PERC.'!H243)</f>
        <v/>
      </c>
      <c r="D243" s="640" t="str">
        <f>IF(OR(LEN('RETEN. y PERC.'!N243)=0,'RETEN. y PERC.'!N243=0),"",'RETEN. y PERC.'!N243)</f>
        <v/>
      </c>
      <c r="F243" s="645" t="str">
        <f>IF(OR(LEN('RETEN. y PERC.'!J243)=0,'RETEN. y PERC.'!J243=0),"",'RETEN. y PERC.'!J243)</f>
        <v/>
      </c>
    </row>
    <row r="244" spans="1:6">
      <c r="A244" s="640" t="str">
        <f>IF(OR(LEN('RETEN. y PERC.'!F244)=0,'RETEN. y PERC.'!F244=0),"",'RETEN. y PERC.'!F244)</f>
        <v/>
      </c>
      <c r="B244" s="640" t="str">
        <f>IF(OR(LEN('RETEN. y PERC.'!A244)=0,'RETEN. y PERC.'!A244=0),"",'RETEN. y PERC.'!A244)</f>
        <v/>
      </c>
      <c r="C244" s="640" t="str">
        <f>IF(OR(LEN('RETEN. y PERC.'!H244)=0,'RETEN. y PERC.'!H244=0),"",'RETEN. y PERC.'!H244)</f>
        <v/>
      </c>
      <c r="D244" s="640" t="str">
        <f>IF(OR(LEN('RETEN. y PERC.'!N244)=0,'RETEN. y PERC.'!N244=0),"",'RETEN. y PERC.'!N244)</f>
        <v/>
      </c>
      <c r="F244" s="645" t="str">
        <f>IF(OR(LEN('RETEN. y PERC.'!J244)=0,'RETEN. y PERC.'!J244=0),"",'RETEN. y PERC.'!J244)</f>
        <v/>
      </c>
    </row>
    <row r="245" spans="1:6">
      <c r="A245" s="640" t="str">
        <f>IF(OR(LEN('RETEN. y PERC.'!F245)=0,'RETEN. y PERC.'!F245=0),"",'RETEN. y PERC.'!F245)</f>
        <v/>
      </c>
      <c r="B245" s="640" t="str">
        <f>IF(OR(LEN('RETEN. y PERC.'!A245)=0,'RETEN. y PERC.'!A245=0),"",'RETEN. y PERC.'!A245)</f>
        <v/>
      </c>
      <c r="C245" s="640" t="str">
        <f>IF(OR(LEN('RETEN. y PERC.'!H245)=0,'RETEN. y PERC.'!H245=0),"",'RETEN. y PERC.'!H245)</f>
        <v/>
      </c>
      <c r="D245" s="640" t="str">
        <f>IF(OR(LEN('RETEN. y PERC.'!N245)=0,'RETEN. y PERC.'!N245=0),"",'RETEN. y PERC.'!N245)</f>
        <v/>
      </c>
      <c r="F245" s="645" t="str">
        <f>IF(OR(LEN('RETEN. y PERC.'!J245)=0,'RETEN. y PERC.'!J245=0),"",'RETEN. y PERC.'!J245)</f>
        <v/>
      </c>
    </row>
    <row r="246" spans="1:6">
      <c r="A246" s="640" t="str">
        <f>IF(OR(LEN('RETEN. y PERC.'!F246)=0,'RETEN. y PERC.'!F246=0),"",'RETEN. y PERC.'!F246)</f>
        <v/>
      </c>
      <c r="B246" s="640" t="str">
        <f>IF(OR(LEN('RETEN. y PERC.'!A246)=0,'RETEN. y PERC.'!A246=0),"",'RETEN. y PERC.'!A246)</f>
        <v/>
      </c>
      <c r="C246" s="640" t="str">
        <f>IF(OR(LEN('RETEN. y PERC.'!H246)=0,'RETEN. y PERC.'!H246=0),"",'RETEN. y PERC.'!H246)</f>
        <v/>
      </c>
      <c r="D246" s="640" t="str">
        <f>IF(OR(LEN('RETEN. y PERC.'!N246)=0,'RETEN. y PERC.'!N246=0),"",'RETEN. y PERC.'!N246)</f>
        <v/>
      </c>
      <c r="F246" s="645" t="str">
        <f>IF(OR(LEN('RETEN. y PERC.'!J246)=0,'RETEN. y PERC.'!J246=0),"",'RETEN. y PERC.'!J246)</f>
        <v/>
      </c>
    </row>
    <row r="247" spans="1:6">
      <c r="A247" s="640" t="str">
        <f>IF(OR(LEN('RETEN. y PERC.'!F247)=0,'RETEN. y PERC.'!F247=0),"",'RETEN. y PERC.'!F247)</f>
        <v/>
      </c>
      <c r="B247" s="640" t="str">
        <f>IF(OR(LEN('RETEN. y PERC.'!A247)=0,'RETEN. y PERC.'!A247=0),"",'RETEN. y PERC.'!A247)</f>
        <v/>
      </c>
      <c r="C247" s="640" t="str">
        <f>IF(OR(LEN('RETEN. y PERC.'!H247)=0,'RETEN. y PERC.'!H247=0),"",'RETEN. y PERC.'!H247)</f>
        <v/>
      </c>
      <c r="D247" s="640" t="str">
        <f>IF(OR(LEN('RETEN. y PERC.'!N247)=0,'RETEN. y PERC.'!N247=0),"",'RETEN. y PERC.'!N247)</f>
        <v/>
      </c>
      <c r="F247" s="645" t="str">
        <f>IF(OR(LEN('RETEN. y PERC.'!J247)=0,'RETEN. y PERC.'!J247=0),"",'RETEN. y PERC.'!J247)</f>
        <v/>
      </c>
    </row>
    <row r="248" spans="1:6">
      <c r="A248" s="640" t="str">
        <f>IF(OR(LEN('RETEN. y PERC.'!F248)=0,'RETEN. y PERC.'!F248=0),"",'RETEN. y PERC.'!F248)</f>
        <v/>
      </c>
      <c r="B248" s="640" t="str">
        <f>IF(OR(LEN('RETEN. y PERC.'!A248)=0,'RETEN. y PERC.'!A248=0),"",'RETEN. y PERC.'!A248)</f>
        <v/>
      </c>
      <c r="C248" s="640" t="str">
        <f>IF(OR(LEN('RETEN. y PERC.'!H248)=0,'RETEN. y PERC.'!H248=0),"",'RETEN. y PERC.'!H248)</f>
        <v/>
      </c>
      <c r="D248" s="640" t="str">
        <f>IF(OR(LEN('RETEN. y PERC.'!N248)=0,'RETEN. y PERC.'!N248=0),"",'RETEN. y PERC.'!N248)</f>
        <v/>
      </c>
      <c r="F248" s="645" t="str">
        <f>IF(OR(LEN('RETEN. y PERC.'!J248)=0,'RETEN. y PERC.'!J248=0),"",'RETEN. y PERC.'!J248)</f>
        <v/>
      </c>
    </row>
    <row r="249" spans="1:6">
      <c r="A249" s="640" t="str">
        <f>IF(OR(LEN('RETEN. y PERC.'!F249)=0,'RETEN. y PERC.'!F249=0),"",'RETEN. y PERC.'!F249)</f>
        <v/>
      </c>
      <c r="B249" s="640" t="str">
        <f>IF(OR(LEN('RETEN. y PERC.'!A249)=0,'RETEN. y PERC.'!A249=0),"",'RETEN. y PERC.'!A249)</f>
        <v/>
      </c>
      <c r="C249" s="640" t="str">
        <f>IF(OR(LEN('RETEN. y PERC.'!H249)=0,'RETEN. y PERC.'!H249=0),"",'RETEN. y PERC.'!H249)</f>
        <v/>
      </c>
      <c r="D249" s="640" t="str">
        <f>IF(OR(LEN('RETEN. y PERC.'!N249)=0,'RETEN. y PERC.'!N249=0),"",'RETEN. y PERC.'!N249)</f>
        <v/>
      </c>
      <c r="F249" s="645" t="str">
        <f>IF(OR(LEN('RETEN. y PERC.'!J249)=0,'RETEN. y PERC.'!J249=0),"",'RETEN. y PERC.'!J249)</f>
        <v/>
      </c>
    </row>
    <row r="250" spans="1:6">
      <c r="A250" s="640" t="str">
        <f>IF(OR(LEN('RETEN. y PERC.'!F250)=0,'RETEN. y PERC.'!F250=0),"",'RETEN. y PERC.'!F250)</f>
        <v/>
      </c>
      <c r="B250" s="640" t="str">
        <f>IF(OR(LEN('RETEN. y PERC.'!A250)=0,'RETEN. y PERC.'!A250=0),"",'RETEN. y PERC.'!A250)</f>
        <v/>
      </c>
      <c r="C250" s="640" t="str">
        <f>IF(OR(LEN('RETEN. y PERC.'!H250)=0,'RETEN. y PERC.'!H250=0),"",'RETEN. y PERC.'!H250)</f>
        <v/>
      </c>
      <c r="D250" s="640" t="str">
        <f>IF(OR(LEN('RETEN. y PERC.'!N250)=0,'RETEN. y PERC.'!N250=0),"",'RETEN. y PERC.'!N250)</f>
        <v/>
      </c>
      <c r="F250" s="645" t="str">
        <f>IF(OR(LEN('RETEN. y PERC.'!J250)=0,'RETEN. y PERC.'!J250=0),"",'RETEN. y PERC.'!J250)</f>
        <v/>
      </c>
    </row>
    <row r="251" spans="1:6">
      <c r="A251" s="640" t="str">
        <f>IF(OR(LEN('RETEN. y PERC.'!F251)=0,'RETEN. y PERC.'!F251=0),"",'RETEN. y PERC.'!F251)</f>
        <v/>
      </c>
      <c r="B251" s="640" t="str">
        <f>IF(OR(LEN('RETEN. y PERC.'!A251)=0,'RETEN. y PERC.'!A251=0),"",'RETEN. y PERC.'!A251)</f>
        <v/>
      </c>
      <c r="C251" s="640" t="str">
        <f>IF(OR(LEN('RETEN. y PERC.'!H251)=0,'RETEN. y PERC.'!H251=0),"",'RETEN. y PERC.'!H251)</f>
        <v/>
      </c>
      <c r="D251" s="640" t="str">
        <f>IF(OR(LEN('RETEN. y PERC.'!N251)=0,'RETEN. y PERC.'!N251=0),"",'RETEN. y PERC.'!N251)</f>
        <v/>
      </c>
      <c r="F251" s="645" t="str">
        <f>IF(OR(LEN('RETEN. y PERC.'!J251)=0,'RETEN. y PERC.'!J251=0),"",'RETEN. y PERC.'!J251)</f>
        <v/>
      </c>
    </row>
    <row r="252" spans="1:6">
      <c r="A252" s="640" t="str">
        <f>IF(OR(LEN('RETEN. y PERC.'!F252)=0,'RETEN. y PERC.'!F252=0),"",'RETEN. y PERC.'!F252)</f>
        <v/>
      </c>
      <c r="B252" s="640" t="str">
        <f>IF(OR(LEN('RETEN. y PERC.'!A252)=0,'RETEN. y PERC.'!A252=0),"",'RETEN. y PERC.'!A252)</f>
        <v/>
      </c>
      <c r="C252" s="640" t="str">
        <f>IF(OR(LEN('RETEN. y PERC.'!H252)=0,'RETEN. y PERC.'!H252=0),"",'RETEN. y PERC.'!H252)</f>
        <v/>
      </c>
      <c r="D252" s="640" t="str">
        <f>IF(OR(LEN('RETEN. y PERC.'!N252)=0,'RETEN. y PERC.'!N252=0),"",'RETEN. y PERC.'!N252)</f>
        <v/>
      </c>
      <c r="F252" s="645" t="str">
        <f>IF(OR(LEN('RETEN. y PERC.'!J252)=0,'RETEN. y PERC.'!J252=0),"",'RETEN. y PERC.'!J252)</f>
        <v/>
      </c>
    </row>
    <row r="253" spans="1:6">
      <c r="A253" s="640" t="str">
        <f>IF(OR(LEN('RETEN. y PERC.'!F253)=0,'RETEN. y PERC.'!F253=0),"",'RETEN. y PERC.'!F253)</f>
        <v/>
      </c>
      <c r="B253" s="640" t="str">
        <f>IF(OR(LEN('RETEN. y PERC.'!A253)=0,'RETEN. y PERC.'!A253=0),"",'RETEN. y PERC.'!A253)</f>
        <v/>
      </c>
      <c r="C253" s="640" t="str">
        <f>IF(OR(LEN('RETEN. y PERC.'!H253)=0,'RETEN. y PERC.'!H253=0),"",'RETEN. y PERC.'!H253)</f>
        <v/>
      </c>
      <c r="D253" s="640" t="str">
        <f>IF(OR(LEN('RETEN. y PERC.'!N253)=0,'RETEN. y PERC.'!N253=0),"",'RETEN. y PERC.'!N253)</f>
        <v/>
      </c>
      <c r="F253" s="645" t="str">
        <f>IF(OR(LEN('RETEN. y PERC.'!J253)=0,'RETEN. y PERC.'!J253=0),"",'RETEN. y PERC.'!J253)</f>
        <v/>
      </c>
    </row>
    <row r="254" spans="1:6">
      <c r="A254" s="640" t="str">
        <f>IF(OR(LEN('RETEN. y PERC.'!F254)=0,'RETEN. y PERC.'!F254=0),"",'RETEN. y PERC.'!F254)</f>
        <v/>
      </c>
      <c r="B254" s="640" t="str">
        <f>IF(OR(LEN('RETEN. y PERC.'!A254)=0,'RETEN. y PERC.'!A254=0),"",'RETEN. y PERC.'!A254)</f>
        <v/>
      </c>
      <c r="C254" s="640" t="str">
        <f>IF(OR(LEN('RETEN. y PERC.'!H254)=0,'RETEN. y PERC.'!H254=0),"",'RETEN. y PERC.'!H254)</f>
        <v/>
      </c>
      <c r="D254" s="640" t="str">
        <f>IF(OR(LEN('RETEN. y PERC.'!N254)=0,'RETEN. y PERC.'!N254=0),"",'RETEN. y PERC.'!N254)</f>
        <v/>
      </c>
      <c r="F254" s="645" t="str">
        <f>IF(OR(LEN('RETEN. y PERC.'!J254)=0,'RETEN. y PERC.'!J254=0),"",'RETEN. y PERC.'!J254)</f>
        <v/>
      </c>
    </row>
    <row r="255" spans="1:6">
      <c r="A255" s="640" t="str">
        <f>IF(OR(LEN('RETEN. y PERC.'!F255)=0,'RETEN. y PERC.'!F255=0),"",'RETEN. y PERC.'!F255)</f>
        <v/>
      </c>
      <c r="B255" s="640" t="str">
        <f>IF(OR(LEN('RETEN. y PERC.'!A255)=0,'RETEN. y PERC.'!A255=0),"",'RETEN. y PERC.'!A255)</f>
        <v/>
      </c>
      <c r="C255" s="640" t="str">
        <f>IF(OR(LEN('RETEN. y PERC.'!H255)=0,'RETEN. y PERC.'!H255=0),"",'RETEN. y PERC.'!H255)</f>
        <v/>
      </c>
      <c r="D255" s="640" t="str">
        <f>IF(OR(LEN('RETEN. y PERC.'!N255)=0,'RETEN. y PERC.'!N255=0),"",'RETEN. y PERC.'!N255)</f>
        <v/>
      </c>
      <c r="F255" s="645" t="str">
        <f>IF(OR(LEN('RETEN. y PERC.'!J255)=0,'RETEN. y PERC.'!J255=0),"",'RETEN. y PERC.'!J255)</f>
        <v/>
      </c>
    </row>
    <row r="256" spans="1:6">
      <c r="A256" s="640" t="str">
        <f>IF(OR(LEN('RETEN. y PERC.'!F256)=0,'RETEN. y PERC.'!F256=0),"",'RETEN. y PERC.'!F256)</f>
        <v/>
      </c>
      <c r="B256" s="640" t="str">
        <f>IF(OR(LEN('RETEN. y PERC.'!A256)=0,'RETEN. y PERC.'!A256=0),"",'RETEN. y PERC.'!A256)</f>
        <v/>
      </c>
      <c r="C256" s="640" t="str">
        <f>IF(OR(LEN('RETEN. y PERC.'!H256)=0,'RETEN. y PERC.'!H256=0),"",'RETEN. y PERC.'!H256)</f>
        <v/>
      </c>
      <c r="D256" s="640" t="str">
        <f>IF(OR(LEN('RETEN. y PERC.'!N256)=0,'RETEN. y PERC.'!N256=0),"",'RETEN. y PERC.'!N256)</f>
        <v/>
      </c>
      <c r="F256" s="645" t="str">
        <f>IF(OR(LEN('RETEN. y PERC.'!J256)=0,'RETEN. y PERC.'!J256=0),"",'RETEN. y PERC.'!J256)</f>
        <v/>
      </c>
    </row>
    <row r="257" spans="1:6">
      <c r="A257" s="640" t="str">
        <f>IF(OR(LEN('RETEN. y PERC.'!F257)=0,'RETEN. y PERC.'!F257=0),"",'RETEN. y PERC.'!F257)</f>
        <v/>
      </c>
      <c r="B257" s="640" t="str">
        <f>IF(OR(LEN('RETEN. y PERC.'!A257)=0,'RETEN. y PERC.'!A257=0),"",'RETEN. y PERC.'!A257)</f>
        <v/>
      </c>
      <c r="C257" s="640" t="str">
        <f>IF(OR(LEN('RETEN. y PERC.'!H257)=0,'RETEN. y PERC.'!H257=0),"",'RETEN. y PERC.'!H257)</f>
        <v/>
      </c>
      <c r="D257" s="640" t="str">
        <f>IF(OR(LEN('RETEN. y PERC.'!N257)=0,'RETEN. y PERC.'!N257=0),"",'RETEN. y PERC.'!N257)</f>
        <v/>
      </c>
      <c r="F257" s="645" t="str">
        <f>IF(OR(LEN('RETEN. y PERC.'!J257)=0,'RETEN. y PERC.'!J257=0),"",'RETEN. y PERC.'!J257)</f>
        <v/>
      </c>
    </row>
    <row r="258" spans="1:6">
      <c r="A258" s="640" t="str">
        <f>IF(OR(LEN('RETEN. y PERC.'!F258)=0,'RETEN. y PERC.'!F258=0),"",'RETEN. y PERC.'!F258)</f>
        <v/>
      </c>
      <c r="B258" s="640" t="str">
        <f>IF(OR(LEN('RETEN. y PERC.'!A258)=0,'RETEN. y PERC.'!A258=0),"",'RETEN. y PERC.'!A258)</f>
        <v/>
      </c>
      <c r="C258" s="640" t="str">
        <f>IF(OR(LEN('RETEN. y PERC.'!H258)=0,'RETEN. y PERC.'!H258=0),"",'RETEN. y PERC.'!H258)</f>
        <v/>
      </c>
      <c r="D258" s="640" t="str">
        <f>IF(OR(LEN('RETEN. y PERC.'!N258)=0,'RETEN. y PERC.'!N258=0),"",'RETEN. y PERC.'!N258)</f>
        <v/>
      </c>
      <c r="F258" s="645" t="str">
        <f>IF(OR(LEN('RETEN. y PERC.'!J258)=0,'RETEN. y PERC.'!J258=0),"",'RETEN. y PERC.'!J258)</f>
        <v/>
      </c>
    </row>
    <row r="259" spans="1:6">
      <c r="A259" s="640" t="str">
        <f>IF(OR(LEN('RETEN. y PERC.'!F259)=0,'RETEN. y PERC.'!F259=0),"",'RETEN. y PERC.'!F259)</f>
        <v/>
      </c>
      <c r="B259" s="640" t="str">
        <f>IF(OR(LEN('RETEN. y PERC.'!A259)=0,'RETEN. y PERC.'!A259=0),"",'RETEN. y PERC.'!A259)</f>
        <v/>
      </c>
      <c r="C259" s="640" t="str">
        <f>IF(OR(LEN('RETEN. y PERC.'!H259)=0,'RETEN. y PERC.'!H259=0),"",'RETEN. y PERC.'!H259)</f>
        <v/>
      </c>
      <c r="D259" s="640" t="str">
        <f>IF(OR(LEN('RETEN. y PERC.'!N259)=0,'RETEN. y PERC.'!N259=0),"",'RETEN. y PERC.'!N259)</f>
        <v/>
      </c>
      <c r="F259" s="645" t="str">
        <f>IF(OR(LEN('RETEN. y PERC.'!J259)=0,'RETEN. y PERC.'!J259=0),"",'RETEN. y PERC.'!J259)</f>
        <v/>
      </c>
    </row>
    <row r="260" spans="1:6">
      <c r="A260" s="640" t="str">
        <f>IF(OR(LEN('RETEN. y PERC.'!F260)=0,'RETEN. y PERC.'!F260=0),"",'RETEN. y PERC.'!F260)</f>
        <v/>
      </c>
      <c r="B260" s="640" t="str">
        <f>IF(OR(LEN('RETEN. y PERC.'!A260)=0,'RETEN. y PERC.'!A260=0),"",'RETEN. y PERC.'!A260)</f>
        <v/>
      </c>
      <c r="C260" s="640" t="str">
        <f>IF(OR(LEN('RETEN. y PERC.'!H260)=0,'RETEN. y PERC.'!H260=0),"",'RETEN. y PERC.'!H260)</f>
        <v/>
      </c>
      <c r="D260" s="640" t="str">
        <f>IF(OR(LEN('RETEN. y PERC.'!N260)=0,'RETEN. y PERC.'!N260=0),"",'RETEN. y PERC.'!N260)</f>
        <v/>
      </c>
      <c r="F260" s="645" t="str">
        <f>IF(OR(LEN('RETEN. y PERC.'!J260)=0,'RETEN. y PERC.'!J260=0),"",'RETEN. y PERC.'!J260)</f>
        <v/>
      </c>
    </row>
    <row r="261" spans="1:6">
      <c r="A261" s="640" t="str">
        <f>IF(OR(LEN('RETEN. y PERC.'!F261)=0,'RETEN. y PERC.'!F261=0),"",'RETEN. y PERC.'!F261)</f>
        <v/>
      </c>
      <c r="B261" s="640" t="str">
        <f>IF(OR(LEN('RETEN. y PERC.'!A261)=0,'RETEN. y PERC.'!A261=0),"",'RETEN. y PERC.'!A261)</f>
        <v/>
      </c>
      <c r="C261" s="640" t="str">
        <f>IF(OR(LEN('RETEN. y PERC.'!H261)=0,'RETEN. y PERC.'!H261=0),"",'RETEN. y PERC.'!H261)</f>
        <v/>
      </c>
      <c r="D261" s="640" t="str">
        <f>IF(OR(LEN('RETEN. y PERC.'!N261)=0,'RETEN. y PERC.'!N261=0),"",'RETEN. y PERC.'!N261)</f>
        <v/>
      </c>
      <c r="F261" s="645" t="str">
        <f>IF(OR(LEN('RETEN. y PERC.'!J261)=0,'RETEN. y PERC.'!J261=0),"",'RETEN. y PERC.'!J261)</f>
        <v/>
      </c>
    </row>
    <row r="262" spans="1:6">
      <c r="A262" s="640" t="str">
        <f>IF(OR(LEN('RETEN. y PERC.'!F262)=0,'RETEN. y PERC.'!F262=0),"",'RETEN. y PERC.'!F262)</f>
        <v/>
      </c>
      <c r="B262" s="640" t="str">
        <f>IF(OR(LEN('RETEN. y PERC.'!A262)=0,'RETEN. y PERC.'!A262=0),"",'RETEN. y PERC.'!A262)</f>
        <v/>
      </c>
      <c r="C262" s="640" t="str">
        <f>IF(OR(LEN('RETEN. y PERC.'!H262)=0,'RETEN. y PERC.'!H262=0),"",'RETEN. y PERC.'!H262)</f>
        <v/>
      </c>
      <c r="D262" s="640" t="str">
        <f>IF(OR(LEN('RETEN. y PERC.'!N262)=0,'RETEN. y PERC.'!N262=0),"",'RETEN. y PERC.'!N262)</f>
        <v/>
      </c>
      <c r="F262" s="645" t="str">
        <f>IF(OR(LEN('RETEN. y PERC.'!J262)=0,'RETEN. y PERC.'!J262=0),"",'RETEN. y PERC.'!J262)</f>
        <v/>
      </c>
    </row>
    <row r="263" spans="1:6">
      <c r="A263" s="640" t="str">
        <f>IF(OR(LEN('RETEN. y PERC.'!F263)=0,'RETEN. y PERC.'!F263=0),"",'RETEN. y PERC.'!F263)</f>
        <v/>
      </c>
      <c r="B263" s="640" t="str">
        <f>IF(OR(LEN('RETEN. y PERC.'!A263)=0,'RETEN. y PERC.'!A263=0),"",'RETEN. y PERC.'!A263)</f>
        <v/>
      </c>
      <c r="C263" s="640" t="str">
        <f>IF(OR(LEN('RETEN. y PERC.'!H263)=0,'RETEN. y PERC.'!H263=0),"",'RETEN. y PERC.'!H263)</f>
        <v/>
      </c>
      <c r="D263" s="640" t="str">
        <f>IF(OR(LEN('RETEN. y PERC.'!N263)=0,'RETEN. y PERC.'!N263=0),"",'RETEN. y PERC.'!N263)</f>
        <v/>
      </c>
      <c r="F263" s="645" t="str">
        <f>IF(OR(LEN('RETEN. y PERC.'!J263)=0,'RETEN. y PERC.'!J263=0),"",'RETEN. y PERC.'!J263)</f>
        <v/>
      </c>
    </row>
    <row r="264" spans="1:6">
      <c r="A264" s="640" t="str">
        <f>IF(OR(LEN('RETEN. y PERC.'!F264)=0,'RETEN. y PERC.'!F264=0),"",'RETEN. y PERC.'!F264)</f>
        <v/>
      </c>
      <c r="B264" s="640" t="str">
        <f>IF(OR(LEN('RETEN. y PERC.'!A264)=0,'RETEN. y PERC.'!A264=0),"",'RETEN. y PERC.'!A264)</f>
        <v/>
      </c>
      <c r="C264" s="640" t="str">
        <f>IF(OR(LEN('RETEN. y PERC.'!H264)=0,'RETEN. y PERC.'!H264=0),"",'RETEN. y PERC.'!H264)</f>
        <v/>
      </c>
      <c r="D264" s="640" t="str">
        <f>IF(OR(LEN('RETEN. y PERC.'!N264)=0,'RETEN. y PERC.'!N264=0),"",'RETEN. y PERC.'!N264)</f>
        <v/>
      </c>
      <c r="F264" s="645" t="str">
        <f>IF(OR(LEN('RETEN. y PERC.'!J264)=0,'RETEN. y PERC.'!J264=0),"",'RETEN. y PERC.'!J264)</f>
        <v/>
      </c>
    </row>
    <row r="265" spans="1:6">
      <c r="A265" s="640" t="str">
        <f>IF(OR(LEN('RETEN. y PERC.'!F265)=0,'RETEN. y PERC.'!F265=0),"",'RETEN. y PERC.'!F265)</f>
        <v/>
      </c>
      <c r="B265" s="640" t="str">
        <f>IF(OR(LEN('RETEN. y PERC.'!A265)=0,'RETEN. y PERC.'!A265=0),"",'RETEN. y PERC.'!A265)</f>
        <v/>
      </c>
      <c r="C265" s="640" t="str">
        <f>IF(OR(LEN('RETEN. y PERC.'!H265)=0,'RETEN. y PERC.'!H265=0),"",'RETEN. y PERC.'!H265)</f>
        <v/>
      </c>
      <c r="D265" s="640" t="str">
        <f>IF(OR(LEN('RETEN. y PERC.'!N265)=0,'RETEN. y PERC.'!N265=0),"",'RETEN. y PERC.'!N265)</f>
        <v/>
      </c>
      <c r="F265" s="645" t="str">
        <f>IF(OR(LEN('RETEN. y PERC.'!J265)=0,'RETEN. y PERC.'!J265=0),"",'RETEN. y PERC.'!J265)</f>
        <v/>
      </c>
    </row>
    <row r="266" spans="1:6">
      <c r="A266" s="640" t="str">
        <f>IF(OR(LEN('RETEN. y PERC.'!F266)=0,'RETEN. y PERC.'!F266=0),"",'RETEN. y PERC.'!F266)</f>
        <v/>
      </c>
      <c r="B266" s="640" t="str">
        <f>IF(OR(LEN('RETEN. y PERC.'!A266)=0,'RETEN. y PERC.'!A266=0),"",'RETEN. y PERC.'!A266)</f>
        <v/>
      </c>
      <c r="C266" s="640" t="str">
        <f>IF(OR(LEN('RETEN. y PERC.'!H266)=0,'RETEN. y PERC.'!H266=0),"",'RETEN. y PERC.'!H266)</f>
        <v/>
      </c>
      <c r="D266" s="640" t="str">
        <f>IF(OR(LEN('RETEN. y PERC.'!N266)=0,'RETEN. y PERC.'!N266=0),"",'RETEN. y PERC.'!N266)</f>
        <v/>
      </c>
      <c r="F266" s="645" t="str">
        <f>IF(OR(LEN('RETEN. y PERC.'!J266)=0,'RETEN. y PERC.'!J266=0),"",'RETEN. y PERC.'!J266)</f>
        <v/>
      </c>
    </row>
    <row r="267" spans="1:6">
      <c r="A267" s="640" t="str">
        <f>IF(OR(LEN('RETEN. y PERC.'!F267)=0,'RETEN. y PERC.'!F267=0),"",'RETEN. y PERC.'!F267)</f>
        <v/>
      </c>
      <c r="B267" s="640" t="str">
        <f>IF(OR(LEN('RETEN. y PERC.'!A267)=0,'RETEN. y PERC.'!A267=0),"",'RETEN. y PERC.'!A267)</f>
        <v/>
      </c>
      <c r="C267" s="640" t="str">
        <f>IF(OR(LEN('RETEN. y PERC.'!H267)=0,'RETEN. y PERC.'!H267=0),"",'RETEN. y PERC.'!H267)</f>
        <v/>
      </c>
      <c r="D267" s="640" t="str">
        <f>IF(OR(LEN('RETEN. y PERC.'!N267)=0,'RETEN. y PERC.'!N267=0),"",'RETEN. y PERC.'!N267)</f>
        <v/>
      </c>
      <c r="F267" s="645" t="str">
        <f>IF(OR(LEN('RETEN. y PERC.'!J267)=0,'RETEN. y PERC.'!J267=0),"",'RETEN. y PERC.'!J267)</f>
        <v/>
      </c>
    </row>
    <row r="268" spans="1:6">
      <c r="A268" s="640" t="str">
        <f>IF(OR(LEN('RETEN. y PERC.'!F268)=0,'RETEN. y PERC.'!F268=0),"",'RETEN. y PERC.'!F268)</f>
        <v/>
      </c>
      <c r="B268" s="640" t="str">
        <f>IF(OR(LEN('RETEN. y PERC.'!A268)=0,'RETEN. y PERC.'!A268=0),"",'RETEN. y PERC.'!A268)</f>
        <v/>
      </c>
      <c r="C268" s="640" t="str">
        <f>IF(OR(LEN('RETEN. y PERC.'!H268)=0,'RETEN. y PERC.'!H268=0),"",'RETEN. y PERC.'!H268)</f>
        <v/>
      </c>
      <c r="D268" s="640" t="str">
        <f>IF(OR(LEN('RETEN. y PERC.'!N268)=0,'RETEN. y PERC.'!N268=0),"",'RETEN. y PERC.'!N268)</f>
        <v/>
      </c>
      <c r="F268" s="645" t="str">
        <f>IF(OR(LEN('RETEN. y PERC.'!J268)=0,'RETEN. y PERC.'!J268=0),"",'RETEN. y PERC.'!J268)</f>
        <v/>
      </c>
    </row>
    <row r="269" spans="1:6">
      <c r="A269" s="640" t="str">
        <f>IF(OR(LEN('RETEN. y PERC.'!F269)=0,'RETEN. y PERC.'!F269=0),"",'RETEN. y PERC.'!F269)</f>
        <v/>
      </c>
      <c r="B269" s="640" t="str">
        <f>IF(OR(LEN('RETEN. y PERC.'!A269)=0,'RETEN. y PERC.'!A269=0),"",'RETEN. y PERC.'!A269)</f>
        <v/>
      </c>
      <c r="C269" s="640" t="str">
        <f>IF(OR(LEN('RETEN. y PERC.'!H269)=0,'RETEN. y PERC.'!H269=0),"",'RETEN. y PERC.'!H269)</f>
        <v/>
      </c>
      <c r="D269" s="640" t="str">
        <f>IF(OR(LEN('RETEN. y PERC.'!N269)=0,'RETEN. y PERC.'!N269=0),"",'RETEN. y PERC.'!N269)</f>
        <v/>
      </c>
      <c r="F269" s="645" t="str">
        <f>IF(OR(LEN('RETEN. y PERC.'!J269)=0,'RETEN. y PERC.'!J269=0),"",'RETEN. y PERC.'!J269)</f>
        <v/>
      </c>
    </row>
    <row r="270" spans="1:6">
      <c r="A270" s="640" t="str">
        <f>IF(OR(LEN('RETEN. y PERC.'!F270)=0,'RETEN. y PERC.'!F270=0),"",'RETEN. y PERC.'!F270)</f>
        <v/>
      </c>
      <c r="B270" s="640" t="str">
        <f>IF(OR(LEN('RETEN. y PERC.'!A270)=0,'RETEN. y PERC.'!A270=0),"",'RETEN. y PERC.'!A270)</f>
        <v/>
      </c>
      <c r="C270" s="640" t="str">
        <f>IF(OR(LEN('RETEN. y PERC.'!H270)=0,'RETEN. y PERC.'!H270=0),"",'RETEN. y PERC.'!H270)</f>
        <v/>
      </c>
      <c r="D270" s="640" t="str">
        <f>IF(OR(LEN('RETEN. y PERC.'!N270)=0,'RETEN. y PERC.'!N270=0),"",'RETEN. y PERC.'!N270)</f>
        <v/>
      </c>
      <c r="F270" s="645" t="str">
        <f>IF(OR(LEN('RETEN. y PERC.'!J270)=0,'RETEN. y PERC.'!J270=0),"",'RETEN. y PERC.'!J270)</f>
        <v/>
      </c>
    </row>
    <row r="271" spans="1:6">
      <c r="A271" s="640" t="str">
        <f>IF(OR(LEN('RETEN. y PERC.'!F271)=0,'RETEN. y PERC.'!F271=0),"",'RETEN. y PERC.'!F271)</f>
        <v/>
      </c>
      <c r="B271" s="640" t="str">
        <f>IF(OR(LEN('RETEN. y PERC.'!A271)=0,'RETEN. y PERC.'!A271=0),"",'RETEN. y PERC.'!A271)</f>
        <v/>
      </c>
      <c r="C271" s="640" t="str">
        <f>IF(OR(LEN('RETEN. y PERC.'!H271)=0,'RETEN. y PERC.'!H271=0),"",'RETEN. y PERC.'!H271)</f>
        <v/>
      </c>
      <c r="D271" s="640" t="str">
        <f>IF(OR(LEN('RETEN. y PERC.'!N271)=0,'RETEN. y PERC.'!N271=0),"",'RETEN. y PERC.'!N271)</f>
        <v/>
      </c>
      <c r="F271" s="645" t="str">
        <f>IF(OR(LEN('RETEN. y PERC.'!J271)=0,'RETEN. y PERC.'!J271=0),"",'RETEN. y PERC.'!J271)</f>
        <v/>
      </c>
    </row>
    <row r="272" spans="1:6">
      <c r="A272" s="640" t="str">
        <f>IF(OR(LEN('RETEN. y PERC.'!F272)=0,'RETEN. y PERC.'!F272=0),"",'RETEN. y PERC.'!F272)</f>
        <v/>
      </c>
      <c r="B272" s="640" t="str">
        <f>IF(OR(LEN('RETEN. y PERC.'!A272)=0,'RETEN. y PERC.'!A272=0),"",'RETEN. y PERC.'!A272)</f>
        <v/>
      </c>
      <c r="C272" s="640" t="str">
        <f>IF(OR(LEN('RETEN. y PERC.'!H272)=0,'RETEN. y PERC.'!H272=0),"",'RETEN. y PERC.'!H272)</f>
        <v/>
      </c>
      <c r="D272" s="640" t="str">
        <f>IF(OR(LEN('RETEN. y PERC.'!N272)=0,'RETEN. y PERC.'!N272=0),"",'RETEN. y PERC.'!N272)</f>
        <v/>
      </c>
      <c r="F272" s="645" t="str">
        <f>IF(OR(LEN('RETEN. y PERC.'!J272)=0,'RETEN. y PERC.'!J272=0),"",'RETEN. y PERC.'!J272)</f>
        <v/>
      </c>
    </row>
    <row r="273" spans="1:6">
      <c r="A273" s="640" t="str">
        <f>IF(OR(LEN('RETEN. y PERC.'!F273)=0,'RETEN. y PERC.'!F273=0),"",'RETEN. y PERC.'!F273)</f>
        <v/>
      </c>
      <c r="B273" s="640" t="str">
        <f>IF(OR(LEN('RETEN. y PERC.'!A273)=0,'RETEN. y PERC.'!A273=0),"",'RETEN. y PERC.'!A273)</f>
        <v/>
      </c>
      <c r="C273" s="640" t="str">
        <f>IF(OR(LEN('RETEN. y PERC.'!H273)=0,'RETEN. y PERC.'!H273=0),"",'RETEN. y PERC.'!H273)</f>
        <v/>
      </c>
      <c r="D273" s="640" t="str">
        <f>IF(OR(LEN('RETEN. y PERC.'!N273)=0,'RETEN. y PERC.'!N273=0),"",'RETEN. y PERC.'!N273)</f>
        <v/>
      </c>
      <c r="F273" s="645" t="str">
        <f>IF(OR(LEN('RETEN. y PERC.'!J273)=0,'RETEN. y PERC.'!J273=0),"",'RETEN. y PERC.'!J273)</f>
        <v/>
      </c>
    </row>
    <row r="274" spans="1:6">
      <c r="A274" s="640" t="str">
        <f>IF(OR(LEN('RETEN. y PERC.'!F274)=0,'RETEN. y PERC.'!F274=0),"",'RETEN. y PERC.'!F274)</f>
        <v/>
      </c>
      <c r="B274" s="640" t="str">
        <f>IF(OR(LEN('RETEN. y PERC.'!A274)=0,'RETEN. y PERC.'!A274=0),"",'RETEN. y PERC.'!A274)</f>
        <v/>
      </c>
      <c r="C274" s="640" t="str">
        <f>IF(OR(LEN('RETEN. y PERC.'!H274)=0,'RETEN. y PERC.'!H274=0),"",'RETEN. y PERC.'!H274)</f>
        <v/>
      </c>
      <c r="D274" s="640" t="str">
        <f>IF(OR(LEN('RETEN. y PERC.'!N274)=0,'RETEN. y PERC.'!N274=0),"",'RETEN. y PERC.'!N274)</f>
        <v/>
      </c>
      <c r="F274" s="645" t="str">
        <f>IF(OR(LEN('RETEN. y PERC.'!J274)=0,'RETEN. y PERC.'!J274=0),"",'RETEN. y PERC.'!J274)</f>
        <v/>
      </c>
    </row>
    <row r="275" spans="1:6">
      <c r="A275" s="640" t="str">
        <f>IF(OR(LEN('RETEN. y PERC.'!F275)=0,'RETEN. y PERC.'!F275=0),"",'RETEN. y PERC.'!F275)</f>
        <v/>
      </c>
      <c r="B275" s="640" t="str">
        <f>IF(OR(LEN('RETEN. y PERC.'!A275)=0,'RETEN. y PERC.'!A275=0),"",'RETEN. y PERC.'!A275)</f>
        <v/>
      </c>
      <c r="C275" s="640" t="str">
        <f>IF(OR(LEN('RETEN. y PERC.'!H275)=0,'RETEN. y PERC.'!H275=0),"",'RETEN. y PERC.'!H275)</f>
        <v/>
      </c>
      <c r="D275" s="640" t="str">
        <f>IF(OR(LEN('RETEN. y PERC.'!N275)=0,'RETEN. y PERC.'!N275=0),"",'RETEN. y PERC.'!N275)</f>
        <v/>
      </c>
      <c r="F275" s="645" t="str">
        <f>IF(OR(LEN('RETEN. y PERC.'!J275)=0,'RETEN. y PERC.'!J275=0),"",'RETEN. y PERC.'!J275)</f>
        <v/>
      </c>
    </row>
    <row r="276" spans="1:6">
      <c r="A276" s="640" t="str">
        <f>IF(OR(LEN('RETEN. y PERC.'!F276)=0,'RETEN. y PERC.'!F276=0),"",'RETEN. y PERC.'!F276)</f>
        <v/>
      </c>
      <c r="B276" s="640" t="str">
        <f>IF(OR(LEN('RETEN. y PERC.'!A276)=0,'RETEN. y PERC.'!A276=0),"",'RETEN. y PERC.'!A276)</f>
        <v/>
      </c>
      <c r="C276" s="640" t="str">
        <f>IF(OR(LEN('RETEN. y PERC.'!H276)=0,'RETEN. y PERC.'!H276=0),"",'RETEN. y PERC.'!H276)</f>
        <v/>
      </c>
      <c r="D276" s="640" t="str">
        <f>IF(OR(LEN('RETEN. y PERC.'!N276)=0,'RETEN. y PERC.'!N276=0),"",'RETEN. y PERC.'!N276)</f>
        <v/>
      </c>
      <c r="F276" s="645" t="str">
        <f>IF(OR(LEN('RETEN. y PERC.'!J276)=0,'RETEN. y PERC.'!J276=0),"",'RETEN. y PERC.'!J276)</f>
        <v/>
      </c>
    </row>
    <row r="277" spans="1:6">
      <c r="A277" s="640" t="str">
        <f>IF(OR(LEN('RETEN. y PERC.'!F277)=0,'RETEN. y PERC.'!F277=0),"",'RETEN. y PERC.'!F277)</f>
        <v/>
      </c>
      <c r="B277" s="640" t="str">
        <f>IF(OR(LEN('RETEN. y PERC.'!A277)=0,'RETEN. y PERC.'!A277=0),"",'RETEN. y PERC.'!A277)</f>
        <v/>
      </c>
      <c r="C277" s="640" t="str">
        <f>IF(OR(LEN('RETEN. y PERC.'!H277)=0,'RETEN. y PERC.'!H277=0),"",'RETEN. y PERC.'!H277)</f>
        <v/>
      </c>
      <c r="D277" s="640" t="str">
        <f>IF(OR(LEN('RETEN. y PERC.'!N277)=0,'RETEN. y PERC.'!N277=0),"",'RETEN. y PERC.'!N277)</f>
        <v/>
      </c>
      <c r="F277" s="645" t="str">
        <f>IF(OR(LEN('RETEN. y PERC.'!J277)=0,'RETEN. y PERC.'!J277=0),"",'RETEN. y PERC.'!J277)</f>
        <v/>
      </c>
    </row>
    <row r="278" spans="1:6">
      <c r="A278" s="640" t="str">
        <f>IF(OR(LEN('RETEN. y PERC.'!F278)=0,'RETEN. y PERC.'!F278=0),"",'RETEN. y PERC.'!F278)</f>
        <v/>
      </c>
      <c r="B278" s="640" t="str">
        <f>IF(OR(LEN('RETEN. y PERC.'!A278)=0,'RETEN. y PERC.'!A278=0),"",'RETEN. y PERC.'!A278)</f>
        <v/>
      </c>
      <c r="C278" s="640" t="str">
        <f>IF(OR(LEN('RETEN. y PERC.'!H278)=0,'RETEN. y PERC.'!H278=0),"",'RETEN. y PERC.'!H278)</f>
        <v/>
      </c>
      <c r="D278" s="640" t="str">
        <f>IF(OR(LEN('RETEN. y PERC.'!N278)=0,'RETEN. y PERC.'!N278=0),"",'RETEN. y PERC.'!N278)</f>
        <v/>
      </c>
      <c r="F278" s="645" t="str">
        <f>IF(OR(LEN('RETEN. y PERC.'!J278)=0,'RETEN. y PERC.'!J278=0),"",'RETEN. y PERC.'!J278)</f>
        <v/>
      </c>
    </row>
    <row r="279" spans="1:6">
      <c r="A279" s="640" t="str">
        <f>IF(OR(LEN('RETEN. y PERC.'!F279)=0,'RETEN. y PERC.'!F279=0),"",'RETEN. y PERC.'!F279)</f>
        <v/>
      </c>
      <c r="B279" s="640" t="str">
        <f>IF(OR(LEN('RETEN. y PERC.'!A279)=0,'RETEN. y PERC.'!A279=0),"",'RETEN. y PERC.'!A279)</f>
        <v/>
      </c>
      <c r="C279" s="640" t="str">
        <f>IF(OR(LEN('RETEN. y PERC.'!H279)=0,'RETEN. y PERC.'!H279=0),"",'RETEN. y PERC.'!H279)</f>
        <v/>
      </c>
      <c r="D279" s="640" t="str">
        <f>IF(OR(LEN('RETEN. y PERC.'!N279)=0,'RETEN. y PERC.'!N279=0),"",'RETEN. y PERC.'!N279)</f>
        <v/>
      </c>
      <c r="F279" s="645" t="str">
        <f>IF(OR(LEN('RETEN. y PERC.'!J279)=0,'RETEN. y PERC.'!J279=0),"",'RETEN. y PERC.'!J279)</f>
        <v/>
      </c>
    </row>
    <row r="280" spans="1:6">
      <c r="A280" s="640" t="str">
        <f>IF(OR(LEN('RETEN. y PERC.'!F280)=0,'RETEN. y PERC.'!F280=0),"",'RETEN. y PERC.'!F280)</f>
        <v/>
      </c>
      <c r="B280" s="640" t="str">
        <f>IF(OR(LEN('RETEN. y PERC.'!A280)=0,'RETEN. y PERC.'!A280=0),"",'RETEN. y PERC.'!A280)</f>
        <v/>
      </c>
      <c r="C280" s="640" t="str">
        <f>IF(OR(LEN('RETEN. y PERC.'!H280)=0,'RETEN. y PERC.'!H280=0),"",'RETEN. y PERC.'!H280)</f>
        <v/>
      </c>
      <c r="D280" s="640" t="str">
        <f>IF(OR(LEN('RETEN. y PERC.'!N280)=0,'RETEN. y PERC.'!N280=0),"",'RETEN. y PERC.'!N280)</f>
        <v/>
      </c>
      <c r="F280" s="645" t="str">
        <f>IF(OR(LEN('RETEN. y PERC.'!J280)=0,'RETEN. y PERC.'!J280=0),"",'RETEN. y PERC.'!J280)</f>
        <v/>
      </c>
    </row>
    <row r="281" spans="1:6">
      <c r="A281" s="640" t="str">
        <f>IF(OR(LEN('RETEN. y PERC.'!F281)=0,'RETEN. y PERC.'!F281=0),"",'RETEN. y PERC.'!F281)</f>
        <v/>
      </c>
      <c r="B281" s="640" t="str">
        <f>IF(OR(LEN('RETEN. y PERC.'!A281)=0,'RETEN. y PERC.'!A281=0),"",'RETEN. y PERC.'!A281)</f>
        <v/>
      </c>
      <c r="C281" s="640" t="str">
        <f>IF(OR(LEN('RETEN. y PERC.'!H281)=0,'RETEN. y PERC.'!H281=0),"",'RETEN. y PERC.'!H281)</f>
        <v/>
      </c>
      <c r="D281" s="640" t="str">
        <f>IF(OR(LEN('RETEN. y PERC.'!N281)=0,'RETEN. y PERC.'!N281=0),"",'RETEN. y PERC.'!N281)</f>
        <v/>
      </c>
      <c r="F281" s="645" t="str">
        <f>IF(OR(LEN('RETEN. y PERC.'!J281)=0,'RETEN. y PERC.'!J281=0),"",'RETEN. y PERC.'!J281)</f>
        <v/>
      </c>
    </row>
    <row r="282" spans="1:6">
      <c r="A282" s="640" t="str">
        <f>IF(OR(LEN('RETEN. y PERC.'!F282)=0,'RETEN. y PERC.'!F282=0),"",'RETEN. y PERC.'!F282)</f>
        <v/>
      </c>
      <c r="B282" s="640" t="str">
        <f>IF(OR(LEN('RETEN. y PERC.'!A282)=0,'RETEN. y PERC.'!A282=0),"",'RETEN. y PERC.'!A282)</f>
        <v/>
      </c>
      <c r="C282" s="640" t="str">
        <f>IF(OR(LEN('RETEN. y PERC.'!H282)=0,'RETEN. y PERC.'!H282=0),"",'RETEN. y PERC.'!H282)</f>
        <v/>
      </c>
      <c r="D282" s="640" t="str">
        <f>IF(OR(LEN('RETEN. y PERC.'!N282)=0,'RETEN. y PERC.'!N282=0),"",'RETEN. y PERC.'!N282)</f>
        <v/>
      </c>
      <c r="F282" s="645" t="str">
        <f>IF(OR(LEN('RETEN. y PERC.'!J282)=0,'RETEN. y PERC.'!J282=0),"",'RETEN. y PERC.'!J282)</f>
        <v/>
      </c>
    </row>
    <row r="283" spans="1:6">
      <c r="A283" s="640" t="str">
        <f>IF(OR(LEN('RETEN. y PERC.'!F283)=0,'RETEN. y PERC.'!F283=0),"",'RETEN. y PERC.'!F283)</f>
        <v/>
      </c>
      <c r="B283" s="640" t="str">
        <f>IF(OR(LEN('RETEN. y PERC.'!A283)=0,'RETEN. y PERC.'!A283=0),"",'RETEN. y PERC.'!A283)</f>
        <v/>
      </c>
      <c r="C283" s="640" t="str">
        <f>IF(OR(LEN('RETEN. y PERC.'!H283)=0,'RETEN. y PERC.'!H283=0),"",'RETEN. y PERC.'!H283)</f>
        <v/>
      </c>
      <c r="D283" s="640" t="str">
        <f>IF(OR(LEN('RETEN. y PERC.'!N283)=0,'RETEN. y PERC.'!N283=0),"",'RETEN. y PERC.'!N283)</f>
        <v/>
      </c>
      <c r="F283" s="645" t="str">
        <f>IF(OR(LEN('RETEN. y PERC.'!J283)=0,'RETEN. y PERC.'!J283=0),"",'RETEN. y PERC.'!J283)</f>
        <v/>
      </c>
    </row>
    <row r="284" spans="1:6">
      <c r="A284" s="640" t="str">
        <f>IF(OR(LEN('RETEN. y PERC.'!F284)=0,'RETEN. y PERC.'!F284=0),"",'RETEN. y PERC.'!F284)</f>
        <v/>
      </c>
      <c r="B284" s="640" t="str">
        <f>IF(OR(LEN('RETEN. y PERC.'!A284)=0,'RETEN. y PERC.'!A284=0),"",'RETEN. y PERC.'!A284)</f>
        <v/>
      </c>
      <c r="C284" s="640" t="str">
        <f>IF(OR(LEN('RETEN. y PERC.'!H284)=0,'RETEN. y PERC.'!H284=0),"",'RETEN. y PERC.'!H284)</f>
        <v/>
      </c>
      <c r="D284" s="640" t="str">
        <f>IF(OR(LEN('RETEN. y PERC.'!N284)=0,'RETEN. y PERC.'!N284=0),"",'RETEN. y PERC.'!N284)</f>
        <v/>
      </c>
      <c r="F284" s="645" t="str">
        <f>IF(OR(LEN('RETEN. y PERC.'!J284)=0,'RETEN. y PERC.'!J284=0),"",'RETEN. y PERC.'!J284)</f>
        <v/>
      </c>
    </row>
    <row r="285" spans="1:6">
      <c r="A285" s="640" t="str">
        <f>IF(OR(LEN('RETEN. y PERC.'!F285)=0,'RETEN. y PERC.'!F285=0),"",'RETEN. y PERC.'!F285)</f>
        <v/>
      </c>
      <c r="B285" s="640" t="str">
        <f>IF(OR(LEN('RETEN. y PERC.'!A285)=0,'RETEN. y PERC.'!A285=0),"",'RETEN. y PERC.'!A285)</f>
        <v/>
      </c>
      <c r="C285" s="640" t="str">
        <f>IF(OR(LEN('RETEN. y PERC.'!H285)=0,'RETEN. y PERC.'!H285=0),"",'RETEN. y PERC.'!H285)</f>
        <v/>
      </c>
      <c r="D285" s="640" t="str">
        <f>IF(OR(LEN('RETEN. y PERC.'!N285)=0,'RETEN. y PERC.'!N285=0),"",'RETEN. y PERC.'!N285)</f>
        <v/>
      </c>
      <c r="F285" s="645" t="str">
        <f>IF(OR(LEN('RETEN. y PERC.'!J285)=0,'RETEN. y PERC.'!J285=0),"",'RETEN. y PERC.'!J285)</f>
        <v/>
      </c>
    </row>
    <row r="286" spans="1:6">
      <c r="A286" s="640" t="str">
        <f>IF(OR(LEN('RETEN. y PERC.'!F286)=0,'RETEN. y PERC.'!F286=0),"",'RETEN. y PERC.'!F286)</f>
        <v/>
      </c>
      <c r="B286" s="640" t="str">
        <f>IF(OR(LEN('RETEN. y PERC.'!A286)=0,'RETEN. y PERC.'!A286=0),"",'RETEN. y PERC.'!A286)</f>
        <v/>
      </c>
      <c r="C286" s="640" t="str">
        <f>IF(OR(LEN('RETEN. y PERC.'!H286)=0,'RETEN. y PERC.'!H286=0),"",'RETEN. y PERC.'!H286)</f>
        <v/>
      </c>
      <c r="D286" s="640" t="str">
        <f>IF(OR(LEN('RETEN. y PERC.'!N286)=0,'RETEN. y PERC.'!N286=0),"",'RETEN. y PERC.'!N286)</f>
        <v/>
      </c>
      <c r="F286" s="645" t="str">
        <f>IF(OR(LEN('RETEN. y PERC.'!J286)=0,'RETEN. y PERC.'!J286=0),"",'RETEN. y PERC.'!J286)</f>
        <v/>
      </c>
    </row>
    <row r="287" spans="1:6">
      <c r="A287" s="640" t="str">
        <f>IF(OR(LEN('RETEN. y PERC.'!F287)=0,'RETEN. y PERC.'!F287=0),"",'RETEN. y PERC.'!F287)</f>
        <v/>
      </c>
      <c r="B287" s="640" t="str">
        <f>IF(OR(LEN('RETEN. y PERC.'!A287)=0,'RETEN. y PERC.'!A287=0),"",'RETEN. y PERC.'!A287)</f>
        <v/>
      </c>
      <c r="C287" s="640" t="str">
        <f>IF(OR(LEN('RETEN. y PERC.'!H287)=0,'RETEN. y PERC.'!H287=0),"",'RETEN. y PERC.'!H287)</f>
        <v/>
      </c>
      <c r="D287" s="640" t="str">
        <f>IF(OR(LEN('RETEN. y PERC.'!N287)=0,'RETEN. y PERC.'!N287=0),"",'RETEN. y PERC.'!N287)</f>
        <v/>
      </c>
      <c r="F287" s="645" t="str">
        <f>IF(OR(LEN('RETEN. y PERC.'!J287)=0,'RETEN. y PERC.'!J287=0),"",'RETEN. y PERC.'!J287)</f>
        <v/>
      </c>
    </row>
    <row r="288" spans="1:6">
      <c r="A288" s="640" t="str">
        <f>IF(OR(LEN('RETEN. y PERC.'!F288)=0,'RETEN. y PERC.'!F288=0),"",'RETEN. y PERC.'!F288)</f>
        <v/>
      </c>
      <c r="B288" s="640" t="str">
        <f>IF(OR(LEN('RETEN. y PERC.'!A288)=0,'RETEN. y PERC.'!A288=0),"",'RETEN. y PERC.'!A288)</f>
        <v/>
      </c>
      <c r="C288" s="640" t="str">
        <f>IF(OR(LEN('RETEN. y PERC.'!H288)=0,'RETEN. y PERC.'!H288=0),"",'RETEN. y PERC.'!H288)</f>
        <v/>
      </c>
      <c r="D288" s="640" t="str">
        <f>IF(OR(LEN('RETEN. y PERC.'!N288)=0,'RETEN. y PERC.'!N288=0),"",'RETEN. y PERC.'!N288)</f>
        <v/>
      </c>
      <c r="F288" s="645" t="str">
        <f>IF(OR(LEN('RETEN. y PERC.'!J288)=0,'RETEN. y PERC.'!J288=0),"",'RETEN. y PERC.'!J288)</f>
        <v/>
      </c>
    </row>
    <row r="289" spans="1:6">
      <c r="A289" s="640" t="str">
        <f>IF(OR(LEN('RETEN. y PERC.'!F289)=0,'RETEN. y PERC.'!F289=0),"",'RETEN. y PERC.'!F289)</f>
        <v/>
      </c>
      <c r="B289" s="640" t="str">
        <f>IF(OR(LEN('RETEN. y PERC.'!A289)=0,'RETEN. y PERC.'!A289=0),"",'RETEN. y PERC.'!A289)</f>
        <v/>
      </c>
      <c r="C289" s="640" t="str">
        <f>IF(OR(LEN('RETEN. y PERC.'!H289)=0,'RETEN. y PERC.'!H289=0),"",'RETEN. y PERC.'!H289)</f>
        <v/>
      </c>
      <c r="D289" s="640" t="str">
        <f>IF(OR(LEN('RETEN. y PERC.'!N289)=0,'RETEN. y PERC.'!N289=0),"",'RETEN. y PERC.'!N289)</f>
        <v/>
      </c>
      <c r="F289" s="645" t="str">
        <f>IF(OR(LEN('RETEN. y PERC.'!J289)=0,'RETEN. y PERC.'!J289=0),"",'RETEN. y PERC.'!J289)</f>
        <v/>
      </c>
    </row>
    <row r="290" spans="1:6">
      <c r="A290" s="640" t="str">
        <f>IF(OR(LEN('RETEN. y PERC.'!F290)=0,'RETEN. y PERC.'!F290=0),"",'RETEN. y PERC.'!F290)</f>
        <v/>
      </c>
      <c r="B290" s="640" t="str">
        <f>IF(OR(LEN('RETEN. y PERC.'!A290)=0,'RETEN. y PERC.'!A290=0),"",'RETEN. y PERC.'!A290)</f>
        <v/>
      </c>
      <c r="C290" s="640" t="str">
        <f>IF(OR(LEN('RETEN. y PERC.'!H290)=0,'RETEN. y PERC.'!H290=0),"",'RETEN. y PERC.'!H290)</f>
        <v/>
      </c>
      <c r="D290" s="640" t="str">
        <f>IF(OR(LEN('RETEN. y PERC.'!N290)=0,'RETEN. y PERC.'!N290=0),"",'RETEN. y PERC.'!N290)</f>
        <v/>
      </c>
      <c r="F290" s="645" t="str">
        <f>IF(OR(LEN('RETEN. y PERC.'!J290)=0,'RETEN. y PERC.'!J290=0),"",'RETEN. y PERC.'!J290)</f>
        <v/>
      </c>
    </row>
    <row r="291" spans="1:6">
      <c r="A291" s="640" t="str">
        <f>IF(OR(LEN('RETEN. y PERC.'!F291)=0,'RETEN. y PERC.'!F291=0),"",'RETEN. y PERC.'!F291)</f>
        <v/>
      </c>
      <c r="B291" s="640" t="str">
        <f>IF(OR(LEN('RETEN. y PERC.'!A291)=0,'RETEN. y PERC.'!A291=0),"",'RETEN. y PERC.'!A291)</f>
        <v/>
      </c>
      <c r="C291" s="640" t="str">
        <f>IF(OR(LEN('RETEN. y PERC.'!H291)=0,'RETEN. y PERC.'!H291=0),"",'RETEN. y PERC.'!H291)</f>
        <v/>
      </c>
      <c r="D291" s="640" t="str">
        <f>IF(OR(LEN('RETEN. y PERC.'!N291)=0,'RETEN. y PERC.'!N291=0),"",'RETEN. y PERC.'!N291)</f>
        <v/>
      </c>
      <c r="F291" s="645" t="str">
        <f>IF(OR(LEN('RETEN. y PERC.'!J291)=0,'RETEN. y PERC.'!J291=0),"",'RETEN. y PERC.'!J291)</f>
        <v/>
      </c>
    </row>
    <row r="292" spans="1:6">
      <c r="A292" s="640" t="str">
        <f>IF(OR(LEN('RETEN. y PERC.'!F292)=0,'RETEN. y PERC.'!F292=0),"",'RETEN. y PERC.'!F292)</f>
        <v/>
      </c>
      <c r="B292" s="640" t="str">
        <f>IF(OR(LEN('RETEN. y PERC.'!A292)=0,'RETEN. y PERC.'!A292=0),"",'RETEN. y PERC.'!A292)</f>
        <v/>
      </c>
      <c r="C292" s="640" t="str">
        <f>IF(OR(LEN('RETEN. y PERC.'!H292)=0,'RETEN. y PERC.'!H292=0),"",'RETEN. y PERC.'!H292)</f>
        <v/>
      </c>
      <c r="D292" s="640" t="str">
        <f>IF(OR(LEN('RETEN. y PERC.'!N292)=0,'RETEN. y PERC.'!N292=0),"",'RETEN. y PERC.'!N292)</f>
        <v/>
      </c>
      <c r="F292" s="645" t="str">
        <f>IF(OR(LEN('RETEN. y PERC.'!J292)=0,'RETEN. y PERC.'!J292=0),"",'RETEN. y PERC.'!J292)</f>
        <v/>
      </c>
    </row>
    <row r="293" spans="1:6">
      <c r="A293" s="640" t="str">
        <f>IF(OR(LEN('RETEN. y PERC.'!F293)=0,'RETEN. y PERC.'!F293=0),"",'RETEN. y PERC.'!F293)</f>
        <v/>
      </c>
      <c r="B293" s="640" t="str">
        <f>IF(OR(LEN('RETEN. y PERC.'!A293)=0,'RETEN. y PERC.'!A293=0),"",'RETEN. y PERC.'!A293)</f>
        <v/>
      </c>
      <c r="C293" s="640" t="str">
        <f>IF(OR(LEN('RETEN. y PERC.'!H293)=0,'RETEN. y PERC.'!H293=0),"",'RETEN. y PERC.'!H293)</f>
        <v/>
      </c>
      <c r="D293" s="640" t="str">
        <f>IF(OR(LEN('RETEN. y PERC.'!N293)=0,'RETEN. y PERC.'!N293=0),"",'RETEN. y PERC.'!N293)</f>
        <v/>
      </c>
      <c r="F293" s="645" t="str">
        <f>IF(OR(LEN('RETEN. y PERC.'!J293)=0,'RETEN. y PERC.'!J293=0),"",'RETEN. y PERC.'!J293)</f>
        <v/>
      </c>
    </row>
    <row r="294" spans="1:6">
      <c r="A294" s="640" t="str">
        <f>IF(OR(LEN('RETEN. y PERC.'!F294)=0,'RETEN. y PERC.'!F294=0),"",'RETEN. y PERC.'!F294)</f>
        <v/>
      </c>
      <c r="B294" s="640" t="str">
        <f>IF(OR(LEN('RETEN. y PERC.'!A294)=0,'RETEN. y PERC.'!A294=0),"",'RETEN. y PERC.'!A294)</f>
        <v/>
      </c>
      <c r="C294" s="640" t="str">
        <f>IF(OR(LEN('RETEN. y PERC.'!H294)=0,'RETEN. y PERC.'!H294=0),"",'RETEN. y PERC.'!H294)</f>
        <v/>
      </c>
      <c r="D294" s="640" t="str">
        <f>IF(OR(LEN('RETEN. y PERC.'!N294)=0,'RETEN. y PERC.'!N294=0),"",'RETEN. y PERC.'!N294)</f>
        <v/>
      </c>
      <c r="F294" s="645" t="str">
        <f>IF(OR(LEN('RETEN. y PERC.'!J294)=0,'RETEN. y PERC.'!J294=0),"",'RETEN. y PERC.'!J294)</f>
        <v/>
      </c>
    </row>
    <row r="295" spans="1:6">
      <c r="A295" s="640" t="str">
        <f>IF(OR(LEN('RETEN. y PERC.'!F295)=0,'RETEN. y PERC.'!F295=0),"",'RETEN. y PERC.'!F295)</f>
        <v/>
      </c>
      <c r="B295" s="640" t="str">
        <f>IF(OR(LEN('RETEN. y PERC.'!A295)=0,'RETEN. y PERC.'!A295=0),"",'RETEN. y PERC.'!A295)</f>
        <v/>
      </c>
      <c r="C295" s="640" t="str">
        <f>IF(OR(LEN('RETEN. y PERC.'!H295)=0,'RETEN. y PERC.'!H295=0),"",'RETEN. y PERC.'!H295)</f>
        <v/>
      </c>
      <c r="D295" s="640" t="str">
        <f>IF(OR(LEN('RETEN. y PERC.'!N295)=0,'RETEN. y PERC.'!N295=0),"",'RETEN. y PERC.'!N295)</f>
        <v/>
      </c>
      <c r="F295" s="645" t="str">
        <f>IF(OR(LEN('RETEN. y PERC.'!J295)=0,'RETEN. y PERC.'!J295=0),"",'RETEN. y PERC.'!J295)</f>
        <v/>
      </c>
    </row>
    <row r="296" spans="1:6">
      <c r="A296" s="640" t="str">
        <f>IF(OR(LEN('RETEN. y PERC.'!F296)=0,'RETEN. y PERC.'!F296=0),"",'RETEN. y PERC.'!F296)</f>
        <v/>
      </c>
      <c r="B296" s="640" t="str">
        <f>IF(OR(LEN('RETEN. y PERC.'!A296)=0,'RETEN. y PERC.'!A296=0),"",'RETEN. y PERC.'!A296)</f>
        <v/>
      </c>
      <c r="C296" s="640" t="str">
        <f>IF(OR(LEN('RETEN. y PERC.'!H296)=0,'RETEN. y PERC.'!H296=0),"",'RETEN. y PERC.'!H296)</f>
        <v/>
      </c>
      <c r="D296" s="640" t="str">
        <f>IF(OR(LEN('RETEN. y PERC.'!N296)=0,'RETEN. y PERC.'!N296=0),"",'RETEN. y PERC.'!N296)</f>
        <v/>
      </c>
      <c r="F296" s="645" t="str">
        <f>IF(OR(LEN('RETEN. y PERC.'!J296)=0,'RETEN. y PERC.'!J296=0),"",'RETEN. y PERC.'!J296)</f>
        <v/>
      </c>
    </row>
    <row r="297" spans="1:6">
      <c r="A297" s="640" t="str">
        <f>IF(OR(LEN('RETEN. y PERC.'!F297)=0,'RETEN. y PERC.'!F297=0),"",'RETEN. y PERC.'!F297)</f>
        <v/>
      </c>
      <c r="B297" s="640" t="str">
        <f>IF(OR(LEN('RETEN. y PERC.'!A297)=0,'RETEN. y PERC.'!A297=0),"",'RETEN. y PERC.'!A297)</f>
        <v/>
      </c>
      <c r="C297" s="640" t="str">
        <f>IF(OR(LEN('RETEN. y PERC.'!H297)=0,'RETEN. y PERC.'!H297=0),"",'RETEN. y PERC.'!H297)</f>
        <v/>
      </c>
      <c r="D297" s="640" t="str">
        <f>IF(OR(LEN('RETEN. y PERC.'!N297)=0,'RETEN. y PERC.'!N297=0),"",'RETEN. y PERC.'!N297)</f>
        <v/>
      </c>
      <c r="F297" s="645" t="str">
        <f>IF(OR(LEN('RETEN. y PERC.'!J297)=0,'RETEN. y PERC.'!J297=0),"",'RETEN. y PERC.'!J297)</f>
        <v/>
      </c>
    </row>
    <row r="298" spans="1:6">
      <c r="A298" s="640" t="str">
        <f>IF(OR(LEN('RETEN. y PERC.'!F298)=0,'RETEN. y PERC.'!F298=0),"",'RETEN. y PERC.'!F298)</f>
        <v/>
      </c>
      <c r="B298" s="640" t="str">
        <f>IF(OR(LEN('RETEN. y PERC.'!A298)=0,'RETEN. y PERC.'!A298=0),"",'RETEN. y PERC.'!A298)</f>
        <v/>
      </c>
      <c r="C298" s="640" t="str">
        <f>IF(OR(LEN('RETEN. y PERC.'!H298)=0,'RETEN. y PERC.'!H298=0),"",'RETEN. y PERC.'!H298)</f>
        <v/>
      </c>
      <c r="D298" s="640" t="str">
        <f>IF(OR(LEN('RETEN. y PERC.'!N298)=0,'RETEN. y PERC.'!N298=0),"",'RETEN. y PERC.'!N298)</f>
        <v/>
      </c>
      <c r="F298" s="645" t="str">
        <f>IF(OR(LEN('RETEN. y PERC.'!J298)=0,'RETEN. y PERC.'!J298=0),"",'RETEN. y PERC.'!J298)</f>
        <v/>
      </c>
    </row>
    <row r="299" spans="1:6">
      <c r="A299" s="640" t="str">
        <f>IF(OR(LEN('RETEN. y PERC.'!F299)=0,'RETEN. y PERC.'!F299=0),"",'RETEN. y PERC.'!F299)</f>
        <v/>
      </c>
      <c r="B299" s="640" t="str">
        <f>IF(OR(LEN('RETEN. y PERC.'!A299)=0,'RETEN. y PERC.'!A299=0),"",'RETEN. y PERC.'!A299)</f>
        <v/>
      </c>
      <c r="C299" s="640" t="str">
        <f>IF(OR(LEN('RETEN. y PERC.'!H299)=0,'RETEN. y PERC.'!H299=0),"",'RETEN. y PERC.'!H299)</f>
        <v/>
      </c>
      <c r="D299" s="640" t="str">
        <f>IF(OR(LEN('RETEN. y PERC.'!N299)=0,'RETEN. y PERC.'!N299=0),"",'RETEN. y PERC.'!N299)</f>
        <v/>
      </c>
      <c r="F299" s="645" t="str">
        <f>IF(OR(LEN('RETEN. y PERC.'!J299)=0,'RETEN. y PERC.'!J299=0),"",'RETEN. y PERC.'!J299)</f>
        <v/>
      </c>
    </row>
    <row r="300" spans="1:6">
      <c r="A300" s="640" t="str">
        <f>IF(OR(LEN('RETEN. y PERC.'!F300)=0,'RETEN. y PERC.'!F300=0),"",'RETEN. y PERC.'!F300)</f>
        <v/>
      </c>
      <c r="B300" s="640" t="str">
        <f>IF(OR(LEN('RETEN. y PERC.'!A300)=0,'RETEN. y PERC.'!A300=0),"",'RETEN. y PERC.'!A300)</f>
        <v/>
      </c>
      <c r="C300" s="640" t="str">
        <f>IF(OR(LEN('RETEN. y PERC.'!H300)=0,'RETEN. y PERC.'!H300=0),"",'RETEN. y PERC.'!H300)</f>
        <v/>
      </c>
      <c r="D300" s="640" t="str">
        <f>IF(OR(LEN('RETEN. y PERC.'!N300)=0,'RETEN. y PERC.'!N300=0),"",'RETEN. y PERC.'!N300)</f>
        <v/>
      </c>
      <c r="F300" s="645" t="str">
        <f>IF(OR(LEN('RETEN. y PERC.'!J300)=0,'RETEN. y PERC.'!J300=0),"",'RETEN. y PERC.'!J300)</f>
        <v/>
      </c>
    </row>
    <row r="301" spans="1:6">
      <c r="A301" s="640" t="str">
        <f>IF(OR(LEN('RETEN. y PERC.'!F301)=0,'RETEN. y PERC.'!F301=0),"",'RETEN. y PERC.'!F301)</f>
        <v/>
      </c>
      <c r="B301" s="640" t="str">
        <f>IF(OR(LEN('RETEN. y PERC.'!A301)=0,'RETEN. y PERC.'!A301=0),"",'RETEN. y PERC.'!A301)</f>
        <v/>
      </c>
      <c r="C301" s="640" t="str">
        <f>IF(OR(LEN('RETEN. y PERC.'!H301)=0,'RETEN. y PERC.'!H301=0),"",'RETEN. y PERC.'!H301)</f>
        <v/>
      </c>
      <c r="D301" s="640" t="str">
        <f>IF(OR(LEN('RETEN. y PERC.'!N301)=0,'RETEN. y PERC.'!N301=0),"",'RETEN. y PERC.'!N301)</f>
        <v/>
      </c>
      <c r="F301" s="645" t="str">
        <f>IF(OR(LEN('RETEN. y PERC.'!J301)=0,'RETEN. y PERC.'!J301=0),"",'RETEN. y PERC.'!J301)</f>
        <v/>
      </c>
    </row>
    <row r="302" spans="1:6">
      <c r="A302" s="640" t="str">
        <f>IF(OR(LEN('RETEN. y PERC.'!F302)=0,'RETEN. y PERC.'!F302=0),"",'RETEN. y PERC.'!F302)</f>
        <v/>
      </c>
      <c r="B302" s="640" t="str">
        <f>IF(OR(LEN('RETEN. y PERC.'!A302)=0,'RETEN. y PERC.'!A302=0),"",'RETEN. y PERC.'!A302)</f>
        <v/>
      </c>
      <c r="C302" s="640" t="str">
        <f>IF(OR(LEN('RETEN. y PERC.'!H302)=0,'RETEN. y PERC.'!H302=0),"",'RETEN. y PERC.'!H302)</f>
        <v/>
      </c>
      <c r="D302" s="640" t="str">
        <f>IF(OR(LEN('RETEN. y PERC.'!N302)=0,'RETEN. y PERC.'!N302=0),"",'RETEN. y PERC.'!N302)</f>
        <v/>
      </c>
      <c r="F302" s="645" t="str">
        <f>IF(OR(LEN('RETEN. y PERC.'!J302)=0,'RETEN. y PERC.'!J302=0),"",'RETEN. y PERC.'!J302)</f>
        <v/>
      </c>
    </row>
    <row r="303" spans="1:6">
      <c r="A303" s="640" t="str">
        <f>IF(OR(LEN('RETEN. y PERC.'!F303)=0,'RETEN. y PERC.'!F303=0),"",'RETEN. y PERC.'!F303)</f>
        <v/>
      </c>
      <c r="B303" s="640" t="str">
        <f>IF(OR(LEN('RETEN. y PERC.'!A303)=0,'RETEN. y PERC.'!A303=0),"",'RETEN. y PERC.'!A303)</f>
        <v/>
      </c>
      <c r="C303" s="640" t="str">
        <f>IF(OR(LEN('RETEN. y PERC.'!H303)=0,'RETEN. y PERC.'!H303=0),"",'RETEN. y PERC.'!H303)</f>
        <v/>
      </c>
      <c r="D303" s="640" t="str">
        <f>IF(OR(LEN('RETEN. y PERC.'!N303)=0,'RETEN. y PERC.'!N303=0),"",'RETEN. y PERC.'!N303)</f>
        <v/>
      </c>
      <c r="F303" s="645" t="str">
        <f>IF(OR(LEN('RETEN. y PERC.'!J303)=0,'RETEN. y PERC.'!J303=0),"",'RETEN. y PERC.'!J303)</f>
        <v/>
      </c>
    </row>
    <row r="304" spans="1:6">
      <c r="A304" s="640" t="str">
        <f>IF(OR(LEN('RETEN. y PERC.'!F304)=0,'RETEN. y PERC.'!F304=0),"",'RETEN. y PERC.'!F304)</f>
        <v/>
      </c>
      <c r="B304" s="640" t="str">
        <f>IF(OR(LEN('RETEN. y PERC.'!A304)=0,'RETEN. y PERC.'!A304=0),"",'RETEN. y PERC.'!A304)</f>
        <v/>
      </c>
      <c r="C304" s="640" t="str">
        <f>IF(OR(LEN('RETEN. y PERC.'!H304)=0,'RETEN. y PERC.'!H304=0),"",'RETEN. y PERC.'!H304)</f>
        <v/>
      </c>
      <c r="D304" s="640" t="str">
        <f>IF(OR(LEN('RETEN. y PERC.'!N304)=0,'RETEN. y PERC.'!N304=0),"",'RETEN. y PERC.'!N304)</f>
        <v/>
      </c>
      <c r="F304" s="645" t="str">
        <f>IF(OR(LEN('RETEN. y PERC.'!J304)=0,'RETEN. y PERC.'!J304=0),"",'RETEN. y PERC.'!J304)</f>
        <v/>
      </c>
    </row>
    <row r="305" spans="1:6">
      <c r="A305" s="640" t="str">
        <f>IF(OR(LEN('RETEN. y PERC.'!F305)=0,'RETEN. y PERC.'!F305=0),"",'RETEN. y PERC.'!F305)</f>
        <v/>
      </c>
      <c r="B305" s="640" t="str">
        <f>IF(OR(LEN('RETEN. y PERC.'!A305)=0,'RETEN. y PERC.'!A305=0),"",'RETEN. y PERC.'!A305)</f>
        <v/>
      </c>
      <c r="C305" s="640" t="str">
        <f>IF(OR(LEN('RETEN. y PERC.'!H305)=0,'RETEN. y PERC.'!H305=0),"",'RETEN. y PERC.'!H305)</f>
        <v/>
      </c>
      <c r="D305" s="640" t="str">
        <f>IF(OR(LEN('RETEN. y PERC.'!N305)=0,'RETEN. y PERC.'!N305=0),"",'RETEN. y PERC.'!N305)</f>
        <v/>
      </c>
      <c r="F305" s="645" t="str">
        <f>IF(OR(LEN('RETEN. y PERC.'!J305)=0,'RETEN. y PERC.'!J305=0),"",'RETEN. y PERC.'!J305)</f>
        <v/>
      </c>
    </row>
    <row r="306" spans="1:6">
      <c r="A306" s="640" t="str">
        <f>IF(OR(LEN('RETEN. y PERC.'!F306)=0,'RETEN. y PERC.'!F306=0),"",'RETEN. y PERC.'!F306)</f>
        <v/>
      </c>
      <c r="B306" s="640" t="str">
        <f>IF(OR(LEN('RETEN. y PERC.'!A306)=0,'RETEN. y PERC.'!A306=0),"",'RETEN. y PERC.'!A306)</f>
        <v/>
      </c>
      <c r="C306" s="640" t="str">
        <f>IF(OR(LEN('RETEN. y PERC.'!H306)=0,'RETEN. y PERC.'!H306=0),"",'RETEN. y PERC.'!H306)</f>
        <v/>
      </c>
      <c r="D306" s="640" t="str">
        <f>IF(OR(LEN('RETEN. y PERC.'!N306)=0,'RETEN. y PERC.'!N306=0),"",'RETEN. y PERC.'!N306)</f>
        <v/>
      </c>
      <c r="F306" s="645" t="str">
        <f>IF(OR(LEN('RETEN. y PERC.'!J306)=0,'RETEN. y PERC.'!J306=0),"",'RETEN. y PERC.'!J306)</f>
        <v/>
      </c>
    </row>
    <row r="307" spans="1:6">
      <c r="A307" s="640" t="str">
        <f>IF(OR(LEN('RETEN. y PERC.'!F307)=0,'RETEN. y PERC.'!F307=0),"",'RETEN. y PERC.'!F307)</f>
        <v/>
      </c>
      <c r="B307" s="640" t="str">
        <f>IF(OR(LEN('RETEN. y PERC.'!A307)=0,'RETEN. y PERC.'!A307=0),"",'RETEN. y PERC.'!A307)</f>
        <v/>
      </c>
      <c r="C307" s="640" t="str">
        <f>IF(OR(LEN('RETEN. y PERC.'!H307)=0,'RETEN. y PERC.'!H307=0),"",'RETEN. y PERC.'!H307)</f>
        <v/>
      </c>
      <c r="D307" s="640" t="str">
        <f>IF(OR(LEN('RETEN. y PERC.'!N307)=0,'RETEN. y PERC.'!N307=0),"",'RETEN. y PERC.'!N307)</f>
        <v/>
      </c>
      <c r="F307" s="645" t="str">
        <f>IF(OR(LEN('RETEN. y PERC.'!J307)=0,'RETEN. y PERC.'!J307=0),"",'RETEN. y PERC.'!J307)</f>
        <v/>
      </c>
    </row>
    <row r="308" spans="1:6">
      <c r="A308" s="640" t="str">
        <f>IF(OR(LEN('RETEN. y PERC.'!F308)=0,'RETEN. y PERC.'!F308=0),"",'RETEN. y PERC.'!F308)</f>
        <v/>
      </c>
      <c r="B308" s="640" t="str">
        <f>IF(OR(LEN('RETEN. y PERC.'!A308)=0,'RETEN. y PERC.'!A308=0),"",'RETEN. y PERC.'!A308)</f>
        <v/>
      </c>
      <c r="C308" s="640" t="str">
        <f>IF(OR(LEN('RETEN. y PERC.'!H308)=0,'RETEN. y PERC.'!H308=0),"",'RETEN. y PERC.'!H308)</f>
        <v/>
      </c>
      <c r="D308" s="640" t="str">
        <f>IF(OR(LEN('RETEN. y PERC.'!N308)=0,'RETEN. y PERC.'!N308=0),"",'RETEN. y PERC.'!N308)</f>
        <v/>
      </c>
      <c r="F308" s="645" t="str">
        <f>IF(OR(LEN('RETEN. y PERC.'!J308)=0,'RETEN. y PERC.'!J308=0),"",'RETEN. y PERC.'!J308)</f>
        <v/>
      </c>
    </row>
    <row r="309" spans="1:6">
      <c r="A309" s="640" t="str">
        <f>IF(OR(LEN('RETEN. y PERC.'!F309)=0,'RETEN. y PERC.'!F309=0),"",'RETEN. y PERC.'!F309)</f>
        <v/>
      </c>
      <c r="B309" s="640" t="str">
        <f>IF(OR(LEN('RETEN. y PERC.'!A309)=0,'RETEN. y PERC.'!A309=0),"",'RETEN. y PERC.'!A309)</f>
        <v/>
      </c>
      <c r="C309" s="640" t="str">
        <f>IF(OR(LEN('RETEN. y PERC.'!H309)=0,'RETEN. y PERC.'!H309=0),"",'RETEN. y PERC.'!H309)</f>
        <v/>
      </c>
      <c r="D309" s="640" t="str">
        <f>IF(OR(LEN('RETEN. y PERC.'!N309)=0,'RETEN. y PERC.'!N309=0),"",'RETEN. y PERC.'!N309)</f>
        <v/>
      </c>
      <c r="F309" s="645" t="str">
        <f>IF(OR(LEN('RETEN. y PERC.'!J309)=0,'RETEN. y PERC.'!J309=0),"",'RETEN. y PERC.'!J309)</f>
        <v/>
      </c>
    </row>
    <row r="310" spans="1:6">
      <c r="A310" s="640" t="str">
        <f>IF(OR(LEN('RETEN. y PERC.'!F310)=0,'RETEN. y PERC.'!F310=0),"",'RETEN. y PERC.'!F310)</f>
        <v/>
      </c>
      <c r="B310" s="640" t="str">
        <f>IF(OR(LEN('RETEN. y PERC.'!A310)=0,'RETEN. y PERC.'!A310=0),"",'RETEN. y PERC.'!A310)</f>
        <v/>
      </c>
      <c r="C310" s="640" t="str">
        <f>IF(OR(LEN('RETEN. y PERC.'!H310)=0,'RETEN. y PERC.'!H310=0),"",'RETEN. y PERC.'!H310)</f>
        <v/>
      </c>
      <c r="D310" s="640" t="str">
        <f>IF(OR(LEN('RETEN. y PERC.'!N310)=0,'RETEN. y PERC.'!N310=0),"",'RETEN. y PERC.'!N310)</f>
        <v/>
      </c>
      <c r="F310" s="645" t="str">
        <f>IF(OR(LEN('RETEN. y PERC.'!J310)=0,'RETEN. y PERC.'!J310=0),"",'RETEN. y PERC.'!J310)</f>
        <v/>
      </c>
    </row>
    <row r="311" spans="1:6">
      <c r="A311" s="640" t="str">
        <f>IF(OR(LEN('RETEN. y PERC.'!F311)=0,'RETEN. y PERC.'!F311=0),"",'RETEN. y PERC.'!F311)</f>
        <v/>
      </c>
      <c r="B311" s="640" t="str">
        <f>IF(OR(LEN('RETEN. y PERC.'!A311)=0,'RETEN. y PERC.'!A311=0),"",'RETEN. y PERC.'!A311)</f>
        <v/>
      </c>
      <c r="C311" s="640" t="str">
        <f>IF(OR(LEN('RETEN. y PERC.'!H311)=0,'RETEN. y PERC.'!H311=0),"",'RETEN. y PERC.'!H311)</f>
        <v/>
      </c>
      <c r="D311" s="640" t="str">
        <f>IF(OR(LEN('RETEN. y PERC.'!N311)=0,'RETEN. y PERC.'!N311=0),"",'RETEN. y PERC.'!N311)</f>
        <v/>
      </c>
      <c r="F311" s="645" t="str">
        <f>IF(OR(LEN('RETEN. y PERC.'!J311)=0,'RETEN. y PERC.'!J311=0),"",'RETEN. y PERC.'!J311)</f>
        <v/>
      </c>
    </row>
    <row r="312" spans="1:6">
      <c r="A312" s="640" t="str">
        <f>IF(OR(LEN('RETEN. y PERC.'!F312)=0,'RETEN. y PERC.'!F312=0),"",'RETEN. y PERC.'!F312)</f>
        <v/>
      </c>
      <c r="B312" s="640" t="str">
        <f>IF(OR(LEN('RETEN. y PERC.'!A312)=0,'RETEN. y PERC.'!A312=0),"",'RETEN. y PERC.'!A312)</f>
        <v/>
      </c>
      <c r="C312" s="640" t="str">
        <f>IF(OR(LEN('RETEN. y PERC.'!H312)=0,'RETEN. y PERC.'!H312=0),"",'RETEN. y PERC.'!H312)</f>
        <v/>
      </c>
      <c r="D312" s="640" t="str">
        <f>IF(OR(LEN('RETEN. y PERC.'!N312)=0,'RETEN. y PERC.'!N312=0),"",'RETEN. y PERC.'!N312)</f>
        <v/>
      </c>
      <c r="F312" s="645" t="str">
        <f>IF(OR(LEN('RETEN. y PERC.'!J312)=0,'RETEN. y PERC.'!J312=0),"",'RETEN. y PERC.'!J312)</f>
        <v/>
      </c>
    </row>
    <row r="313" spans="1:6">
      <c r="A313" s="640" t="str">
        <f>IF(OR(LEN('RETEN. y PERC.'!F313)=0,'RETEN. y PERC.'!F313=0),"",'RETEN. y PERC.'!F313)</f>
        <v/>
      </c>
      <c r="B313" s="640" t="str">
        <f>IF(OR(LEN('RETEN. y PERC.'!A313)=0,'RETEN. y PERC.'!A313=0),"",'RETEN. y PERC.'!A313)</f>
        <v/>
      </c>
      <c r="C313" s="640" t="str">
        <f>IF(OR(LEN('RETEN. y PERC.'!H313)=0,'RETEN. y PERC.'!H313=0),"",'RETEN. y PERC.'!H313)</f>
        <v/>
      </c>
      <c r="D313" s="640" t="str">
        <f>IF(OR(LEN('RETEN. y PERC.'!N313)=0,'RETEN. y PERC.'!N313=0),"",'RETEN. y PERC.'!N313)</f>
        <v/>
      </c>
      <c r="F313" s="645" t="str">
        <f>IF(OR(LEN('RETEN. y PERC.'!J313)=0,'RETEN. y PERC.'!J313=0),"",'RETEN. y PERC.'!J313)</f>
        <v/>
      </c>
    </row>
    <row r="314" spans="1:6">
      <c r="A314" s="640" t="str">
        <f>IF(OR(LEN('RETEN. y PERC.'!F314)=0,'RETEN. y PERC.'!F314=0),"",'RETEN. y PERC.'!F314)</f>
        <v/>
      </c>
      <c r="B314" s="640" t="str">
        <f>IF(OR(LEN('RETEN. y PERC.'!A314)=0,'RETEN. y PERC.'!A314=0),"",'RETEN. y PERC.'!A314)</f>
        <v/>
      </c>
      <c r="C314" s="640" t="str">
        <f>IF(OR(LEN('RETEN. y PERC.'!H314)=0,'RETEN. y PERC.'!H314=0),"",'RETEN. y PERC.'!H314)</f>
        <v/>
      </c>
      <c r="D314" s="640" t="str">
        <f>IF(OR(LEN('RETEN. y PERC.'!N314)=0,'RETEN. y PERC.'!N314=0),"",'RETEN. y PERC.'!N314)</f>
        <v/>
      </c>
      <c r="F314" s="645" t="str">
        <f>IF(OR(LEN('RETEN. y PERC.'!J314)=0,'RETEN. y PERC.'!J314=0),"",'RETEN. y PERC.'!J314)</f>
        <v/>
      </c>
    </row>
    <row r="315" spans="1:6">
      <c r="A315" s="640" t="str">
        <f>IF(OR(LEN('RETEN. y PERC.'!F315)=0,'RETEN. y PERC.'!F315=0),"",'RETEN. y PERC.'!F315)</f>
        <v/>
      </c>
      <c r="B315" s="640" t="str">
        <f>IF(OR(LEN('RETEN. y PERC.'!A315)=0,'RETEN. y PERC.'!A315=0),"",'RETEN. y PERC.'!A315)</f>
        <v/>
      </c>
      <c r="C315" s="640" t="str">
        <f>IF(OR(LEN('RETEN. y PERC.'!H315)=0,'RETEN. y PERC.'!H315=0),"",'RETEN. y PERC.'!H315)</f>
        <v/>
      </c>
      <c r="D315" s="640" t="str">
        <f>IF(OR(LEN('RETEN. y PERC.'!N315)=0,'RETEN. y PERC.'!N315=0),"",'RETEN. y PERC.'!N315)</f>
        <v/>
      </c>
      <c r="F315" s="645" t="str">
        <f>IF(OR(LEN('RETEN. y PERC.'!J315)=0,'RETEN. y PERC.'!J315=0),"",'RETEN. y PERC.'!J315)</f>
        <v/>
      </c>
    </row>
    <row r="316" spans="1:6">
      <c r="A316" s="640" t="str">
        <f>IF(OR(LEN('RETEN. y PERC.'!F316)=0,'RETEN. y PERC.'!F316=0),"",'RETEN. y PERC.'!F316)</f>
        <v/>
      </c>
      <c r="B316" s="640" t="str">
        <f>IF(OR(LEN('RETEN. y PERC.'!A316)=0,'RETEN. y PERC.'!A316=0),"",'RETEN. y PERC.'!A316)</f>
        <v/>
      </c>
      <c r="C316" s="640" t="str">
        <f>IF(OR(LEN('RETEN. y PERC.'!H316)=0,'RETEN. y PERC.'!H316=0),"",'RETEN. y PERC.'!H316)</f>
        <v/>
      </c>
      <c r="D316" s="640" t="str">
        <f>IF(OR(LEN('RETEN. y PERC.'!N316)=0,'RETEN. y PERC.'!N316=0),"",'RETEN. y PERC.'!N316)</f>
        <v/>
      </c>
      <c r="F316" s="645" t="str">
        <f>IF(OR(LEN('RETEN. y PERC.'!J316)=0,'RETEN. y PERC.'!J316=0),"",'RETEN. y PERC.'!J316)</f>
        <v/>
      </c>
    </row>
    <row r="317" spans="1:6">
      <c r="A317" s="640" t="str">
        <f>IF(OR(LEN('RETEN. y PERC.'!F317)=0,'RETEN. y PERC.'!F317=0),"",'RETEN. y PERC.'!F317)</f>
        <v/>
      </c>
      <c r="B317" s="640" t="str">
        <f>IF(OR(LEN('RETEN. y PERC.'!A317)=0,'RETEN. y PERC.'!A317=0),"",'RETEN. y PERC.'!A317)</f>
        <v/>
      </c>
      <c r="C317" s="640" t="str">
        <f>IF(OR(LEN('RETEN. y PERC.'!H317)=0,'RETEN. y PERC.'!H317=0),"",'RETEN. y PERC.'!H317)</f>
        <v/>
      </c>
      <c r="D317" s="640" t="str">
        <f>IF(OR(LEN('RETEN. y PERC.'!N317)=0,'RETEN. y PERC.'!N317=0),"",'RETEN. y PERC.'!N317)</f>
        <v/>
      </c>
      <c r="F317" s="645" t="str">
        <f>IF(OR(LEN('RETEN. y PERC.'!J317)=0,'RETEN. y PERC.'!J317=0),"",'RETEN. y PERC.'!J317)</f>
        <v/>
      </c>
    </row>
    <row r="318" spans="1:6">
      <c r="A318" s="640" t="str">
        <f>IF(OR(LEN('RETEN. y PERC.'!F318)=0,'RETEN. y PERC.'!F318=0),"",'RETEN. y PERC.'!F318)</f>
        <v/>
      </c>
      <c r="B318" s="640" t="str">
        <f>IF(OR(LEN('RETEN. y PERC.'!A318)=0,'RETEN. y PERC.'!A318=0),"",'RETEN. y PERC.'!A318)</f>
        <v/>
      </c>
      <c r="C318" s="640" t="str">
        <f>IF(OR(LEN('RETEN. y PERC.'!H318)=0,'RETEN. y PERC.'!H318=0),"",'RETEN. y PERC.'!H318)</f>
        <v/>
      </c>
      <c r="D318" s="640" t="str">
        <f>IF(OR(LEN('RETEN. y PERC.'!N318)=0,'RETEN. y PERC.'!N318=0),"",'RETEN. y PERC.'!N318)</f>
        <v/>
      </c>
      <c r="F318" s="645" t="str">
        <f>IF(OR(LEN('RETEN. y PERC.'!J318)=0,'RETEN. y PERC.'!J318=0),"",'RETEN. y PERC.'!J318)</f>
        <v/>
      </c>
    </row>
    <row r="319" spans="1:6">
      <c r="A319" s="640" t="str">
        <f>IF(OR(LEN('RETEN. y PERC.'!F319)=0,'RETEN. y PERC.'!F319=0),"",'RETEN. y PERC.'!F319)</f>
        <v/>
      </c>
      <c r="B319" s="640" t="str">
        <f>IF(OR(LEN('RETEN. y PERC.'!A319)=0,'RETEN. y PERC.'!A319=0),"",'RETEN. y PERC.'!A319)</f>
        <v/>
      </c>
      <c r="C319" s="640" t="str">
        <f>IF(OR(LEN('RETEN. y PERC.'!H319)=0,'RETEN. y PERC.'!H319=0),"",'RETEN. y PERC.'!H319)</f>
        <v/>
      </c>
      <c r="D319" s="640" t="str">
        <f>IF(OR(LEN('RETEN. y PERC.'!N319)=0,'RETEN. y PERC.'!N319=0),"",'RETEN. y PERC.'!N319)</f>
        <v/>
      </c>
      <c r="F319" s="645" t="str">
        <f>IF(OR(LEN('RETEN. y PERC.'!J319)=0,'RETEN. y PERC.'!J319=0),"",'RETEN. y PERC.'!J319)</f>
        <v/>
      </c>
    </row>
    <row r="320" spans="1:6">
      <c r="A320" s="640" t="str">
        <f>IF(OR(LEN('RETEN. y PERC.'!F320)=0,'RETEN. y PERC.'!F320=0),"",'RETEN. y PERC.'!F320)</f>
        <v/>
      </c>
      <c r="B320" s="640" t="str">
        <f>IF(OR(LEN('RETEN. y PERC.'!A320)=0,'RETEN. y PERC.'!A320=0),"",'RETEN. y PERC.'!A320)</f>
        <v/>
      </c>
      <c r="C320" s="640" t="str">
        <f>IF(OR(LEN('RETEN. y PERC.'!H320)=0,'RETEN. y PERC.'!H320=0),"",'RETEN. y PERC.'!H320)</f>
        <v/>
      </c>
      <c r="D320" s="640" t="str">
        <f>IF(OR(LEN('RETEN. y PERC.'!N320)=0,'RETEN. y PERC.'!N320=0),"",'RETEN. y PERC.'!N320)</f>
        <v/>
      </c>
      <c r="F320" s="645" t="str">
        <f>IF(OR(LEN('RETEN. y PERC.'!J320)=0,'RETEN. y PERC.'!J320=0),"",'RETEN. y PERC.'!J320)</f>
        <v/>
      </c>
    </row>
    <row r="321" spans="1:6">
      <c r="A321" s="640" t="str">
        <f>IF(OR(LEN('RETEN. y PERC.'!F321)=0,'RETEN. y PERC.'!F321=0),"",'RETEN. y PERC.'!F321)</f>
        <v/>
      </c>
      <c r="B321" s="640" t="str">
        <f>IF(OR(LEN('RETEN. y PERC.'!A321)=0,'RETEN. y PERC.'!A321=0),"",'RETEN. y PERC.'!A321)</f>
        <v/>
      </c>
      <c r="C321" s="640" t="str">
        <f>IF(OR(LEN('RETEN. y PERC.'!H321)=0,'RETEN. y PERC.'!H321=0),"",'RETEN. y PERC.'!H321)</f>
        <v/>
      </c>
      <c r="D321" s="640" t="str">
        <f>IF(OR(LEN('RETEN. y PERC.'!N321)=0,'RETEN. y PERC.'!N321=0),"",'RETEN. y PERC.'!N321)</f>
        <v/>
      </c>
      <c r="F321" s="645" t="str">
        <f>IF(OR(LEN('RETEN. y PERC.'!J321)=0,'RETEN. y PERC.'!J321=0),"",'RETEN. y PERC.'!J321)</f>
        <v/>
      </c>
    </row>
    <row r="322" spans="1:6">
      <c r="A322" s="640" t="str">
        <f>IF(OR(LEN('RETEN. y PERC.'!F322)=0,'RETEN. y PERC.'!F322=0),"",'RETEN. y PERC.'!F322)</f>
        <v/>
      </c>
      <c r="B322" s="640" t="str">
        <f>IF(OR(LEN('RETEN. y PERC.'!A322)=0,'RETEN. y PERC.'!A322=0),"",'RETEN. y PERC.'!A322)</f>
        <v/>
      </c>
      <c r="C322" s="640" t="str">
        <f>IF(OR(LEN('RETEN. y PERC.'!H322)=0,'RETEN. y PERC.'!H322=0),"",'RETEN. y PERC.'!H322)</f>
        <v/>
      </c>
      <c r="D322" s="640" t="str">
        <f>IF(OR(LEN('RETEN. y PERC.'!N322)=0,'RETEN. y PERC.'!N322=0),"",'RETEN. y PERC.'!N322)</f>
        <v/>
      </c>
      <c r="F322" s="645" t="str">
        <f>IF(OR(LEN('RETEN. y PERC.'!J322)=0,'RETEN. y PERC.'!J322=0),"",'RETEN. y PERC.'!J322)</f>
        <v/>
      </c>
    </row>
    <row r="323" spans="1:6">
      <c r="A323" s="640" t="str">
        <f>IF(OR(LEN('RETEN. y PERC.'!F323)=0,'RETEN. y PERC.'!F323=0),"",'RETEN. y PERC.'!F323)</f>
        <v/>
      </c>
      <c r="B323" s="640" t="str">
        <f>IF(OR(LEN('RETEN. y PERC.'!A323)=0,'RETEN. y PERC.'!A323=0),"",'RETEN. y PERC.'!A323)</f>
        <v/>
      </c>
      <c r="C323" s="640" t="str">
        <f>IF(OR(LEN('RETEN. y PERC.'!H323)=0,'RETEN. y PERC.'!H323=0),"",'RETEN. y PERC.'!H323)</f>
        <v/>
      </c>
      <c r="D323" s="640" t="str">
        <f>IF(OR(LEN('RETEN. y PERC.'!N323)=0,'RETEN. y PERC.'!N323=0),"",'RETEN. y PERC.'!N323)</f>
        <v/>
      </c>
      <c r="F323" s="645" t="str">
        <f>IF(OR(LEN('RETEN. y PERC.'!J323)=0,'RETEN. y PERC.'!J323=0),"",'RETEN. y PERC.'!J323)</f>
        <v/>
      </c>
    </row>
    <row r="324" spans="1:6">
      <c r="A324" s="640" t="str">
        <f>IF(OR(LEN('RETEN. y PERC.'!F324)=0,'RETEN. y PERC.'!F324=0),"",'RETEN. y PERC.'!F324)</f>
        <v/>
      </c>
      <c r="B324" s="640" t="str">
        <f>IF(OR(LEN('RETEN. y PERC.'!A324)=0,'RETEN. y PERC.'!A324=0),"",'RETEN. y PERC.'!A324)</f>
        <v/>
      </c>
      <c r="C324" s="640" t="str">
        <f>IF(OR(LEN('RETEN. y PERC.'!H324)=0,'RETEN. y PERC.'!H324=0),"",'RETEN. y PERC.'!H324)</f>
        <v/>
      </c>
      <c r="D324" s="640" t="str">
        <f>IF(OR(LEN('RETEN. y PERC.'!N324)=0,'RETEN. y PERC.'!N324=0),"",'RETEN. y PERC.'!N324)</f>
        <v/>
      </c>
      <c r="F324" s="645" t="str">
        <f>IF(OR(LEN('RETEN. y PERC.'!J324)=0,'RETEN. y PERC.'!J324=0),"",'RETEN. y PERC.'!J324)</f>
        <v/>
      </c>
    </row>
    <row r="325" spans="1:6">
      <c r="A325" s="640" t="str">
        <f>IF(OR(LEN('RETEN. y PERC.'!F325)=0,'RETEN. y PERC.'!F325=0),"",'RETEN. y PERC.'!F325)</f>
        <v/>
      </c>
      <c r="B325" s="640" t="str">
        <f>IF(OR(LEN('RETEN. y PERC.'!A325)=0,'RETEN. y PERC.'!A325=0),"",'RETEN. y PERC.'!A325)</f>
        <v/>
      </c>
      <c r="C325" s="640" t="str">
        <f>IF(OR(LEN('RETEN. y PERC.'!H325)=0,'RETEN. y PERC.'!H325=0),"",'RETEN. y PERC.'!H325)</f>
        <v/>
      </c>
      <c r="D325" s="640" t="str">
        <f>IF(OR(LEN('RETEN. y PERC.'!N325)=0,'RETEN. y PERC.'!N325=0),"",'RETEN. y PERC.'!N325)</f>
        <v/>
      </c>
      <c r="F325" s="645" t="str">
        <f>IF(OR(LEN('RETEN. y PERC.'!J325)=0,'RETEN. y PERC.'!J325=0),"",'RETEN. y PERC.'!J325)</f>
        <v/>
      </c>
    </row>
    <row r="326" spans="1:6">
      <c r="A326" s="640" t="str">
        <f>IF(OR(LEN('RETEN. y PERC.'!F326)=0,'RETEN. y PERC.'!F326=0),"",'RETEN. y PERC.'!F326)</f>
        <v/>
      </c>
      <c r="B326" s="640" t="str">
        <f>IF(OR(LEN('RETEN. y PERC.'!A326)=0,'RETEN. y PERC.'!A326=0),"",'RETEN. y PERC.'!A326)</f>
        <v/>
      </c>
      <c r="C326" s="640" t="str">
        <f>IF(OR(LEN('RETEN. y PERC.'!H326)=0,'RETEN. y PERC.'!H326=0),"",'RETEN. y PERC.'!H326)</f>
        <v/>
      </c>
      <c r="D326" s="640" t="str">
        <f>IF(OR(LEN('RETEN. y PERC.'!N326)=0,'RETEN. y PERC.'!N326=0),"",'RETEN. y PERC.'!N326)</f>
        <v/>
      </c>
      <c r="F326" s="645" t="str">
        <f>IF(OR(LEN('RETEN. y PERC.'!J326)=0,'RETEN. y PERC.'!J326=0),"",'RETEN. y PERC.'!J326)</f>
        <v/>
      </c>
    </row>
    <row r="327" spans="1:6">
      <c r="A327" s="640" t="str">
        <f>IF(OR(LEN('RETEN. y PERC.'!F327)=0,'RETEN. y PERC.'!F327=0),"",'RETEN. y PERC.'!F327)</f>
        <v/>
      </c>
      <c r="B327" s="640" t="str">
        <f>IF(OR(LEN('RETEN. y PERC.'!A327)=0,'RETEN. y PERC.'!A327=0),"",'RETEN. y PERC.'!A327)</f>
        <v/>
      </c>
      <c r="C327" s="640" t="str">
        <f>IF(OR(LEN('RETEN. y PERC.'!H327)=0,'RETEN. y PERC.'!H327=0),"",'RETEN. y PERC.'!H327)</f>
        <v/>
      </c>
      <c r="D327" s="640" t="str">
        <f>IF(OR(LEN('RETEN. y PERC.'!N327)=0,'RETEN. y PERC.'!N327=0),"",'RETEN. y PERC.'!N327)</f>
        <v/>
      </c>
      <c r="F327" s="645" t="str">
        <f>IF(OR(LEN('RETEN. y PERC.'!J327)=0,'RETEN. y PERC.'!J327=0),"",'RETEN. y PERC.'!J327)</f>
        <v/>
      </c>
    </row>
    <row r="328" spans="1:6">
      <c r="A328" s="640" t="str">
        <f>IF(OR(LEN('RETEN. y PERC.'!F328)=0,'RETEN. y PERC.'!F328=0),"",'RETEN. y PERC.'!F328)</f>
        <v/>
      </c>
      <c r="B328" s="640" t="str">
        <f>IF(OR(LEN('RETEN. y PERC.'!A328)=0,'RETEN. y PERC.'!A328=0),"",'RETEN. y PERC.'!A328)</f>
        <v/>
      </c>
      <c r="C328" s="640" t="str">
        <f>IF(OR(LEN('RETEN. y PERC.'!H328)=0,'RETEN. y PERC.'!H328=0),"",'RETEN. y PERC.'!H328)</f>
        <v/>
      </c>
      <c r="D328" s="640" t="str">
        <f>IF(OR(LEN('RETEN. y PERC.'!N328)=0,'RETEN. y PERC.'!N328=0),"",'RETEN. y PERC.'!N328)</f>
        <v/>
      </c>
      <c r="F328" s="645" t="str">
        <f>IF(OR(LEN('RETEN. y PERC.'!J328)=0,'RETEN. y PERC.'!J328=0),"",'RETEN. y PERC.'!J328)</f>
        <v/>
      </c>
    </row>
    <row r="329" spans="1:6">
      <c r="A329" s="640" t="str">
        <f>IF(OR(LEN('RETEN. y PERC.'!F329)=0,'RETEN. y PERC.'!F329=0),"",'RETEN. y PERC.'!F329)</f>
        <v/>
      </c>
      <c r="B329" s="640" t="str">
        <f>IF(OR(LEN('RETEN. y PERC.'!A329)=0,'RETEN. y PERC.'!A329=0),"",'RETEN. y PERC.'!A329)</f>
        <v/>
      </c>
      <c r="C329" s="640" t="str">
        <f>IF(OR(LEN('RETEN. y PERC.'!H329)=0,'RETEN. y PERC.'!H329=0),"",'RETEN. y PERC.'!H329)</f>
        <v/>
      </c>
      <c r="D329" s="640" t="str">
        <f>IF(OR(LEN('RETEN. y PERC.'!N329)=0,'RETEN. y PERC.'!N329=0),"",'RETEN. y PERC.'!N329)</f>
        <v/>
      </c>
      <c r="F329" s="645" t="str">
        <f>IF(OR(LEN('RETEN. y PERC.'!J329)=0,'RETEN. y PERC.'!J329=0),"",'RETEN. y PERC.'!J329)</f>
        <v/>
      </c>
    </row>
    <row r="330" spans="1:6">
      <c r="A330" s="640" t="str">
        <f>IF(OR(LEN('RETEN. y PERC.'!F330)=0,'RETEN. y PERC.'!F330=0),"",'RETEN. y PERC.'!F330)</f>
        <v/>
      </c>
      <c r="B330" s="640" t="str">
        <f>IF(OR(LEN('RETEN. y PERC.'!A330)=0,'RETEN. y PERC.'!A330=0),"",'RETEN. y PERC.'!A330)</f>
        <v/>
      </c>
      <c r="C330" s="640" t="str">
        <f>IF(OR(LEN('RETEN. y PERC.'!H330)=0,'RETEN. y PERC.'!H330=0),"",'RETEN. y PERC.'!H330)</f>
        <v/>
      </c>
      <c r="D330" s="640" t="str">
        <f>IF(OR(LEN('RETEN. y PERC.'!N330)=0,'RETEN. y PERC.'!N330=0),"",'RETEN. y PERC.'!N330)</f>
        <v/>
      </c>
      <c r="F330" s="645" t="str">
        <f>IF(OR(LEN('RETEN. y PERC.'!J330)=0,'RETEN. y PERC.'!J330=0),"",'RETEN. y PERC.'!J330)</f>
        <v/>
      </c>
    </row>
    <row r="331" spans="1:6">
      <c r="A331" s="640" t="str">
        <f>IF(OR(LEN('RETEN. y PERC.'!F331)=0,'RETEN. y PERC.'!F331=0),"",'RETEN. y PERC.'!F331)</f>
        <v/>
      </c>
      <c r="B331" s="640" t="str">
        <f>IF(OR(LEN('RETEN. y PERC.'!A331)=0,'RETEN. y PERC.'!A331=0),"",'RETEN. y PERC.'!A331)</f>
        <v/>
      </c>
      <c r="C331" s="640" t="str">
        <f>IF(OR(LEN('RETEN. y PERC.'!H331)=0,'RETEN. y PERC.'!H331=0),"",'RETEN. y PERC.'!H331)</f>
        <v/>
      </c>
      <c r="D331" s="640" t="str">
        <f>IF(OR(LEN('RETEN. y PERC.'!N331)=0,'RETEN. y PERC.'!N331=0),"",'RETEN. y PERC.'!N331)</f>
        <v/>
      </c>
      <c r="F331" s="645" t="str">
        <f>IF(OR(LEN('RETEN. y PERC.'!J331)=0,'RETEN. y PERC.'!J331=0),"",'RETEN. y PERC.'!J331)</f>
        <v/>
      </c>
    </row>
    <row r="332" spans="1:6">
      <c r="A332" s="640" t="str">
        <f>IF(OR(LEN('RETEN. y PERC.'!F332)=0,'RETEN. y PERC.'!F332=0),"",'RETEN. y PERC.'!F332)</f>
        <v/>
      </c>
      <c r="B332" s="640" t="str">
        <f>IF(OR(LEN('RETEN. y PERC.'!A332)=0,'RETEN. y PERC.'!A332=0),"",'RETEN. y PERC.'!A332)</f>
        <v/>
      </c>
      <c r="C332" s="640" t="str">
        <f>IF(OR(LEN('RETEN. y PERC.'!H332)=0,'RETEN. y PERC.'!H332=0),"",'RETEN. y PERC.'!H332)</f>
        <v/>
      </c>
      <c r="D332" s="640" t="str">
        <f>IF(OR(LEN('RETEN. y PERC.'!N332)=0,'RETEN. y PERC.'!N332=0),"",'RETEN. y PERC.'!N332)</f>
        <v/>
      </c>
      <c r="F332" s="645" t="str">
        <f>IF(OR(LEN('RETEN. y PERC.'!J332)=0,'RETEN. y PERC.'!J332=0),"",'RETEN. y PERC.'!J332)</f>
        <v/>
      </c>
    </row>
    <row r="333" spans="1:6">
      <c r="A333" s="640" t="str">
        <f>IF(OR(LEN('RETEN. y PERC.'!F333)=0,'RETEN. y PERC.'!F333=0),"",'RETEN. y PERC.'!F333)</f>
        <v/>
      </c>
      <c r="B333" s="640" t="str">
        <f>IF(OR(LEN('RETEN. y PERC.'!A333)=0,'RETEN. y PERC.'!A333=0),"",'RETEN. y PERC.'!A333)</f>
        <v/>
      </c>
      <c r="C333" s="640" t="str">
        <f>IF(OR(LEN('RETEN. y PERC.'!H333)=0,'RETEN. y PERC.'!H333=0),"",'RETEN. y PERC.'!H333)</f>
        <v/>
      </c>
      <c r="D333" s="640" t="str">
        <f>IF(OR(LEN('RETEN. y PERC.'!N333)=0,'RETEN. y PERC.'!N333=0),"",'RETEN. y PERC.'!N333)</f>
        <v/>
      </c>
      <c r="F333" s="645" t="str">
        <f>IF(OR(LEN('RETEN. y PERC.'!J333)=0,'RETEN. y PERC.'!J333=0),"",'RETEN. y PERC.'!J333)</f>
        <v/>
      </c>
    </row>
    <row r="334" spans="1:6">
      <c r="A334" s="640" t="str">
        <f>IF(OR(LEN('RETEN. y PERC.'!F334)=0,'RETEN. y PERC.'!F334=0),"",'RETEN. y PERC.'!F334)</f>
        <v/>
      </c>
      <c r="B334" s="640" t="str">
        <f>IF(OR(LEN('RETEN. y PERC.'!A334)=0,'RETEN. y PERC.'!A334=0),"",'RETEN. y PERC.'!A334)</f>
        <v/>
      </c>
      <c r="C334" s="640" t="str">
        <f>IF(OR(LEN('RETEN. y PERC.'!H334)=0,'RETEN. y PERC.'!H334=0),"",'RETEN. y PERC.'!H334)</f>
        <v/>
      </c>
      <c r="D334" s="640" t="str">
        <f>IF(OR(LEN('RETEN. y PERC.'!N334)=0,'RETEN. y PERC.'!N334=0),"",'RETEN. y PERC.'!N334)</f>
        <v/>
      </c>
      <c r="F334" s="645" t="str">
        <f>IF(OR(LEN('RETEN. y PERC.'!J334)=0,'RETEN. y PERC.'!J334=0),"",'RETEN. y PERC.'!J334)</f>
        <v/>
      </c>
    </row>
    <row r="335" spans="1:6">
      <c r="A335" s="640" t="str">
        <f>IF(OR(LEN('RETEN. y PERC.'!F335)=0,'RETEN. y PERC.'!F335=0),"",'RETEN. y PERC.'!F335)</f>
        <v/>
      </c>
      <c r="B335" s="640" t="str">
        <f>IF(OR(LEN('RETEN. y PERC.'!A335)=0,'RETEN. y PERC.'!A335=0),"",'RETEN. y PERC.'!A335)</f>
        <v/>
      </c>
      <c r="C335" s="640" t="str">
        <f>IF(OR(LEN('RETEN. y PERC.'!H335)=0,'RETEN. y PERC.'!H335=0),"",'RETEN. y PERC.'!H335)</f>
        <v/>
      </c>
      <c r="D335" s="640" t="str">
        <f>IF(OR(LEN('RETEN. y PERC.'!N335)=0,'RETEN. y PERC.'!N335=0),"",'RETEN. y PERC.'!N335)</f>
        <v/>
      </c>
      <c r="F335" s="645" t="str">
        <f>IF(OR(LEN('RETEN. y PERC.'!J335)=0,'RETEN. y PERC.'!J335=0),"",'RETEN. y PERC.'!J335)</f>
        <v/>
      </c>
    </row>
    <row r="336" spans="1:6">
      <c r="A336" s="640" t="str">
        <f>IF(OR(LEN('RETEN. y PERC.'!F336)=0,'RETEN. y PERC.'!F336=0),"",'RETEN. y PERC.'!F336)</f>
        <v/>
      </c>
      <c r="B336" s="640" t="str">
        <f>IF(OR(LEN('RETEN. y PERC.'!A336)=0,'RETEN. y PERC.'!A336=0),"",'RETEN. y PERC.'!A336)</f>
        <v/>
      </c>
      <c r="C336" s="640" t="str">
        <f>IF(OR(LEN('RETEN. y PERC.'!H336)=0,'RETEN. y PERC.'!H336=0),"",'RETEN. y PERC.'!H336)</f>
        <v/>
      </c>
      <c r="D336" s="640" t="str">
        <f>IF(OR(LEN('RETEN. y PERC.'!N336)=0,'RETEN. y PERC.'!N336=0),"",'RETEN. y PERC.'!N336)</f>
        <v/>
      </c>
      <c r="F336" s="645" t="str">
        <f>IF(OR(LEN('RETEN. y PERC.'!J336)=0,'RETEN. y PERC.'!J336=0),"",'RETEN. y PERC.'!J336)</f>
        <v/>
      </c>
    </row>
    <row r="337" spans="1:6">
      <c r="A337" s="640" t="str">
        <f>IF(OR(LEN('RETEN. y PERC.'!F337)=0,'RETEN. y PERC.'!F337=0),"",'RETEN. y PERC.'!F337)</f>
        <v/>
      </c>
      <c r="B337" s="640" t="str">
        <f>IF(OR(LEN('RETEN. y PERC.'!A337)=0,'RETEN. y PERC.'!A337=0),"",'RETEN. y PERC.'!A337)</f>
        <v/>
      </c>
      <c r="C337" s="640" t="str">
        <f>IF(OR(LEN('RETEN. y PERC.'!H337)=0,'RETEN. y PERC.'!H337=0),"",'RETEN. y PERC.'!H337)</f>
        <v/>
      </c>
      <c r="D337" s="640" t="str">
        <f>IF(OR(LEN('RETEN. y PERC.'!N337)=0,'RETEN. y PERC.'!N337=0),"",'RETEN. y PERC.'!N337)</f>
        <v/>
      </c>
      <c r="F337" s="645" t="str">
        <f>IF(OR(LEN('RETEN. y PERC.'!J337)=0,'RETEN. y PERC.'!J337=0),"",'RETEN. y PERC.'!J337)</f>
        <v/>
      </c>
    </row>
    <row r="338" spans="1:6">
      <c r="A338" s="640" t="str">
        <f>IF(OR(LEN('RETEN. y PERC.'!F338)=0,'RETEN. y PERC.'!F338=0),"",'RETEN. y PERC.'!F338)</f>
        <v/>
      </c>
      <c r="B338" s="640" t="str">
        <f>IF(OR(LEN('RETEN. y PERC.'!A338)=0,'RETEN. y PERC.'!A338=0),"",'RETEN. y PERC.'!A338)</f>
        <v/>
      </c>
      <c r="C338" s="640" t="str">
        <f>IF(OR(LEN('RETEN. y PERC.'!H338)=0,'RETEN. y PERC.'!H338=0),"",'RETEN. y PERC.'!H338)</f>
        <v/>
      </c>
      <c r="D338" s="640" t="str">
        <f>IF(OR(LEN('RETEN. y PERC.'!N338)=0,'RETEN. y PERC.'!N338=0),"",'RETEN. y PERC.'!N338)</f>
        <v/>
      </c>
      <c r="F338" s="645" t="str">
        <f>IF(OR(LEN('RETEN. y PERC.'!J338)=0,'RETEN. y PERC.'!J338=0),"",'RETEN. y PERC.'!J338)</f>
        <v/>
      </c>
    </row>
    <row r="339" spans="1:6">
      <c r="A339" s="640" t="str">
        <f>IF(OR(LEN('RETEN. y PERC.'!F339)=0,'RETEN. y PERC.'!F339=0),"",'RETEN. y PERC.'!F339)</f>
        <v/>
      </c>
      <c r="B339" s="640" t="str">
        <f>IF(OR(LEN('RETEN. y PERC.'!A339)=0,'RETEN. y PERC.'!A339=0),"",'RETEN. y PERC.'!A339)</f>
        <v/>
      </c>
      <c r="C339" s="640" t="str">
        <f>IF(OR(LEN('RETEN. y PERC.'!H339)=0,'RETEN. y PERC.'!H339=0),"",'RETEN. y PERC.'!H339)</f>
        <v/>
      </c>
      <c r="D339" s="640" t="str">
        <f>IF(OR(LEN('RETEN. y PERC.'!N339)=0,'RETEN. y PERC.'!N339=0),"",'RETEN. y PERC.'!N339)</f>
        <v/>
      </c>
      <c r="F339" s="645" t="str">
        <f>IF(OR(LEN('RETEN. y PERC.'!J339)=0,'RETEN. y PERC.'!J339=0),"",'RETEN. y PERC.'!J339)</f>
        <v/>
      </c>
    </row>
    <row r="340" spans="1:6">
      <c r="A340" s="640" t="str">
        <f>IF(OR(LEN('RETEN. y PERC.'!F340)=0,'RETEN. y PERC.'!F340=0),"",'RETEN. y PERC.'!F340)</f>
        <v/>
      </c>
      <c r="B340" s="640" t="str">
        <f>IF(OR(LEN('RETEN. y PERC.'!A340)=0,'RETEN. y PERC.'!A340=0),"",'RETEN. y PERC.'!A340)</f>
        <v/>
      </c>
      <c r="C340" s="640" t="str">
        <f>IF(OR(LEN('RETEN. y PERC.'!H340)=0,'RETEN. y PERC.'!H340=0),"",'RETEN. y PERC.'!H340)</f>
        <v/>
      </c>
      <c r="D340" s="640" t="str">
        <f>IF(OR(LEN('RETEN. y PERC.'!N340)=0,'RETEN. y PERC.'!N340=0),"",'RETEN. y PERC.'!N340)</f>
        <v/>
      </c>
      <c r="F340" s="645" t="str">
        <f>IF(OR(LEN('RETEN. y PERC.'!J340)=0,'RETEN. y PERC.'!J340=0),"",'RETEN. y PERC.'!J340)</f>
        <v/>
      </c>
    </row>
    <row r="341" spans="1:6">
      <c r="A341" s="640" t="str">
        <f>IF(OR(LEN('RETEN. y PERC.'!F341)=0,'RETEN. y PERC.'!F341=0),"",'RETEN. y PERC.'!F341)</f>
        <v/>
      </c>
      <c r="B341" s="640" t="str">
        <f>IF(OR(LEN('RETEN. y PERC.'!A341)=0,'RETEN. y PERC.'!A341=0),"",'RETEN. y PERC.'!A341)</f>
        <v/>
      </c>
      <c r="C341" s="640" t="str">
        <f>IF(OR(LEN('RETEN. y PERC.'!H341)=0,'RETEN. y PERC.'!H341=0),"",'RETEN. y PERC.'!H341)</f>
        <v/>
      </c>
      <c r="D341" s="640" t="str">
        <f>IF(OR(LEN('RETEN. y PERC.'!N341)=0,'RETEN. y PERC.'!N341=0),"",'RETEN. y PERC.'!N341)</f>
        <v/>
      </c>
      <c r="F341" s="645" t="str">
        <f>IF(OR(LEN('RETEN. y PERC.'!J341)=0,'RETEN. y PERC.'!J341=0),"",'RETEN. y PERC.'!J341)</f>
        <v/>
      </c>
    </row>
    <row r="342" spans="1:6">
      <c r="A342" s="640" t="str">
        <f>IF(OR(LEN('RETEN. y PERC.'!F342)=0,'RETEN. y PERC.'!F342=0),"",'RETEN. y PERC.'!F342)</f>
        <v/>
      </c>
      <c r="B342" s="640" t="str">
        <f>IF(OR(LEN('RETEN. y PERC.'!A342)=0,'RETEN. y PERC.'!A342=0),"",'RETEN. y PERC.'!A342)</f>
        <v/>
      </c>
      <c r="C342" s="640" t="str">
        <f>IF(OR(LEN('RETEN. y PERC.'!H342)=0,'RETEN. y PERC.'!H342=0),"",'RETEN. y PERC.'!H342)</f>
        <v/>
      </c>
      <c r="D342" s="640" t="str">
        <f>IF(OR(LEN('RETEN. y PERC.'!N342)=0,'RETEN. y PERC.'!N342=0),"",'RETEN. y PERC.'!N342)</f>
        <v/>
      </c>
      <c r="F342" s="645" t="str">
        <f>IF(OR(LEN('RETEN. y PERC.'!J342)=0,'RETEN. y PERC.'!J342=0),"",'RETEN. y PERC.'!J342)</f>
        <v/>
      </c>
    </row>
    <row r="343" spans="1:6">
      <c r="A343" s="640" t="str">
        <f>IF(OR(LEN('RETEN. y PERC.'!F343)=0,'RETEN. y PERC.'!F343=0),"",'RETEN. y PERC.'!F343)</f>
        <v/>
      </c>
      <c r="B343" s="640" t="str">
        <f>IF(OR(LEN('RETEN. y PERC.'!A343)=0,'RETEN. y PERC.'!A343=0),"",'RETEN. y PERC.'!A343)</f>
        <v/>
      </c>
      <c r="C343" s="640" t="str">
        <f>IF(OR(LEN('RETEN. y PERC.'!H343)=0,'RETEN. y PERC.'!H343=0),"",'RETEN. y PERC.'!H343)</f>
        <v/>
      </c>
      <c r="D343" s="640" t="str">
        <f>IF(OR(LEN('RETEN. y PERC.'!N343)=0,'RETEN. y PERC.'!N343=0),"",'RETEN. y PERC.'!N343)</f>
        <v/>
      </c>
      <c r="F343" s="645" t="str">
        <f>IF(OR(LEN('RETEN. y PERC.'!J343)=0,'RETEN. y PERC.'!J343=0),"",'RETEN. y PERC.'!J343)</f>
        <v/>
      </c>
    </row>
    <row r="344" spans="1:6">
      <c r="A344" s="640" t="str">
        <f>IF(OR(LEN('RETEN. y PERC.'!F344)=0,'RETEN. y PERC.'!F344=0),"",'RETEN. y PERC.'!F344)</f>
        <v/>
      </c>
      <c r="B344" s="640" t="str">
        <f>IF(OR(LEN('RETEN. y PERC.'!A344)=0,'RETEN. y PERC.'!A344=0),"",'RETEN. y PERC.'!A344)</f>
        <v/>
      </c>
      <c r="C344" s="640" t="str">
        <f>IF(OR(LEN('RETEN. y PERC.'!H344)=0,'RETEN. y PERC.'!H344=0),"",'RETEN. y PERC.'!H344)</f>
        <v/>
      </c>
      <c r="D344" s="640" t="str">
        <f>IF(OR(LEN('RETEN. y PERC.'!N344)=0,'RETEN. y PERC.'!N344=0),"",'RETEN. y PERC.'!N344)</f>
        <v/>
      </c>
      <c r="F344" s="645" t="str">
        <f>IF(OR(LEN('RETEN. y PERC.'!J344)=0,'RETEN. y PERC.'!J344=0),"",'RETEN. y PERC.'!J344)</f>
        <v/>
      </c>
    </row>
    <row r="345" spans="1:6">
      <c r="A345" s="640" t="str">
        <f>IF(OR(LEN('RETEN. y PERC.'!F345)=0,'RETEN. y PERC.'!F345=0),"",'RETEN. y PERC.'!F345)</f>
        <v/>
      </c>
      <c r="B345" s="640" t="str">
        <f>IF(OR(LEN('RETEN. y PERC.'!A345)=0,'RETEN. y PERC.'!A345=0),"",'RETEN. y PERC.'!A345)</f>
        <v/>
      </c>
      <c r="C345" s="640" t="str">
        <f>IF(OR(LEN('RETEN. y PERC.'!H345)=0,'RETEN. y PERC.'!H345=0),"",'RETEN. y PERC.'!H345)</f>
        <v/>
      </c>
      <c r="D345" s="640" t="str">
        <f>IF(OR(LEN('RETEN. y PERC.'!N345)=0,'RETEN. y PERC.'!N345=0),"",'RETEN. y PERC.'!N345)</f>
        <v/>
      </c>
      <c r="F345" s="645" t="str">
        <f>IF(OR(LEN('RETEN. y PERC.'!J345)=0,'RETEN. y PERC.'!J345=0),"",'RETEN. y PERC.'!J345)</f>
        <v/>
      </c>
    </row>
    <row r="346" spans="1:6">
      <c r="A346" s="640" t="str">
        <f>IF(OR(LEN('RETEN. y PERC.'!F346)=0,'RETEN. y PERC.'!F346=0),"",'RETEN. y PERC.'!F346)</f>
        <v/>
      </c>
      <c r="B346" s="640" t="str">
        <f>IF(OR(LEN('RETEN. y PERC.'!A346)=0,'RETEN. y PERC.'!A346=0),"",'RETEN. y PERC.'!A346)</f>
        <v/>
      </c>
      <c r="C346" s="640" t="str">
        <f>IF(OR(LEN('RETEN. y PERC.'!H346)=0,'RETEN. y PERC.'!H346=0),"",'RETEN. y PERC.'!H346)</f>
        <v/>
      </c>
      <c r="D346" s="640" t="str">
        <f>IF(OR(LEN('RETEN. y PERC.'!N346)=0,'RETEN. y PERC.'!N346=0),"",'RETEN. y PERC.'!N346)</f>
        <v/>
      </c>
      <c r="F346" s="645" t="str">
        <f>IF(OR(LEN('RETEN. y PERC.'!J346)=0,'RETEN. y PERC.'!J346=0),"",'RETEN. y PERC.'!J346)</f>
        <v/>
      </c>
    </row>
    <row r="347" spans="1:6">
      <c r="A347" s="640" t="str">
        <f>IF(OR(LEN('RETEN. y PERC.'!F347)=0,'RETEN. y PERC.'!F347=0),"",'RETEN. y PERC.'!F347)</f>
        <v/>
      </c>
      <c r="B347" s="640" t="str">
        <f>IF(OR(LEN('RETEN. y PERC.'!A347)=0,'RETEN. y PERC.'!A347=0),"",'RETEN. y PERC.'!A347)</f>
        <v/>
      </c>
      <c r="C347" s="640" t="str">
        <f>IF(OR(LEN('RETEN. y PERC.'!H347)=0,'RETEN. y PERC.'!H347=0),"",'RETEN. y PERC.'!H347)</f>
        <v/>
      </c>
      <c r="D347" s="640" t="str">
        <f>IF(OR(LEN('RETEN. y PERC.'!N347)=0,'RETEN. y PERC.'!N347=0),"",'RETEN. y PERC.'!N347)</f>
        <v/>
      </c>
      <c r="F347" s="645" t="str">
        <f>IF(OR(LEN('RETEN. y PERC.'!J347)=0,'RETEN. y PERC.'!J347=0),"",'RETEN. y PERC.'!J347)</f>
        <v/>
      </c>
    </row>
    <row r="348" spans="1:6">
      <c r="A348" s="640" t="str">
        <f>IF(OR(LEN('RETEN. y PERC.'!F348)=0,'RETEN. y PERC.'!F348=0),"",'RETEN. y PERC.'!F348)</f>
        <v/>
      </c>
      <c r="B348" s="640" t="str">
        <f>IF(OR(LEN('RETEN. y PERC.'!A348)=0,'RETEN. y PERC.'!A348=0),"",'RETEN. y PERC.'!A348)</f>
        <v/>
      </c>
      <c r="C348" s="640" t="str">
        <f>IF(OR(LEN('RETEN. y PERC.'!H348)=0,'RETEN. y PERC.'!H348=0),"",'RETEN. y PERC.'!H348)</f>
        <v/>
      </c>
      <c r="D348" s="640" t="str">
        <f>IF(OR(LEN('RETEN. y PERC.'!N348)=0,'RETEN. y PERC.'!N348=0),"",'RETEN. y PERC.'!N348)</f>
        <v/>
      </c>
      <c r="F348" s="645" t="str">
        <f>IF(OR(LEN('RETEN. y PERC.'!J348)=0,'RETEN. y PERC.'!J348=0),"",'RETEN. y PERC.'!J348)</f>
        <v/>
      </c>
    </row>
    <row r="349" spans="1:6">
      <c r="A349" s="640" t="str">
        <f>IF(OR(LEN('RETEN. y PERC.'!F349)=0,'RETEN. y PERC.'!F349=0),"",'RETEN. y PERC.'!F349)</f>
        <v/>
      </c>
      <c r="B349" s="640" t="str">
        <f>IF(OR(LEN('RETEN. y PERC.'!A349)=0,'RETEN. y PERC.'!A349=0),"",'RETEN. y PERC.'!A349)</f>
        <v/>
      </c>
      <c r="C349" s="640" t="str">
        <f>IF(OR(LEN('RETEN. y PERC.'!H349)=0,'RETEN. y PERC.'!H349=0),"",'RETEN. y PERC.'!H349)</f>
        <v/>
      </c>
      <c r="D349" s="640" t="str">
        <f>IF(OR(LEN('RETEN. y PERC.'!N349)=0,'RETEN. y PERC.'!N349=0),"",'RETEN. y PERC.'!N349)</f>
        <v/>
      </c>
      <c r="F349" s="645" t="str">
        <f>IF(OR(LEN('RETEN. y PERC.'!J349)=0,'RETEN. y PERC.'!J349=0),"",'RETEN. y PERC.'!J349)</f>
        <v/>
      </c>
    </row>
    <row r="350" spans="1:6">
      <c r="A350" s="640" t="str">
        <f>IF(OR(LEN('RETEN. y PERC.'!F350)=0,'RETEN. y PERC.'!F350=0),"",'RETEN. y PERC.'!F350)</f>
        <v/>
      </c>
      <c r="B350" s="640" t="str">
        <f>IF(OR(LEN('RETEN. y PERC.'!A350)=0,'RETEN. y PERC.'!A350=0),"",'RETEN. y PERC.'!A350)</f>
        <v/>
      </c>
      <c r="C350" s="640" t="str">
        <f>IF(OR(LEN('RETEN. y PERC.'!H350)=0,'RETEN. y PERC.'!H350=0),"",'RETEN. y PERC.'!H350)</f>
        <v/>
      </c>
      <c r="D350" s="640" t="str">
        <f>IF(OR(LEN('RETEN. y PERC.'!N350)=0,'RETEN. y PERC.'!N350=0),"",'RETEN. y PERC.'!N350)</f>
        <v/>
      </c>
      <c r="F350" s="645" t="str">
        <f>IF(OR(LEN('RETEN. y PERC.'!J350)=0,'RETEN. y PERC.'!J350=0),"",'RETEN. y PERC.'!J350)</f>
        <v/>
      </c>
    </row>
    <row r="351" spans="1:6">
      <c r="A351" s="640" t="str">
        <f>IF(OR(LEN('RETEN. y PERC.'!F351)=0,'RETEN. y PERC.'!F351=0),"",'RETEN. y PERC.'!F351)</f>
        <v/>
      </c>
      <c r="B351" s="640" t="str">
        <f>IF(OR(LEN('RETEN. y PERC.'!A351)=0,'RETEN. y PERC.'!A351=0),"",'RETEN. y PERC.'!A351)</f>
        <v/>
      </c>
      <c r="C351" s="640" t="str">
        <f>IF(OR(LEN('RETEN. y PERC.'!H351)=0,'RETEN. y PERC.'!H351=0),"",'RETEN. y PERC.'!H351)</f>
        <v/>
      </c>
      <c r="D351" s="640" t="str">
        <f>IF(OR(LEN('RETEN. y PERC.'!N351)=0,'RETEN. y PERC.'!N351=0),"",'RETEN. y PERC.'!N351)</f>
        <v/>
      </c>
      <c r="F351" s="645" t="str">
        <f>IF(OR(LEN('RETEN. y PERC.'!J351)=0,'RETEN. y PERC.'!J351=0),"",'RETEN. y PERC.'!J351)</f>
        <v/>
      </c>
    </row>
    <row r="352" spans="1:6">
      <c r="A352" s="640" t="str">
        <f>IF(OR(LEN('RETEN. y PERC.'!F352)=0,'RETEN. y PERC.'!F352=0),"",'RETEN. y PERC.'!F352)</f>
        <v/>
      </c>
      <c r="B352" s="640" t="str">
        <f>IF(OR(LEN('RETEN. y PERC.'!A352)=0,'RETEN. y PERC.'!A352=0),"",'RETEN. y PERC.'!A352)</f>
        <v/>
      </c>
      <c r="C352" s="640" t="str">
        <f>IF(OR(LEN('RETEN. y PERC.'!H352)=0,'RETEN. y PERC.'!H352=0),"",'RETEN. y PERC.'!H352)</f>
        <v/>
      </c>
      <c r="D352" s="640" t="str">
        <f>IF(OR(LEN('RETEN. y PERC.'!N352)=0,'RETEN. y PERC.'!N352=0),"",'RETEN. y PERC.'!N352)</f>
        <v/>
      </c>
      <c r="F352" s="645" t="str">
        <f>IF(OR(LEN('RETEN. y PERC.'!J352)=0,'RETEN. y PERC.'!J352=0),"",'RETEN. y PERC.'!J352)</f>
        <v/>
      </c>
    </row>
    <row r="353" spans="1:6">
      <c r="A353" s="640" t="str">
        <f>IF(OR(LEN('RETEN. y PERC.'!F353)=0,'RETEN. y PERC.'!F353=0),"",'RETEN. y PERC.'!F353)</f>
        <v/>
      </c>
      <c r="B353" s="640" t="str">
        <f>IF(OR(LEN('RETEN. y PERC.'!A353)=0,'RETEN. y PERC.'!A353=0),"",'RETEN. y PERC.'!A353)</f>
        <v/>
      </c>
      <c r="C353" s="640" t="str">
        <f>IF(OR(LEN('RETEN. y PERC.'!H353)=0,'RETEN. y PERC.'!H353=0),"",'RETEN. y PERC.'!H353)</f>
        <v/>
      </c>
      <c r="D353" s="640" t="str">
        <f>IF(OR(LEN('RETEN. y PERC.'!N353)=0,'RETEN. y PERC.'!N353=0),"",'RETEN. y PERC.'!N353)</f>
        <v/>
      </c>
      <c r="F353" s="645" t="str">
        <f>IF(OR(LEN('RETEN. y PERC.'!J353)=0,'RETEN. y PERC.'!J353=0),"",'RETEN. y PERC.'!J353)</f>
        <v/>
      </c>
    </row>
    <row r="354" spans="1:6">
      <c r="A354" s="640" t="str">
        <f>IF(OR(LEN('RETEN. y PERC.'!F354)=0,'RETEN. y PERC.'!F354=0),"",'RETEN. y PERC.'!F354)</f>
        <v/>
      </c>
      <c r="B354" s="640" t="str">
        <f>IF(OR(LEN('RETEN. y PERC.'!A354)=0,'RETEN. y PERC.'!A354=0),"",'RETEN. y PERC.'!A354)</f>
        <v/>
      </c>
      <c r="C354" s="640" t="str">
        <f>IF(OR(LEN('RETEN. y PERC.'!H354)=0,'RETEN. y PERC.'!H354=0),"",'RETEN. y PERC.'!H354)</f>
        <v/>
      </c>
      <c r="D354" s="640" t="str">
        <f>IF(OR(LEN('RETEN. y PERC.'!N354)=0,'RETEN. y PERC.'!N354=0),"",'RETEN. y PERC.'!N354)</f>
        <v/>
      </c>
      <c r="F354" s="645" t="str">
        <f>IF(OR(LEN('RETEN. y PERC.'!J354)=0,'RETEN. y PERC.'!J354=0),"",'RETEN. y PERC.'!J354)</f>
        <v/>
      </c>
    </row>
    <row r="355" spans="1:6">
      <c r="A355" s="640" t="str">
        <f>IF(OR(LEN('RETEN. y PERC.'!F355)=0,'RETEN. y PERC.'!F355=0),"",'RETEN. y PERC.'!F355)</f>
        <v/>
      </c>
      <c r="B355" s="640" t="str">
        <f>IF(OR(LEN('RETEN. y PERC.'!A355)=0,'RETEN. y PERC.'!A355=0),"",'RETEN. y PERC.'!A355)</f>
        <v/>
      </c>
      <c r="C355" s="640" t="str">
        <f>IF(OR(LEN('RETEN. y PERC.'!H355)=0,'RETEN. y PERC.'!H355=0),"",'RETEN. y PERC.'!H355)</f>
        <v/>
      </c>
      <c r="D355" s="640" t="str">
        <f>IF(OR(LEN('RETEN. y PERC.'!N355)=0,'RETEN. y PERC.'!N355=0),"",'RETEN. y PERC.'!N355)</f>
        <v/>
      </c>
      <c r="F355" s="645" t="str">
        <f>IF(OR(LEN('RETEN. y PERC.'!J355)=0,'RETEN. y PERC.'!J355=0),"",'RETEN. y PERC.'!J355)</f>
        <v/>
      </c>
    </row>
    <row r="356" spans="1:6">
      <c r="A356" s="640" t="str">
        <f>IF(OR(LEN('RETEN. y PERC.'!F356)=0,'RETEN. y PERC.'!F356=0),"",'RETEN. y PERC.'!F356)</f>
        <v/>
      </c>
      <c r="B356" s="640" t="str">
        <f>IF(OR(LEN('RETEN. y PERC.'!A356)=0,'RETEN. y PERC.'!A356=0),"",'RETEN. y PERC.'!A356)</f>
        <v/>
      </c>
      <c r="C356" s="640" t="str">
        <f>IF(OR(LEN('RETEN. y PERC.'!H356)=0,'RETEN. y PERC.'!H356=0),"",'RETEN. y PERC.'!H356)</f>
        <v/>
      </c>
      <c r="D356" s="640" t="str">
        <f>IF(OR(LEN('RETEN. y PERC.'!N356)=0,'RETEN. y PERC.'!N356=0),"",'RETEN. y PERC.'!N356)</f>
        <v/>
      </c>
      <c r="F356" s="645" t="str">
        <f>IF(OR(LEN('RETEN. y PERC.'!J356)=0,'RETEN. y PERC.'!J356=0),"",'RETEN. y PERC.'!J356)</f>
        <v/>
      </c>
    </row>
    <row r="357" spans="1:6">
      <c r="A357" s="640" t="str">
        <f>IF(OR(LEN('RETEN. y PERC.'!F357)=0,'RETEN. y PERC.'!F357=0),"",'RETEN. y PERC.'!F357)</f>
        <v/>
      </c>
      <c r="B357" s="640" t="str">
        <f>IF(OR(LEN('RETEN. y PERC.'!A357)=0,'RETEN. y PERC.'!A357=0),"",'RETEN. y PERC.'!A357)</f>
        <v/>
      </c>
      <c r="C357" s="640" t="str">
        <f>IF(OR(LEN('RETEN. y PERC.'!H357)=0,'RETEN. y PERC.'!H357=0),"",'RETEN. y PERC.'!H357)</f>
        <v/>
      </c>
      <c r="D357" s="640" t="str">
        <f>IF(OR(LEN('RETEN. y PERC.'!N357)=0,'RETEN. y PERC.'!N357=0),"",'RETEN. y PERC.'!N357)</f>
        <v/>
      </c>
      <c r="F357" s="645" t="str">
        <f>IF(OR(LEN('RETEN. y PERC.'!J357)=0,'RETEN. y PERC.'!J357=0),"",'RETEN. y PERC.'!J357)</f>
        <v/>
      </c>
    </row>
    <row r="358" spans="1:6">
      <c r="A358" s="640" t="str">
        <f>IF(OR(LEN('RETEN. y PERC.'!F358)=0,'RETEN. y PERC.'!F358=0),"",'RETEN. y PERC.'!F358)</f>
        <v/>
      </c>
      <c r="B358" s="640" t="str">
        <f>IF(OR(LEN('RETEN. y PERC.'!A358)=0,'RETEN. y PERC.'!A358=0),"",'RETEN. y PERC.'!A358)</f>
        <v/>
      </c>
      <c r="C358" s="640" t="str">
        <f>IF(OR(LEN('RETEN. y PERC.'!H358)=0,'RETEN. y PERC.'!H358=0),"",'RETEN. y PERC.'!H358)</f>
        <v/>
      </c>
      <c r="D358" s="640" t="str">
        <f>IF(OR(LEN('RETEN. y PERC.'!N358)=0,'RETEN. y PERC.'!N358=0),"",'RETEN. y PERC.'!N358)</f>
        <v/>
      </c>
      <c r="F358" s="645" t="str">
        <f>IF(OR(LEN('RETEN. y PERC.'!J358)=0,'RETEN. y PERC.'!J358=0),"",'RETEN. y PERC.'!J358)</f>
        <v/>
      </c>
    </row>
    <row r="359" spans="1:6">
      <c r="A359" s="640" t="str">
        <f>IF(OR(LEN('RETEN. y PERC.'!F359)=0,'RETEN. y PERC.'!F359=0),"",'RETEN. y PERC.'!F359)</f>
        <v/>
      </c>
      <c r="B359" s="640" t="str">
        <f>IF(OR(LEN('RETEN. y PERC.'!A359)=0,'RETEN. y PERC.'!A359=0),"",'RETEN. y PERC.'!A359)</f>
        <v/>
      </c>
      <c r="C359" s="640" t="str">
        <f>IF(OR(LEN('RETEN. y PERC.'!H359)=0,'RETEN. y PERC.'!H359=0),"",'RETEN. y PERC.'!H359)</f>
        <v/>
      </c>
      <c r="D359" s="640" t="str">
        <f>IF(OR(LEN('RETEN. y PERC.'!N359)=0,'RETEN. y PERC.'!N359=0),"",'RETEN. y PERC.'!N359)</f>
        <v/>
      </c>
      <c r="F359" s="645" t="str">
        <f>IF(OR(LEN('RETEN. y PERC.'!J359)=0,'RETEN. y PERC.'!J359=0),"",'RETEN. y PERC.'!J359)</f>
        <v/>
      </c>
    </row>
    <row r="360" spans="1:6">
      <c r="A360" s="640" t="str">
        <f>IF(OR(LEN('RETEN. y PERC.'!F360)=0,'RETEN. y PERC.'!F360=0),"",'RETEN. y PERC.'!F360)</f>
        <v/>
      </c>
      <c r="B360" s="640" t="str">
        <f>IF(OR(LEN('RETEN. y PERC.'!A360)=0,'RETEN. y PERC.'!A360=0),"",'RETEN. y PERC.'!A360)</f>
        <v/>
      </c>
      <c r="C360" s="640" t="str">
        <f>IF(OR(LEN('RETEN. y PERC.'!H360)=0,'RETEN. y PERC.'!H360=0),"",'RETEN. y PERC.'!H360)</f>
        <v/>
      </c>
      <c r="D360" s="640" t="str">
        <f>IF(OR(LEN('RETEN. y PERC.'!N360)=0,'RETEN. y PERC.'!N360=0),"",'RETEN. y PERC.'!N360)</f>
        <v/>
      </c>
      <c r="F360" s="645" t="str">
        <f>IF(OR(LEN('RETEN. y PERC.'!J360)=0,'RETEN. y PERC.'!J360=0),"",'RETEN. y PERC.'!J360)</f>
        <v/>
      </c>
    </row>
    <row r="361" spans="1:6">
      <c r="A361" s="640" t="str">
        <f>IF(OR(LEN('RETEN. y PERC.'!F361)=0,'RETEN. y PERC.'!F361=0),"",'RETEN. y PERC.'!F361)</f>
        <v/>
      </c>
      <c r="B361" s="640" t="str">
        <f>IF(OR(LEN('RETEN. y PERC.'!A361)=0,'RETEN. y PERC.'!A361=0),"",'RETEN. y PERC.'!A361)</f>
        <v/>
      </c>
      <c r="C361" s="640" t="str">
        <f>IF(OR(LEN('RETEN. y PERC.'!H361)=0,'RETEN. y PERC.'!H361=0),"",'RETEN. y PERC.'!H361)</f>
        <v/>
      </c>
      <c r="D361" s="640" t="str">
        <f>IF(OR(LEN('RETEN. y PERC.'!N361)=0,'RETEN. y PERC.'!N361=0),"",'RETEN. y PERC.'!N361)</f>
        <v/>
      </c>
      <c r="F361" s="645" t="str">
        <f>IF(OR(LEN('RETEN. y PERC.'!J361)=0,'RETEN. y PERC.'!J361=0),"",'RETEN. y PERC.'!J361)</f>
        <v/>
      </c>
    </row>
    <row r="362" spans="1:6">
      <c r="A362" s="640" t="str">
        <f>IF(OR(LEN('RETEN. y PERC.'!F362)=0,'RETEN. y PERC.'!F362=0),"",'RETEN. y PERC.'!F362)</f>
        <v/>
      </c>
      <c r="B362" s="640" t="str">
        <f>IF(OR(LEN('RETEN. y PERC.'!A362)=0,'RETEN. y PERC.'!A362=0),"",'RETEN. y PERC.'!A362)</f>
        <v/>
      </c>
      <c r="C362" s="640" t="str">
        <f>IF(OR(LEN('RETEN. y PERC.'!H362)=0,'RETEN. y PERC.'!H362=0),"",'RETEN. y PERC.'!H362)</f>
        <v/>
      </c>
      <c r="D362" s="640" t="str">
        <f>IF(OR(LEN('RETEN. y PERC.'!N362)=0,'RETEN. y PERC.'!N362=0),"",'RETEN. y PERC.'!N362)</f>
        <v/>
      </c>
      <c r="F362" s="645" t="str">
        <f>IF(OR(LEN('RETEN. y PERC.'!J362)=0,'RETEN. y PERC.'!J362=0),"",'RETEN. y PERC.'!J362)</f>
        <v/>
      </c>
    </row>
    <row r="363" spans="1:6">
      <c r="A363" s="640" t="str">
        <f>IF(OR(LEN('RETEN. y PERC.'!F363)=0,'RETEN. y PERC.'!F363=0),"",'RETEN. y PERC.'!F363)</f>
        <v/>
      </c>
      <c r="B363" s="640" t="str">
        <f>IF(OR(LEN('RETEN. y PERC.'!A363)=0,'RETEN. y PERC.'!A363=0),"",'RETEN. y PERC.'!A363)</f>
        <v/>
      </c>
      <c r="C363" s="640" t="str">
        <f>IF(OR(LEN('RETEN. y PERC.'!H363)=0,'RETEN. y PERC.'!H363=0),"",'RETEN. y PERC.'!H363)</f>
        <v/>
      </c>
      <c r="D363" s="640" t="str">
        <f>IF(OR(LEN('RETEN. y PERC.'!N363)=0,'RETEN. y PERC.'!N363=0),"",'RETEN. y PERC.'!N363)</f>
        <v/>
      </c>
      <c r="F363" s="645" t="str">
        <f>IF(OR(LEN('RETEN. y PERC.'!J363)=0,'RETEN. y PERC.'!J363=0),"",'RETEN. y PERC.'!J363)</f>
        <v/>
      </c>
    </row>
    <row r="364" spans="1:6">
      <c r="A364" s="640" t="str">
        <f>IF(OR(LEN('RETEN. y PERC.'!F364)=0,'RETEN. y PERC.'!F364=0),"",'RETEN. y PERC.'!F364)</f>
        <v/>
      </c>
      <c r="B364" s="640" t="str">
        <f>IF(OR(LEN('RETEN. y PERC.'!A364)=0,'RETEN. y PERC.'!A364=0),"",'RETEN. y PERC.'!A364)</f>
        <v/>
      </c>
      <c r="C364" s="640" t="str">
        <f>IF(OR(LEN('RETEN. y PERC.'!H364)=0,'RETEN. y PERC.'!H364=0),"",'RETEN. y PERC.'!H364)</f>
        <v/>
      </c>
      <c r="D364" s="640" t="str">
        <f>IF(OR(LEN('RETEN. y PERC.'!N364)=0,'RETEN. y PERC.'!N364=0),"",'RETEN. y PERC.'!N364)</f>
        <v/>
      </c>
      <c r="F364" s="645" t="str">
        <f>IF(OR(LEN('RETEN. y PERC.'!J364)=0,'RETEN. y PERC.'!J364=0),"",'RETEN. y PERC.'!J364)</f>
        <v/>
      </c>
    </row>
    <row r="365" spans="1:6">
      <c r="A365" s="640" t="str">
        <f>IF(OR(LEN('RETEN. y PERC.'!F365)=0,'RETEN. y PERC.'!F365=0),"",'RETEN. y PERC.'!F365)</f>
        <v/>
      </c>
      <c r="B365" s="640" t="str">
        <f>IF(OR(LEN('RETEN. y PERC.'!A365)=0,'RETEN. y PERC.'!A365=0),"",'RETEN. y PERC.'!A365)</f>
        <v/>
      </c>
      <c r="C365" s="640" t="str">
        <f>IF(OR(LEN('RETEN. y PERC.'!H365)=0,'RETEN. y PERC.'!H365=0),"",'RETEN. y PERC.'!H365)</f>
        <v/>
      </c>
      <c r="D365" s="640" t="str">
        <f>IF(OR(LEN('RETEN. y PERC.'!N365)=0,'RETEN. y PERC.'!N365=0),"",'RETEN. y PERC.'!N365)</f>
        <v/>
      </c>
      <c r="F365" s="645" t="str">
        <f>IF(OR(LEN('RETEN. y PERC.'!J365)=0,'RETEN. y PERC.'!J365=0),"",'RETEN. y PERC.'!J365)</f>
        <v/>
      </c>
    </row>
    <row r="366" spans="1:6">
      <c r="A366" s="640" t="str">
        <f>IF(OR(LEN('RETEN. y PERC.'!F366)=0,'RETEN. y PERC.'!F366=0),"",'RETEN. y PERC.'!F366)</f>
        <v/>
      </c>
      <c r="B366" s="640" t="str">
        <f>IF(OR(LEN('RETEN. y PERC.'!A366)=0,'RETEN. y PERC.'!A366=0),"",'RETEN. y PERC.'!A366)</f>
        <v/>
      </c>
      <c r="C366" s="640" t="str">
        <f>IF(OR(LEN('RETEN. y PERC.'!H366)=0,'RETEN. y PERC.'!H366=0),"",'RETEN. y PERC.'!H366)</f>
        <v/>
      </c>
      <c r="D366" s="640" t="str">
        <f>IF(OR(LEN('RETEN. y PERC.'!N366)=0,'RETEN. y PERC.'!N366=0),"",'RETEN. y PERC.'!N366)</f>
        <v/>
      </c>
      <c r="F366" s="645" t="str">
        <f>IF(OR(LEN('RETEN. y PERC.'!J366)=0,'RETEN. y PERC.'!J366=0),"",'RETEN. y PERC.'!J366)</f>
        <v/>
      </c>
    </row>
    <row r="367" spans="1:6">
      <c r="A367" s="640" t="str">
        <f>IF(OR(LEN('RETEN. y PERC.'!F367)=0,'RETEN. y PERC.'!F367=0),"",'RETEN. y PERC.'!F367)</f>
        <v/>
      </c>
      <c r="B367" s="640" t="str">
        <f>IF(OR(LEN('RETEN. y PERC.'!A367)=0,'RETEN. y PERC.'!A367=0),"",'RETEN. y PERC.'!A367)</f>
        <v/>
      </c>
      <c r="C367" s="640" t="str">
        <f>IF(OR(LEN('RETEN. y PERC.'!H367)=0,'RETEN. y PERC.'!H367=0),"",'RETEN. y PERC.'!H367)</f>
        <v/>
      </c>
      <c r="D367" s="640" t="str">
        <f>IF(OR(LEN('RETEN. y PERC.'!N367)=0,'RETEN. y PERC.'!N367=0),"",'RETEN. y PERC.'!N367)</f>
        <v/>
      </c>
      <c r="F367" s="645" t="str">
        <f>IF(OR(LEN('RETEN. y PERC.'!J367)=0,'RETEN. y PERC.'!J367=0),"",'RETEN. y PERC.'!J367)</f>
        <v/>
      </c>
    </row>
    <row r="368" spans="1:6">
      <c r="A368" s="640" t="str">
        <f>IF(OR(LEN('RETEN. y PERC.'!F368)=0,'RETEN. y PERC.'!F368=0),"",'RETEN. y PERC.'!F368)</f>
        <v/>
      </c>
      <c r="B368" s="640" t="str">
        <f>IF(OR(LEN('RETEN. y PERC.'!A368)=0,'RETEN. y PERC.'!A368=0),"",'RETEN. y PERC.'!A368)</f>
        <v/>
      </c>
      <c r="C368" s="640" t="str">
        <f>IF(OR(LEN('RETEN. y PERC.'!H368)=0,'RETEN. y PERC.'!H368=0),"",'RETEN. y PERC.'!H368)</f>
        <v/>
      </c>
      <c r="D368" s="640" t="str">
        <f>IF(OR(LEN('RETEN. y PERC.'!N368)=0,'RETEN. y PERC.'!N368=0),"",'RETEN. y PERC.'!N368)</f>
        <v/>
      </c>
      <c r="F368" s="645" t="str">
        <f>IF(OR(LEN('RETEN. y PERC.'!J368)=0,'RETEN. y PERC.'!J368=0),"",'RETEN. y PERC.'!J368)</f>
        <v/>
      </c>
    </row>
    <row r="369" spans="1:6">
      <c r="A369" s="640" t="str">
        <f>IF(OR(LEN('RETEN. y PERC.'!F369)=0,'RETEN. y PERC.'!F369=0),"",'RETEN. y PERC.'!F369)</f>
        <v/>
      </c>
      <c r="B369" s="640" t="str">
        <f>IF(OR(LEN('RETEN. y PERC.'!A369)=0,'RETEN. y PERC.'!A369=0),"",'RETEN. y PERC.'!A369)</f>
        <v/>
      </c>
      <c r="C369" s="640" t="str">
        <f>IF(OR(LEN('RETEN. y PERC.'!H369)=0,'RETEN. y PERC.'!H369=0),"",'RETEN. y PERC.'!H369)</f>
        <v/>
      </c>
      <c r="D369" s="640" t="str">
        <f>IF(OR(LEN('RETEN. y PERC.'!N369)=0,'RETEN. y PERC.'!N369=0),"",'RETEN. y PERC.'!N369)</f>
        <v/>
      </c>
      <c r="F369" s="645" t="str">
        <f>IF(OR(LEN('RETEN. y PERC.'!J369)=0,'RETEN. y PERC.'!J369=0),"",'RETEN. y PERC.'!J369)</f>
        <v/>
      </c>
    </row>
    <row r="370" spans="1:6">
      <c r="A370" s="640" t="str">
        <f>IF(OR(LEN('RETEN. y PERC.'!F370)=0,'RETEN. y PERC.'!F370=0),"",'RETEN. y PERC.'!F370)</f>
        <v/>
      </c>
      <c r="B370" s="640" t="str">
        <f>IF(OR(LEN('RETEN. y PERC.'!A370)=0,'RETEN. y PERC.'!A370=0),"",'RETEN. y PERC.'!A370)</f>
        <v/>
      </c>
      <c r="C370" s="640" t="str">
        <f>IF(OR(LEN('RETEN. y PERC.'!H370)=0,'RETEN. y PERC.'!H370=0),"",'RETEN. y PERC.'!H370)</f>
        <v/>
      </c>
      <c r="D370" s="640" t="str">
        <f>IF(OR(LEN('RETEN. y PERC.'!N370)=0,'RETEN. y PERC.'!N370=0),"",'RETEN. y PERC.'!N370)</f>
        <v/>
      </c>
      <c r="F370" s="645" t="str">
        <f>IF(OR(LEN('RETEN. y PERC.'!J370)=0,'RETEN. y PERC.'!J370=0),"",'RETEN. y PERC.'!J370)</f>
        <v/>
      </c>
    </row>
    <row r="371" spans="1:6">
      <c r="A371" s="640" t="str">
        <f>IF(OR(LEN('RETEN. y PERC.'!F371)=0,'RETEN. y PERC.'!F371=0),"",'RETEN. y PERC.'!F371)</f>
        <v/>
      </c>
      <c r="B371" s="640" t="str">
        <f>IF(OR(LEN('RETEN. y PERC.'!A371)=0,'RETEN. y PERC.'!A371=0),"",'RETEN. y PERC.'!A371)</f>
        <v/>
      </c>
      <c r="C371" s="640" t="str">
        <f>IF(OR(LEN('RETEN. y PERC.'!H371)=0,'RETEN. y PERC.'!H371=0),"",'RETEN. y PERC.'!H371)</f>
        <v/>
      </c>
      <c r="D371" s="640" t="str">
        <f>IF(OR(LEN('RETEN. y PERC.'!N371)=0,'RETEN. y PERC.'!N371=0),"",'RETEN. y PERC.'!N371)</f>
        <v/>
      </c>
      <c r="F371" s="645" t="str">
        <f>IF(OR(LEN('RETEN. y PERC.'!J371)=0,'RETEN. y PERC.'!J371=0),"",'RETEN. y PERC.'!J371)</f>
        <v/>
      </c>
    </row>
    <row r="372" spans="1:6">
      <c r="A372" s="640" t="str">
        <f>IF(OR(LEN('RETEN. y PERC.'!F372)=0,'RETEN. y PERC.'!F372=0),"",'RETEN. y PERC.'!F372)</f>
        <v/>
      </c>
      <c r="B372" s="640" t="str">
        <f>IF(OR(LEN('RETEN. y PERC.'!A372)=0,'RETEN. y PERC.'!A372=0),"",'RETEN. y PERC.'!A372)</f>
        <v/>
      </c>
      <c r="C372" s="640" t="str">
        <f>IF(OR(LEN('RETEN. y PERC.'!H372)=0,'RETEN. y PERC.'!H372=0),"",'RETEN. y PERC.'!H372)</f>
        <v/>
      </c>
      <c r="D372" s="640" t="str">
        <f>IF(OR(LEN('RETEN. y PERC.'!N372)=0,'RETEN. y PERC.'!N372=0),"",'RETEN. y PERC.'!N372)</f>
        <v/>
      </c>
      <c r="F372" s="645" t="str">
        <f>IF(OR(LEN('RETEN. y PERC.'!J372)=0,'RETEN. y PERC.'!J372=0),"",'RETEN. y PERC.'!J372)</f>
        <v/>
      </c>
    </row>
    <row r="373" spans="1:6">
      <c r="A373" s="640" t="str">
        <f>IF(OR(LEN('RETEN. y PERC.'!F373)=0,'RETEN. y PERC.'!F373=0),"",'RETEN. y PERC.'!F373)</f>
        <v/>
      </c>
      <c r="B373" s="640" t="str">
        <f>IF(OR(LEN('RETEN. y PERC.'!A373)=0,'RETEN. y PERC.'!A373=0),"",'RETEN. y PERC.'!A373)</f>
        <v/>
      </c>
      <c r="C373" s="640" t="str">
        <f>IF(OR(LEN('RETEN. y PERC.'!H373)=0,'RETEN. y PERC.'!H373=0),"",'RETEN. y PERC.'!H373)</f>
        <v/>
      </c>
      <c r="D373" s="640" t="str">
        <f>IF(OR(LEN('RETEN. y PERC.'!N373)=0,'RETEN. y PERC.'!N373=0),"",'RETEN. y PERC.'!N373)</f>
        <v/>
      </c>
      <c r="F373" s="645" t="str">
        <f>IF(OR(LEN('RETEN. y PERC.'!J373)=0,'RETEN. y PERC.'!J373=0),"",'RETEN. y PERC.'!J373)</f>
        <v/>
      </c>
    </row>
    <row r="374" spans="1:6">
      <c r="A374" s="640" t="str">
        <f>IF(OR(LEN('RETEN. y PERC.'!F374)=0,'RETEN. y PERC.'!F374=0),"",'RETEN. y PERC.'!F374)</f>
        <v/>
      </c>
      <c r="B374" s="640" t="str">
        <f>IF(OR(LEN('RETEN. y PERC.'!A374)=0,'RETEN. y PERC.'!A374=0),"",'RETEN. y PERC.'!A374)</f>
        <v/>
      </c>
      <c r="C374" s="640" t="str">
        <f>IF(OR(LEN('RETEN. y PERC.'!H374)=0,'RETEN. y PERC.'!H374=0),"",'RETEN. y PERC.'!H374)</f>
        <v/>
      </c>
      <c r="D374" s="640" t="str">
        <f>IF(OR(LEN('RETEN. y PERC.'!N374)=0,'RETEN. y PERC.'!N374=0),"",'RETEN. y PERC.'!N374)</f>
        <v/>
      </c>
      <c r="F374" s="645" t="str">
        <f>IF(OR(LEN('RETEN. y PERC.'!J374)=0,'RETEN. y PERC.'!J374=0),"",'RETEN. y PERC.'!J374)</f>
        <v/>
      </c>
    </row>
    <row r="375" spans="1:6">
      <c r="A375" s="640" t="str">
        <f>IF(OR(LEN('RETEN. y PERC.'!F375)=0,'RETEN. y PERC.'!F375=0),"",'RETEN. y PERC.'!F375)</f>
        <v/>
      </c>
      <c r="B375" s="640" t="str">
        <f>IF(OR(LEN('RETEN. y PERC.'!A375)=0,'RETEN. y PERC.'!A375=0),"",'RETEN. y PERC.'!A375)</f>
        <v/>
      </c>
      <c r="C375" s="640" t="str">
        <f>IF(OR(LEN('RETEN. y PERC.'!H375)=0,'RETEN. y PERC.'!H375=0),"",'RETEN. y PERC.'!H375)</f>
        <v/>
      </c>
      <c r="D375" s="640" t="str">
        <f>IF(OR(LEN('RETEN. y PERC.'!N375)=0,'RETEN. y PERC.'!N375=0),"",'RETEN. y PERC.'!N375)</f>
        <v/>
      </c>
      <c r="F375" s="645" t="str">
        <f>IF(OR(LEN('RETEN. y PERC.'!J375)=0,'RETEN. y PERC.'!J375=0),"",'RETEN. y PERC.'!J375)</f>
        <v/>
      </c>
    </row>
    <row r="376" spans="1:6">
      <c r="A376" s="640" t="str">
        <f>IF(OR(LEN('RETEN. y PERC.'!F376)=0,'RETEN. y PERC.'!F376=0),"",'RETEN. y PERC.'!F376)</f>
        <v/>
      </c>
      <c r="B376" s="640" t="str">
        <f>IF(OR(LEN('RETEN. y PERC.'!A376)=0,'RETEN. y PERC.'!A376=0),"",'RETEN. y PERC.'!A376)</f>
        <v/>
      </c>
      <c r="C376" s="640" t="str">
        <f>IF(OR(LEN('RETEN. y PERC.'!H376)=0,'RETEN. y PERC.'!H376=0),"",'RETEN. y PERC.'!H376)</f>
        <v/>
      </c>
      <c r="D376" s="640" t="str">
        <f>IF(OR(LEN('RETEN. y PERC.'!N376)=0,'RETEN. y PERC.'!N376=0),"",'RETEN. y PERC.'!N376)</f>
        <v/>
      </c>
      <c r="F376" s="645" t="str">
        <f>IF(OR(LEN('RETEN. y PERC.'!J376)=0,'RETEN. y PERC.'!J376=0),"",'RETEN. y PERC.'!J376)</f>
        <v/>
      </c>
    </row>
    <row r="377" spans="1:6">
      <c r="A377" s="640" t="str">
        <f>IF(OR(LEN('RETEN. y PERC.'!F377)=0,'RETEN. y PERC.'!F377=0),"",'RETEN. y PERC.'!F377)</f>
        <v/>
      </c>
      <c r="B377" s="640" t="str">
        <f>IF(OR(LEN('RETEN. y PERC.'!A377)=0,'RETEN. y PERC.'!A377=0),"",'RETEN. y PERC.'!A377)</f>
        <v/>
      </c>
      <c r="C377" s="640" t="str">
        <f>IF(OR(LEN('RETEN. y PERC.'!H377)=0,'RETEN. y PERC.'!H377=0),"",'RETEN. y PERC.'!H377)</f>
        <v/>
      </c>
      <c r="D377" s="640" t="str">
        <f>IF(OR(LEN('RETEN. y PERC.'!N377)=0,'RETEN. y PERC.'!N377=0),"",'RETEN. y PERC.'!N377)</f>
        <v/>
      </c>
      <c r="F377" s="645" t="str">
        <f>IF(OR(LEN('RETEN. y PERC.'!J377)=0,'RETEN. y PERC.'!J377=0),"",'RETEN. y PERC.'!J377)</f>
        <v/>
      </c>
    </row>
    <row r="378" spans="1:6">
      <c r="A378" s="640" t="str">
        <f>IF(OR(LEN('RETEN. y PERC.'!F378)=0,'RETEN. y PERC.'!F378=0),"",'RETEN. y PERC.'!F378)</f>
        <v/>
      </c>
      <c r="B378" s="640" t="str">
        <f>IF(OR(LEN('RETEN. y PERC.'!A378)=0,'RETEN. y PERC.'!A378=0),"",'RETEN. y PERC.'!A378)</f>
        <v/>
      </c>
      <c r="C378" s="640" t="str">
        <f>IF(OR(LEN('RETEN. y PERC.'!H378)=0,'RETEN. y PERC.'!H378=0),"",'RETEN. y PERC.'!H378)</f>
        <v/>
      </c>
      <c r="D378" s="640" t="str">
        <f>IF(OR(LEN('RETEN. y PERC.'!N378)=0,'RETEN. y PERC.'!N378=0),"",'RETEN. y PERC.'!N378)</f>
        <v/>
      </c>
      <c r="F378" s="645" t="str">
        <f>IF(OR(LEN('RETEN. y PERC.'!J378)=0,'RETEN. y PERC.'!J378=0),"",'RETEN. y PERC.'!J378)</f>
        <v/>
      </c>
    </row>
    <row r="379" spans="1:6">
      <c r="A379" s="640" t="str">
        <f>IF(OR(LEN('RETEN. y PERC.'!F379)=0,'RETEN. y PERC.'!F379=0),"",'RETEN. y PERC.'!F379)</f>
        <v/>
      </c>
      <c r="B379" s="640" t="str">
        <f>IF(OR(LEN('RETEN. y PERC.'!A379)=0,'RETEN. y PERC.'!A379=0),"",'RETEN. y PERC.'!A379)</f>
        <v/>
      </c>
      <c r="C379" s="640" t="str">
        <f>IF(OR(LEN('RETEN. y PERC.'!H379)=0,'RETEN. y PERC.'!H379=0),"",'RETEN. y PERC.'!H379)</f>
        <v/>
      </c>
      <c r="D379" s="640" t="str">
        <f>IF(OR(LEN('RETEN. y PERC.'!N379)=0,'RETEN. y PERC.'!N379=0),"",'RETEN. y PERC.'!N379)</f>
        <v/>
      </c>
      <c r="F379" s="645" t="str">
        <f>IF(OR(LEN('RETEN. y PERC.'!J379)=0,'RETEN. y PERC.'!J379=0),"",'RETEN. y PERC.'!J379)</f>
        <v/>
      </c>
    </row>
    <row r="380" spans="1:6">
      <c r="A380" s="640" t="str">
        <f>IF(OR(LEN('RETEN. y PERC.'!F380)=0,'RETEN. y PERC.'!F380=0),"",'RETEN. y PERC.'!F380)</f>
        <v/>
      </c>
      <c r="B380" s="640" t="str">
        <f>IF(OR(LEN('RETEN. y PERC.'!A380)=0,'RETEN. y PERC.'!A380=0),"",'RETEN. y PERC.'!A380)</f>
        <v/>
      </c>
      <c r="C380" s="640" t="str">
        <f>IF(OR(LEN('RETEN. y PERC.'!H380)=0,'RETEN. y PERC.'!H380=0),"",'RETEN. y PERC.'!H380)</f>
        <v/>
      </c>
      <c r="D380" s="640" t="str">
        <f>IF(OR(LEN('RETEN. y PERC.'!N380)=0,'RETEN. y PERC.'!N380=0),"",'RETEN. y PERC.'!N380)</f>
        <v/>
      </c>
      <c r="F380" s="645" t="str">
        <f>IF(OR(LEN('RETEN. y PERC.'!J380)=0,'RETEN. y PERC.'!J380=0),"",'RETEN. y PERC.'!J380)</f>
        <v/>
      </c>
    </row>
    <row r="381" spans="1:6">
      <c r="A381" s="640" t="str">
        <f>IF(OR(LEN('RETEN. y PERC.'!F381)=0,'RETEN. y PERC.'!F381=0),"",'RETEN. y PERC.'!F381)</f>
        <v/>
      </c>
      <c r="B381" s="640" t="str">
        <f>IF(OR(LEN('RETEN. y PERC.'!A381)=0,'RETEN. y PERC.'!A381=0),"",'RETEN. y PERC.'!A381)</f>
        <v/>
      </c>
      <c r="C381" s="640" t="str">
        <f>IF(OR(LEN('RETEN. y PERC.'!H381)=0,'RETEN. y PERC.'!H381=0),"",'RETEN. y PERC.'!H381)</f>
        <v/>
      </c>
      <c r="D381" s="640" t="str">
        <f>IF(OR(LEN('RETEN. y PERC.'!N381)=0,'RETEN. y PERC.'!N381=0),"",'RETEN. y PERC.'!N381)</f>
        <v/>
      </c>
      <c r="F381" s="645" t="str">
        <f>IF(OR(LEN('RETEN. y PERC.'!J381)=0,'RETEN. y PERC.'!J381=0),"",'RETEN. y PERC.'!J381)</f>
        <v/>
      </c>
    </row>
    <row r="382" spans="1:6">
      <c r="A382" s="640" t="str">
        <f>IF(OR(LEN('RETEN. y PERC.'!F382)=0,'RETEN. y PERC.'!F382=0),"",'RETEN. y PERC.'!F382)</f>
        <v/>
      </c>
      <c r="B382" s="640" t="str">
        <f>IF(OR(LEN('RETEN. y PERC.'!A382)=0,'RETEN. y PERC.'!A382=0),"",'RETEN. y PERC.'!A382)</f>
        <v/>
      </c>
      <c r="C382" s="640" t="str">
        <f>IF(OR(LEN('RETEN. y PERC.'!H382)=0,'RETEN. y PERC.'!H382=0),"",'RETEN. y PERC.'!H382)</f>
        <v/>
      </c>
      <c r="D382" s="640" t="str">
        <f>IF(OR(LEN('RETEN. y PERC.'!N382)=0,'RETEN. y PERC.'!N382=0),"",'RETEN. y PERC.'!N382)</f>
        <v/>
      </c>
      <c r="F382" s="645" t="str">
        <f>IF(OR(LEN('RETEN. y PERC.'!J382)=0,'RETEN. y PERC.'!J382=0),"",'RETEN. y PERC.'!J382)</f>
        <v/>
      </c>
    </row>
    <row r="383" spans="1:6">
      <c r="A383" s="640" t="str">
        <f>IF(OR(LEN('RETEN. y PERC.'!F383)=0,'RETEN. y PERC.'!F383=0),"",'RETEN. y PERC.'!F383)</f>
        <v/>
      </c>
      <c r="B383" s="640" t="str">
        <f>IF(OR(LEN('RETEN. y PERC.'!A383)=0,'RETEN. y PERC.'!A383=0),"",'RETEN. y PERC.'!A383)</f>
        <v/>
      </c>
      <c r="C383" s="640" t="str">
        <f>IF(OR(LEN('RETEN. y PERC.'!H383)=0,'RETEN. y PERC.'!H383=0),"",'RETEN. y PERC.'!H383)</f>
        <v/>
      </c>
      <c r="D383" s="640" t="str">
        <f>IF(OR(LEN('RETEN. y PERC.'!N383)=0,'RETEN. y PERC.'!N383=0),"",'RETEN. y PERC.'!N383)</f>
        <v/>
      </c>
      <c r="F383" s="645" t="str">
        <f>IF(OR(LEN('RETEN. y PERC.'!J383)=0,'RETEN. y PERC.'!J383=0),"",'RETEN. y PERC.'!J383)</f>
        <v/>
      </c>
    </row>
    <row r="384" spans="1:6">
      <c r="A384" s="640" t="str">
        <f>IF(OR(LEN('RETEN. y PERC.'!F384)=0,'RETEN. y PERC.'!F384=0),"",'RETEN. y PERC.'!F384)</f>
        <v/>
      </c>
      <c r="B384" s="640" t="str">
        <f>IF(OR(LEN('RETEN. y PERC.'!A384)=0,'RETEN. y PERC.'!A384=0),"",'RETEN. y PERC.'!A384)</f>
        <v/>
      </c>
      <c r="C384" s="640" t="str">
        <f>IF(OR(LEN('RETEN. y PERC.'!H384)=0,'RETEN. y PERC.'!H384=0),"",'RETEN. y PERC.'!H384)</f>
        <v/>
      </c>
      <c r="D384" s="640" t="str">
        <f>IF(OR(LEN('RETEN. y PERC.'!N384)=0,'RETEN. y PERC.'!N384=0),"",'RETEN. y PERC.'!N384)</f>
        <v/>
      </c>
      <c r="F384" s="645" t="str">
        <f>IF(OR(LEN('RETEN. y PERC.'!J384)=0,'RETEN. y PERC.'!J384=0),"",'RETEN. y PERC.'!J384)</f>
        <v/>
      </c>
    </row>
    <row r="385" spans="1:6">
      <c r="A385" s="640" t="str">
        <f>IF(OR(LEN('RETEN. y PERC.'!F385)=0,'RETEN. y PERC.'!F385=0),"",'RETEN. y PERC.'!F385)</f>
        <v/>
      </c>
      <c r="B385" s="640" t="str">
        <f>IF(OR(LEN('RETEN. y PERC.'!A385)=0,'RETEN. y PERC.'!A385=0),"",'RETEN. y PERC.'!A385)</f>
        <v/>
      </c>
      <c r="C385" s="640" t="str">
        <f>IF(OR(LEN('RETEN. y PERC.'!H385)=0,'RETEN. y PERC.'!H385=0),"",'RETEN. y PERC.'!H385)</f>
        <v/>
      </c>
      <c r="D385" s="640" t="str">
        <f>IF(OR(LEN('RETEN. y PERC.'!N385)=0,'RETEN. y PERC.'!N385=0),"",'RETEN. y PERC.'!N385)</f>
        <v/>
      </c>
      <c r="F385" s="645" t="str">
        <f>IF(OR(LEN('RETEN. y PERC.'!J385)=0,'RETEN. y PERC.'!J385=0),"",'RETEN. y PERC.'!J385)</f>
        <v/>
      </c>
    </row>
    <row r="386" spans="1:6">
      <c r="A386" s="640" t="str">
        <f>IF(OR(LEN('RETEN. y PERC.'!F386)=0,'RETEN. y PERC.'!F386=0),"",'RETEN. y PERC.'!F386)</f>
        <v/>
      </c>
      <c r="B386" s="640" t="str">
        <f>IF(OR(LEN('RETEN. y PERC.'!A386)=0,'RETEN. y PERC.'!A386=0),"",'RETEN. y PERC.'!A386)</f>
        <v/>
      </c>
      <c r="C386" s="640" t="str">
        <f>IF(OR(LEN('RETEN. y PERC.'!H386)=0,'RETEN. y PERC.'!H386=0),"",'RETEN. y PERC.'!H386)</f>
        <v/>
      </c>
      <c r="D386" s="640" t="str">
        <f>IF(OR(LEN('RETEN. y PERC.'!N386)=0,'RETEN. y PERC.'!N386=0),"",'RETEN. y PERC.'!N386)</f>
        <v/>
      </c>
      <c r="F386" s="645" t="str">
        <f>IF(OR(LEN('RETEN. y PERC.'!J386)=0,'RETEN. y PERC.'!J386=0),"",'RETEN. y PERC.'!J386)</f>
        <v/>
      </c>
    </row>
    <row r="387" spans="1:6">
      <c r="A387" s="640" t="str">
        <f>IF(OR(LEN('RETEN. y PERC.'!F387)=0,'RETEN. y PERC.'!F387=0),"",'RETEN. y PERC.'!F387)</f>
        <v/>
      </c>
      <c r="B387" s="640" t="str">
        <f>IF(OR(LEN('RETEN. y PERC.'!A387)=0,'RETEN. y PERC.'!A387=0),"",'RETEN. y PERC.'!A387)</f>
        <v/>
      </c>
      <c r="C387" s="640" t="str">
        <f>IF(OR(LEN('RETEN. y PERC.'!H387)=0,'RETEN. y PERC.'!H387=0),"",'RETEN. y PERC.'!H387)</f>
        <v/>
      </c>
      <c r="D387" s="640" t="str">
        <f>IF(OR(LEN('RETEN. y PERC.'!N387)=0,'RETEN. y PERC.'!N387=0),"",'RETEN. y PERC.'!N387)</f>
        <v/>
      </c>
      <c r="F387" s="645" t="str">
        <f>IF(OR(LEN('RETEN. y PERC.'!J387)=0,'RETEN. y PERC.'!J387=0),"",'RETEN. y PERC.'!J387)</f>
        <v/>
      </c>
    </row>
    <row r="388" spans="1:6">
      <c r="A388" s="640" t="str">
        <f>IF(OR(LEN('RETEN. y PERC.'!F388)=0,'RETEN. y PERC.'!F388=0),"",'RETEN. y PERC.'!F388)</f>
        <v/>
      </c>
      <c r="B388" s="640" t="str">
        <f>IF(OR(LEN('RETEN. y PERC.'!A388)=0,'RETEN. y PERC.'!A388=0),"",'RETEN. y PERC.'!A388)</f>
        <v/>
      </c>
      <c r="C388" s="640" t="str">
        <f>IF(OR(LEN('RETEN. y PERC.'!H388)=0,'RETEN. y PERC.'!H388=0),"",'RETEN. y PERC.'!H388)</f>
        <v/>
      </c>
      <c r="D388" s="640" t="str">
        <f>IF(OR(LEN('RETEN. y PERC.'!N388)=0,'RETEN. y PERC.'!N388=0),"",'RETEN. y PERC.'!N388)</f>
        <v/>
      </c>
      <c r="F388" s="645" t="str">
        <f>IF(OR(LEN('RETEN. y PERC.'!J388)=0,'RETEN. y PERC.'!J388=0),"",'RETEN. y PERC.'!J388)</f>
        <v/>
      </c>
    </row>
    <row r="389" spans="1:6">
      <c r="A389" s="640" t="str">
        <f>IF(OR(LEN('RETEN. y PERC.'!F389)=0,'RETEN. y PERC.'!F389=0),"",'RETEN. y PERC.'!F389)</f>
        <v/>
      </c>
      <c r="B389" s="640" t="str">
        <f>IF(OR(LEN('RETEN. y PERC.'!A389)=0,'RETEN. y PERC.'!A389=0),"",'RETEN. y PERC.'!A389)</f>
        <v/>
      </c>
      <c r="C389" s="640" t="str">
        <f>IF(OR(LEN('RETEN. y PERC.'!H389)=0,'RETEN. y PERC.'!H389=0),"",'RETEN. y PERC.'!H389)</f>
        <v/>
      </c>
      <c r="D389" s="640" t="str">
        <f>IF(OR(LEN('RETEN. y PERC.'!N389)=0,'RETEN. y PERC.'!N389=0),"",'RETEN. y PERC.'!N389)</f>
        <v/>
      </c>
      <c r="F389" s="645" t="str">
        <f>IF(OR(LEN('RETEN. y PERC.'!J389)=0,'RETEN. y PERC.'!J389=0),"",'RETEN. y PERC.'!J389)</f>
        <v/>
      </c>
    </row>
    <row r="390" spans="1:6">
      <c r="A390" s="640" t="str">
        <f>IF(OR(LEN('RETEN. y PERC.'!F390)=0,'RETEN. y PERC.'!F390=0),"",'RETEN. y PERC.'!F390)</f>
        <v/>
      </c>
      <c r="B390" s="640" t="str">
        <f>IF(OR(LEN('RETEN. y PERC.'!A390)=0,'RETEN. y PERC.'!A390=0),"",'RETEN. y PERC.'!A390)</f>
        <v/>
      </c>
      <c r="C390" s="640" t="str">
        <f>IF(OR(LEN('RETEN. y PERC.'!H390)=0,'RETEN. y PERC.'!H390=0),"",'RETEN. y PERC.'!H390)</f>
        <v/>
      </c>
      <c r="D390" s="640" t="str">
        <f>IF(OR(LEN('RETEN. y PERC.'!N390)=0,'RETEN. y PERC.'!N390=0),"",'RETEN. y PERC.'!N390)</f>
        <v/>
      </c>
      <c r="F390" s="645" t="str">
        <f>IF(OR(LEN('RETEN. y PERC.'!J390)=0,'RETEN. y PERC.'!J390=0),"",'RETEN. y PERC.'!J390)</f>
        <v/>
      </c>
    </row>
    <row r="391" spans="1:6">
      <c r="A391" s="640" t="str">
        <f>IF(OR(LEN('RETEN. y PERC.'!F391)=0,'RETEN. y PERC.'!F391=0),"",'RETEN. y PERC.'!F391)</f>
        <v/>
      </c>
      <c r="B391" s="640" t="str">
        <f>IF(OR(LEN('RETEN. y PERC.'!A391)=0,'RETEN. y PERC.'!A391=0),"",'RETEN. y PERC.'!A391)</f>
        <v/>
      </c>
      <c r="C391" s="640" t="str">
        <f>IF(OR(LEN('RETEN. y PERC.'!H391)=0,'RETEN. y PERC.'!H391=0),"",'RETEN. y PERC.'!H391)</f>
        <v/>
      </c>
      <c r="D391" s="640" t="str">
        <f>IF(OR(LEN('RETEN. y PERC.'!N391)=0,'RETEN. y PERC.'!N391=0),"",'RETEN. y PERC.'!N391)</f>
        <v/>
      </c>
      <c r="F391" s="645" t="str">
        <f>IF(OR(LEN('RETEN. y PERC.'!J391)=0,'RETEN. y PERC.'!J391=0),"",'RETEN. y PERC.'!J391)</f>
        <v/>
      </c>
    </row>
    <row r="392" spans="1:6">
      <c r="A392" s="640" t="str">
        <f>IF(OR(LEN('RETEN. y PERC.'!F392)=0,'RETEN. y PERC.'!F392=0),"",'RETEN. y PERC.'!F392)</f>
        <v/>
      </c>
      <c r="B392" s="640" t="str">
        <f>IF(OR(LEN('RETEN. y PERC.'!A392)=0,'RETEN. y PERC.'!A392=0),"",'RETEN. y PERC.'!A392)</f>
        <v/>
      </c>
      <c r="C392" s="640" t="str">
        <f>IF(OR(LEN('RETEN. y PERC.'!H392)=0,'RETEN. y PERC.'!H392=0),"",'RETEN. y PERC.'!H392)</f>
        <v/>
      </c>
      <c r="D392" s="640" t="str">
        <f>IF(OR(LEN('RETEN. y PERC.'!N392)=0,'RETEN. y PERC.'!N392=0),"",'RETEN. y PERC.'!N392)</f>
        <v/>
      </c>
      <c r="F392" s="645" t="str">
        <f>IF(OR(LEN('RETEN. y PERC.'!J392)=0,'RETEN. y PERC.'!J392=0),"",'RETEN. y PERC.'!J392)</f>
        <v/>
      </c>
    </row>
    <row r="393" spans="1:6">
      <c r="A393" s="640" t="str">
        <f>IF(OR(LEN('RETEN. y PERC.'!F393)=0,'RETEN. y PERC.'!F393=0),"",'RETEN. y PERC.'!F393)</f>
        <v/>
      </c>
      <c r="B393" s="640" t="str">
        <f>IF(OR(LEN('RETEN. y PERC.'!A393)=0,'RETEN. y PERC.'!A393=0),"",'RETEN. y PERC.'!A393)</f>
        <v/>
      </c>
      <c r="C393" s="640" t="str">
        <f>IF(OR(LEN('RETEN. y PERC.'!H393)=0,'RETEN. y PERC.'!H393=0),"",'RETEN. y PERC.'!H393)</f>
        <v/>
      </c>
      <c r="D393" s="640" t="str">
        <f>IF(OR(LEN('RETEN. y PERC.'!N393)=0,'RETEN. y PERC.'!N393=0),"",'RETEN. y PERC.'!N393)</f>
        <v/>
      </c>
      <c r="F393" s="645" t="str">
        <f>IF(OR(LEN('RETEN. y PERC.'!J393)=0,'RETEN. y PERC.'!J393=0),"",'RETEN. y PERC.'!J393)</f>
        <v/>
      </c>
    </row>
    <row r="394" spans="1:6">
      <c r="A394" s="640" t="str">
        <f>IF(OR(LEN('RETEN. y PERC.'!F394)=0,'RETEN. y PERC.'!F394=0),"",'RETEN. y PERC.'!F394)</f>
        <v/>
      </c>
      <c r="B394" s="640" t="str">
        <f>IF(OR(LEN('RETEN. y PERC.'!A394)=0,'RETEN. y PERC.'!A394=0),"",'RETEN. y PERC.'!A394)</f>
        <v/>
      </c>
      <c r="C394" s="640" t="str">
        <f>IF(OR(LEN('RETEN. y PERC.'!H394)=0,'RETEN. y PERC.'!H394=0),"",'RETEN. y PERC.'!H394)</f>
        <v/>
      </c>
      <c r="D394" s="640" t="str">
        <f>IF(OR(LEN('RETEN. y PERC.'!N394)=0,'RETEN. y PERC.'!N394=0),"",'RETEN. y PERC.'!N394)</f>
        <v/>
      </c>
      <c r="F394" s="645" t="str">
        <f>IF(OR(LEN('RETEN. y PERC.'!J394)=0,'RETEN. y PERC.'!J394=0),"",'RETEN. y PERC.'!J394)</f>
        <v/>
      </c>
    </row>
    <row r="395" spans="1:6">
      <c r="A395" s="640" t="str">
        <f>IF(OR(LEN('RETEN. y PERC.'!F395)=0,'RETEN. y PERC.'!F395=0),"",'RETEN. y PERC.'!F395)</f>
        <v/>
      </c>
      <c r="B395" s="640" t="str">
        <f>IF(OR(LEN('RETEN. y PERC.'!A395)=0,'RETEN. y PERC.'!A395=0),"",'RETEN. y PERC.'!A395)</f>
        <v/>
      </c>
      <c r="C395" s="640" t="str">
        <f>IF(OR(LEN('RETEN. y PERC.'!H395)=0,'RETEN. y PERC.'!H395=0),"",'RETEN. y PERC.'!H395)</f>
        <v/>
      </c>
      <c r="D395" s="640" t="str">
        <f>IF(OR(LEN('RETEN. y PERC.'!N395)=0,'RETEN. y PERC.'!N395=0),"",'RETEN. y PERC.'!N395)</f>
        <v/>
      </c>
      <c r="F395" s="645" t="str">
        <f>IF(OR(LEN('RETEN. y PERC.'!J395)=0,'RETEN. y PERC.'!J395=0),"",'RETEN. y PERC.'!J395)</f>
        <v/>
      </c>
    </row>
    <row r="396" spans="1:6">
      <c r="A396" s="640" t="str">
        <f>IF(OR(LEN('RETEN. y PERC.'!F396)=0,'RETEN. y PERC.'!F396=0),"",'RETEN. y PERC.'!F396)</f>
        <v/>
      </c>
      <c r="B396" s="640" t="str">
        <f>IF(OR(LEN('RETEN. y PERC.'!A396)=0,'RETEN. y PERC.'!A396=0),"",'RETEN. y PERC.'!A396)</f>
        <v/>
      </c>
      <c r="C396" s="640" t="str">
        <f>IF(OR(LEN('RETEN. y PERC.'!H396)=0,'RETEN. y PERC.'!H396=0),"",'RETEN. y PERC.'!H396)</f>
        <v/>
      </c>
      <c r="D396" s="640" t="str">
        <f>IF(OR(LEN('RETEN. y PERC.'!N396)=0,'RETEN. y PERC.'!N396=0),"",'RETEN. y PERC.'!N396)</f>
        <v/>
      </c>
      <c r="F396" s="645" t="str">
        <f>IF(OR(LEN('RETEN. y PERC.'!J396)=0,'RETEN. y PERC.'!J396=0),"",'RETEN. y PERC.'!J396)</f>
        <v/>
      </c>
    </row>
    <row r="397" spans="1:6">
      <c r="A397" s="640" t="str">
        <f>IF(OR(LEN('RETEN. y PERC.'!F397)=0,'RETEN. y PERC.'!F397=0),"",'RETEN. y PERC.'!F397)</f>
        <v/>
      </c>
      <c r="B397" s="640" t="str">
        <f>IF(OR(LEN('RETEN. y PERC.'!A397)=0,'RETEN. y PERC.'!A397=0),"",'RETEN. y PERC.'!A397)</f>
        <v/>
      </c>
      <c r="C397" s="640" t="str">
        <f>IF(OR(LEN('RETEN. y PERC.'!H397)=0,'RETEN. y PERC.'!H397=0),"",'RETEN. y PERC.'!H397)</f>
        <v/>
      </c>
      <c r="D397" s="640" t="str">
        <f>IF(OR(LEN('RETEN. y PERC.'!N397)=0,'RETEN. y PERC.'!N397=0),"",'RETEN. y PERC.'!N397)</f>
        <v/>
      </c>
      <c r="F397" s="645" t="str">
        <f>IF(OR(LEN('RETEN. y PERC.'!J397)=0,'RETEN. y PERC.'!J397=0),"",'RETEN. y PERC.'!J397)</f>
        <v/>
      </c>
    </row>
    <row r="398" spans="1:6">
      <c r="A398" s="640" t="str">
        <f>IF(OR(LEN('RETEN. y PERC.'!F398)=0,'RETEN. y PERC.'!F398=0),"",'RETEN. y PERC.'!F398)</f>
        <v/>
      </c>
      <c r="B398" s="640" t="str">
        <f>IF(OR(LEN('RETEN. y PERC.'!A398)=0,'RETEN. y PERC.'!A398=0),"",'RETEN. y PERC.'!A398)</f>
        <v/>
      </c>
      <c r="C398" s="640" t="str">
        <f>IF(OR(LEN('RETEN. y PERC.'!H398)=0,'RETEN. y PERC.'!H398=0),"",'RETEN. y PERC.'!H398)</f>
        <v/>
      </c>
      <c r="D398" s="640" t="str">
        <f>IF(OR(LEN('RETEN. y PERC.'!N398)=0,'RETEN. y PERC.'!N398=0),"",'RETEN. y PERC.'!N398)</f>
        <v/>
      </c>
      <c r="F398" s="645" t="str">
        <f>IF(OR(LEN('RETEN. y PERC.'!J398)=0,'RETEN. y PERC.'!J398=0),"",'RETEN. y PERC.'!J398)</f>
        <v/>
      </c>
    </row>
    <row r="399" spans="1:6">
      <c r="A399" s="640" t="str">
        <f>IF(OR(LEN('RETEN. y PERC.'!F399)=0,'RETEN. y PERC.'!F399=0),"",'RETEN. y PERC.'!F399)</f>
        <v/>
      </c>
      <c r="B399" s="640" t="str">
        <f>IF(OR(LEN('RETEN. y PERC.'!A399)=0,'RETEN. y PERC.'!A399=0),"",'RETEN. y PERC.'!A399)</f>
        <v/>
      </c>
      <c r="C399" s="640" t="str">
        <f>IF(OR(LEN('RETEN. y PERC.'!H399)=0,'RETEN. y PERC.'!H399=0),"",'RETEN. y PERC.'!H399)</f>
        <v/>
      </c>
      <c r="D399" s="640" t="str">
        <f>IF(OR(LEN('RETEN. y PERC.'!N399)=0,'RETEN. y PERC.'!N399=0),"",'RETEN. y PERC.'!N399)</f>
        <v/>
      </c>
      <c r="F399" s="645" t="str">
        <f>IF(OR(LEN('RETEN. y PERC.'!J399)=0,'RETEN. y PERC.'!J399=0),"",'RETEN. y PERC.'!J399)</f>
        <v/>
      </c>
    </row>
    <row r="400" spans="1:6">
      <c r="A400" s="640" t="str">
        <f>IF(OR(LEN('RETEN. y PERC.'!F400)=0,'RETEN. y PERC.'!F400=0),"",'RETEN. y PERC.'!F400)</f>
        <v/>
      </c>
      <c r="B400" s="640" t="str">
        <f>IF(OR(LEN('RETEN. y PERC.'!A400)=0,'RETEN. y PERC.'!A400=0),"",'RETEN. y PERC.'!A400)</f>
        <v/>
      </c>
      <c r="C400" s="640" t="str">
        <f>IF(OR(LEN('RETEN. y PERC.'!H400)=0,'RETEN. y PERC.'!H400=0),"",'RETEN. y PERC.'!H400)</f>
        <v/>
      </c>
      <c r="D400" s="640" t="str">
        <f>IF(OR(LEN('RETEN. y PERC.'!N400)=0,'RETEN. y PERC.'!N400=0),"",'RETEN. y PERC.'!N400)</f>
        <v/>
      </c>
      <c r="F400" s="645" t="str">
        <f>IF(OR(LEN('RETEN. y PERC.'!J400)=0,'RETEN. y PERC.'!J400=0),"",'RETEN. y PERC.'!J400)</f>
        <v/>
      </c>
    </row>
    <row r="401" spans="1:6">
      <c r="A401" s="640" t="str">
        <f>IF(OR(LEN('RETEN. y PERC.'!F401)=0,'RETEN. y PERC.'!F401=0),"",'RETEN. y PERC.'!F401)</f>
        <v/>
      </c>
      <c r="B401" s="640" t="str">
        <f>IF(OR(LEN('RETEN. y PERC.'!A401)=0,'RETEN. y PERC.'!A401=0),"",'RETEN. y PERC.'!A401)</f>
        <v/>
      </c>
      <c r="C401" s="640" t="str">
        <f>IF(OR(LEN('RETEN. y PERC.'!H401)=0,'RETEN. y PERC.'!H401=0),"",'RETEN. y PERC.'!H401)</f>
        <v/>
      </c>
      <c r="D401" s="640" t="str">
        <f>IF(OR(LEN('RETEN. y PERC.'!N401)=0,'RETEN. y PERC.'!N401=0),"",'RETEN. y PERC.'!N401)</f>
        <v/>
      </c>
      <c r="F401" s="645" t="str">
        <f>IF(OR(LEN('RETEN. y PERC.'!J401)=0,'RETEN. y PERC.'!J401=0),"",'RETEN. y PERC.'!J401)</f>
        <v/>
      </c>
    </row>
    <row r="402" spans="1:6">
      <c r="A402" s="640" t="str">
        <f>IF(OR(LEN('RETEN. y PERC.'!F402)=0,'RETEN. y PERC.'!F402=0),"",'RETEN. y PERC.'!F402)</f>
        <v/>
      </c>
      <c r="B402" s="640" t="str">
        <f>IF(OR(LEN('RETEN. y PERC.'!A402)=0,'RETEN. y PERC.'!A402=0),"",'RETEN. y PERC.'!A402)</f>
        <v/>
      </c>
      <c r="C402" s="640" t="str">
        <f>IF(OR(LEN('RETEN. y PERC.'!H402)=0,'RETEN. y PERC.'!H402=0),"",'RETEN. y PERC.'!H402)</f>
        <v/>
      </c>
      <c r="D402" s="640" t="str">
        <f>IF(OR(LEN('RETEN. y PERC.'!N402)=0,'RETEN. y PERC.'!N402=0),"",'RETEN. y PERC.'!N402)</f>
        <v/>
      </c>
      <c r="F402" s="645" t="str">
        <f>IF(OR(LEN('RETEN. y PERC.'!J402)=0,'RETEN. y PERC.'!J402=0),"",'RETEN. y PERC.'!J402)</f>
        <v/>
      </c>
    </row>
    <row r="403" spans="1:6">
      <c r="A403" s="640" t="str">
        <f>IF(OR(LEN('RETEN. y PERC.'!F403)=0,'RETEN. y PERC.'!F403=0),"",'RETEN. y PERC.'!F403)</f>
        <v/>
      </c>
      <c r="B403" s="640" t="str">
        <f>IF(OR(LEN('RETEN. y PERC.'!A403)=0,'RETEN. y PERC.'!A403=0),"",'RETEN. y PERC.'!A403)</f>
        <v/>
      </c>
      <c r="C403" s="640" t="str">
        <f>IF(OR(LEN('RETEN. y PERC.'!H403)=0,'RETEN. y PERC.'!H403=0),"",'RETEN. y PERC.'!H403)</f>
        <v/>
      </c>
      <c r="D403" s="640" t="str">
        <f>IF(OR(LEN('RETEN. y PERC.'!N403)=0,'RETEN. y PERC.'!N403=0),"",'RETEN. y PERC.'!N403)</f>
        <v/>
      </c>
      <c r="F403" s="645" t="str">
        <f>IF(OR(LEN('RETEN. y PERC.'!J403)=0,'RETEN. y PERC.'!J403=0),"",'RETEN. y PERC.'!J403)</f>
        <v/>
      </c>
    </row>
    <row r="404" spans="1:6">
      <c r="A404" s="640" t="str">
        <f>IF(OR(LEN('RETEN. y PERC.'!F404)=0,'RETEN. y PERC.'!F404=0),"",'RETEN. y PERC.'!F404)</f>
        <v/>
      </c>
      <c r="B404" s="640" t="str">
        <f>IF(OR(LEN('RETEN. y PERC.'!A404)=0,'RETEN. y PERC.'!A404=0),"",'RETEN. y PERC.'!A404)</f>
        <v/>
      </c>
      <c r="C404" s="640" t="str">
        <f>IF(OR(LEN('RETEN. y PERC.'!H404)=0,'RETEN. y PERC.'!H404=0),"",'RETEN. y PERC.'!H404)</f>
        <v/>
      </c>
      <c r="D404" s="640" t="str">
        <f>IF(OR(LEN('RETEN. y PERC.'!N404)=0,'RETEN. y PERC.'!N404=0),"",'RETEN. y PERC.'!N404)</f>
        <v/>
      </c>
      <c r="F404" s="645" t="str">
        <f>IF(OR(LEN('RETEN. y PERC.'!J404)=0,'RETEN. y PERC.'!J404=0),"",'RETEN. y PERC.'!J404)</f>
        <v/>
      </c>
    </row>
    <row r="405" spans="1:6">
      <c r="A405" s="640" t="str">
        <f>IF(OR(LEN('RETEN. y PERC.'!F405)=0,'RETEN. y PERC.'!F405=0),"",'RETEN. y PERC.'!F405)</f>
        <v/>
      </c>
      <c r="B405" s="640" t="str">
        <f>IF(OR(LEN('RETEN. y PERC.'!A405)=0,'RETEN. y PERC.'!A405=0),"",'RETEN. y PERC.'!A405)</f>
        <v/>
      </c>
      <c r="C405" s="640" t="str">
        <f>IF(OR(LEN('RETEN. y PERC.'!H405)=0,'RETEN. y PERC.'!H405=0),"",'RETEN. y PERC.'!H405)</f>
        <v/>
      </c>
      <c r="D405" s="640" t="str">
        <f>IF(OR(LEN('RETEN. y PERC.'!N405)=0,'RETEN. y PERC.'!N405=0),"",'RETEN. y PERC.'!N405)</f>
        <v/>
      </c>
      <c r="F405" s="645" t="str">
        <f>IF(OR(LEN('RETEN. y PERC.'!J405)=0,'RETEN. y PERC.'!J405=0),"",'RETEN. y PERC.'!J405)</f>
        <v/>
      </c>
    </row>
    <row r="406" spans="1:6">
      <c r="A406" s="640" t="str">
        <f>IF(OR(LEN('RETEN. y PERC.'!F406)=0,'RETEN. y PERC.'!F406=0),"",'RETEN. y PERC.'!F406)</f>
        <v/>
      </c>
      <c r="B406" s="640" t="str">
        <f>IF(OR(LEN('RETEN. y PERC.'!A406)=0,'RETEN. y PERC.'!A406=0),"",'RETEN. y PERC.'!A406)</f>
        <v/>
      </c>
      <c r="C406" s="640" t="str">
        <f>IF(OR(LEN('RETEN. y PERC.'!H406)=0,'RETEN. y PERC.'!H406=0),"",'RETEN. y PERC.'!H406)</f>
        <v/>
      </c>
      <c r="D406" s="640" t="str">
        <f>IF(OR(LEN('RETEN. y PERC.'!N406)=0,'RETEN. y PERC.'!N406=0),"",'RETEN. y PERC.'!N406)</f>
        <v/>
      </c>
      <c r="F406" s="645" t="str">
        <f>IF(OR(LEN('RETEN. y PERC.'!J406)=0,'RETEN. y PERC.'!J406=0),"",'RETEN. y PERC.'!J406)</f>
        <v/>
      </c>
    </row>
    <row r="407" spans="1:6">
      <c r="A407" s="640" t="str">
        <f>IF(OR(LEN('RETEN. y PERC.'!F407)=0,'RETEN. y PERC.'!F407=0),"",'RETEN. y PERC.'!F407)</f>
        <v/>
      </c>
      <c r="B407" s="640" t="str">
        <f>IF(OR(LEN('RETEN. y PERC.'!A407)=0,'RETEN. y PERC.'!A407=0),"",'RETEN. y PERC.'!A407)</f>
        <v/>
      </c>
      <c r="C407" s="640" t="str">
        <f>IF(OR(LEN('RETEN. y PERC.'!H407)=0,'RETEN. y PERC.'!H407=0),"",'RETEN. y PERC.'!H407)</f>
        <v/>
      </c>
      <c r="D407" s="640" t="str">
        <f>IF(OR(LEN('RETEN. y PERC.'!N407)=0,'RETEN. y PERC.'!N407=0),"",'RETEN. y PERC.'!N407)</f>
        <v/>
      </c>
      <c r="F407" s="645" t="str">
        <f>IF(OR(LEN('RETEN. y PERC.'!J407)=0,'RETEN. y PERC.'!J407=0),"",'RETEN. y PERC.'!J407)</f>
        <v/>
      </c>
    </row>
    <row r="408" spans="1:6">
      <c r="A408" s="640" t="str">
        <f>IF(OR(LEN('RETEN. y PERC.'!F408)=0,'RETEN. y PERC.'!F408=0),"",'RETEN. y PERC.'!F408)</f>
        <v/>
      </c>
      <c r="B408" s="640" t="str">
        <f>IF(OR(LEN('RETEN. y PERC.'!A408)=0,'RETEN. y PERC.'!A408=0),"",'RETEN. y PERC.'!A408)</f>
        <v/>
      </c>
      <c r="C408" s="640" t="str">
        <f>IF(OR(LEN('RETEN. y PERC.'!H408)=0,'RETEN. y PERC.'!H408=0),"",'RETEN. y PERC.'!H408)</f>
        <v/>
      </c>
      <c r="D408" s="640" t="str">
        <f>IF(OR(LEN('RETEN. y PERC.'!N408)=0,'RETEN. y PERC.'!N408=0),"",'RETEN. y PERC.'!N408)</f>
        <v/>
      </c>
      <c r="F408" s="645" t="str">
        <f>IF(OR(LEN('RETEN. y PERC.'!J408)=0,'RETEN. y PERC.'!J408=0),"",'RETEN. y PERC.'!J408)</f>
        <v/>
      </c>
    </row>
    <row r="409" spans="1:6">
      <c r="A409" s="640" t="str">
        <f>IF(OR(LEN('RETEN. y PERC.'!F409)=0,'RETEN. y PERC.'!F409=0),"",'RETEN. y PERC.'!F409)</f>
        <v/>
      </c>
      <c r="B409" s="640" t="str">
        <f>IF(OR(LEN('RETEN. y PERC.'!A409)=0,'RETEN. y PERC.'!A409=0),"",'RETEN. y PERC.'!A409)</f>
        <v/>
      </c>
      <c r="C409" s="640" t="str">
        <f>IF(OR(LEN('RETEN. y PERC.'!H409)=0,'RETEN. y PERC.'!H409=0),"",'RETEN. y PERC.'!H409)</f>
        <v/>
      </c>
      <c r="D409" s="640" t="str">
        <f>IF(OR(LEN('RETEN. y PERC.'!N409)=0,'RETEN. y PERC.'!N409=0),"",'RETEN. y PERC.'!N409)</f>
        <v/>
      </c>
      <c r="F409" s="645" t="str">
        <f>IF(OR(LEN('RETEN. y PERC.'!J409)=0,'RETEN. y PERC.'!J409=0),"",'RETEN. y PERC.'!J409)</f>
        <v/>
      </c>
    </row>
    <row r="410" spans="1:6">
      <c r="A410" s="640" t="str">
        <f>IF(OR(LEN('RETEN. y PERC.'!F410)=0,'RETEN. y PERC.'!F410=0),"",'RETEN. y PERC.'!F410)</f>
        <v/>
      </c>
      <c r="B410" s="640" t="str">
        <f>IF(OR(LEN('RETEN. y PERC.'!A410)=0,'RETEN. y PERC.'!A410=0),"",'RETEN. y PERC.'!A410)</f>
        <v/>
      </c>
      <c r="C410" s="640" t="str">
        <f>IF(OR(LEN('RETEN. y PERC.'!H410)=0,'RETEN. y PERC.'!H410=0),"",'RETEN. y PERC.'!H410)</f>
        <v/>
      </c>
      <c r="D410" s="640" t="str">
        <f>IF(OR(LEN('RETEN. y PERC.'!N410)=0,'RETEN. y PERC.'!N410=0),"",'RETEN. y PERC.'!N410)</f>
        <v/>
      </c>
      <c r="F410" s="645" t="str">
        <f>IF(OR(LEN('RETEN. y PERC.'!J410)=0,'RETEN. y PERC.'!J410=0),"",'RETEN. y PERC.'!J410)</f>
        <v/>
      </c>
    </row>
    <row r="411" spans="1:6">
      <c r="A411" s="640" t="str">
        <f>IF(OR(LEN('RETEN. y PERC.'!F411)=0,'RETEN. y PERC.'!F411=0),"",'RETEN. y PERC.'!F411)</f>
        <v/>
      </c>
      <c r="B411" s="640" t="str">
        <f>IF(OR(LEN('RETEN. y PERC.'!A411)=0,'RETEN. y PERC.'!A411=0),"",'RETEN. y PERC.'!A411)</f>
        <v/>
      </c>
      <c r="C411" s="640" t="str">
        <f>IF(OR(LEN('RETEN. y PERC.'!H411)=0,'RETEN. y PERC.'!H411=0),"",'RETEN. y PERC.'!H411)</f>
        <v/>
      </c>
      <c r="D411" s="640" t="str">
        <f>IF(OR(LEN('RETEN. y PERC.'!N411)=0,'RETEN. y PERC.'!N411=0),"",'RETEN. y PERC.'!N411)</f>
        <v/>
      </c>
      <c r="F411" s="645" t="str">
        <f>IF(OR(LEN('RETEN. y PERC.'!J411)=0,'RETEN. y PERC.'!J411=0),"",'RETEN. y PERC.'!J411)</f>
        <v/>
      </c>
    </row>
    <row r="412" spans="1:6">
      <c r="A412" s="640" t="str">
        <f>IF(OR(LEN('RETEN. y PERC.'!F412)=0,'RETEN. y PERC.'!F412=0),"",'RETEN. y PERC.'!F412)</f>
        <v/>
      </c>
      <c r="B412" s="640" t="str">
        <f>IF(OR(LEN('RETEN. y PERC.'!A412)=0,'RETEN. y PERC.'!A412=0),"",'RETEN. y PERC.'!A412)</f>
        <v/>
      </c>
      <c r="C412" s="640" t="str">
        <f>IF(OR(LEN('RETEN. y PERC.'!H412)=0,'RETEN. y PERC.'!H412=0),"",'RETEN. y PERC.'!H412)</f>
        <v/>
      </c>
      <c r="D412" s="640" t="str">
        <f>IF(OR(LEN('RETEN. y PERC.'!N412)=0,'RETEN. y PERC.'!N412=0),"",'RETEN. y PERC.'!N412)</f>
        <v/>
      </c>
      <c r="F412" s="645" t="str">
        <f>IF(OR(LEN('RETEN. y PERC.'!J412)=0,'RETEN. y PERC.'!J412=0),"",'RETEN. y PERC.'!J412)</f>
        <v/>
      </c>
    </row>
    <row r="413" spans="1:6">
      <c r="A413" s="640" t="str">
        <f>IF(OR(LEN('RETEN. y PERC.'!F413)=0,'RETEN. y PERC.'!F413=0),"",'RETEN. y PERC.'!F413)</f>
        <v/>
      </c>
      <c r="B413" s="640" t="str">
        <f>IF(OR(LEN('RETEN. y PERC.'!A413)=0,'RETEN. y PERC.'!A413=0),"",'RETEN. y PERC.'!A413)</f>
        <v/>
      </c>
      <c r="C413" s="640" t="str">
        <f>IF(OR(LEN('RETEN. y PERC.'!H413)=0,'RETEN. y PERC.'!H413=0),"",'RETEN. y PERC.'!H413)</f>
        <v/>
      </c>
      <c r="D413" s="640" t="str">
        <f>IF(OR(LEN('RETEN. y PERC.'!N413)=0,'RETEN. y PERC.'!N413=0),"",'RETEN. y PERC.'!N413)</f>
        <v/>
      </c>
      <c r="F413" s="645" t="str">
        <f>IF(OR(LEN('RETEN. y PERC.'!J413)=0,'RETEN. y PERC.'!J413=0),"",'RETEN. y PERC.'!J413)</f>
        <v/>
      </c>
    </row>
    <row r="414" spans="1:6">
      <c r="A414" s="640" t="str">
        <f>IF(OR(LEN('RETEN. y PERC.'!F414)=0,'RETEN. y PERC.'!F414=0),"",'RETEN. y PERC.'!F414)</f>
        <v/>
      </c>
      <c r="B414" s="640" t="str">
        <f>IF(OR(LEN('RETEN. y PERC.'!A414)=0,'RETEN. y PERC.'!A414=0),"",'RETEN. y PERC.'!A414)</f>
        <v/>
      </c>
      <c r="C414" s="640" t="str">
        <f>IF(OR(LEN('RETEN. y PERC.'!H414)=0,'RETEN. y PERC.'!H414=0),"",'RETEN. y PERC.'!H414)</f>
        <v/>
      </c>
      <c r="D414" s="640" t="str">
        <f>IF(OR(LEN('RETEN. y PERC.'!N414)=0,'RETEN. y PERC.'!N414=0),"",'RETEN. y PERC.'!N414)</f>
        <v/>
      </c>
      <c r="F414" s="645" t="str">
        <f>IF(OR(LEN('RETEN. y PERC.'!J414)=0,'RETEN. y PERC.'!J414=0),"",'RETEN. y PERC.'!J414)</f>
        <v/>
      </c>
    </row>
    <row r="415" spans="1:6">
      <c r="A415" s="640" t="str">
        <f>IF(OR(LEN('RETEN. y PERC.'!F415)=0,'RETEN. y PERC.'!F415=0),"",'RETEN. y PERC.'!F415)</f>
        <v/>
      </c>
      <c r="B415" s="640" t="str">
        <f>IF(OR(LEN('RETEN. y PERC.'!A415)=0,'RETEN. y PERC.'!A415=0),"",'RETEN. y PERC.'!A415)</f>
        <v/>
      </c>
      <c r="C415" s="640" t="str">
        <f>IF(OR(LEN('RETEN. y PERC.'!H415)=0,'RETEN. y PERC.'!H415=0),"",'RETEN. y PERC.'!H415)</f>
        <v/>
      </c>
      <c r="D415" s="640" t="str">
        <f>IF(OR(LEN('RETEN. y PERC.'!N415)=0,'RETEN. y PERC.'!N415=0),"",'RETEN. y PERC.'!N415)</f>
        <v/>
      </c>
      <c r="F415" s="645" t="str">
        <f>IF(OR(LEN('RETEN. y PERC.'!J415)=0,'RETEN. y PERC.'!J415=0),"",'RETEN. y PERC.'!J415)</f>
        <v/>
      </c>
    </row>
    <row r="416" spans="1:6">
      <c r="A416" s="640" t="str">
        <f>IF(OR(LEN('RETEN. y PERC.'!F416)=0,'RETEN. y PERC.'!F416=0),"",'RETEN. y PERC.'!F416)</f>
        <v/>
      </c>
      <c r="B416" s="640" t="str">
        <f>IF(OR(LEN('RETEN. y PERC.'!A416)=0,'RETEN. y PERC.'!A416=0),"",'RETEN. y PERC.'!A416)</f>
        <v/>
      </c>
      <c r="C416" s="640" t="str">
        <f>IF(OR(LEN('RETEN. y PERC.'!H416)=0,'RETEN. y PERC.'!H416=0),"",'RETEN. y PERC.'!H416)</f>
        <v/>
      </c>
      <c r="D416" s="640" t="str">
        <f>IF(OR(LEN('RETEN. y PERC.'!N416)=0,'RETEN. y PERC.'!N416=0),"",'RETEN. y PERC.'!N416)</f>
        <v/>
      </c>
      <c r="F416" s="645" t="str">
        <f>IF(OR(LEN('RETEN. y PERC.'!J416)=0,'RETEN. y PERC.'!J416=0),"",'RETEN. y PERC.'!J416)</f>
        <v/>
      </c>
    </row>
    <row r="417" spans="1:6">
      <c r="A417" s="640" t="str">
        <f>IF(OR(LEN('RETEN. y PERC.'!F417)=0,'RETEN. y PERC.'!F417=0),"",'RETEN. y PERC.'!F417)</f>
        <v/>
      </c>
      <c r="B417" s="640" t="str">
        <f>IF(OR(LEN('RETEN. y PERC.'!A417)=0,'RETEN. y PERC.'!A417=0),"",'RETEN. y PERC.'!A417)</f>
        <v/>
      </c>
      <c r="C417" s="640" t="str">
        <f>IF(OR(LEN('RETEN. y PERC.'!H417)=0,'RETEN. y PERC.'!H417=0),"",'RETEN. y PERC.'!H417)</f>
        <v/>
      </c>
      <c r="D417" s="640" t="str">
        <f>IF(OR(LEN('RETEN. y PERC.'!N417)=0,'RETEN. y PERC.'!N417=0),"",'RETEN. y PERC.'!N417)</f>
        <v/>
      </c>
      <c r="F417" s="645" t="str">
        <f>IF(OR(LEN('RETEN. y PERC.'!J417)=0,'RETEN. y PERC.'!J417=0),"",'RETEN. y PERC.'!J417)</f>
        <v/>
      </c>
    </row>
    <row r="418" spans="1:6">
      <c r="A418" s="640" t="str">
        <f>IF(OR(LEN('RETEN. y PERC.'!F418)=0,'RETEN. y PERC.'!F418=0),"",'RETEN. y PERC.'!F418)</f>
        <v/>
      </c>
      <c r="B418" s="640" t="str">
        <f>IF(OR(LEN('RETEN. y PERC.'!A418)=0,'RETEN. y PERC.'!A418=0),"",'RETEN. y PERC.'!A418)</f>
        <v/>
      </c>
      <c r="C418" s="640" t="str">
        <f>IF(OR(LEN('RETEN. y PERC.'!H418)=0,'RETEN. y PERC.'!H418=0),"",'RETEN. y PERC.'!H418)</f>
        <v/>
      </c>
      <c r="D418" s="640" t="str">
        <f>IF(OR(LEN('RETEN. y PERC.'!N418)=0,'RETEN. y PERC.'!N418=0),"",'RETEN. y PERC.'!N418)</f>
        <v/>
      </c>
      <c r="F418" s="645" t="str">
        <f>IF(OR(LEN('RETEN. y PERC.'!J418)=0,'RETEN. y PERC.'!J418=0),"",'RETEN. y PERC.'!J418)</f>
        <v/>
      </c>
    </row>
    <row r="419" spans="1:6">
      <c r="A419" s="640" t="str">
        <f>IF(OR(LEN('RETEN. y PERC.'!F419)=0,'RETEN. y PERC.'!F419=0),"",'RETEN. y PERC.'!F419)</f>
        <v/>
      </c>
      <c r="B419" s="640" t="str">
        <f>IF(OR(LEN('RETEN. y PERC.'!A419)=0,'RETEN. y PERC.'!A419=0),"",'RETEN. y PERC.'!A419)</f>
        <v/>
      </c>
      <c r="C419" s="640" t="str">
        <f>IF(OR(LEN('RETEN. y PERC.'!H419)=0,'RETEN. y PERC.'!H419=0),"",'RETEN. y PERC.'!H419)</f>
        <v/>
      </c>
      <c r="D419" s="640" t="str">
        <f>IF(OR(LEN('RETEN. y PERC.'!N419)=0,'RETEN. y PERC.'!N419=0),"",'RETEN. y PERC.'!N419)</f>
        <v/>
      </c>
      <c r="F419" s="645" t="str">
        <f>IF(OR(LEN('RETEN. y PERC.'!J419)=0,'RETEN. y PERC.'!J419=0),"",'RETEN. y PERC.'!J419)</f>
        <v/>
      </c>
    </row>
    <row r="420" spans="1:6">
      <c r="A420" s="640" t="str">
        <f>IF(OR(LEN('RETEN. y PERC.'!F420)=0,'RETEN. y PERC.'!F420=0),"",'RETEN. y PERC.'!F420)</f>
        <v/>
      </c>
      <c r="B420" s="640" t="str">
        <f>IF(OR(LEN('RETEN. y PERC.'!A420)=0,'RETEN. y PERC.'!A420=0),"",'RETEN. y PERC.'!A420)</f>
        <v/>
      </c>
      <c r="C420" s="640" t="str">
        <f>IF(OR(LEN('RETEN. y PERC.'!H420)=0,'RETEN. y PERC.'!H420=0),"",'RETEN. y PERC.'!H420)</f>
        <v/>
      </c>
      <c r="D420" s="640" t="str">
        <f>IF(OR(LEN('RETEN. y PERC.'!N420)=0,'RETEN. y PERC.'!N420=0),"",'RETEN. y PERC.'!N420)</f>
        <v/>
      </c>
      <c r="F420" s="645" t="str">
        <f>IF(OR(LEN('RETEN. y PERC.'!J420)=0,'RETEN. y PERC.'!J420=0),"",'RETEN. y PERC.'!J420)</f>
        <v/>
      </c>
    </row>
    <row r="421" spans="1:6">
      <c r="A421" s="640" t="str">
        <f>IF(OR(LEN('RETEN. y PERC.'!F421)=0,'RETEN. y PERC.'!F421=0),"",'RETEN. y PERC.'!F421)</f>
        <v/>
      </c>
      <c r="B421" s="640" t="str">
        <f>IF(OR(LEN('RETEN. y PERC.'!A421)=0,'RETEN. y PERC.'!A421=0),"",'RETEN. y PERC.'!A421)</f>
        <v/>
      </c>
      <c r="C421" s="640" t="str">
        <f>IF(OR(LEN('RETEN. y PERC.'!H421)=0,'RETEN. y PERC.'!H421=0),"",'RETEN. y PERC.'!H421)</f>
        <v/>
      </c>
      <c r="D421" s="640" t="str">
        <f>IF(OR(LEN('RETEN. y PERC.'!N421)=0,'RETEN. y PERC.'!N421=0),"",'RETEN. y PERC.'!N421)</f>
        <v/>
      </c>
      <c r="F421" s="645" t="str">
        <f>IF(OR(LEN('RETEN. y PERC.'!J421)=0,'RETEN. y PERC.'!J421=0),"",'RETEN. y PERC.'!J421)</f>
        <v/>
      </c>
    </row>
    <row r="422" spans="1:6">
      <c r="A422" s="640" t="str">
        <f>IF(OR(LEN('RETEN. y PERC.'!F422)=0,'RETEN. y PERC.'!F422=0),"",'RETEN. y PERC.'!F422)</f>
        <v/>
      </c>
      <c r="B422" s="640" t="str">
        <f>IF(OR(LEN('RETEN. y PERC.'!A422)=0,'RETEN. y PERC.'!A422=0),"",'RETEN. y PERC.'!A422)</f>
        <v/>
      </c>
      <c r="C422" s="640" t="str">
        <f>IF(OR(LEN('RETEN. y PERC.'!H422)=0,'RETEN. y PERC.'!H422=0),"",'RETEN. y PERC.'!H422)</f>
        <v/>
      </c>
      <c r="D422" s="640" t="str">
        <f>IF(OR(LEN('RETEN. y PERC.'!N422)=0,'RETEN. y PERC.'!N422=0),"",'RETEN. y PERC.'!N422)</f>
        <v/>
      </c>
      <c r="F422" s="645" t="str">
        <f>IF(OR(LEN('RETEN. y PERC.'!J422)=0,'RETEN. y PERC.'!J422=0),"",'RETEN. y PERC.'!J422)</f>
        <v/>
      </c>
    </row>
    <row r="423" spans="1:6">
      <c r="A423" s="640" t="str">
        <f>IF(OR(LEN('RETEN. y PERC.'!F423)=0,'RETEN. y PERC.'!F423=0),"",'RETEN. y PERC.'!F423)</f>
        <v/>
      </c>
      <c r="B423" s="640" t="str">
        <f>IF(OR(LEN('RETEN. y PERC.'!A423)=0,'RETEN. y PERC.'!A423=0),"",'RETEN. y PERC.'!A423)</f>
        <v/>
      </c>
      <c r="C423" s="640" t="str">
        <f>IF(OR(LEN('RETEN. y PERC.'!H423)=0,'RETEN. y PERC.'!H423=0),"",'RETEN. y PERC.'!H423)</f>
        <v/>
      </c>
      <c r="D423" s="640" t="str">
        <f>IF(OR(LEN('RETEN. y PERC.'!N423)=0,'RETEN. y PERC.'!N423=0),"",'RETEN. y PERC.'!N423)</f>
        <v/>
      </c>
      <c r="F423" s="645" t="str">
        <f>IF(OR(LEN('RETEN. y PERC.'!J423)=0,'RETEN. y PERC.'!J423=0),"",'RETEN. y PERC.'!J423)</f>
        <v/>
      </c>
    </row>
    <row r="424" spans="1:6">
      <c r="A424" s="640" t="str">
        <f>IF(OR(LEN('RETEN. y PERC.'!F424)=0,'RETEN. y PERC.'!F424=0),"",'RETEN. y PERC.'!F424)</f>
        <v/>
      </c>
      <c r="B424" s="640" t="str">
        <f>IF(OR(LEN('RETEN. y PERC.'!A424)=0,'RETEN. y PERC.'!A424=0),"",'RETEN. y PERC.'!A424)</f>
        <v/>
      </c>
      <c r="C424" s="640" t="str">
        <f>IF(OR(LEN('RETEN. y PERC.'!H424)=0,'RETEN. y PERC.'!H424=0),"",'RETEN. y PERC.'!H424)</f>
        <v/>
      </c>
      <c r="D424" s="640" t="str">
        <f>IF(OR(LEN('RETEN. y PERC.'!N424)=0,'RETEN. y PERC.'!N424=0),"",'RETEN. y PERC.'!N424)</f>
        <v/>
      </c>
      <c r="F424" s="645" t="str">
        <f>IF(OR(LEN('RETEN. y PERC.'!J424)=0,'RETEN. y PERC.'!J424=0),"",'RETEN. y PERC.'!J424)</f>
        <v/>
      </c>
    </row>
    <row r="425" spans="1:6">
      <c r="A425" s="640" t="str">
        <f>IF(OR(LEN('RETEN. y PERC.'!F425)=0,'RETEN. y PERC.'!F425=0),"",'RETEN. y PERC.'!F425)</f>
        <v/>
      </c>
      <c r="B425" s="640" t="str">
        <f>IF(OR(LEN('RETEN. y PERC.'!A425)=0,'RETEN. y PERC.'!A425=0),"",'RETEN. y PERC.'!A425)</f>
        <v/>
      </c>
      <c r="C425" s="640" t="str">
        <f>IF(OR(LEN('RETEN. y PERC.'!H425)=0,'RETEN. y PERC.'!H425=0),"",'RETEN. y PERC.'!H425)</f>
        <v/>
      </c>
      <c r="D425" s="640" t="str">
        <f>IF(OR(LEN('RETEN. y PERC.'!N425)=0,'RETEN. y PERC.'!N425=0),"",'RETEN. y PERC.'!N425)</f>
        <v/>
      </c>
      <c r="F425" s="645" t="str">
        <f>IF(OR(LEN('RETEN. y PERC.'!J425)=0,'RETEN. y PERC.'!J425=0),"",'RETEN. y PERC.'!J425)</f>
        <v/>
      </c>
    </row>
    <row r="426" spans="1:6">
      <c r="A426" s="640" t="str">
        <f>IF(OR(LEN('RETEN. y PERC.'!F426)=0,'RETEN. y PERC.'!F426=0),"",'RETEN. y PERC.'!F426)</f>
        <v/>
      </c>
      <c r="B426" s="640" t="str">
        <f>IF(OR(LEN('RETEN. y PERC.'!A426)=0,'RETEN. y PERC.'!A426=0),"",'RETEN. y PERC.'!A426)</f>
        <v/>
      </c>
      <c r="C426" s="640" t="str">
        <f>IF(OR(LEN('RETEN. y PERC.'!H426)=0,'RETEN. y PERC.'!H426=0),"",'RETEN. y PERC.'!H426)</f>
        <v/>
      </c>
      <c r="D426" s="640" t="str">
        <f>IF(OR(LEN('RETEN. y PERC.'!N426)=0,'RETEN. y PERC.'!N426=0),"",'RETEN. y PERC.'!N426)</f>
        <v/>
      </c>
      <c r="F426" s="645" t="str">
        <f>IF(OR(LEN('RETEN. y PERC.'!J426)=0,'RETEN. y PERC.'!J426=0),"",'RETEN. y PERC.'!J426)</f>
        <v/>
      </c>
    </row>
    <row r="427" spans="1:6">
      <c r="A427" s="640" t="str">
        <f>IF(OR(LEN('RETEN. y PERC.'!F427)=0,'RETEN. y PERC.'!F427=0),"",'RETEN. y PERC.'!F427)</f>
        <v/>
      </c>
      <c r="B427" s="640" t="str">
        <f>IF(OR(LEN('RETEN. y PERC.'!A427)=0,'RETEN. y PERC.'!A427=0),"",'RETEN. y PERC.'!A427)</f>
        <v/>
      </c>
      <c r="C427" s="640" t="str">
        <f>IF(OR(LEN('RETEN. y PERC.'!H427)=0,'RETEN. y PERC.'!H427=0),"",'RETEN. y PERC.'!H427)</f>
        <v/>
      </c>
      <c r="D427" s="640" t="str">
        <f>IF(OR(LEN('RETEN. y PERC.'!N427)=0,'RETEN. y PERC.'!N427=0),"",'RETEN. y PERC.'!N427)</f>
        <v/>
      </c>
      <c r="F427" s="645" t="str">
        <f>IF(OR(LEN('RETEN. y PERC.'!J427)=0,'RETEN. y PERC.'!J427=0),"",'RETEN. y PERC.'!J427)</f>
        <v/>
      </c>
    </row>
    <row r="428" spans="1:6">
      <c r="A428" s="640" t="str">
        <f>IF(OR(LEN('RETEN. y PERC.'!F428)=0,'RETEN. y PERC.'!F428=0),"",'RETEN. y PERC.'!F428)</f>
        <v/>
      </c>
      <c r="B428" s="640" t="str">
        <f>IF(OR(LEN('RETEN. y PERC.'!A428)=0,'RETEN. y PERC.'!A428=0),"",'RETEN. y PERC.'!A428)</f>
        <v/>
      </c>
      <c r="C428" s="640" t="str">
        <f>IF(OR(LEN('RETEN. y PERC.'!H428)=0,'RETEN. y PERC.'!H428=0),"",'RETEN. y PERC.'!H428)</f>
        <v/>
      </c>
      <c r="D428" s="640" t="str">
        <f>IF(OR(LEN('RETEN. y PERC.'!N428)=0,'RETEN. y PERC.'!N428=0),"",'RETEN. y PERC.'!N428)</f>
        <v/>
      </c>
      <c r="F428" s="645" t="str">
        <f>IF(OR(LEN('RETEN. y PERC.'!J428)=0,'RETEN. y PERC.'!J428=0),"",'RETEN. y PERC.'!J428)</f>
        <v/>
      </c>
    </row>
    <row r="429" spans="1:6">
      <c r="A429" s="640" t="str">
        <f>IF(OR(LEN('RETEN. y PERC.'!F429)=0,'RETEN. y PERC.'!F429=0),"",'RETEN. y PERC.'!F429)</f>
        <v/>
      </c>
      <c r="B429" s="640" t="str">
        <f>IF(OR(LEN('RETEN. y PERC.'!A429)=0,'RETEN. y PERC.'!A429=0),"",'RETEN. y PERC.'!A429)</f>
        <v/>
      </c>
      <c r="C429" s="640" t="str">
        <f>IF(OR(LEN('RETEN. y PERC.'!H429)=0,'RETEN. y PERC.'!H429=0),"",'RETEN. y PERC.'!H429)</f>
        <v/>
      </c>
      <c r="D429" s="640" t="str">
        <f>IF(OR(LEN('RETEN. y PERC.'!N429)=0,'RETEN. y PERC.'!N429=0),"",'RETEN. y PERC.'!N429)</f>
        <v/>
      </c>
      <c r="F429" s="645" t="str">
        <f>IF(OR(LEN('RETEN. y PERC.'!J429)=0,'RETEN. y PERC.'!J429=0),"",'RETEN. y PERC.'!J429)</f>
        <v/>
      </c>
    </row>
    <row r="430" spans="1:6">
      <c r="A430" s="640" t="str">
        <f>IF(OR(LEN('RETEN. y PERC.'!F430)=0,'RETEN. y PERC.'!F430=0),"",'RETEN. y PERC.'!F430)</f>
        <v/>
      </c>
      <c r="B430" s="640" t="str">
        <f>IF(OR(LEN('RETEN. y PERC.'!A430)=0,'RETEN. y PERC.'!A430=0),"",'RETEN. y PERC.'!A430)</f>
        <v/>
      </c>
      <c r="C430" s="640" t="str">
        <f>IF(OR(LEN('RETEN. y PERC.'!H430)=0,'RETEN. y PERC.'!H430=0),"",'RETEN. y PERC.'!H430)</f>
        <v/>
      </c>
      <c r="D430" s="640" t="str">
        <f>IF(OR(LEN('RETEN. y PERC.'!N430)=0,'RETEN. y PERC.'!N430=0),"",'RETEN. y PERC.'!N430)</f>
        <v/>
      </c>
      <c r="F430" s="645" t="str">
        <f>IF(OR(LEN('RETEN. y PERC.'!J430)=0,'RETEN. y PERC.'!J430=0),"",'RETEN. y PERC.'!J430)</f>
        <v/>
      </c>
    </row>
    <row r="431" spans="1:6">
      <c r="A431" s="640" t="str">
        <f>IF(OR(LEN('RETEN. y PERC.'!F431)=0,'RETEN. y PERC.'!F431=0),"",'RETEN. y PERC.'!F431)</f>
        <v/>
      </c>
      <c r="B431" s="640" t="str">
        <f>IF(OR(LEN('RETEN. y PERC.'!A431)=0,'RETEN. y PERC.'!A431=0),"",'RETEN. y PERC.'!A431)</f>
        <v/>
      </c>
      <c r="C431" s="640" t="str">
        <f>IF(OR(LEN('RETEN. y PERC.'!H431)=0,'RETEN. y PERC.'!H431=0),"",'RETEN. y PERC.'!H431)</f>
        <v/>
      </c>
      <c r="D431" s="640" t="str">
        <f>IF(OR(LEN('RETEN. y PERC.'!N431)=0,'RETEN. y PERC.'!N431=0),"",'RETEN. y PERC.'!N431)</f>
        <v/>
      </c>
      <c r="F431" s="645" t="str">
        <f>IF(OR(LEN('RETEN. y PERC.'!J431)=0,'RETEN. y PERC.'!J431=0),"",'RETEN. y PERC.'!J431)</f>
        <v/>
      </c>
    </row>
    <row r="432" spans="1:6">
      <c r="A432" s="640" t="str">
        <f>IF(OR(LEN('RETEN. y PERC.'!F432)=0,'RETEN. y PERC.'!F432=0),"",'RETEN. y PERC.'!F432)</f>
        <v/>
      </c>
      <c r="B432" s="640" t="str">
        <f>IF(OR(LEN('RETEN. y PERC.'!A432)=0,'RETEN. y PERC.'!A432=0),"",'RETEN. y PERC.'!A432)</f>
        <v/>
      </c>
      <c r="C432" s="640" t="str">
        <f>IF(OR(LEN('RETEN. y PERC.'!H432)=0,'RETEN. y PERC.'!H432=0),"",'RETEN. y PERC.'!H432)</f>
        <v/>
      </c>
      <c r="D432" s="640" t="str">
        <f>IF(OR(LEN('RETEN. y PERC.'!N432)=0,'RETEN. y PERC.'!N432=0),"",'RETEN. y PERC.'!N432)</f>
        <v/>
      </c>
      <c r="F432" s="645" t="str">
        <f>IF(OR(LEN('RETEN. y PERC.'!J432)=0,'RETEN. y PERC.'!J432=0),"",'RETEN. y PERC.'!J432)</f>
        <v/>
      </c>
    </row>
    <row r="433" spans="1:6">
      <c r="A433" s="640" t="str">
        <f>IF(OR(LEN('RETEN. y PERC.'!F433)=0,'RETEN. y PERC.'!F433=0),"",'RETEN. y PERC.'!F433)</f>
        <v/>
      </c>
      <c r="B433" s="640" t="str">
        <f>IF(OR(LEN('RETEN. y PERC.'!A433)=0,'RETEN. y PERC.'!A433=0),"",'RETEN. y PERC.'!A433)</f>
        <v/>
      </c>
      <c r="C433" s="640" t="str">
        <f>IF(OR(LEN('RETEN. y PERC.'!H433)=0,'RETEN. y PERC.'!H433=0),"",'RETEN. y PERC.'!H433)</f>
        <v/>
      </c>
      <c r="D433" s="640" t="str">
        <f>IF(OR(LEN('RETEN. y PERC.'!N433)=0,'RETEN. y PERC.'!N433=0),"",'RETEN. y PERC.'!N433)</f>
        <v/>
      </c>
      <c r="F433" s="645" t="str">
        <f>IF(OR(LEN('RETEN. y PERC.'!J433)=0,'RETEN. y PERC.'!J433=0),"",'RETEN. y PERC.'!J433)</f>
        <v/>
      </c>
    </row>
    <row r="434" spans="1:6">
      <c r="A434" s="640" t="str">
        <f>IF(OR(LEN('RETEN. y PERC.'!F434)=0,'RETEN. y PERC.'!F434=0),"",'RETEN. y PERC.'!F434)</f>
        <v/>
      </c>
      <c r="B434" s="640" t="str">
        <f>IF(OR(LEN('RETEN. y PERC.'!A434)=0,'RETEN. y PERC.'!A434=0),"",'RETEN. y PERC.'!A434)</f>
        <v/>
      </c>
      <c r="C434" s="640" t="str">
        <f>IF(OR(LEN('RETEN. y PERC.'!H434)=0,'RETEN. y PERC.'!H434=0),"",'RETEN. y PERC.'!H434)</f>
        <v/>
      </c>
      <c r="D434" s="640" t="str">
        <f>IF(OR(LEN('RETEN. y PERC.'!N434)=0,'RETEN. y PERC.'!N434=0),"",'RETEN. y PERC.'!N434)</f>
        <v/>
      </c>
      <c r="F434" s="645" t="str">
        <f>IF(OR(LEN('RETEN. y PERC.'!J434)=0,'RETEN. y PERC.'!J434=0),"",'RETEN. y PERC.'!J434)</f>
        <v/>
      </c>
    </row>
    <row r="435" spans="1:6">
      <c r="A435" s="640" t="str">
        <f>IF(OR(LEN('RETEN. y PERC.'!F435)=0,'RETEN. y PERC.'!F435=0),"",'RETEN. y PERC.'!F435)</f>
        <v/>
      </c>
      <c r="B435" s="640" t="str">
        <f>IF(OR(LEN('RETEN. y PERC.'!A435)=0,'RETEN. y PERC.'!A435=0),"",'RETEN. y PERC.'!A435)</f>
        <v/>
      </c>
      <c r="C435" s="640" t="str">
        <f>IF(OR(LEN('RETEN. y PERC.'!H435)=0,'RETEN. y PERC.'!H435=0),"",'RETEN. y PERC.'!H435)</f>
        <v/>
      </c>
      <c r="D435" s="640" t="str">
        <f>IF(OR(LEN('RETEN. y PERC.'!N435)=0,'RETEN. y PERC.'!N435=0),"",'RETEN. y PERC.'!N435)</f>
        <v/>
      </c>
      <c r="F435" s="645" t="str">
        <f>IF(OR(LEN('RETEN. y PERC.'!J435)=0,'RETEN. y PERC.'!J435=0),"",'RETEN. y PERC.'!J435)</f>
        <v/>
      </c>
    </row>
    <row r="436" spans="1:6">
      <c r="A436" s="640" t="str">
        <f>IF(OR(LEN('RETEN. y PERC.'!F436)=0,'RETEN. y PERC.'!F436=0),"",'RETEN. y PERC.'!F436)</f>
        <v/>
      </c>
      <c r="B436" s="640" t="str">
        <f>IF(OR(LEN('RETEN. y PERC.'!A436)=0,'RETEN. y PERC.'!A436=0),"",'RETEN. y PERC.'!A436)</f>
        <v/>
      </c>
      <c r="C436" s="640" t="str">
        <f>IF(OR(LEN('RETEN. y PERC.'!H436)=0,'RETEN. y PERC.'!H436=0),"",'RETEN. y PERC.'!H436)</f>
        <v/>
      </c>
      <c r="D436" s="640" t="str">
        <f>IF(OR(LEN('RETEN. y PERC.'!N436)=0,'RETEN. y PERC.'!N436=0),"",'RETEN. y PERC.'!N436)</f>
        <v/>
      </c>
      <c r="F436" s="645" t="str">
        <f>IF(OR(LEN('RETEN. y PERC.'!J436)=0,'RETEN. y PERC.'!J436=0),"",'RETEN. y PERC.'!J436)</f>
        <v/>
      </c>
    </row>
    <row r="437" spans="1:6">
      <c r="A437" s="640" t="str">
        <f>IF(OR(LEN('RETEN. y PERC.'!F437)=0,'RETEN. y PERC.'!F437=0),"",'RETEN. y PERC.'!F437)</f>
        <v/>
      </c>
      <c r="B437" s="640" t="str">
        <f>IF(OR(LEN('RETEN. y PERC.'!A437)=0,'RETEN. y PERC.'!A437=0),"",'RETEN. y PERC.'!A437)</f>
        <v/>
      </c>
      <c r="C437" s="640" t="str">
        <f>IF(OR(LEN('RETEN. y PERC.'!H437)=0,'RETEN. y PERC.'!H437=0),"",'RETEN. y PERC.'!H437)</f>
        <v/>
      </c>
      <c r="D437" s="640" t="str">
        <f>IF(OR(LEN('RETEN. y PERC.'!N437)=0,'RETEN. y PERC.'!N437=0),"",'RETEN. y PERC.'!N437)</f>
        <v/>
      </c>
      <c r="F437" s="645" t="str">
        <f>IF(OR(LEN('RETEN. y PERC.'!J437)=0,'RETEN. y PERC.'!J437=0),"",'RETEN. y PERC.'!J437)</f>
        <v/>
      </c>
    </row>
  </sheetData>
  <dataValidations count="1">
    <dataValidation type="list" allowBlank="1" showInputMessage="1" showErrorMessage="1" sqref="E2:E1048576" xr:uid="{3BF332C2-DD2E-4E5B-AB6C-AE02449E1233}">
      <formula1>INDIRECT(IF($A2="Percepción","Percepcion","Retencion"))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B7AB-7398-437C-B349-F8E1EBFB2481}">
  <sheetPr codeName="Sheet14">
    <tabColor rgb="FF7030A0"/>
  </sheetPr>
  <dimension ref="A1:D201"/>
  <sheetViews>
    <sheetView showGridLines="0" workbookViewId="0">
      <pane ySplit="1" topLeftCell="A8" activePane="bottomLeft" state="frozen"/>
      <selection pane="bottomLeft" activeCell="D11" sqref="D11"/>
      <selection activeCell="D2" sqref="D2"/>
    </sheetView>
  </sheetViews>
  <sheetFormatPr defaultColWidth="9.140625" defaultRowHeight="12.6"/>
  <cols>
    <col min="1" max="1" width="18" style="278" bestFit="1" customWidth="1"/>
    <col min="2" max="2" width="29.85546875" style="279" bestFit="1" customWidth="1"/>
    <col min="3" max="3" width="20.42578125" style="279" customWidth="1"/>
    <col min="4" max="4" width="40.42578125" style="279" bestFit="1" customWidth="1"/>
    <col min="5" max="16384" width="9.140625" style="277"/>
  </cols>
  <sheetData>
    <row r="1" spans="1:4" ht="12.95">
      <c r="A1" s="290" t="s">
        <v>4520</v>
      </c>
      <c r="B1" s="291" t="s">
        <v>4521</v>
      </c>
      <c r="C1" s="291" t="s">
        <v>4133</v>
      </c>
      <c r="D1" s="291" t="s">
        <v>4522</v>
      </c>
    </row>
    <row r="2" spans="1:4">
      <c r="B2" s="608"/>
    </row>
    <row r="3" spans="1:4">
      <c r="B3" s="608"/>
    </row>
    <row r="4" spans="1:4">
      <c r="B4" s="608"/>
    </row>
    <row r="5" spans="1:4">
      <c r="A5" s="545"/>
      <c r="B5" s="608"/>
    </row>
    <row r="6" spans="1:4">
      <c r="B6" s="608"/>
    </row>
    <row r="7" spans="1:4">
      <c r="B7" s="608"/>
    </row>
    <row r="8" spans="1:4">
      <c r="B8" s="608"/>
    </row>
    <row r="9" spans="1:4">
      <c r="B9" s="608"/>
    </row>
    <row r="10" spans="1:4">
      <c r="B10" s="608"/>
    </row>
    <row r="11" spans="1:4">
      <c r="B11" s="608"/>
    </row>
    <row r="12" spans="1:4">
      <c r="B12" s="608"/>
    </row>
    <row r="13" spans="1:4">
      <c r="B13" s="608"/>
    </row>
    <row r="14" spans="1:4">
      <c r="B14" s="608"/>
    </row>
    <row r="15" spans="1:4">
      <c r="B15" s="608"/>
    </row>
    <row r="16" spans="1:4">
      <c r="B16" s="608"/>
    </row>
    <row r="17" spans="2:2">
      <c r="B17" s="608"/>
    </row>
    <row r="18" spans="2:2">
      <c r="B18" s="608"/>
    </row>
    <row r="19" spans="2:2">
      <c r="B19" s="608"/>
    </row>
    <row r="20" spans="2:2">
      <c r="B20" s="608"/>
    </row>
    <row r="21" spans="2:2">
      <c r="B21" s="608"/>
    </row>
    <row r="22" spans="2:2">
      <c r="B22" s="608"/>
    </row>
    <row r="23" spans="2:2">
      <c r="B23" s="608"/>
    </row>
    <row r="24" spans="2:2">
      <c r="B24" s="608"/>
    </row>
    <row r="25" spans="2:2">
      <c r="B25" s="608"/>
    </row>
    <row r="26" spans="2:2">
      <c r="B26" s="608"/>
    </row>
    <row r="27" spans="2:2">
      <c r="B27" s="608"/>
    </row>
    <row r="28" spans="2:2">
      <c r="B28" s="608"/>
    </row>
    <row r="29" spans="2:2">
      <c r="B29" s="608"/>
    </row>
    <row r="30" spans="2:2">
      <c r="B30" s="608"/>
    </row>
    <row r="31" spans="2:2">
      <c r="B31" s="608"/>
    </row>
    <row r="32" spans="2:2">
      <c r="B32" s="608"/>
    </row>
    <row r="33" spans="2:2">
      <c r="B33" s="608"/>
    </row>
    <row r="34" spans="2:2">
      <c r="B34" s="608"/>
    </row>
    <row r="35" spans="2:2">
      <c r="B35" s="608"/>
    </row>
    <row r="36" spans="2:2">
      <c r="B36" s="608"/>
    </row>
    <row r="37" spans="2:2">
      <c r="B37" s="608"/>
    </row>
    <row r="38" spans="2:2">
      <c r="B38" s="608"/>
    </row>
    <row r="39" spans="2:2">
      <c r="B39" s="608"/>
    </row>
    <row r="40" spans="2:2">
      <c r="B40" s="608"/>
    </row>
    <row r="41" spans="2:2">
      <c r="B41" s="608"/>
    </row>
    <row r="42" spans="2:2">
      <c r="B42" s="608"/>
    </row>
    <row r="43" spans="2:2">
      <c r="B43" s="608"/>
    </row>
    <row r="44" spans="2:2">
      <c r="B44" s="608"/>
    </row>
    <row r="45" spans="2:2">
      <c r="B45" s="608"/>
    </row>
    <row r="46" spans="2:2">
      <c r="B46" s="608"/>
    </row>
    <row r="47" spans="2:2">
      <c r="B47" s="608"/>
    </row>
    <row r="48" spans="2:2">
      <c r="B48" s="608"/>
    </row>
    <row r="49" spans="2:2">
      <c r="B49" s="608"/>
    </row>
    <row r="50" spans="2:2">
      <c r="B50" s="608"/>
    </row>
    <row r="51" spans="2:2">
      <c r="B51" s="608"/>
    </row>
    <row r="52" spans="2:2">
      <c r="B52" s="608"/>
    </row>
    <row r="53" spans="2:2">
      <c r="B53" s="608"/>
    </row>
    <row r="54" spans="2:2">
      <c r="B54" s="608"/>
    </row>
    <row r="55" spans="2:2">
      <c r="B55" s="608"/>
    </row>
    <row r="56" spans="2:2">
      <c r="B56" s="608"/>
    </row>
    <row r="57" spans="2:2">
      <c r="B57" s="608"/>
    </row>
    <row r="58" spans="2:2">
      <c r="B58" s="608"/>
    </row>
    <row r="59" spans="2:2">
      <c r="B59" s="608"/>
    </row>
    <row r="60" spans="2:2">
      <c r="B60" s="608"/>
    </row>
    <row r="61" spans="2:2">
      <c r="B61" s="608"/>
    </row>
    <row r="62" spans="2:2">
      <c r="B62" s="608"/>
    </row>
    <row r="63" spans="2:2">
      <c r="B63" s="608"/>
    </row>
    <row r="64" spans="2:2">
      <c r="B64" s="608"/>
    </row>
    <row r="65" spans="2:2">
      <c r="B65" s="608"/>
    </row>
    <row r="66" spans="2:2">
      <c r="B66" s="608"/>
    </row>
    <row r="67" spans="2:2">
      <c r="B67" s="608"/>
    </row>
    <row r="68" spans="2:2">
      <c r="B68" s="608"/>
    </row>
    <row r="69" spans="2:2">
      <c r="B69" s="608"/>
    </row>
    <row r="70" spans="2:2">
      <c r="B70" s="608"/>
    </row>
    <row r="71" spans="2:2">
      <c r="B71" s="608"/>
    </row>
    <row r="72" spans="2:2">
      <c r="B72" s="608"/>
    </row>
    <row r="73" spans="2:2">
      <c r="B73" s="608"/>
    </row>
    <row r="74" spans="2:2">
      <c r="B74" s="608"/>
    </row>
    <row r="75" spans="2:2">
      <c r="B75" s="608"/>
    </row>
    <row r="76" spans="2:2">
      <c r="B76" s="608"/>
    </row>
    <row r="77" spans="2:2">
      <c r="B77" s="608"/>
    </row>
    <row r="78" spans="2:2">
      <c r="B78" s="608"/>
    </row>
    <row r="79" spans="2:2">
      <c r="B79" s="608"/>
    </row>
    <row r="80" spans="2:2">
      <c r="B80" s="608"/>
    </row>
    <row r="81" spans="2:2">
      <c r="B81" s="608"/>
    </row>
    <row r="82" spans="2:2">
      <c r="B82" s="608"/>
    </row>
    <row r="83" spans="2:2">
      <c r="B83" s="608"/>
    </row>
    <row r="84" spans="2:2">
      <c r="B84" s="608"/>
    </row>
    <row r="85" spans="2:2">
      <c r="B85" s="608"/>
    </row>
    <row r="86" spans="2:2">
      <c r="B86" s="608"/>
    </row>
    <row r="87" spans="2:2">
      <c r="B87" s="608"/>
    </row>
    <row r="88" spans="2:2">
      <c r="B88" s="608"/>
    </row>
    <row r="89" spans="2:2">
      <c r="B89" s="608"/>
    </row>
    <row r="90" spans="2:2">
      <c r="B90" s="608"/>
    </row>
    <row r="91" spans="2:2">
      <c r="B91" s="608"/>
    </row>
    <row r="92" spans="2:2">
      <c r="B92" s="608"/>
    </row>
    <row r="93" spans="2:2">
      <c r="B93" s="608"/>
    </row>
    <row r="94" spans="2:2">
      <c r="B94" s="608"/>
    </row>
    <row r="95" spans="2:2">
      <c r="B95" s="608"/>
    </row>
    <row r="96" spans="2:2">
      <c r="B96" s="608"/>
    </row>
    <row r="97" spans="2:2">
      <c r="B97" s="608"/>
    </row>
    <row r="98" spans="2:2">
      <c r="B98" s="608"/>
    </row>
    <row r="99" spans="2:2">
      <c r="B99" s="608"/>
    </row>
    <row r="100" spans="2:2">
      <c r="B100" s="608"/>
    </row>
    <row r="101" spans="2:2">
      <c r="B101" s="608"/>
    </row>
    <row r="102" spans="2:2">
      <c r="B102" s="608"/>
    </row>
    <row r="103" spans="2:2">
      <c r="B103" s="608"/>
    </row>
    <row r="104" spans="2:2">
      <c r="B104" s="608"/>
    </row>
    <row r="105" spans="2:2">
      <c r="B105" s="608"/>
    </row>
    <row r="106" spans="2:2">
      <c r="B106" s="608"/>
    </row>
    <row r="107" spans="2:2">
      <c r="B107" s="608"/>
    </row>
    <row r="108" spans="2:2">
      <c r="B108" s="608"/>
    </row>
    <row r="109" spans="2:2">
      <c r="B109" s="608"/>
    </row>
    <row r="110" spans="2:2">
      <c r="B110" s="608"/>
    </row>
    <row r="111" spans="2:2">
      <c r="B111" s="608"/>
    </row>
    <row r="112" spans="2:2">
      <c r="B112" s="608"/>
    </row>
    <row r="113" spans="2:2">
      <c r="B113" s="608"/>
    </row>
    <row r="114" spans="2:2">
      <c r="B114" s="608"/>
    </row>
    <row r="115" spans="2:2">
      <c r="B115" s="608"/>
    </row>
    <row r="116" spans="2:2">
      <c r="B116" s="608"/>
    </row>
    <row r="117" spans="2:2">
      <c r="B117" s="608"/>
    </row>
    <row r="118" spans="2:2">
      <c r="B118" s="608"/>
    </row>
    <row r="119" spans="2:2">
      <c r="B119" s="608"/>
    </row>
    <row r="120" spans="2:2">
      <c r="B120" s="608"/>
    </row>
    <row r="121" spans="2:2">
      <c r="B121" s="608"/>
    </row>
    <row r="122" spans="2:2">
      <c r="B122" s="608"/>
    </row>
    <row r="123" spans="2:2">
      <c r="B123" s="608"/>
    </row>
    <row r="124" spans="2:2">
      <c r="B124" s="608"/>
    </row>
    <row r="125" spans="2:2">
      <c r="B125" s="608"/>
    </row>
    <row r="126" spans="2:2">
      <c r="B126" s="608"/>
    </row>
    <row r="127" spans="2:2">
      <c r="B127" s="608"/>
    </row>
    <row r="128" spans="2:2">
      <c r="B128" s="608"/>
    </row>
    <row r="129" spans="2:2">
      <c r="B129" s="608"/>
    </row>
    <row r="130" spans="2:2">
      <c r="B130" s="608"/>
    </row>
    <row r="131" spans="2:2">
      <c r="B131" s="608"/>
    </row>
    <row r="132" spans="2:2">
      <c r="B132" s="608"/>
    </row>
    <row r="133" spans="2:2">
      <c r="B133" s="608"/>
    </row>
    <row r="134" spans="2:2">
      <c r="B134" s="608"/>
    </row>
    <row r="135" spans="2:2">
      <c r="B135" s="608"/>
    </row>
    <row r="136" spans="2:2">
      <c r="B136" s="608"/>
    </row>
    <row r="137" spans="2:2">
      <c r="B137" s="608"/>
    </row>
    <row r="138" spans="2:2">
      <c r="B138" s="608"/>
    </row>
    <row r="139" spans="2:2">
      <c r="B139" s="608"/>
    </row>
    <row r="140" spans="2:2">
      <c r="B140" s="608"/>
    </row>
    <row r="141" spans="2:2">
      <c r="B141" s="608"/>
    </row>
    <row r="142" spans="2:2">
      <c r="B142" s="608"/>
    </row>
    <row r="143" spans="2:2">
      <c r="B143" s="608"/>
    </row>
    <row r="144" spans="2:2">
      <c r="B144" s="608"/>
    </row>
    <row r="145" spans="2:2">
      <c r="B145" s="608"/>
    </row>
    <row r="146" spans="2:2">
      <c r="B146" s="608"/>
    </row>
    <row r="147" spans="2:2">
      <c r="B147" s="608"/>
    </row>
    <row r="148" spans="2:2">
      <c r="B148" s="608"/>
    </row>
    <row r="149" spans="2:2">
      <c r="B149" s="608"/>
    </row>
    <row r="150" spans="2:2">
      <c r="B150" s="608"/>
    </row>
    <row r="151" spans="2:2">
      <c r="B151" s="608"/>
    </row>
    <row r="152" spans="2:2">
      <c r="B152" s="608"/>
    </row>
    <row r="153" spans="2:2">
      <c r="B153" s="608"/>
    </row>
    <row r="154" spans="2:2">
      <c r="B154" s="608"/>
    </row>
    <row r="155" spans="2:2">
      <c r="B155" s="608"/>
    </row>
    <row r="156" spans="2:2">
      <c r="B156" s="608"/>
    </row>
    <row r="157" spans="2:2">
      <c r="B157" s="608"/>
    </row>
    <row r="158" spans="2:2">
      <c r="B158" s="608"/>
    </row>
    <row r="159" spans="2:2">
      <c r="B159" s="608"/>
    </row>
    <row r="160" spans="2:2">
      <c r="B160" s="608"/>
    </row>
    <row r="161" spans="2:2">
      <c r="B161" s="608"/>
    </row>
    <row r="162" spans="2:2">
      <c r="B162" s="608"/>
    </row>
    <row r="163" spans="2:2">
      <c r="B163" s="608"/>
    </row>
    <row r="164" spans="2:2">
      <c r="B164" s="608"/>
    </row>
    <row r="165" spans="2:2">
      <c r="B165" s="608"/>
    </row>
    <row r="166" spans="2:2">
      <c r="B166" s="608"/>
    </row>
    <row r="167" spans="2:2">
      <c r="B167" s="608"/>
    </row>
    <row r="168" spans="2:2">
      <c r="B168" s="608"/>
    </row>
    <row r="169" spans="2:2">
      <c r="B169" s="608"/>
    </row>
    <row r="170" spans="2:2">
      <c r="B170" s="608"/>
    </row>
    <row r="171" spans="2:2">
      <c r="B171" s="608"/>
    </row>
    <row r="172" spans="2:2">
      <c r="B172" s="608"/>
    </row>
    <row r="173" spans="2:2">
      <c r="B173" s="608"/>
    </row>
    <row r="174" spans="2:2">
      <c r="B174" s="608"/>
    </row>
    <row r="175" spans="2:2">
      <c r="B175" s="608"/>
    </row>
    <row r="176" spans="2:2">
      <c r="B176" s="608"/>
    </row>
    <row r="177" spans="2:2">
      <c r="B177" s="608"/>
    </row>
    <row r="178" spans="2:2">
      <c r="B178" s="608"/>
    </row>
    <row r="179" spans="2:2">
      <c r="B179" s="608"/>
    </row>
    <row r="180" spans="2:2">
      <c r="B180" s="608"/>
    </row>
    <row r="181" spans="2:2">
      <c r="B181" s="608"/>
    </row>
    <row r="182" spans="2:2">
      <c r="B182" s="608"/>
    </row>
    <row r="183" spans="2:2">
      <c r="B183" s="608"/>
    </row>
    <row r="184" spans="2:2">
      <c r="B184" s="608"/>
    </row>
    <row r="185" spans="2:2">
      <c r="B185" s="608"/>
    </row>
    <row r="186" spans="2:2">
      <c r="B186" s="608"/>
    </row>
    <row r="187" spans="2:2">
      <c r="B187" s="608"/>
    </row>
    <row r="188" spans="2:2">
      <c r="B188" s="608"/>
    </row>
    <row r="189" spans="2:2">
      <c r="B189" s="608"/>
    </row>
    <row r="190" spans="2:2">
      <c r="B190" s="608"/>
    </row>
    <row r="191" spans="2:2">
      <c r="B191" s="608"/>
    </row>
    <row r="192" spans="2:2">
      <c r="B192" s="608"/>
    </row>
    <row r="193" spans="2:2">
      <c r="B193" s="608"/>
    </row>
    <row r="194" spans="2:2">
      <c r="B194" s="608"/>
    </row>
    <row r="195" spans="2:2">
      <c r="B195" s="608"/>
    </row>
    <row r="196" spans="2:2">
      <c r="B196" s="608"/>
    </row>
    <row r="197" spans="2:2">
      <c r="B197" s="608"/>
    </row>
    <row r="198" spans="2:2">
      <c r="B198" s="608"/>
    </row>
    <row r="199" spans="2:2">
      <c r="B199" s="608"/>
    </row>
    <row r="200" spans="2:2">
      <c r="B200" s="608"/>
    </row>
    <row r="201" spans="2:2">
      <c r="B201" s="608"/>
    </row>
  </sheetData>
  <conditionalFormatting sqref="A2:A1048576">
    <cfRule type="expression" dxfId="11" priority="1">
      <formula>OR(ISNUMBER(SEARCH("A",A2)),  ISNUMBER(SEARCH("B",A2)),  ISNUMBER(SEARCH("C",A2)),  ISNUMBER(SEARCH("D",A2)),  ISNUMBER(SEARCH("E",A2)),  ISNUMBER(SEARCH("F",A2)),  ISNUMBER(SEARCH("G",A2)),  ISNUMBER(SEARCH("H",A2)),  ISNUMBER(SEARCH("I",A2)),  ISNUMBER(SEARCH("J",A2)),  ISNUMBER(SEARCH("K",A2)),  ISNUMBER(SEARCH("L",A2)),  ISNUMBER(SEARCH("M",A2)),  ISNUMBER(SEARCH("N",A2)),  ISNUMBER(SEARCH("O",A2)),  ISNUMBER(SEARCH("P",A2)),  ISNUMBER(SEARCH("Q",A2)),  ISNUMBER(SEARCH("R",A2)),  ISNUMBER(SEARCH("S",A2)),  ISNUMBER(SEARCH("T",A2)),  ISNUMBER(SEARCH("U",A2)),  ISNUMBER(SEARCH("V",A2)),  ISNUMBER(SEARCH("W",A2)),  ISNUMBER(SEARCH("X",A2)),  ISNUMBER(SEARCH("Y",A2)),  ISNUMBER(SEARCH("Z",A2)))</formula>
    </cfRule>
    <cfRule type="expression" dxfId="10" priority="4">
      <formula>AND(LEN(TRIM($A2))&gt;0,   NOT(ISNUMBER($A2)))</formula>
    </cfRule>
  </conditionalFormatting>
  <conditionalFormatting sqref="A2:D1048576">
    <cfRule type="expression" dxfId="9" priority="3">
      <formula>AND(LEN(TRIM($A2&amp;$B2&amp;$C2&amp;$D2))&gt;0,   OR(LEN(TRIM($A2))=0,     LEN(TRIM($B2))=0,     LEN(TRIM($C2))=0,     LEN(TRIM($D2))=0))</formula>
    </cfRule>
  </conditionalFormatting>
  <dataValidations count="3">
    <dataValidation type="date" allowBlank="1" showInputMessage="1" showErrorMessage="1" error="El campo debe estar entre 01/01/1900 y 31/12/2100" sqref="B2:B201" xr:uid="{404A4BD3-93BA-4D1E-8DC6-5D2E451D4351}">
      <formula1>1</formula1>
      <formula2>73415</formula2>
    </dataValidation>
    <dataValidation type="textLength" operator="lessThanOrEqual" allowBlank="1" showInputMessage="1" showErrorMessage="1" error="El campo debe tener un maximo de 30 caracteres" sqref="A2:A1048576" xr:uid="{79658CBF-90D3-4F67-AF45-169895DF18DE}">
      <formula1>30</formula1>
    </dataValidation>
    <dataValidation type="decimal" allowBlank="1" showInputMessage="1" showErrorMessage="1" error="El campo debe tener como maximo 9.999.999.999.999,99" sqref="C2:C1048576" xr:uid="{DD07BF7E-BE8F-4C55-8856-D3CB3CE793B2}">
      <formula1>0</formula1>
      <formula2>999999999999999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D2FF4A-9267-4027-8496-6F5082B732BC}">
          <x14:formula1>
            <xm:f>SIAP!$V$3:$V$9</xm:f>
          </x14:formula1>
          <xm:sqref>D2:D1048576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49F9-8991-449F-BC32-A3D76E43735E}">
  <sheetPr codeName="Sheet15">
    <tabColor rgb="FF7030A0"/>
  </sheetPr>
  <dimension ref="B1:D26"/>
  <sheetViews>
    <sheetView showGridLines="0" view="pageBreakPreview" zoomScale="90" zoomScaleNormal="100" zoomScaleSheetLayoutView="90" workbookViewId="0">
      <selection activeCell="D7" sqref="D7"/>
    </sheetView>
  </sheetViews>
  <sheetFormatPr defaultColWidth="8.85546875" defaultRowHeight="12.95"/>
  <cols>
    <col min="1" max="1" width="2.5703125" style="11" customWidth="1"/>
    <col min="2" max="2" width="84.85546875" style="11" bestFit="1" customWidth="1"/>
    <col min="3" max="3" width="22.5703125" style="11" customWidth="1"/>
    <col min="4" max="4" width="18.85546875" style="11" customWidth="1"/>
    <col min="5" max="16384" width="8.85546875" style="11"/>
  </cols>
  <sheetData>
    <row r="1" spans="2:4">
      <c r="B1" s="1"/>
    </row>
    <row r="2" spans="2:4">
      <c r="B2" s="305" t="s">
        <v>4523</v>
      </c>
      <c r="C2" s="216"/>
      <c r="D2" s="609">
        <v>0</v>
      </c>
    </row>
    <row r="3" spans="2:4">
      <c r="B3" s="1"/>
      <c r="D3" s="344"/>
    </row>
    <row r="4" spans="2:4">
      <c r="B4" s="305" t="s">
        <v>4524</v>
      </c>
      <c r="C4" s="216"/>
      <c r="D4" s="609"/>
    </row>
    <row r="5" spans="2:4">
      <c r="B5" s="1"/>
      <c r="D5" s="344"/>
    </row>
    <row r="6" spans="2:4">
      <c r="B6" s="305" t="s">
        <v>4525</v>
      </c>
      <c r="C6" s="216"/>
      <c r="D6" s="609">
        <v>0</v>
      </c>
    </row>
    <row r="7" spans="2:4">
      <c r="B7" s="1"/>
      <c r="D7" s="344"/>
    </row>
    <row r="8" spans="2:4">
      <c r="B8" s="305" t="s">
        <v>4526</v>
      </c>
      <c r="C8" s="216"/>
      <c r="D8" s="610">
        <f>+D15</f>
        <v>0</v>
      </c>
    </row>
    <row r="9" spans="2:4">
      <c r="B9" s="523"/>
      <c r="C9" s="524"/>
      <c r="D9" s="525"/>
    </row>
    <row r="10" spans="2:4">
      <c r="B10" s="306" t="s">
        <v>4527</v>
      </c>
      <c r="C10" s="306" t="s">
        <v>4528</v>
      </c>
      <c r="D10" s="306" t="s">
        <v>4133</v>
      </c>
    </row>
    <row r="11" spans="2:4">
      <c r="B11" s="559"/>
      <c r="C11" s="616"/>
      <c r="D11" s="293"/>
    </row>
    <row r="12" spans="2:4">
      <c r="B12" s="560"/>
      <c r="C12" s="617"/>
      <c r="D12" s="295"/>
    </row>
    <row r="13" spans="2:4">
      <c r="B13" s="560"/>
      <c r="C13" s="617"/>
      <c r="D13" s="295"/>
    </row>
    <row r="14" spans="2:4">
      <c r="B14" s="561"/>
      <c r="C14" s="618"/>
      <c r="D14" s="297"/>
    </row>
    <row r="15" spans="2:4">
      <c r="B15" s="298"/>
      <c r="C15" s="299"/>
      <c r="D15" s="300">
        <f>+SUM(D11:D14)</f>
        <v>0</v>
      </c>
    </row>
    <row r="17" spans="2:4">
      <c r="B17" s="305" t="s">
        <v>4529</v>
      </c>
      <c r="C17" s="216"/>
      <c r="D17" s="308">
        <f>+D24</f>
        <v>0</v>
      </c>
    </row>
    <row r="19" spans="2:4">
      <c r="B19" s="307" t="s">
        <v>4530</v>
      </c>
      <c r="C19" s="307" t="s">
        <v>4531</v>
      </c>
      <c r="D19" s="307" t="s">
        <v>4532</v>
      </c>
    </row>
    <row r="20" spans="2:4">
      <c r="B20" s="292"/>
      <c r="C20" s="616"/>
      <c r="D20" s="293"/>
    </row>
    <row r="21" spans="2:4">
      <c r="B21" s="294"/>
      <c r="C21" s="617"/>
      <c r="D21" s="295"/>
    </row>
    <row r="22" spans="2:4">
      <c r="B22" s="294"/>
      <c r="C22" s="617"/>
      <c r="D22" s="295"/>
    </row>
    <row r="23" spans="2:4">
      <c r="B23" s="296"/>
      <c r="C23" s="618"/>
      <c r="D23" s="297"/>
    </row>
    <row r="24" spans="2:4">
      <c r="B24" s="301"/>
      <c r="C24" s="302"/>
      <c r="D24" s="303">
        <f>+SUM(D20:D23)</f>
        <v>0</v>
      </c>
    </row>
    <row r="26" spans="2:4">
      <c r="B26" s="305" t="s">
        <v>4533</v>
      </c>
      <c r="C26" s="216"/>
      <c r="D26" s="304">
        <v>0</v>
      </c>
    </row>
  </sheetData>
  <conditionalFormatting sqref="B11:B14">
    <cfRule type="expression" dxfId="8" priority="1">
      <formula>OR(ISNUMBER(SEARCH("A",B11)),  ISNUMBER(SEARCH("B",B11)),  ISNUMBER(SEARCH("C",B11)),  ISNUMBER(SEARCH("D",B11)),  ISNUMBER(SEARCH("E",B11)),  ISNUMBER(SEARCH("F",B11)),  ISNUMBER(SEARCH("G",B11)),  ISNUMBER(SEARCH("H",B11)),  ISNUMBER(SEARCH("I",B11)),  ISNUMBER(SEARCH("J",B11)),  ISNUMBER(SEARCH("K",B11)),  ISNUMBER(SEARCH("L",B11)),  ISNUMBER(SEARCH("M",B11)),  ISNUMBER(SEARCH("N",B11)),  ISNUMBER(SEARCH("O",B11)),  ISNUMBER(SEARCH("P",B11)),  ISNUMBER(SEARCH("Q",B11)),  ISNUMBER(SEARCH("R",B11)),  ISNUMBER(SEARCH("S",B11)),  ISNUMBER(SEARCH("T",B11)),  ISNUMBER(SEARCH("U",B11)),  ISNUMBER(SEARCH("V",B11)),  ISNUMBER(SEARCH("W",B11)),  ISNUMBER(SEARCH("X",B11)),  ISNUMBER(SEARCH("Y",B11)),  ISNUMBER(SEARCH("Z",B11)))</formula>
    </cfRule>
    <cfRule type="expression" dxfId="7" priority="4">
      <formula>AND(LEN(TRIM($B11))&gt;0,   NOT(ISNUMBER($B11)))</formula>
    </cfRule>
  </conditionalFormatting>
  <conditionalFormatting sqref="B11:D14">
    <cfRule type="expression" dxfId="6" priority="3">
      <formula>AND(LEN(TRIM($B11&amp;$C11&amp;$D11))&gt;0,   OR(LEN(TRIM($B11))=0,     LEN(TRIM($C11))=0,     LEN(TRIM($D11))=0))</formula>
    </cfRule>
  </conditionalFormatting>
  <conditionalFormatting sqref="B20:D23">
    <cfRule type="expression" dxfId="5" priority="2">
      <formula>AND(LEN(TRIM($B20&amp;$C20&amp;$D20))&gt;0,   OR(LEN(TRIM($B20))=0,     LEN(TRIM($C20))=0,     LEN(TRIM($D20))=0))</formula>
    </cfRule>
  </conditionalFormatting>
  <dataValidations count="5">
    <dataValidation type="date" allowBlank="1" showInputMessage="1" showErrorMessage="1" error="La fecha debe estar entre 01/01/1900 y 31/12/2100" sqref="C11:C14 C20:C23" xr:uid="{8D6E5CBE-AFD4-4AD7-9875-8C82A8022C95}">
      <formula1>1</formula1>
      <formula2>73415</formula2>
    </dataValidation>
    <dataValidation type="whole" allowBlank="1" showInputMessage="1" showErrorMessage="1" error="El campo debe tener 11 digitos numericos" sqref="B20:B23" xr:uid="{EB02663A-DF15-41D0-9A8D-04A5E7286235}">
      <formula1>10000000000</formula1>
      <formula2>99999999999</formula2>
    </dataValidation>
    <dataValidation type="decimal" allowBlank="1" showInputMessage="1" showErrorMessage="1" error="El campo debe tener como maximo 9.999.999.999.999,99_x000a_" sqref="D20:D23 D11:D14" xr:uid="{E73AF0B1-81E3-4D31-B794-BC6D90BBA916}">
      <formula1>0</formula1>
      <formula2>999999999999999</formula2>
    </dataValidation>
    <dataValidation type="textLength" operator="lessThanOrEqual" allowBlank="1" showInputMessage="1" showErrorMessage="1" error="El campo debe tener maximo 30 caracteres" sqref="B11:B14" xr:uid="{662BB764-5E4A-4BF6-AEFE-BD860350AFD7}">
      <formula1>30</formula1>
    </dataValidation>
    <dataValidation type="decimal" allowBlank="1" showInputMessage="1" showErrorMessage="1" error="El campo debe tener maximo 9.999.999.999.999,99" sqref="D4 D6 D2" xr:uid="{A6D52794-53DB-457D-BAF0-7C41B9D92B6F}">
      <formula1>0</formula1>
      <formula2>999999999999999</formula2>
    </dataValidation>
  </dataValidations>
  <pageMargins left="0.7" right="0.7" top="0.75" bottom="0.75" header="0.3" footer="0.3"/>
  <pageSetup scale="7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6FF8-9BDD-44A1-80B2-5CD7CF0F23AA}">
  <sheetPr codeName="Sheet23">
    <tabColor rgb="FF7030A0"/>
  </sheetPr>
  <dimension ref="B1:E21"/>
  <sheetViews>
    <sheetView showGridLines="0" view="pageBreakPreview" topLeftCell="A21" zoomScale="90" zoomScaleNormal="100" zoomScaleSheetLayoutView="90" workbookViewId="0">
      <selection activeCell="C13" sqref="C13"/>
    </sheetView>
  </sheetViews>
  <sheetFormatPr defaultColWidth="8.85546875" defaultRowHeight="12.95"/>
  <cols>
    <col min="1" max="1" width="2.5703125" style="11" customWidth="1"/>
    <col min="2" max="2" width="33.42578125" style="11" customWidth="1"/>
    <col min="3" max="3" width="67.28515625" style="11" customWidth="1"/>
    <col min="4" max="4" width="28.7109375" style="11" customWidth="1"/>
    <col min="5" max="5" width="26" style="11" customWidth="1"/>
    <col min="6" max="16384" width="8.85546875" style="11"/>
  </cols>
  <sheetData>
    <row r="1" spans="2:5" ht="13.5" thickBot="1">
      <c r="B1" s="1"/>
      <c r="D1" s="344"/>
    </row>
    <row r="2" spans="2:5" ht="13.5" thickBot="1">
      <c r="B2" s="740" t="s">
        <v>4534</v>
      </c>
      <c r="C2" s="741"/>
      <c r="D2" s="750">
        <v>0</v>
      </c>
      <c r="E2" s="750"/>
    </row>
    <row r="3" spans="2:5" ht="13.5" thickBot="1">
      <c r="B3" s="1"/>
      <c r="D3" s="344"/>
    </row>
    <row r="4" spans="2:5" ht="13.5" thickBot="1">
      <c r="B4" s="740" t="s">
        <v>4535</v>
      </c>
      <c r="C4" s="741"/>
      <c r="D4" s="751">
        <f>+D16</f>
        <v>0</v>
      </c>
      <c r="E4" s="752"/>
    </row>
    <row r="5" spans="2:5" ht="13.5" thickBot="1"/>
    <row r="6" spans="2:5" ht="13.5" thickBot="1">
      <c r="B6" s="740" t="s">
        <v>4536</v>
      </c>
      <c r="C6" s="741"/>
      <c r="D6" s="742">
        <v>0</v>
      </c>
      <c r="E6" s="743"/>
    </row>
    <row r="7" spans="2:5" ht="13.5" thickBot="1"/>
    <row r="8" spans="2:5" ht="13.5" thickBot="1">
      <c r="B8" s="740" t="s">
        <v>4537</v>
      </c>
      <c r="C8" s="741"/>
      <c r="D8" s="742">
        <v>0</v>
      </c>
      <c r="E8" s="743"/>
    </row>
    <row r="9" spans="2:5" ht="13.5" thickBot="1"/>
    <row r="10" spans="2:5" ht="13.5" thickBot="1">
      <c r="B10" s="740" t="s">
        <v>4538</v>
      </c>
      <c r="C10" s="741"/>
      <c r="D10" s="742">
        <v>0</v>
      </c>
      <c r="E10" s="743"/>
    </row>
    <row r="11" spans="2:5" ht="13.5" thickBot="1"/>
    <row r="12" spans="2:5" ht="13.5" thickBot="1">
      <c r="B12" s="748" t="s">
        <v>4539</v>
      </c>
      <c r="C12" s="748"/>
      <c r="D12" s="749">
        <f>D19</f>
        <v>0</v>
      </c>
      <c r="E12" s="749"/>
    </row>
    <row r="13" spans="2:5" ht="13.5" thickBot="1">
      <c r="B13" s="624"/>
      <c r="C13" s="624"/>
    </row>
    <row r="14" spans="2:5" ht="13.5" thickBot="1">
      <c r="B14" s="746" t="s">
        <v>4540</v>
      </c>
      <c r="C14" s="747"/>
      <c r="D14" s="744" t="s">
        <v>4541</v>
      </c>
      <c r="E14" s="745"/>
    </row>
    <row r="15" spans="2:5">
      <c r="B15" s="755"/>
      <c r="C15" s="756"/>
      <c r="D15" s="669"/>
      <c r="E15" s="670"/>
    </row>
    <row r="16" spans="2:5">
      <c r="B16" s="703"/>
      <c r="C16" s="704"/>
      <c r="D16" s="671"/>
      <c r="E16" s="672"/>
    </row>
    <row r="17" spans="2:5">
      <c r="B17" s="703"/>
      <c r="C17" s="704"/>
      <c r="D17" s="671"/>
      <c r="E17" s="672"/>
    </row>
    <row r="18" spans="2:5" ht="13.5" thickBot="1">
      <c r="B18" s="692"/>
      <c r="C18" s="693"/>
      <c r="D18" s="673"/>
      <c r="E18" s="674"/>
    </row>
    <row r="19" spans="2:5" ht="13.5" thickBot="1">
      <c r="B19" s="753" t="s">
        <v>181</v>
      </c>
      <c r="C19" s="754"/>
      <c r="D19" s="757">
        <f>+SUM(D15:E18)</f>
        <v>0</v>
      </c>
      <c r="E19" s="758"/>
    </row>
    <row r="20" spans="2:5" ht="13.5" thickBot="1"/>
    <row r="21" spans="2:5" ht="13.5" thickBot="1">
      <c r="B21" s="748" t="s">
        <v>4542</v>
      </c>
      <c r="C21" s="748"/>
      <c r="D21" s="749">
        <v>0</v>
      </c>
      <c r="E21" s="749"/>
    </row>
  </sheetData>
  <mergeCells count="26">
    <mergeCell ref="B21:C21"/>
    <mergeCell ref="D21:E21"/>
    <mergeCell ref="D2:E2"/>
    <mergeCell ref="D4:E4"/>
    <mergeCell ref="B17:C17"/>
    <mergeCell ref="B18:C18"/>
    <mergeCell ref="B19:C19"/>
    <mergeCell ref="B15:C15"/>
    <mergeCell ref="B16:C16"/>
    <mergeCell ref="D19:E19"/>
    <mergeCell ref="D12:E12"/>
    <mergeCell ref="B12:C12"/>
    <mergeCell ref="D16:E16"/>
    <mergeCell ref="D17:E17"/>
    <mergeCell ref="D18:E18"/>
    <mergeCell ref="B2:C2"/>
    <mergeCell ref="B4:C4"/>
    <mergeCell ref="D15:E15"/>
    <mergeCell ref="B6:C6"/>
    <mergeCell ref="D6:E6"/>
    <mergeCell ref="B8:C8"/>
    <mergeCell ref="D8:E8"/>
    <mergeCell ref="B10:C10"/>
    <mergeCell ref="D10:E10"/>
    <mergeCell ref="D14:E14"/>
    <mergeCell ref="B14:C14"/>
  </mergeCells>
  <conditionalFormatting sqref="B15:B18 D15:D18">
    <cfRule type="expression" dxfId="4" priority="111">
      <formula>OR(AND(LEN(TRIM(#REF!))&gt;0, LEN(TRIM($D15))=0),   AND(LEN(TRIM(#REF!))=0, LEN(TRIM($D15))&gt;0))</formula>
    </cfRule>
  </conditionalFormatting>
  <dataValidations count="3">
    <dataValidation type="whole" allowBlank="1" showInputMessage="1" showErrorMessage="1" error="El campo debe ser mayor a 2016 y menor a 2100" sqref="B15:C18" xr:uid="{0530FA2A-6339-445C-B324-716375946202}">
      <formula1>2016</formula1>
      <formula2>2100</formula2>
    </dataValidation>
    <dataValidation type="decimal" allowBlank="1" showInputMessage="1" showErrorMessage="1" sqref="D15:D18" xr:uid="{0EBA4943-9F65-4A14-939C-D74A60C6C13C}">
      <formula1>0</formula1>
      <formula2>99999999999</formula2>
    </dataValidation>
    <dataValidation type="decimal" allowBlank="1" showInputMessage="1" showErrorMessage="1" error="El campo debe tener maximo 9.999.999.999.999,99" sqref="D2:E2 D4:E4 D6:E6 D8:E8 D10:E10 D21:E21" xr:uid="{63DC96C5-0489-425F-AE51-88A6DE3CBA22}">
      <formula1>0</formula1>
      <formula2>999999999999999</formula2>
    </dataValidation>
  </dataValidations>
  <pageMargins left="0.7" right="0.7" top="0.75" bottom="0.75" header="0.3" footer="0.3"/>
  <pageSetup scale="5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C8E3-35E4-41FE-B59B-546E465238E5}">
  <sheetPr codeName="Sheet16"/>
  <dimension ref="A1"/>
  <sheetViews>
    <sheetView view="pageBreakPreview" zoomScale="60" zoomScaleNormal="100" workbookViewId="0">
      <selection activeCell="L24" sqref="L24"/>
    </sheetView>
  </sheetViews>
  <sheetFormatPr defaultRowHeight="12.6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E652-A63E-4E5C-BEA6-21802A413D0D}">
  <sheetPr codeName="Sheet17">
    <tabColor rgb="FF0070C0"/>
  </sheetPr>
  <dimension ref="B1:AF145"/>
  <sheetViews>
    <sheetView showGridLines="0" tabSelected="1" view="pageBreakPreview" zoomScale="70" zoomScaleNormal="100" zoomScaleSheetLayoutView="70" workbookViewId="0">
      <selection activeCell="D11" sqref="D11"/>
    </sheetView>
  </sheetViews>
  <sheetFormatPr defaultColWidth="8.85546875" defaultRowHeight="12.95"/>
  <cols>
    <col min="1" max="1" width="3.5703125" style="54" customWidth="1"/>
    <col min="2" max="2" width="2.42578125" style="54" customWidth="1"/>
    <col min="3" max="3" width="54.5703125" style="54" customWidth="1"/>
    <col min="4" max="4" width="32" style="327" customWidth="1"/>
    <col min="5" max="5" width="9.42578125" style="54" customWidth="1"/>
    <col min="6" max="6" width="32.42578125" style="54" customWidth="1"/>
    <col min="7" max="7" width="26.5703125" style="54" customWidth="1"/>
    <col min="8" max="16384" width="8.85546875" style="54"/>
  </cols>
  <sheetData>
    <row r="1" spans="2:6">
      <c r="B1" s="309"/>
      <c r="C1" s="309"/>
    </row>
    <row r="2" spans="2:6">
      <c r="B2" s="760" t="s">
        <v>4543</v>
      </c>
      <c r="C2" s="760"/>
      <c r="D2" s="330">
        <f>+D4-D76</f>
        <v>0</v>
      </c>
    </row>
    <row r="3" spans="2:6">
      <c r="B3" s="309"/>
      <c r="C3" s="309"/>
    </row>
    <row r="4" spans="2:6">
      <c r="B4" s="759" t="s">
        <v>4544</v>
      </c>
      <c r="C4" s="759"/>
      <c r="D4" s="330">
        <f>+D6+D13+D21+D30+D38+SUM(D52:D65)+SUM(D72:D74)+D71+D11</f>
        <v>0</v>
      </c>
    </row>
    <row r="5" spans="2:6">
      <c r="B5" s="309"/>
      <c r="C5" s="309"/>
    </row>
    <row r="6" spans="2:6">
      <c r="B6" s="520" t="s">
        <v>4545</v>
      </c>
      <c r="C6" s="520"/>
      <c r="D6" s="521">
        <f>+D8+D9</f>
        <v>0</v>
      </c>
    </row>
    <row r="7" spans="2:6">
      <c r="B7" s="520"/>
      <c r="C7" s="520"/>
      <c r="D7" s="521"/>
    </row>
    <row r="8" spans="2:6">
      <c r="B8" s="520"/>
      <c r="C8" s="522" t="s">
        <v>4546</v>
      </c>
      <c r="D8" s="521">
        <v>0</v>
      </c>
    </row>
    <row r="9" spans="2:6">
      <c r="B9" s="520"/>
      <c r="C9" s="522" t="s">
        <v>4547</v>
      </c>
      <c r="D9" s="521">
        <v>0</v>
      </c>
    </row>
    <row r="10" spans="2:6">
      <c r="B10" s="520"/>
      <c r="C10" s="520"/>
      <c r="D10" s="521"/>
    </row>
    <row r="11" spans="2:6">
      <c r="B11" s="520" t="s">
        <v>4548</v>
      </c>
      <c r="C11" s="520"/>
      <c r="D11" s="521">
        <v>0</v>
      </c>
    </row>
    <row r="12" spans="2:6">
      <c r="B12" s="313"/>
      <c r="C12" s="313"/>
      <c r="D12" s="331"/>
    </row>
    <row r="13" spans="2:6">
      <c r="B13" s="310" t="s">
        <v>4549</v>
      </c>
      <c r="C13" s="311"/>
      <c r="D13" s="329">
        <f>+D15+D16+D17+D18+D19</f>
        <v>0</v>
      </c>
      <c r="E13" s="141"/>
      <c r="F13" s="166"/>
    </row>
    <row r="14" spans="2:6" ht="13.5" thickBot="1">
      <c r="B14" s="309"/>
      <c r="C14" s="309"/>
      <c r="E14" s="141"/>
      <c r="F14" s="166"/>
    </row>
    <row r="15" spans="2:6" ht="13.5" thickBot="1">
      <c r="B15" s="309"/>
      <c r="C15" s="312" t="s">
        <v>4550</v>
      </c>
      <c r="D15" s="332">
        <v>0</v>
      </c>
    </row>
    <row r="16" spans="2:6" ht="13.5" thickBot="1">
      <c r="B16" s="309"/>
      <c r="C16" s="312" t="s">
        <v>4551</v>
      </c>
      <c r="D16" s="332">
        <v>0</v>
      </c>
    </row>
    <row r="17" spans="2:4" ht="13.5" thickBot="1">
      <c r="B17" s="309"/>
      <c r="C17" s="312" t="s">
        <v>4552</v>
      </c>
      <c r="D17" s="332">
        <v>0</v>
      </c>
    </row>
    <row r="18" spans="2:4" ht="13.5" thickBot="1">
      <c r="B18" s="309"/>
      <c r="C18" s="312" t="s">
        <v>4553</v>
      </c>
      <c r="D18" s="332"/>
    </row>
    <row r="19" spans="2:4" ht="13.5" thickBot="1">
      <c r="B19" s="309"/>
      <c r="C19" s="312" t="s">
        <v>4554</v>
      </c>
      <c r="D19" s="333">
        <v>0</v>
      </c>
    </row>
    <row r="20" spans="2:4">
      <c r="B20" s="309"/>
      <c r="C20" s="309"/>
    </row>
    <row r="21" spans="2:4">
      <c r="B21" s="310" t="s">
        <v>4555</v>
      </c>
      <c r="C21" s="311"/>
      <c r="D21" s="329">
        <f>+SUM(D23:D28)</f>
        <v>0</v>
      </c>
    </row>
    <row r="22" spans="2:4" ht="13.5" thickBot="1">
      <c r="B22" s="309"/>
      <c r="C22" s="309"/>
    </row>
    <row r="23" spans="2:4" ht="13.5" thickBot="1">
      <c r="B23" s="309"/>
      <c r="C23" s="312" t="s">
        <v>4556</v>
      </c>
      <c r="D23" s="333">
        <v>0</v>
      </c>
    </row>
    <row r="24" spans="2:4" ht="13.5" thickBot="1">
      <c r="B24" s="309"/>
      <c r="C24" s="312" t="s">
        <v>4557</v>
      </c>
      <c r="D24" s="333">
        <v>0</v>
      </c>
    </row>
    <row r="25" spans="2:4" ht="13.5" thickBot="1">
      <c r="B25" s="309"/>
      <c r="C25" s="312" t="s">
        <v>231</v>
      </c>
      <c r="D25" s="333">
        <v>0</v>
      </c>
    </row>
    <row r="26" spans="2:4" ht="13.5" thickBot="1">
      <c r="B26" s="309"/>
      <c r="C26" s="312" t="s">
        <v>4558</v>
      </c>
      <c r="D26" s="333">
        <v>0</v>
      </c>
    </row>
    <row r="27" spans="2:4" ht="13.5" thickBot="1">
      <c r="B27" s="309"/>
      <c r="C27" s="312" t="s">
        <v>4559</v>
      </c>
      <c r="D27" s="333">
        <v>0</v>
      </c>
    </row>
    <row r="28" spans="2:4" ht="13.5" thickBot="1">
      <c r="B28" s="309"/>
      <c r="C28" s="312" t="s">
        <v>4560</v>
      </c>
      <c r="D28" s="333">
        <v>0</v>
      </c>
    </row>
    <row r="29" spans="2:4">
      <c r="B29" s="309"/>
      <c r="C29" s="309"/>
    </row>
    <row r="30" spans="2:4">
      <c r="B30" s="310" t="s">
        <v>4561</v>
      </c>
      <c r="C30" s="311"/>
      <c r="D30" s="329">
        <f>+SUM(D32:D36)</f>
        <v>0</v>
      </c>
    </row>
    <row r="31" spans="2:4" ht="13.5" thickBot="1">
      <c r="B31" s="309"/>
      <c r="C31" s="309"/>
    </row>
    <row r="32" spans="2:4" ht="13.5" thickBot="1">
      <c r="B32" s="309"/>
      <c r="C32" s="312" t="s">
        <v>4562</v>
      </c>
      <c r="D32" s="333"/>
    </row>
    <row r="33" spans="2:32" ht="13.5" thickBot="1">
      <c r="B33" s="309"/>
      <c r="C33" s="312" t="s">
        <v>4563</v>
      </c>
      <c r="D33" s="333">
        <v>0</v>
      </c>
    </row>
    <row r="34" spans="2:32" ht="13.5" thickBot="1">
      <c r="B34" s="309"/>
      <c r="C34" s="312" t="s">
        <v>4564</v>
      </c>
      <c r="D34" s="333">
        <v>0</v>
      </c>
    </row>
    <row r="35" spans="2:32" ht="13.5" thickBot="1">
      <c r="B35" s="309"/>
      <c r="C35" s="312" t="s">
        <v>4565</v>
      </c>
      <c r="D35" s="333"/>
    </row>
    <row r="36" spans="2:32" ht="13.5" thickBot="1">
      <c r="B36" s="309"/>
      <c r="C36" s="312" t="s">
        <v>4566</v>
      </c>
      <c r="D36" s="333"/>
    </row>
    <row r="37" spans="2:32">
      <c r="B37" s="309"/>
      <c r="C37" s="309"/>
    </row>
    <row r="38" spans="2:32">
      <c r="B38" s="310" t="s">
        <v>4567</v>
      </c>
      <c r="C38" s="314"/>
      <c r="D38" s="334">
        <f>+E44</f>
        <v>0</v>
      </c>
      <c r="E38" s="60"/>
    </row>
    <row r="39" spans="2:32" ht="13.5" thickBot="1">
      <c r="B39" s="309"/>
      <c r="C39" s="309"/>
    </row>
    <row r="40" spans="2:32" ht="13.5" thickBot="1">
      <c r="C40" s="539" t="s">
        <v>4568</v>
      </c>
      <c r="D40" s="562" t="s">
        <v>4569</v>
      </c>
      <c r="E40" s="104" t="s">
        <v>4133</v>
      </c>
      <c r="F40" s="104" t="s">
        <v>4570</v>
      </c>
      <c r="G40" s="565" t="s">
        <v>4571</v>
      </c>
    </row>
    <row r="41" spans="2:32">
      <c r="B41" s="563"/>
      <c r="C41" s="622"/>
      <c r="D41" s="619"/>
      <c r="E41" s="47"/>
      <c r="F41" s="564"/>
      <c r="G41" s="621"/>
    </row>
    <row r="42" spans="2:32">
      <c r="B42" s="563"/>
      <c r="C42" s="623"/>
      <c r="D42" s="620"/>
      <c r="E42" s="47"/>
      <c r="F42" s="47"/>
      <c r="G42" s="621"/>
    </row>
    <row r="43" spans="2:32" ht="13.5" thickBot="1">
      <c r="B43" s="563"/>
      <c r="C43" s="623"/>
      <c r="D43" s="620"/>
      <c r="E43" s="47"/>
      <c r="F43" s="47"/>
      <c r="G43" s="621"/>
    </row>
    <row r="44" spans="2:32" ht="15.95" customHeight="1" thickBot="1">
      <c r="B44" s="563"/>
      <c r="C44" s="567"/>
      <c r="D44" s="333"/>
      <c r="E44" s="333">
        <f>+SUM(E41:E43)</f>
        <v>0</v>
      </c>
      <c r="F44" s="567"/>
      <c r="G44" s="568"/>
      <c r="AF44" s="518" t="s">
        <v>4572</v>
      </c>
    </row>
    <row r="45" spans="2:32" ht="15.95" customHeight="1">
      <c r="D45" s="516"/>
      <c r="E45" s="516"/>
      <c r="F45" s="566"/>
    </row>
    <row r="46" spans="2:32" ht="15.95" customHeight="1">
      <c r="B46" s="310" t="s">
        <v>4573</v>
      </c>
      <c r="C46" s="311"/>
      <c r="D46" s="329">
        <f>+SUM(D48)</f>
        <v>0</v>
      </c>
      <c r="E46" s="516"/>
    </row>
    <row r="47" spans="2:32" ht="15.95" customHeight="1" thickBot="1">
      <c r="D47" s="516"/>
      <c r="E47" s="516"/>
    </row>
    <row r="48" spans="2:32" ht="15.95" customHeight="1" thickBot="1">
      <c r="C48" s="312" t="s">
        <v>4133</v>
      </c>
      <c r="D48" s="332"/>
      <c r="E48" s="516"/>
    </row>
    <row r="49" spans="2:5" ht="18.95" customHeight="1" thickBot="1">
      <c r="C49" s="312" t="s">
        <v>4574</v>
      </c>
      <c r="D49" s="517" t="s">
        <v>4572</v>
      </c>
      <c r="E49" s="516"/>
    </row>
    <row r="50" spans="2:5">
      <c r="D50" s="516"/>
      <c r="E50" s="516"/>
    </row>
    <row r="52" spans="2:5">
      <c r="B52" s="310" t="s">
        <v>4575</v>
      </c>
      <c r="C52" s="314"/>
      <c r="D52" s="328"/>
    </row>
    <row r="53" spans="2:5">
      <c r="B53" s="310" t="s">
        <v>4576</v>
      </c>
      <c r="C53" s="314"/>
      <c r="D53" s="328"/>
    </row>
    <row r="54" spans="2:5">
      <c r="B54" s="310" t="s">
        <v>4577</v>
      </c>
      <c r="C54" s="314"/>
      <c r="D54" s="328">
        <v>0</v>
      </c>
    </row>
    <row r="55" spans="2:5">
      <c r="B55" s="310" t="s">
        <v>4578</v>
      </c>
      <c r="C55" s="314"/>
      <c r="D55" s="328">
        <v>0</v>
      </c>
    </row>
    <row r="56" spans="2:5">
      <c r="B56" s="310" t="s">
        <v>4579</v>
      </c>
      <c r="C56" s="314"/>
      <c r="D56" s="328">
        <v>0</v>
      </c>
    </row>
    <row r="57" spans="2:5">
      <c r="B57" s="310" t="s">
        <v>4580</v>
      </c>
      <c r="C57" s="314"/>
      <c r="D57" s="328">
        <v>0</v>
      </c>
    </row>
    <row r="58" spans="2:5">
      <c r="B58" s="310" t="s">
        <v>4581</v>
      </c>
      <c r="C58" s="314"/>
      <c r="D58" s="328">
        <v>0</v>
      </c>
    </row>
    <row r="59" spans="2:5">
      <c r="B59" s="310" t="s">
        <v>4582</v>
      </c>
      <c r="C59" s="314"/>
      <c r="D59" s="328">
        <v>0</v>
      </c>
    </row>
    <row r="60" spans="2:5">
      <c r="B60" s="310" t="s">
        <v>4583</v>
      </c>
      <c r="C60" s="314"/>
      <c r="D60" s="328">
        <v>0</v>
      </c>
    </row>
    <row r="61" spans="2:5">
      <c r="B61" s="310" t="s">
        <v>4584</v>
      </c>
      <c r="C61" s="314"/>
      <c r="D61" s="328">
        <v>0</v>
      </c>
    </row>
    <row r="62" spans="2:5">
      <c r="B62" s="310" t="s">
        <v>4585</v>
      </c>
      <c r="C62" s="314"/>
      <c r="D62" s="328">
        <v>0</v>
      </c>
    </row>
    <row r="63" spans="2:5">
      <c r="B63" s="310" t="s">
        <v>4586</v>
      </c>
      <c r="C63" s="314"/>
      <c r="D63" s="328">
        <v>0</v>
      </c>
    </row>
    <row r="64" spans="2:5">
      <c r="B64" s="310" t="s">
        <v>4587</v>
      </c>
      <c r="C64" s="314"/>
      <c r="D64" s="328">
        <v>0</v>
      </c>
    </row>
    <row r="65" spans="2:4">
      <c r="B65" s="310" t="s">
        <v>4588</v>
      </c>
      <c r="C65" s="314"/>
      <c r="D65" s="328">
        <v>0</v>
      </c>
    </row>
    <row r="66" spans="2:4">
      <c r="B66" s="761" t="s">
        <v>4589</v>
      </c>
      <c r="C66" s="762"/>
      <c r="D66" s="763"/>
    </row>
    <row r="67" spans="2:4">
      <c r="B67" s="503"/>
      <c r="C67" s="504" t="s">
        <v>4590</v>
      </c>
      <c r="D67" s="505">
        <v>0</v>
      </c>
    </row>
    <row r="68" spans="2:4">
      <c r="B68" s="503"/>
      <c r="C68" s="504" t="s">
        <v>4591</v>
      </c>
      <c r="D68" s="505"/>
    </row>
    <row r="69" spans="2:4">
      <c r="B69" s="503"/>
      <c r="C69" s="504" t="s">
        <v>4592</v>
      </c>
      <c r="D69" s="505"/>
    </row>
    <row r="70" spans="2:4">
      <c r="B70" s="503"/>
      <c r="C70" s="504" t="s">
        <v>4593</v>
      </c>
      <c r="D70" s="505"/>
    </row>
    <row r="71" spans="2:4">
      <c r="B71" s="506"/>
      <c r="C71" s="507" t="s">
        <v>4594</v>
      </c>
      <c r="D71" s="508">
        <f>+SUM(D67:D70)</f>
        <v>0</v>
      </c>
    </row>
    <row r="72" spans="2:4">
      <c r="B72" s="310" t="s">
        <v>4595</v>
      </c>
      <c r="C72" s="431"/>
      <c r="D72" s="432">
        <v>0</v>
      </c>
    </row>
    <row r="73" spans="2:4">
      <c r="B73" s="310" t="s">
        <v>4596</v>
      </c>
      <c r="C73" s="314"/>
      <c r="D73" s="335"/>
    </row>
    <row r="74" spans="2:4">
      <c r="B74" s="310" t="s">
        <v>4597</v>
      </c>
      <c r="C74" s="314"/>
      <c r="D74" s="328"/>
    </row>
    <row r="75" spans="2:4">
      <c r="B75" s="309"/>
      <c r="C75" s="309"/>
    </row>
    <row r="76" spans="2:4">
      <c r="B76" s="760" t="s">
        <v>4598</v>
      </c>
      <c r="C76" s="760"/>
      <c r="D76" s="330">
        <f>+D78+D83+D88+D89+D107+D116+D121+SUM(D132:D134)+SUM(D141:D145)+D140</f>
        <v>0</v>
      </c>
    </row>
    <row r="77" spans="2:4">
      <c r="B77" s="309"/>
      <c r="C77" s="309"/>
    </row>
    <row r="78" spans="2:4">
      <c r="B78" s="520" t="s">
        <v>4599</v>
      </c>
      <c r="C78" s="520"/>
      <c r="D78" s="521">
        <f>+D80+D81</f>
        <v>0</v>
      </c>
    </row>
    <row r="79" spans="2:4">
      <c r="B79" s="520"/>
      <c r="C79" s="520"/>
      <c r="D79" s="521"/>
    </row>
    <row r="80" spans="2:4">
      <c r="B80" s="520"/>
      <c r="C80" s="522" t="s">
        <v>4600</v>
      </c>
      <c r="D80" s="521">
        <v>0</v>
      </c>
    </row>
    <row r="81" spans="2:5">
      <c r="B81" s="520"/>
      <c r="C81" s="522" t="s">
        <v>4601</v>
      </c>
      <c r="D81" s="521">
        <v>0</v>
      </c>
    </row>
    <row r="82" spans="2:5">
      <c r="B82" s="520"/>
      <c r="C82" s="520"/>
      <c r="D82" s="521"/>
    </row>
    <row r="83" spans="2:5">
      <c r="B83" s="520" t="s">
        <v>4545</v>
      </c>
      <c r="C83" s="520"/>
      <c r="D83" s="521">
        <f>+D85+D86</f>
        <v>0</v>
      </c>
    </row>
    <row r="84" spans="2:5">
      <c r="B84" s="520"/>
      <c r="C84" s="520"/>
      <c r="D84" s="521"/>
    </row>
    <row r="85" spans="2:5">
      <c r="B85" s="520"/>
      <c r="C85" s="522" t="s">
        <v>4601</v>
      </c>
      <c r="D85" s="521">
        <v>0</v>
      </c>
    </row>
    <row r="86" spans="2:5">
      <c r="B86" s="520"/>
      <c r="C86" s="522" t="s">
        <v>4602</v>
      </c>
      <c r="D86" s="521">
        <v>0</v>
      </c>
    </row>
    <row r="87" spans="2:5">
      <c r="B87" s="520"/>
      <c r="C87" s="520"/>
      <c r="D87" s="521"/>
    </row>
    <row r="88" spans="2:5" ht="25.5" customHeight="1">
      <c r="B88" s="764" t="s">
        <v>4603</v>
      </c>
      <c r="C88" s="764"/>
      <c r="D88" s="521">
        <v>0</v>
      </c>
    </row>
    <row r="89" spans="2:5">
      <c r="B89" s="310" t="s">
        <v>4604</v>
      </c>
      <c r="C89" s="311"/>
      <c r="D89" s="329">
        <f>+D91+D92+D95+D96+D99+D100+D103+D104+D105</f>
        <v>0</v>
      </c>
    </row>
    <row r="90" spans="2:5" ht="13.5" thickBot="1">
      <c r="B90" s="309"/>
      <c r="C90" s="309"/>
    </row>
    <row r="91" spans="2:5" ht="13.5" thickBot="1">
      <c r="B91" s="309"/>
      <c r="C91" s="312" t="s">
        <v>4550</v>
      </c>
      <c r="D91" s="324">
        <v>0</v>
      </c>
    </row>
    <row r="92" spans="2:5" ht="13.5" thickBot="1">
      <c r="B92" s="309"/>
      <c r="C92" s="312" t="s">
        <v>4605</v>
      </c>
      <c r="D92" s="324">
        <v>0</v>
      </c>
    </row>
    <row r="93" spans="2:5" ht="13.5" thickBot="1">
      <c r="B93" s="309"/>
      <c r="C93" s="312" t="s">
        <v>4606</v>
      </c>
      <c r="D93" s="325" t="s">
        <v>249</v>
      </c>
    </row>
    <row r="94" spans="2:5" ht="13.5" thickBot="1">
      <c r="B94" s="309"/>
      <c r="C94" s="312" t="s">
        <v>4607</v>
      </c>
      <c r="D94" s="324">
        <v>0</v>
      </c>
      <c r="E94" s="60" t="s">
        <v>4608</v>
      </c>
    </row>
    <row r="95" spans="2:5" ht="13.5" thickBot="1">
      <c r="B95" s="309"/>
      <c r="C95" s="312" t="s">
        <v>4552</v>
      </c>
      <c r="D95" s="324">
        <v>0</v>
      </c>
    </row>
    <row r="96" spans="2:5" ht="13.5" thickBot="1">
      <c r="B96" s="309"/>
      <c r="C96" s="312" t="s">
        <v>4609</v>
      </c>
      <c r="D96" s="324">
        <v>0</v>
      </c>
    </row>
    <row r="97" spans="2:5" ht="13.5" thickBot="1">
      <c r="B97" s="309"/>
      <c r="C97" s="312" t="s">
        <v>4610</v>
      </c>
      <c r="D97" s="325" t="s">
        <v>249</v>
      </c>
    </row>
    <row r="98" spans="2:5" ht="13.5" thickBot="1">
      <c r="B98" s="309"/>
      <c r="C98" s="312" t="s">
        <v>4611</v>
      </c>
      <c r="D98" s="324">
        <v>0</v>
      </c>
      <c r="E98" s="60" t="s">
        <v>4608</v>
      </c>
    </row>
    <row r="99" spans="2:5" ht="13.5" thickBot="1">
      <c r="B99" s="309"/>
      <c r="C99" s="312" t="s">
        <v>4551</v>
      </c>
      <c r="D99" s="324">
        <v>0</v>
      </c>
    </row>
    <row r="100" spans="2:5" ht="13.5" thickBot="1">
      <c r="B100" s="309"/>
      <c r="C100" s="312" t="s">
        <v>4612</v>
      </c>
      <c r="D100" s="324">
        <v>0</v>
      </c>
    </row>
    <row r="101" spans="2:5" ht="13.5" thickBot="1">
      <c r="B101" s="309"/>
      <c r="C101" s="312" t="s">
        <v>4613</v>
      </c>
      <c r="D101" s="325" t="s">
        <v>249</v>
      </c>
    </row>
    <row r="102" spans="2:5" ht="13.5" thickBot="1">
      <c r="B102" s="309"/>
      <c r="C102" s="312" t="s">
        <v>4614</v>
      </c>
      <c r="D102" s="324">
        <v>0</v>
      </c>
      <c r="E102" s="60" t="s">
        <v>4608</v>
      </c>
    </row>
    <row r="103" spans="2:5" ht="13.5" thickBot="1">
      <c r="B103" s="309"/>
      <c r="C103" s="312" t="s">
        <v>4553</v>
      </c>
      <c r="D103" s="324">
        <v>0</v>
      </c>
    </row>
    <row r="104" spans="2:5" ht="13.5" thickBot="1">
      <c r="B104" s="309"/>
      <c r="C104" s="312" t="s">
        <v>4615</v>
      </c>
      <c r="D104" s="324">
        <v>0</v>
      </c>
    </row>
    <row r="105" spans="2:5" ht="13.5" thickBot="1">
      <c r="B105" s="309"/>
      <c r="C105" s="312" t="s">
        <v>4616</v>
      </c>
      <c r="D105" s="324"/>
    </row>
    <row r="106" spans="2:5">
      <c r="B106" s="309"/>
      <c r="C106" s="309"/>
    </row>
    <row r="107" spans="2:5">
      <c r="B107" s="310" t="s">
        <v>4617</v>
      </c>
      <c r="C107" s="311"/>
      <c r="D107" s="329">
        <f>+SUM(D109:D114)</f>
        <v>0</v>
      </c>
    </row>
    <row r="108" spans="2:5" ht="13.5" thickBot="1">
      <c r="B108" s="309"/>
      <c r="C108" s="309"/>
    </row>
    <row r="109" spans="2:5" ht="13.5" thickBot="1">
      <c r="B109" s="309"/>
      <c r="C109" s="312" t="s">
        <v>4556</v>
      </c>
      <c r="D109" s="324">
        <v>0</v>
      </c>
    </row>
    <row r="110" spans="2:5" ht="13.5" thickBot="1">
      <c r="B110" s="309"/>
      <c r="C110" s="312" t="s">
        <v>4557</v>
      </c>
      <c r="D110" s="324"/>
    </row>
    <row r="111" spans="2:5" ht="13.5" thickBot="1">
      <c r="B111" s="309"/>
      <c r="C111" s="312" t="s">
        <v>231</v>
      </c>
      <c r="D111" s="324">
        <v>0</v>
      </c>
    </row>
    <row r="112" spans="2:5" ht="13.5" thickBot="1">
      <c r="B112" s="309"/>
      <c r="C112" s="312" t="s">
        <v>4558</v>
      </c>
      <c r="D112" s="324">
        <v>0</v>
      </c>
    </row>
    <row r="113" spans="2:5" ht="13.5" thickBot="1">
      <c r="B113" s="309"/>
      <c r="C113" s="312" t="s">
        <v>4559</v>
      </c>
      <c r="D113" s="324"/>
    </row>
    <row r="114" spans="2:5" ht="13.5" thickBot="1">
      <c r="B114" s="309"/>
      <c r="C114" s="312" t="s">
        <v>4560</v>
      </c>
      <c r="D114" s="324"/>
    </row>
    <row r="115" spans="2:5">
      <c r="B115" s="309"/>
      <c r="C115" s="309"/>
    </row>
    <row r="116" spans="2:5">
      <c r="B116" s="310" t="s">
        <v>4618</v>
      </c>
      <c r="C116" s="311"/>
      <c r="D116" s="329">
        <f>+D119</f>
        <v>0</v>
      </c>
    </row>
    <row r="117" spans="2:5" ht="13.5" thickBot="1">
      <c r="B117" s="309"/>
      <c r="C117" s="309"/>
    </row>
    <row r="118" spans="2:5" ht="13.5" thickBot="1">
      <c r="B118" s="309"/>
      <c r="C118" s="312" t="s">
        <v>4619</v>
      </c>
      <c r="D118" s="324"/>
      <c r="E118" s="11" t="s">
        <v>4620</v>
      </c>
    </row>
    <row r="119" spans="2:5" ht="13.5" thickBot="1">
      <c r="B119" s="309"/>
      <c r="C119" s="312" t="s">
        <v>4621</v>
      </c>
      <c r="D119" s="324">
        <v>0</v>
      </c>
    </row>
    <row r="120" spans="2:5">
      <c r="B120" s="309"/>
      <c r="C120" s="309"/>
    </row>
    <row r="121" spans="2:5">
      <c r="B121" s="310" t="s">
        <v>4622</v>
      </c>
      <c r="C121" s="311"/>
      <c r="D121" s="329">
        <f>+D125</f>
        <v>0</v>
      </c>
    </row>
    <row r="122" spans="2:5" ht="13.5" thickBot="1">
      <c r="B122" s="309"/>
      <c r="C122" s="309"/>
    </row>
    <row r="123" spans="2:5" ht="13.5" thickBot="1">
      <c r="B123" s="309"/>
      <c r="C123" s="312" t="s">
        <v>4623</v>
      </c>
      <c r="D123" s="324"/>
    </row>
    <row r="124" spans="2:5" ht="13.5" thickBot="1">
      <c r="B124" s="309"/>
      <c r="C124" s="312" t="s">
        <v>4571</v>
      </c>
      <c r="D124" s="324"/>
      <c r="E124" s="11" t="s">
        <v>4620</v>
      </c>
    </row>
    <row r="125" spans="2:5" ht="13.5" thickBot="1">
      <c r="B125" s="309"/>
      <c r="C125" s="312" t="s">
        <v>4624</v>
      </c>
      <c r="D125" s="324">
        <v>0</v>
      </c>
    </row>
    <row r="126" spans="2:5">
      <c r="B126" s="309"/>
      <c r="C126" s="312"/>
      <c r="D126" s="519"/>
    </row>
    <row r="127" spans="2:5">
      <c r="B127" s="310" t="s">
        <v>4625</v>
      </c>
      <c r="C127" s="311"/>
      <c r="D127" s="329">
        <f>+SUM(D129)</f>
        <v>0</v>
      </c>
    </row>
    <row r="128" spans="2:5" ht="13.5" thickBot="1">
      <c r="D128" s="516"/>
    </row>
    <row r="129" spans="2:4" ht="13.5" thickBot="1">
      <c r="C129" s="312" t="s">
        <v>4133</v>
      </c>
      <c r="D129" s="324">
        <v>0</v>
      </c>
    </row>
    <row r="130" spans="2:4" ht="13.5" thickBot="1">
      <c r="C130" s="312" t="s">
        <v>4574</v>
      </c>
      <c r="D130" s="517"/>
    </row>
    <row r="131" spans="2:4">
      <c r="B131" s="309"/>
      <c r="C131" s="312"/>
      <c r="D131" s="519"/>
    </row>
    <row r="132" spans="2:4">
      <c r="B132" s="310" t="s">
        <v>4626</v>
      </c>
      <c r="C132" s="311"/>
      <c r="D132" s="328">
        <v>0</v>
      </c>
    </row>
    <row r="133" spans="2:4">
      <c r="B133" s="310" t="s">
        <v>4627</v>
      </c>
      <c r="C133" s="311"/>
      <c r="D133" s="328">
        <v>0</v>
      </c>
    </row>
    <row r="134" spans="2:4">
      <c r="B134" s="310" t="s">
        <v>4628</v>
      </c>
      <c r="C134" s="311"/>
      <c r="D134" s="328">
        <v>0</v>
      </c>
    </row>
    <row r="135" spans="2:4">
      <c r="B135" s="761" t="s">
        <v>4589</v>
      </c>
      <c r="C135" s="762"/>
      <c r="D135" s="763"/>
    </row>
    <row r="136" spans="2:4">
      <c r="B136" s="503"/>
      <c r="C136" s="504" t="s">
        <v>4590</v>
      </c>
      <c r="D136" s="505"/>
    </row>
    <row r="137" spans="2:4">
      <c r="B137" s="503"/>
      <c r="C137" s="504" t="s">
        <v>4591</v>
      </c>
      <c r="D137" s="505"/>
    </row>
    <row r="138" spans="2:4">
      <c r="B138" s="503"/>
      <c r="C138" s="504" t="s">
        <v>4592</v>
      </c>
      <c r="D138" s="505"/>
    </row>
    <row r="139" spans="2:4">
      <c r="B139" s="510"/>
      <c r="C139" s="504" t="s">
        <v>4593</v>
      </c>
      <c r="D139" s="505"/>
    </row>
    <row r="140" spans="2:4">
      <c r="B140" s="509"/>
      <c r="C140" s="507" t="s">
        <v>4594</v>
      </c>
      <c r="D140" s="508">
        <f>+SUM(D136:D139)</f>
        <v>0</v>
      </c>
    </row>
    <row r="141" spans="2:4">
      <c r="B141" s="430" t="s">
        <v>4629</v>
      </c>
      <c r="C141" s="433"/>
      <c r="D141" s="432">
        <v>0</v>
      </c>
    </row>
    <row r="142" spans="2:4">
      <c r="B142" s="310" t="s">
        <v>4595</v>
      </c>
      <c r="C142" s="311"/>
      <c r="D142" s="328">
        <v>0</v>
      </c>
    </row>
    <row r="143" spans="2:4">
      <c r="B143" s="310" t="s">
        <v>4578</v>
      </c>
      <c r="C143" s="311"/>
      <c r="D143" s="328"/>
    </row>
    <row r="144" spans="2:4">
      <c r="B144" s="310" t="s">
        <v>4596</v>
      </c>
      <c r="C144" s="311"/>
      <c r="D144" s="328"/>
    </row>
    <row r="145" spans="2:4">
      <c r="B145" s="310" t="s">
        <v>4630</v>
      </c>
      <c r="C145" s="311"/>
      <c r="D145" s="328">
        <v>0</v>
      </c>
    </row>
  </sheetData>
  <mergeCells count="6">
    <mergeCell ref="B4:C4"/>
    <mergeCell ref="B76:C76"/>
    <mergeCell ref="B2:C2"/>
    <mergeCell ref="B66:D66"/>
    <mergeCell ref="B135:D135"/>
    <mergeCell ref="B88:C88"/>
  </mergeCells>
  <conditionalFormatting sqref="C41:G43">
    <cfRule type="expression" dxfId="3" priority="1">
      <formula>AND(LEN(TRIM($C41&amp;$D41&amp;$E41&amp;$F41&amp;$G41))&gt;0,   OR(LEN(TRIM($C41))=0,     LEN(TRIM($D41))=0,     LEN(TRIM($E41))=0,     LEN(TRIM($F41))=0,     LEN(TRIM($G41))=0))</formula>
    </cfRule>
  </conditionalFormatting>
  <dataValidations count="12">
    <dataValidation type="list" allowBlank="1" showInputMessage="1" showErrorMessage="1" sqref="D49 D130" xr:uid="{947CC4F2-DB78-472C-ABE6-7540F2173B58}">
      <formula1>$AF$43:$AF$44</formula1>
    </dataValidation>
    <dataValidation type="date" allowBlank="1" showInputMessage="1" showErrorMessage="1" sqref="D124" xr:uid="{69C87504-2616-48A5-BB3F-7ED4E0BFCDDF}">
      <formula1>1</formula1>
      <formula2>73415</formula2>
    </dataValidation>
    <dataValidation type="whole" allowBlank="1" showInputMessage="1" showErrorMessage="1" error="El campo debe tener 11 digitos numericos" sqref="F41:F43" xr:uid="{AF95AB31-77A3-447F-B5BF-62494A171247}">
      <formula1>10000000000</formula1>
      <formula2>99999999999</formula2>
    </dataValidation>
    <dataValidation type="whole" allowBlank="1" showInputMessage="1" showErrorMessage="1" error="El campo debe contener 4 digitos numericos" sqref="C41:C43" xr:uid="{58D5F0BC-2268-48CA-A1BF-2188FF2DE08C}">
      <formula1>1900</formula1>
      <formula2>2100</formula2>
    </dataValidation>
    <dataValidation type="decimal" allowBlank="1" showInputMessage="1" showErrorMessage="1" error="El campo debe tener maximo 9.999.999.999.999,99" sqref="D15:D19 D23:D28 D32:D36 E41:E43 D48 D8:D9 D6 D11 D78 D80:D81 D83:D86 D88" xr:uid="{C57533C4-94D9-4AA8-B8A2-C2D0684B8521}">
      <formula1>0</formula1>
      <formula2>999999999999999</formula2>
    </dataValidation>
    <dataValidation type="decimal" allowBlank="1" showInputMessage="1" showErrorMessage="1" error="El campo debe tener maximo 999.999.999.999.999,99" sqref="D67:D70 D136:D139" xr:uid="{8EE201A8-03E8-4593-8823-C0D1ECA5F0C1}">
      <formula1>0</formula1>
      <formula2>99999999999999900</formula2>
    </dataValidation>
    <dataValidation type="decimal" allowBlank="1" showInputMessage="1" showErrorMessage="1" error="El campo de tener maximo 9.999.999.999.999,99" sqref="D52:D65 D72:D74 D91:D92 D94:D96 D98:D100 D102:D104" xr:uid="{6701618C-3B81-4FF7-8E69-E9CCA9A11358}">
      <formula1>0</formula1>
      <formula2>999999999999999</formula2>
    </dataValidation>
    <dataValidation type="decimal" allowBlank="1" showInputMessage="1" showErrorMessage="1" error="El campo debe ir de 0 a 100_x000a_" sqref="D105" xr:uid="{29CD9C57-951C-4B99-93A4-1FB0ABA05D07}">
      <formula1>0</formula1>
      <formula2>100</formula2>
    </dataValidation>
    <dataValidation type="decimal" allowBlank="1" showInputMessage="1" showErrorMessage="1" error="El campo debe tener maximo 9.999.999.999.999,99_x000a_" sqref="D109:D114 D119 D125 D129 D132:D134 D141:D145" xr:uid="{953FF565-5C7A-4EBB-BE49-307AE5684410}">
      <formula1>0</formula1>
      <formula2>999999999999999</formula2>
    </dataValidation>
    <dataValidation type="whole" allowBlank="1" showInputMessage="1" showErrorMessage="1" error="El campo debe estar entre 1900 y 2100" sqref="D118" xr:uid="{31FE2980-E9B1-4E0D-9AA0-36AA5C648183}">
      <formula1>1900</formula1>
      <formula2>2100</formula2>
    </dataValidation>
    <dataValidation type="decimal" allowBlank="1" showInputMessage="1" showErrorMessage="1" error="El campo debe tener 11 digitos numericos_x000a_" sqref="D123" xr:uid="{BA608C1F-5AD5-4B18-88FA-3EFB6C8355FD}">
      <formula1>10000000000</formula1>
      <formula2>99999999999</formula2>
    </dataValidation>
    <dataValidation type="date" allowBlank="1" showInputMessage="1" showErrorMessage="1" error="El campo debe estar entre 01/01/1900 y 31/12/2100" sqref="G41:G43 D41:D43" xr:uid="{9BC7BF9E-AA7E-44F3-8CE5-BBB3F7D6E568}">
      <formula1>1</formula1>
      <formula2>73415</formula2>
    </dataValidation>
  </dataValidations>
  <pageMargins left="0.7" right="0.7" top="0.75" bottom="0.75" header="0.3" footer="0.3"/>
  <pageSetup scale="7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683B4C-53C4-4785-8AC5-4DF708B5D7A3}">
          <x14:formula1>
            <xm:f>SIAP!$T$3:$T$17</xm:f>
          </x14:formula1>
          <xm:sqref>D93 D97 D101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0219-96AD-4CF0-975C-FE5A029AB753}">
  <sheetPr codeName="Sheet18">
    <tabColor rgb="FF0070C0"/>
  </sheetPr>
  <dimension ref="B1:D84"/>
  <sheetViews>
    <sheetView showGridLines="0" view="pageBreakPreview" zoomScale="115" zoomScaleNormal="100" zoomScaleSheetLayoutView="115" workbookViewId="0">
      <selection activeCell="D59" activeCellId="3" sqref="D54 D56 D57 D59"/>
    </sheetView>
  </sheetViews>
  <sheetFormatPr defaultColWidth="9.140625" defaultRowHeight="12.95"/>
  <cols>
    <col min="1" max="1" width="2.42578125" style="34" customWidth="1"/>
    <col min="2" max="2" width="6.42578125" style="34" customWidth="1"/>
    <col min="3" max="3" width="49.5703125" style="34" customWidth="1"/>
    <col min="4" max="4" width="28" style="336" customWidth="1"/>
    <col min="5" max="16384" width="9.140625" style="34"/>
  </cols>
  <sheetData>
    <row r="1" spans="2:4">
      <c r="B1" s="317"/>
      <c r="C1" s="317"/>
    </row>
    <row r="2" spans="2:4">
      <c r="B2" s="760" t="s">
        <v>4631</v>
      </c>
      <c r="C2" s="760"/>
      <c r="D2" s="330">
        <f>+D4-D52</f>
        <v>0</v>
      </c>
    </row>
    <row r="3" spans="2:4">
      <c r="B3" s="317"/>
      <c r="C3" s="317"/>
    </row>
    <row r="4" spans="2:4">
      <c r="B4" s="765" t="s">
        <v>4632</v>
      </c>
      <c r="C4" s="765"/>
      <c r="D4" s="337">
        <f>+D6+D11+D13+D21+D30+SUM(D38:D50)</f>
        <v>0</v>
      </c>
    </row>
    <row r="5" spans="2:4">
      <c r="B5" s="317"/>
      <c r="C5" s="317"/>
    </row>
    <row r="6" spans="2:4">
      <c r="B6" s="569" t="s">
        <v>4599</v>
      </c>
      <c r="C6" s="569"/>
      <c r="D6" s="570">
        <f>+D8+D9</f>
        <v>0</v>
      </c>
    </row>
    <row r="7" spans="2:4">
      <c r="B7" s="569"/>
      <c r="C7" s="569"/>
      <c r="D7" s="570"/>
    </row>
    <row r="8" spans="2:4">
      <c r="B8" s="569"/>
      <c r="C8" s="571" t="s">
        <v>4546</v>
      </c>
      <c r="D8" s="570">
        <v>0</v>
      </c>
    </row>
    <row r="9" spans="2:4">
      <c r="B9" s="569"/>
      <c r="C9" s="571" t="s">
        <v>4547</v>
      </c>
      <c r="D9" s="570">
        <v>0</v>
      </c>
    </row>
    <row r="10" spans="2:4">
      <c r="B10" s="569"/>
      <c r="C10" s="569"/>
      <c r="D10" s="570"/>
    </row>
    <row r="11" spans="2:4">
      <c r="B11" s="569" t="s">
        <v>4548</v>
      </c>
      <c r="C11" s="569"/>
      <c r="D11" s="570"/>
    </row>
    <row r="12" spans="2:4">
      <c r="B12" s="319"/>
      <c r="C12" s="319"/>
    </row>
    <row r="13" spans="2:4">
      <c r="B13" s="315" t="s">
        <v>4549</v>
      </c>
      <c r="C13" s="316"/>
      <c r="D13" s="338">
        <f>+SUM(D15:D19)</f>
        <v>0</v>
      </c>
    </row>
    <row r="14" spans="2:4" ht="13.5" thickBot="1">
      <c r="B14" s="317"/>
      <c r="C14" s="317"/>
    </row>
    <row r="15" spans="2:4" ht="13.5" thickBot="1">
      <c r="B15" s="317"/>
      <c r="C15" s="318" t="s">
        <v>4550</v>
      </c>
      <c r="D15" s="326">
        <v>0</v>
      </c>
    </row>
    <row r="16" spans="2:4" ht="13.5" thickBot="1">
      <c r="B16" s="317"/>
      <c r="C16" s="318" t="s">
        <v>4551</v>
      </c>
      <c r="D16" s="326">
        <v>0</v>
      </c>
    </row>
    <row r="17" spans="2:4" ht="13.5" thickBot="1">
      <c r="B17" s="317"/>
      <c r="C17" s="318" t="s">
        <v>4552</v>
      </c>
      <c r="D17" s="326">
        <v>0</v>
      </c>
    </row>
    <row r="18" spans="2:4" ht="13.5" thickBot="1">
      <c r="B18" s="317"/>
      <c r="C18" s="318" t="s">
        <v>4553</v>
      </c>
      <c r="D18" s="326">
        <v>0</v>
      </c>
    </row>
    <row r="19" spans="2:4" ht="13.5" thickBot="1">
      <c r="B19" s="317"/>
      <c r="C19" s="318" t="s">
        <v>4554</v>
      </c>
      <c r="D19" s="326">
        <v>0</v>
      </c>
    </row>
    <row r="20" spans="2:4">
      <c r="B20" s="317"/>
      <c r="C20" s="317"/>
    </row>
    <row r="21" spans="2:4">
      <c r="B21" s="315" t="s">
        <v>4555</v>
      </c>
      <c r="C21" s="316"/>
      <c r="D21" s="338">
        <f>+SUM(D23:D28)</f>
        <v>0</v>
      </c>
    </row>
    <row r="22" spans="2:4" ht="13.5" thickBot="1">
      <c r="B22" s="317"/>
      <c r="C22" s="317"/>
    </row>
    <row r="23" spans="2:4" ht="13.5" thickBot="1">
      <c r="B23" s="317"/>
      <c r="C23" s="318" t="s">
        <v>4556</v>
      </c>
      <c r="D23" s="326">
        <v>0</v>
      </c>
    </row>
    <row r="24" spans="2:4" ht="13.5" thickBot="1">
      <c r="B24" s="317"/>
      <c r="C24" s="318" t="s">
        <v>4557</v>
      </c>
      <c r="D24" s="326">
        <v>0</v>
      </c>
    </row>
    <row r="25" spans="2:4" ht="13.5" thickBot="1">
      <c r="B25" s="317"/>
      <c r="C25" s="318" t="s">
        <v>231</v>
      </c>
      <c r="D25" s="326">
        <v>0</v>
      </c>
    </row>
    <row r="26" spans="2:4" ht="13.5" thickBot="1">
      <c r="B26" s="317"/>
      <c r="C26" s="318" t="s">
        <v>4558</v>
      </c>
      <c r="D26" s="326">
        <v>0</v>
      </c>
    </row>
    <row r="27" spans="2:4" ht="13.5" thickBot="1">
      <c r="B27" s="317"/>
      <c r="C27" s="318" t="s">
        <v>4559</v>
      </c>
      <c r="D27" s="326">
        <v>0</v>
      </c>
    </row>
    <row r="28" spans="2:4" ht="13.5" thickBot="1">
      <c r="B28" s="317"/>
      <c r="C28" s="318" t="s">
        <v>4560</v>
      </c>
      <c r="D28" s="326">
        <v>0</v>
      </c>
    </row>
    <row r="29" spans="2:4">
      <c r="B29" s="317"/>
      <c r="C29" s="317"/>
    </row>
    <row r="30" spans="2:4">
      <c r="B30" s="315" t="s">
        <v>4561</v>
      </c>
      <c r="C30" s="316"/>
      <c r="D30" s="338">
        <f>+SUM(D32:D36)</f>
        <v>0</v>
      </c>
    </row>
    <row r="31" spans="2:4" ht="13.5" thickBot="1">
      <c r="B31" s="317"/>
      <c r="C31" s="317"/>
    </row>
    <row r="32" spans="2:4" ht="13.5" thickBot="1">
      <c r="B32" s="317"/>
      <c r="C32" s="318" t="s">
        <v>4562</v>
      </c>
      <c r="D32" s="326">
        <v>0</v>
      </c>
    </row>
    <row r="33" spans="2:4" ht="13.5" thickBot="1">
      <c r="B33" s="317"/>
      <c r="C33" s="318" t="s">
        <v>4563</v>
      </c>
      <c r="D33" s="326">
        <v>0</v>
      </c>
    </row>
    <row r="34" spans="2:4" ht="13.5" thickBot="1">
      <c r="B34" s="317"/>
      <c r="C34" s="318" t="s">
        <v>4564</v>
      </c>
      <c r="D34" s="326">
        <v>0</v>
      </c>
    </row>
    <row r="35" spans="2:4" ht="13.5" thickBot="1">
      <c r="B35" s="317"/>
      <c r="C35" s="318" t="s">
        <v>4565</v>
      </c>
      <c r="D35" s="326">
        <v>0</v>
      </c>
    </row>
    <row r="36" spans="2:4" ht="13.5" thickBot="1">
      <c r="B36" s="317"/>
      <c r="C36" s="318" t="s">
        <v>4566</v>
      </c>
      <c r="D36" s="326">
        <v>0</v>
      </c>
    </row>
    <row r="37" spans="2:4">
      <c r="B37" s="317"/>
      <c r="C37" s="317"/>
    </row>
    <row r="38" spans="2:4">
      <c r="B38" s="315" t="s">
        <v>4575</v>
      </c>
      <c r="C38" s="316"/>
      <c r="D38" s="339">
        <v>0</v>
      </c>
    </row>
    <row r="39" spans="2:4">
      <c r="B39" s="315" t="s">
        <v>4576</v>
      </c>
      <c r="C39" s="316"/>
      <c r="D39" s="339">
        <v>0</v>
      </c>
    </row>
    <row r="40" spans="2:4">
      <c r="B40" s="315" t="s">
        <v>4633</v>
      </c>
      <c r="C40" s="316"/>
      <c r="D40" s="339">
        <v>0</v>
      </c>
    </row>
    <row r="41" spans="2:4">
      <c r="B41" s="315" t="s">
        <v>4578</v>
      </c>
      <c r="C41" s="316"/>
      <c r="D41" s="339">
        <v>0</v>
      </c>
    </row>
    <row r="42" spans="2:4">
      <c r="B42" s="315" t="s">
        <v>4581</v>
      </c>
      <c r="C42" s="316"/>
      <c r="D42" s="339">
        <v>0</v>
      </c>
    </row>
    <row r="43" spans="2:4">
      <c r="B43" s="315" t="s">
        <v>4634</v>
      </c>
      <c r="C43" s="316"/>
      <c r="D43" s="339">
        <v>0</v>
      </c>
    </row>
    <row r="44" spans="2:4">
      <c r="B44" s="315" t="s">
        <v>4635</v>
      </c>
      <c r="C44" s="316"/>
      <c r="D44" s="339">
        <v>0</v>
      </c>
    </row>
    <row r="45" spans="2:4">
      <c r="B45" s="315" t="s">
        <v>4636</v>
      </c>
      <c r="C45" s="316"/>
      <c r="D45" s="339">
        <v>0</v>
      </c>
    </row>
    <row r="46" spans="2:4">
      <c r="B46" s="315" t="s">
        <v>4588</v>
      </c>
      <c r="C46" s="316"/>
      <c r="D46" s="339">
        <v>0</v>
      </c>
    </row>
    <row r="47" spans="2:4">
      <c r="B47" s="315" t="s">
        <v>4637</v>
      </c>
      <c r="C47" s="316"/>
      <c r="D47" s="339">
        <v>0</v>
      </c>
    </row>
    <row r="48" spans="2:4">
      <c r="B48" s="315" t="s">
        <v>4595</v>
      </c>
      <c r="C48" s="316"/>
      <c r="D48" s="339">
        <v>0</v>
      </c>
    </row>
    <row r="49" spans="2:4">
      <c r="B49" s="315" t="s">
        <v>4638</v>
      </c>
      <c r="C49" s="316"/>
      <c r="D49" s="339">
        <v>0</v>
      </c>
    </row>
    <row r="50" spans="2:4">
      <c r="B50" s="315" t="s">
        <v>4596</v>
      </c>
      <c r="C50" s="316"/>
      <c r="D50" s="339">
        <v>0</v>
      </c>
    </row>
    <row r="51" spans="2:4">
      <c r="B51" s="317"/>
      <c r="C51" s="317"/>
    </row>
    <row r="52" spans="2:4">
      <c r="B52" s="765" t="s">
        <v>4639</v>
      </c>
      <c r="C52" s="765"/>
      <c r="D52" s="337">
        <f>+D54+D59+D61+D69+SUM(D78:D84)</f>
        <v>0</v>
      </c>
    </row>
    <row r="53" spans="2:4">
      <c r="B53" s="317"/>
      <c r="C53" s="317"/>
    </row>
    <row r="54" spans="2:4">
      <c r="B54" s="569" t="s">
        <v>4599</v>
      </c>
      <c r="C54" s="569"/>
      <c r="D54" s="570">
        <f>+D56+D57</f>
        <v>0</v>
      </c>
    </row>
    <row r="55" spans="2:4">
      <c r="B55" s="569"/>
      <c r="C55" s="569"/>
      <c r="D55" s="570"/>
    </row>
    <row r="56" spans="2:4">
      <c r="B56" s="569"/>
      <c r="C56" s="571" t="s">
        <v>4600</v>
      </c>
      <c r="D56" s="570">
        <v>0</v>
      </c>
    </row>
    <row r="57" spans="2:4">
      <c r="B57" s="569"/>
      <c r="C57" s="571" t="s">
        <v>4601</v>
      </c>
      <c r="D57" s="570">
        <v>0</v>
      </c>
    </row>
    <row r="58" spans="2:4">
      <c r="B58" s="569"/>
      <c r="C58" s="569"/>
      <c r="D58" s="570"/>
    </row>
    <row r="59" spans="2:4">
      <c r="B59" s="569" t="s">
        <v>4603</v>
      </c>
      <c r="C59" s="569"/>
      <c r="D59" s="570"/>
    </row>
    <row r="60" spans="2:4">
      <c r="B60" s="317"/>
      <c r="C60" s="317"/>
    </row>
    <row r="61" spans="2:4">
      <c r="B61" s="315" t="s">
        <v>4604</v>
      </c>
      <c r="C61" s="316"/>
      <c r="D61" s="338">
        <f>+SUM(D63:D67)</f>
        <v>0</v>
      </c>
    </row>
    <row r="62" spans="2:4" ht="13.5" thickBot="1">
      <c r="B62" s="317"/>
      <c r="C62" s="317"/>
    </row>
    <row r="63" spans="2:4" ht="13.5" thickBot="1">
      <c r="B63" s="317"/>
      <c r="C63" s="318" t="s">
        <v>4550</v>
      </c>
      <c r="D63" s="326">
        <v>0</v>
      </c>
    </row>
    <row r="64" spans="2:4" ht="13.5" thickBot="1">
      <c r="B64" s="317"/>
      <c r="C64" s="318" t="s">
        <v>4551</v>
      </c>
      <c r="D64" s="326">
        <v>0</v>
      </c>
    </row>
    <row r="65" spans="2:4" ht="13.5" thickBot="1">
      <c r="B65" s="317"/>
      <c r="C65" s="318" t="s">
        <v>4552</v>
      </c>
      <c r="D65" s="326">
        <v>0</v>
      </c>
    </row>
    <row r="66" spans="2:4" ht="13.5" thickBot="1">
      <c r="B66" s="317"/>
      <c r="C66" s="318" t="s">
        <v>4553</v>
      </c>
      <c r="D66" s="326">
        <v>0</v>
      </c>
    </row>
    <row r="67" spans="2:4" ht="13.5" thickBot="1">
      <c r="B67" s="317"/>
      <c r="C67" s="318" t="s">
        <v>4554</v>
      </c>
      <c r="D67" s="326">
        <v>0</v>
      </c>
    </row>
    <row r="68" spans="2:4">
      <c r="B68" s="317"/>
      <c r="C68" s="317"/>
    </row>
    <row r="69" spans="2:4">
      <c r="B69" s="315" t="s">
        <v>4617</v>
      </c>
      <c r="C69" s="316"/>
      <c r="D69" s="338">
        <f>+SUM(D71:D76)</f>
        <v>0</v>
      </c>
    </row>
    <row r="70" spans="2:4" ht="13.5" thickBot="1">
      <c r="B70" s="317"/>
      <c r="C70" s="317"/>
    </row>
    <row r="71" spans="2:4" ht="13.5" thickBot="1">
      <c r="B71" s="317"/>
      <c r="C71" s="318" t="s">
        <v>4556</v>
      </c>
      <c r="D71" s="326">
        <v>0</v>
      </c>
    </row>
    <row r="72" spans="2:4" ht="13.5" thickBot="1">
      <c r="B72" s="317"/>
      <c r="C72" s="318" t="s">
        <v>4557</v>
      </c>
      <c r="D72" s="326">
        <v>0</v>
      </c>
    </row>
    <row r="73" spans="2:4" ht="13.5" thickBot="1">
      <c r="B73" s="317"/>
      <c r="C73" s="318" t="s">
        <v>231</v>
      </c>
      <c r="D73" s="326">
        <v>0</v>
      </c>
    </row>
    <row r="74" spans="2:4" ht="13.5" thickBot="1">
      <c r="B74" s="317"/>
      <c r="C74" s="318" t="s">
        <v>4558</v>
      </c>
      <c r="D74" s="326">
        <v>0</v>
      </c>
    </row>
    <row r="75" spans="2:4" ht="13.5" thickBot="1">
      <c r="B75" s="317"/>
      <c r="C75" s="318" t="s">
        <v>4559</v>
      </c>
      <c r="D75" s="326">
        <v>0</v>
      </c>
    </row>
    <row r="76" spans="2:4" ht="13.5" thickBot="1">
      <c r="B76" s="317"/>
      <c r="C76" s="318" t="s">
        <v>4560</v>
      </c>
      <c r="D76" s="326">
        <v>0</v>
      </c>
    </row>
    <row r="77" spans="2:4">
      <c r="B77" s="317"/>
      <c r="C77" s="317"/>
    </row>
    <row r="78" spans="2:4">
      <c r="B78" s="315" t="s">
        <v>4628</v>
      </c>
      <c r="C78" s="316"/>
      <c r="D78" s="339">
        <v>0</v>
      </c>
    </row>
    <row r="79" spans="2:4">
      <c r="B79" s="315" t="s">
        <v>4640</v>
      </c>
      <c r="C79" s="316"/>
      <c r="D79" s="339">
        <v>0</v>
      </c>
    </row>
    <row r="80" spans="2:4">
      <c r="B80" s="315" t="s">
        <v>4637</v>
      </c>
      <c r="C80" s="316"/>
      <c r="D80" s="339">
        <v>0</v>
      </c>
    </row>
    <row r="81" spans="2:4">
      <c r="B81" s="315" t="s">
        <v>4629</v>
      </c>
      <c r="C81" s="316"/>
      <c r="D81" s="339">
        <v>0</v>
      </c>
    </row>
    <row r="82" spans="2:4">
      <c r="B82" s="315" t="s">
        <v>4595</v>
      </c>
      <c r="C82" s="316"/>
      <c r="D82" s="339">
        <v>0</v>
      </c>
    </row>
    <row r="83" spans="2:4">
      <c r="B83" s="315" t="s">
        <v>4578</v>
      </c>
      <c r="C83" s="316"/>
      <c r="D83" s="339">
        <v>0</v>
      </c>
    </row>
    <row r="84" spans="2:4">
      <c r="B84" s="315" t="s">
        <v>4641</v>
      </c>
      <c r="C84" s="316"/>
      <c r="D84" s="339">
        <v>0</v>
      </c>
    </row>
  </sheetData>
  <mergeCells count="3">
    <mergeCell ref="B4:C4"/>
    <mergeCell ref="B52:C52"/>
    <mergeCell ref="B2:C2"/>
  </mergeCells>
  <dataValidations count="1">
    <dataValidation type="decimal" allowBlank="1" showInputMessage="1" showErrorMessage="1" error="El campo debe tener maximo 9.999.999.999.999,99" sqref="D78:D84 D23:D28 D32:D36 D38:D50 D63:D67 D71:D76 D15:D19 D6 D8:D9 D11 D54 D56:D57 D59" xr:uid="{76D9D7B1-5764-4F8C-9D6F-3DF1D9A152DB}">
      <formula1>0</formula1>
      <formula2>999999999999999</formula2>
    </dataValidation>
  </dataValidations>
  <pageMargins left="0.7" right="0.7" top="0.75" bottom="0.75" header="0.3" footer="0.3"/>
  <pageSetup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D1B8-A10A-4C69-ABCD-1354E3E17844}">
  <sheetPr codeName="Sheet19">
    <tabColor rgb="FF0070C0"/>
  </sheetPr>
  <dimension ref="A1:I57"/>
  <sheetViews>
    <sheetView showGridLines="0" view="pageBreakPreview" zoomScale="110" zoomScaleNormal="100" zoomScaleSheetLayoutView="110" workbookViewId="0">
      <selection activeCell="B10" sqref="B10"/>
    </sheetView>
  </sheetViews>
  <sheetFormatPr defaultColWidth="9.140625" defaultRowHeight="12.95"/>
  <cols>
    <col min="1" max="1" width="32.85546875" style="34" customWidth="1"/>
    <col min="2" max="2" width="22" style="34" bestFit="1" customWidth="1"/>
    <col min="3" max="3" width="16.85546875" style="34" customWidth="1"/>
    <col min="4" max="4" width="13.5703125" style="336" customWidth="1"/>
    <col min="5" max="5" width="18.5703125" style="34" customWidth="1"/>
    <col min="6" max="6" width="19" style="34" customWidth="1"/>
    <col min="7" max="7" width="15.85546875" style="34" bestFit="1" customWidth="1"/>
    <col min="8" max="8" width="17.140625" style="34" customWidth="1"/>
    <col min="9" max="9" width="27.140625" style="34" bestFit="1" customWidth="1"/>
    <col min="10" max="10" width="35.28515625" style="34" bestFit="1" customWidth="1"/>
    <col min="11" max="16384" width="9.140625" style="34"/>
  </cols>
  <sheetData>
    <row r="1" spans="1:9">
      <c r="B1" s="317"/>
      <c r="C1" s="317"/>
    </row>
    <row r="2" spans="1:9">
      <c r="A2" s="766" t="s">
        <v>4642</v>
      </c>
      <c r="B2" s="766"/>
      <c r="C2" s="766"/>
      <c r="D2" s="766"/>
      <c r="E2" s="766"/>
      <c r="F2" s="766"/>
      <c r="G2" s="766"/>
      <c r="H2" s="766"/>
      <c r="I2" s="766"/>
    </row>
    <row r="3" spans="1:9" s="524" customFormat="1">
      <c r="A3" s="538"/>
      <c r="B3" s="538"/>
      <c r="C3" s="538"/>
      <c r="D3" s="538"/>
      <c r="E3" s="538"/>
      <c r="F3" s="538"/>
      <c r="G3" s="538"/>
      <c r="H3" s="538"/>
      <c r="I3" s="538"/>
    </row>
    <row r="4" spans="1:9" s="524" customFormat="1">
      <c r="A4" s="538"/>
      <c r="B4" s="538"/>
      <c r="C4" s="538"/>
      <c r="D4" s="538"/>
      <c r="E4" s="538"/>
      <c r="F4" s="538"/>
      <c r="G4" s="538"/>
      <c r="H4" s="538"/>
      <c r="I4" s="538"/>
    </row>
    <row r="5" spans="1:9">
      <c r="D5" s="34"/>
    </row>
    <row r="6" spans="1:9" ht="13.5" thickBot="1">
      <c r="D6" s="34"/>
    </row>
    <row r="7" spans="1:9" ht="13.5" thickBot="1">
      <c r="A7" s="316" t="s">
        <v>4643</v>
      </c>
      <c r="B7" s="576" t="s">
        <v>4644</v>
      </c>
      <c r="C7" s="574" t="s">
        <v>4645</v>
      </c>
      <c r="D7" s="574" t="s">
        <v>4646</v>
      </c>
      <c r="E7" s="574" t="s">
        <v>4647</v>
      </c>
      <c r="F7" s="574" t="s">
        <v>4648</v>
      </c>
      <c r="G7" s="574" t="s">
        <v>4649</v>
      </c>
      <c r="H7" s="575" t="s">
        <v>4650</v>
      </c>
      <c r="I7" s="574" t="s">
        <v>4651</v>
      </c>
    </row>
    <row r="8" spans="1:9">
      <c r="A8" s="242"/>
      <c r="B8" s="46"/>
      <c r="C8" s="46"/>
      <c r="D8" s="611"/>
      <c r="E8" s="381"/>
      <c r="F8" s="536"/>
      <c r="G8" s="46"/>
      <c r="H8" s="573"/>
      <c r="I8" s="46"/>
    </row>
    <row r="9" spans="1:9">
      <c r="A9" s="46"/>
      <c r="B9" s="47"/>
      <c r="C9" s="46"/>
      <c r="D9" s="581"/>
      <c r="E9" s="381"/>
      <c r="F9" s="536"/>
      <c r="G9" s="46"/>
      <c r="H9" s="46"/>
      <c r="I9" s="46"/>
    </row>
    <row r="10" spans="1:9">
      <c r="A10" s="46"/>
      <c r="B10" s="46"/>
      <c r="C10" s="46"/>
      <c r="D10" s="611"/>
      <c r="E10" s="381"/>
      <c r="F10" s="536"/>
      <c r="G10" s="46"/>
      <c r="H10" s="46"/>
      <c r="I10" s="46"/>
    </row>
    <row r="11" spans="1:9">
      <c r="A11" s="46"/>
      <c r="B11" s="46"/>
      <c r="C11" s="46"/>
      <c r="D11" s="611"/>
      <c r="E11" s="381"/>
      <c r="F11" s="536"/>
      <c r="G11" s="46"/>
      <c r="H11" s="46"/>
      <c r="I11" s="46"/>
    </row>
    <row r="12" spans="1:9">
      <c r="A12" s="46"/>
      <c r="B12" s="46"/>
      <c r="C12" s="46"/>
      <c r="D12" s="611"/>
      <c r="E12" s="381"/>
      <c r="F12" s="536"/>
      <c r="G12" s="46"/>
      <c r="H12" s="46"/>
      <c r="I12" s="46"/>
    </row>
    <row r="13" spans="1:9">
      <c r="A13" s="46"/>
      <c r="B13" s="46"/>
      <c r="C13" s="46"/>
      <c r="D13" s="611"/>
      <c r="E13" s="381"/>
      <c r="F13" s="536"/>
      <c r="G13" s="46"/>
      <c r="H13" s="46"/>
      <c r="I13" s="46"/>
    </row>
    <row r="14" spans="1:9">
      <c r="A14" s="46"/>
      <c r="B14" s="46"/>
      <c r="C14" s="46"/>
      <c r="D14" s="611"/>
      <c r="E14" s="381"/>
      <c r="F14" s="536"/>
      <c r="G14" s="46"/>
      <c r="H14" s="46"/>
      <c r="I14" s="46"/>
    </row>
    <row r="15" spans="1:9">
      <c r="A15" s="46"/>
      <c r="B15" s="46"/>
      <c r="C15" s="46"/>
      <c r="D15" s="581"/>
      <c r="E15" s="381"/>
      <c r="F15" s="536"/>
      <c r="G15" s="46"/>
      <c r="H15" s="46"/>
      <c r="I15" s="46"/>
    </row>
    <row r="16" spans="1:9">
      <c r="A16" s="46"/>
      <c r="B16" s="46"/>
      <c r="C16" s="46"/>
      <c r="D16" s="581"/>
      <c r="E16" s="381"/>
      <c r="F16" s="536"/>
      <c r="G16" s="46"/>
      <c r="H16" s="46"/>
      <c r="I16" s="46"/>
    </row>
    <row r="17" spans="1:9" ht="13.5" thickBot="1">
      <c r="A17" s="384"/>
      <c r="B17" s="384"/>
      <c r="C17" s="384"/>
      <c r="D17" s="612"/>
      <c r="E17" s="537"/>
      <c r="F17" s="455"/>
      <c r="G17" s="384"/>
      <c r="H17" s="384"/>
      <c r="I17" s="384"/>
    </row>
    <row r="18" spans="1:9">
      <c r="D18" s="34"/>
    </row>
    <row r="19" spans="1:9" hidden="1">
      <c r="A19" s="34" t="s">
        <v>642</v>
      </c>
      <c r="B19" s="34" t="s">
        <v>720</v>
      </c>
      <c r="D19" s="34"/>
    </row>
    <row r="20" spans="1:9" hidden="1">
      <c r="A20" s="34" t="s">
        <v>4</v>
      </c>
      <c r="B20" s="34" t="s">
        <v>4652</v>
      </c>
      <c r="D20" s="34"/>
    </row>
    <row r="21" spans="1:9">
      <c r="D21" s="34"/>
    </row>
    <row r="22" spans="1:9">
      <c r="D22" s="34"/>
    </row>
    <row r="23" spans="1:9">
      <c r="D23" s="34"/>
    </row>
    <row r="24" spans="1:9">
      <c r="D24" s="34"/>
    </row>
    <row r="25" spans="1:9">
      <c r="D25" s="34"/>
    </row>
    <row r="26" spans="1:9">
      <c r="D26" s="34"/>
    </row>
    <row r="27" spans="1:9">
      <c r="D27" s="34"/>
    </row>
    <row r="28" spans="1:9">
      <c r="D28" s="34"/>
    </row>
    <row r="29" spans="1:9">
      <c r="D29" s="34"/>
    </row>
    <row r="30" spans="1:9">
      <c r="D30" s="34"/>
    </row>
    <row r="31" spans="1:9">
      <c r="D31" s="34"/>
    </row>
    <row r="32" spans="1:9">
      <c r="D32" s="34"/>
    </row>
    <row r="33" spans="4:4">
      <c r="D33" s="34"/>
    </row>
    <row r="34" spans="4:4">
      <c r="D34" s="34"/>
    </row>
    <row r="35" spans="4:4">
      <c r="D35" s="34"/>
    </row>
    <row r="36" spans="4:4">
      <c r="D36" s="34"/>
    </row>
    <row r="37" spans="4:4">
      <c r="D37" s="34"/>
    </row>
    <row r="38" spans="4:4">
      <c r="D38" s="34"/>
    </row>
    <row r="39" spans="4:4">
      <c r="D39" s="34"/>
    </row>
    <row r="40" spans="4:4">
      <c r="D40" s="34"/>
    </row>
    <row r="41" spans="4:4">
      <c r="D41" s="34"/>
    </row>
    <row r="42" spans="4:4">
      <c r="D42" s="34"/>
    </row>
    <row r="43" spans="4:4">
      <c r="D43" s="34"/>
    </row>
    <row r="44" spans="4:4">
      <c r="D44" s="34"/>
    </row>
    <row r="45" spans="4:4">
      <c r="D45" s="34"/>
    </row>
    <row r="46" spans="4:4">
      <c r="D46" s="34"/>
    </row>
    <row r="47" spans="4:4">
      <c r="D47" s="34"/>
    </row>
    <row r="48" spans="4:4">
      <c r="D48" s="34"/>
    </row>
    <row r="49" spans="4:4">
      <c r="D49" s="34"/>
    </row>
    <row r="50" spans="4:4">
      <c r="D50" s="34"/>
    </row>
    <row r="51" spans="4:4">
      <c r="D51" s="34"/>
    </row>
    <row r="52" spans="4:4">
      <c r="D52" s="34"/>
    </row>
    <row r="53" spans="4:4">
      <c r="D53" s="34"/>
    </row>
    <row r="54" spans="4:4">
      <c r="D54" s="34"/>
    </row>
    <row r="55" spans="4:4">
      <c r="D55" s="34"/>
    </row>
    <row r="56" spans="4:4">
      <c r="D56" s="34"/>
    </row>
    <row r="57" spans="4:4">
      <c r="D57" s="34"/>
    </row>
  </sheetData>
  <mergeCells count="1">
    <mergeCell ref="A2:I2"/>
  </mergeCells>
  <conditionalFormatting sqref="A8:I17">
    <cfRule type="expression" dxfId="2" priority="3">
      <formula>AND(LEN(TRIM($A8&amp;$B8&amp;$C8&amp;$D8&amp;$E8&amp;$F8&amp;$G8&amp;$H8&amp;$I8))&gt;0,   OR(LEN(TRIM($A8))=0,     LEN(TRIM($B8))=0,     LEN(TRIM($C8))=0,     LEN(TRIM($D8))=0,     LEN(TRIM($E8))=0,     LEN(TRIM($F8))=0,     AND(TRIM($F8)="Exterior",       OR(LEN(TRIM($G8))=0,         LEN(TRIM($H8))=0,         LEN(TRIM($I8))=0))))</formula>
    </cfRule>
  </conditionalFormatting>
  <conditionalFormatting sqref="B8:B17">
    <cfRule type="expression" dxfId="1" priority="2">
      <formula>OR(ISNUMBER(SEARCH("0",B8)),  ISNUMBER(SEARCH("1",B8)),  ISNUMBER(SEARCH("2",B8)),  ISNUMBER(SEARCH("3",B8)),  ISNUMBER(SEARCH("4",B8)),  ISNUMBER(SEARCH("5",B8)),  ISNUMBER(SEARCH("6",B8)),  ISNUMBER(SEARCH("7",B8)),  ISNUMBER(SEARCH("8",B8)),  ISNUMBER(SEARCH("9",B8)))</formula>
    </cfRule>
  </conditionalFormatting>
  <conditionalFormatting sqref="H8:H17">
    <cfRule type="expression" dxfId="0" priority="1">
      <formula>OR(ISNUMBER(SEARCH("0",H8)),  ISNUMBER(SEARCH("1",H8)),  ISNUMBER(SEARCH("2",H8)),  ISNUMBER(SEARCH("3",H8)),  ISNUMBER(SEARCH("4",H8)),  ISNUMBER(SEARCH("5",H8)),  ISNUMBER(SEARCH("6",H8)),  ISNUMBER(SEARCH("7",H8)),  ISNUMBER(SEARCH("8",H8)),  ISNUMBER(SEARCH("9",H8)))</formula>
    </cfRule>
  </conditionalFormatting>
  <dataValidations count="8">
    <dataValidation type="list" allowBlank="1" showInputMessage="1" showErrorMessage="1" sqref="A8:A17" xr:uid="{0DE075EC-DFC2-4847-AA29-1AD8F557B8B1}">
      <formula1>$A$19:$A$20</formula1>
    </dataValidation>
    <dataValidation type="list" allowBlank="1" showInputMessage="1" showErrorMessage="1" sqref="F8:F17" xr:uid="{08BE6299-A3D0-4738-8F86-C4C88D255D0E}">
      <formula1>$B$19:$B$20</formula1>
    </dataValidation>
    <dataValidation type="whole" allowBlank="1" showInputMessage="1" showErrorMessage="1" error="El campo debe tener 11 digitos numericos" sqref="C8:C17" xr:uid="{9A5C6895-87F1-4611-AE20-93AF5E338BDB}">
      <formula1>10000000000</formula1>
      <formula2>99999999999</formula2>
    </dataValidation>
    <dataValidation type="decimal" allowBlank="1" showInputMessage="1" showErrorMessage="1" error="El campo debe ir de 0 a 100" sqref="D8:D17" xr:uid="{2B0B1BFC-3115-46E0-9E58-ECFC29AF06C3}">
      <formula1>0</formula1>
      <formula2>100</formula2>
    </dataValidation>
    <dataValidation type="decimal" allowBlank="1" showInputMessage="1" showErrorMessage="1" error="El campo debe tener como maximo 9.999.999.999.999,99" sqref="E8:E17" xr:uid="{84DD4AB1-A2BA-4E6B-9FEC-ABAB6F2F72A4}">
      <formula1>0</formula1>
      <formula2>9999999999999</formula2>
    </dataValidation>
    <dataValidation type="textLength" operator="lessThanOrEqual" allowBlank="1" showInputMessage="1" showErrorMessage="1" error="El campo debe tener maximo 20 caracteres" sqref="G8:G17" xr:uid="{BD5836DB-B20B-4B5B-A012-3F4F7E8C120B}">
      <formula1>20</formula1>
    </dataValidation>
    <dataValidation type="textLength" operator="lessThanOrEqual" allowBlank="1" showInputMessage="1" showErrorMessage="1" error="El campo debe tener como maximo 50 caracteres" sqref="B8:B17" xr:uid="{BAEC00E5-62F4-4851-98E6-D626218638F6}">
      <formula1>50</formula1>
    </dataValidation>
    <dataValidation type="textLength" operator="lessThanOrEqual" allowBlank="1" showInputMessage="1" showErrorMessage="1" error="El campo debe tener como maximo 20 caracteres" sqref="H8:H17" xr:uid="{1F92D9BB-AC76-49D7-8914-0CC5F27B9514}">
      <formula1>20</formula1>
    </dataValidation>
  </dataValidations>
  <pageMargins left="0.7" right="0.7" top="0.75" bottom="0.75" header="0.3" footer="0.3"/>
  <pageSetup scale="36" orientation="portrait" r:id="rId1"/>
  <colBreaks count="1" manualBreakCount="1">
    <brk id="10" max="82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231F32-1E5E-487A-9357-B86973D412FE}">
          <x14:formula1>
            <xm:f>SIAP!$C$3:$C$261</xm:f>
          </x14:formula1>
          <xm:sqref>I8:I17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B027-0456-4730-8CE0-BAAADBC85B15}">
  <sheetPr codeName="Sheet20">
    <tabColor rgb="FF0070C0"/>
  </sheetPr>
  <dimension ref="B1:M79"/>
  <sheetViews>
    <sheetView showGridLines="0" view="pageBreakPreview" zoomScale="110" zoomScaleNormal="100" zoomScaleSheetLayoutView="110" workbookViewId="0">
      <selection activeCell="F11" sqref="F11"/>
    </sheetView>
  </sheetViews>
  <sheetFormatPr defaultColWidth="9.140625" defaultRowHeight="12.95"/>
  <cols>
    <col min="1" max="1" width="3.7109375" style="34" customWidth="1"/>
    <col min="2" max="2" width="2.85546875" style="34" customWidth="1"/>
    <col min="3" max="3" width="20.42578125" style="34" bestFit="1" customWidth="1"/>
    <col min="4" max="4" width="8.5703125" style="336" customWidth="1"/>
    <col min="5" max="5" width="11.7109375" style="34" customWidth="1"/>
    <col min="6" max="6" width="8.5703125" style="34" customWidth="1"/>
    <col min="7" max="7" width="3.28515625" style="34" customWidth="1"/>
    <col min="8" max="8" width="15.42578125" style="34" bestFit="1" customWidth="1"/>
    <col min="9" max="16384" width="9.140625" style="34"/>
  </cols>
  <sheetData>
    <row r="1" spans="2:13">
      <c r="B1" s="317"/>
      <c r="C1" s="317"/>
    </row>
    <row r="2" spans="2:13">
      <c r="C2" s="766" t="s">
        <v>4642</v>
      </c>
      <c r="D2" s="766"/>
      <c r="E2" s="766"/>
      <c r="F2" s="766"/>
      <c r="G2" s="766"/>
      <c r="H2" s="766"/>
      <c r="I2" s="766"/>
      <c r="J2" s="766"/>
    </row>
    <row r="3" spans="2:13" hidden="1">
      <c r="H3" s="735"/>
      <c r="I3" s="735"/>
      <c r="M3" s="34" t="s">
        <v>4653</v>
      </c>
    </row>
    <row r="4" spans="2:13" hidden="1">
      <c r="D4" s="34"/>
      <c r="M4" s="34" t="s">
        <v>4654</v>
      </c>
    </row>
    <row r="5" spans="2:13" hidden="1">
      <c r="D5" s="34"/>
      <c r="M5" s="34" t="s">
        <v>4655</v>
      </c>
    </row>
    <row r="6" spans="2:13" hidden="1">
      <c r="D6" s="34"/>
      <c r="M6" s="34" t="s">
        <v>4656</v>
      </c>
    </row>
    <row r="7" spans="2:13" hidden="1">
      <c r="D7" s="34"/>
      <c r="M7" s="34" t="s">
        <v>4657</v>
      </c>
    </row>
    <row r="8" spans="2:13">
      <c r="D8" s="34"/>
    </row>
    <row r="9" spans="2:13" ht="13.5" thickBot="1">
      <c r="C9" s="767" t="s">
        <v>4658</v>
      </c>
      <c r="D9" s="768"/>
    </row>
    <row r="10" spans="2:13">
      <c r="C10" s="755"/>
      <c r="D10" s="756"/>
    </row>
    <row r="11" spans="2:13">
      <c r="C11" s="703"/>
      <c r="D11" s="704"/>
    </row>
    <row r="12" spans="2:13">
      <c r="C12" s="703"/>
      <c r="D12" s="704"/>
    </row>
    <row r="13" spans="2:13">
      <c r="C13" s="703"/>
      <c r="D13" s="704"/>
    </row>
    <row r="14" spans="2:13" ht="13.5" thickBot="1">
      <c r="C14" s="692"/>
      <c r="D14" s="693"/>
    </row>
    <row r="15" spans="2:13">
      <c r="D15" s="34"/>
    </row>
    <row r="16" spans="2:13">
      <c r="D16" s="34"/>
    </row>
    <row r="17" spans="4:4">
      <c r="D17" s="34"/>
    </row>
    <row r="18" spans="4:4">
      <c r="D18" s="34"/>
    </row>
    <row r="19" spans="4:4">
      <c r="D19" s="34"/>
    </row>
    <row r="20" spans="4:4">
      <c r="D20" s="34"/>
    </row>
    <row r="21" spans="4:4">
      <c r="D21" s="34"/>
    </row>
    <row r="22" spans="4:4">
      <c r="D22" s="34"/>
    </row>
    <row r="23" spans="4:4">
      <c r="D23" s="34"/>
    </row>
    <row r="24" spans="4:4">
      <c r="D24" s="34"/>
    </row>
    <row r="25" spans="4:4">
      <c r="D25" s="34"/>
    </row>
    <row r="26" spans="4:4">
      <c r="D26" s="34"/>
    </row>
    <row r="27" spans="4:4">
      <c r="D27" s="34"/>
    </row>
    <row r="28" spans="4:4">
      <c r="D28" s="34"/>
    </row>
    <row r="29" spans="4:4">
      <c r="D29" s="34"/>
    </row>
    <row r="30" spans="4:4">
      <c r="D30" s="34"/>
    </row>
    <row r="31" spans="4:4">
      <c r="D31" s="34"/>
    </row>
    <row r="32" spans="4:4">
      <c r="D32" s="34"/>
    </row>
    <row r="33" spans="4:4">
      <c r="D33" s="34"/>
    </row>
    <row r="34" spans="4:4">
      <c r="D34" s="34"/>
    </row>
    <row r="35" spans="4:4">
      <c r="D35" s="34"/>
    </row>
    <row r="36" spans="4:4">
      <c r="D36" s="34"/>
    </row>
    <row r="37" spans="4:4">
      <c r="D37" s="34"/>
    </row>
    <row r="38" spans="4:4">
      <c r="D38" s="34"/>
    </row>
    <row r="39" spans="4:4">
      <c r="D39" s="34"/>
    </row>
    <row r="40" spans="4:4">
      <c r="D40" s="34"/>
    </row>
    <row r="41" spans="4:4">
      <c r="D41" s="34"/>
    </row>
    <row r="42" spans="4:4">
      <c r="D42" s="34"/>
    </row>
    <row r="43" spans="4:4">
      <c r="D43" s="34"/>
    </row>
    <row r="44" spans="4:4">
      <c r="D44" s="34"/>
    </row>
    <row r="45" spans="4:4">
      <c r="D45" s="34"/>
    </row>
    <row r="46" spans="4:4">
      <c r="D46" s="34"/>
    </row>
    <row r="47" spans="4:4">
      <c r="D47" s="34"/>
    </row>
    <row r="48" spans="4:4">
      <c r="D48" s="34"/>
    </row>
    <row r="49" spans="4:4">
      <c r="D49" s="34"/>
    </row>
    <row r="50" spans="4:4">
      <c r="D50" s="34"/>
    </row>
    <row r="51" spans="4:4">
      <c r="D51" s="34"/>
    </row>
    <row r="52" spans="4:4">
      <c r="D52" s="34"/>
    </row>
    <row r="53" spans="4:4">
      <c r="D53" s="34"/>
    </row>
    <row r="54" spans="4:4">
      <c r="D54" s="34"/>
    </row>
    <row r="55" spans="4:4">
      <c r="D55" s="34"/>
    </row>
    <row r="56" spans="4:4">
      <c r="D56" s="34"/>
    </row>
    <row r="57" spans="4:4">
      <c r="D57" s="34"/>
    </row>
    <row r="58" spans="4:4">
      <c r="D58" s="34"/>
    </row>
    <row r="59" spans="4:4">
      <c r="D59" s="34"/>
    </row>
    <row r="60" spans="4:4">
      <c r="D60" s="34"/>
    </row>
    <row r="61" spans="4:4">
      <c r="D61" s="34"/>
    </row>
    <row r="62" spans="4:4">
      <c r="D62" s="34"/>
    </row>
    <row r="63" spans="4:4">
      <c r="D63" s="34"/>
    </row>
    <row r="64" spans="4:4">
      <c r="D64" s="34"/>
    </row>
    <row r="65" spans="4:4">
      <c r="D65" s="34"/>
    </row>
    <row r="66" spans="4:4">
      <c r="D66" s="34"/>
    </row>
    <row r="67" spans="4:4">
      <c r="D67" s="34"/>
    </row>
    <row r="68" spans="4:4">
      <c r="D68" s="34"/>
    </row>
    <row r="69" spans="4:4">
      <c r="D69" s="34"/>
    </row>
    <row r="70" spans="4:4">
      <c r="D70" s="34"/>
    </row>
    <row r="71" spans="4:4">
      <c r="D71" s="34"/>
    </row>
    <row r="72" spans="4:4">
      <c r="D72" s="34"/>
    </row>
    <row r="73" spans="4:4">
      <c r="D73" s="34"/>
    </row>
    <row r="74" spans="4:4">
      <c r="D74" s="34"/>
    </row>
    <row r="75" spans="4:4">
      <c r="D75" s="34"/>
    </row>
    <row r="76" spans="4:4">
      <c r="D76" s="34"/>
    </row>
    <row r="77" spans="4:4">
      <c r="D77" s="34"/>
    </row>
    <row r="78" spans="4:4">
      <c r="D78" s="34"/>
    </row>
    <row r="79" spans="4:4">
      <c r="D79" s="34"/>
    </row>
  </sheetData>
  <mergeCells count="8">
    <mergeCell ref="C2:J2"/>
    <mergeCell ref="C13:D13"/>
    <mergeCell ref="C14:D14"/>
    <mergeCell ref="C10:D10"/>
    <mergeCell ref="C11:D11"/>
    <mergeCell ref="C12:D12"/>
    <mergeCell ref="H3:I3"/>
    <mergeCell ref="C9:D9"/>
  </mergeCells>
  <dataValidations count="1">
    <dataValidation type="list" allowBlank="1" showInputMessage="1" showErrorMessage="1" sqref="C10:D14" xr:uid="{5713B0F3-EB60-422E-BF34-C18CAB337197}">
      <formula1>$M$3:$M$7</formula1>
    </dataValidation>
  </dataValidations>
  <pageMargins left="0.7" right="0.7" top="0.75" bottom="0.75" header="0.3" footer="0.3"/>
  <pageSetup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03BF-2532-4862-AF0F-B9FA073B9976}">
  <sheetPr codeName="Sheet21">
    <tabColor rgb="FF0070C0"/>
  </sheetPr>
  <dimension ref="A1:R4"/>
  <sheetViews>
    <sheetView showGridLines="0" workbookViewId="0">
      <pane ySplit="3" topLeftCell="A4" activePane="bottomLeft" state="frozen"/>
      <selection pane="bottomLeft" activeCell="C7" sqref="C7"/>
      <selection activeCell="D2" sqref="D2"/>
    </sheetView>
  </sheetViews>
  <sheetFormatPr defaultColWidth="9.140625" defaultRowHeight="12.6"/>
  <cols>
    <col min="1" max="1" width="12.5703125" style="320" customWidth="1"/>
    <col min="2" max="2" width="8.85546875" style="320"/>
    <col min="3" max="3" width="18.85546875" style="320" bestFit="1" customWidth="1"/>
    <col min="4" max="4" width="32.140625" style="320" bestFit="1" customWidth="1"/>
    <col min="5" max="5" width="8.85546875" style="320"/>
    <col min="6" max="6" width="14.5703125" style="320" customWidth="1"/>
    <col min="7" max="7" width="8.85546875" style="320"/>
    <col min="8" max="8" width="17.42578125" style="320" customWidth="1"/>
    <col min="9" max="9" width="8.85546875" style="320"/>
    <col min="10" max="10" width="22.85546875" style="320" customWidth="1"/>
    <col min="11" max="11" width="20.140625" style="320" bestFit="1" customWidth="1"/>
    <col min="12" max="12" width="16.42578125" style="320" customWidth="1"/>
    <col min="13" max="13" width="8.85546875" style="320"/>
    <col min="14" max="14" width="31.140625" style="461" bestFit="1" customWidth="1"/>
    <col min="15" max="15" width="20.140625" style="320" bestFit="1" customWidth="1"/>
    <col min="16" max="16" width="35.42578125" style="320" bestFit="1" customWidth="1"/>
    <col min="17" max="17" width="6.140625" style="320" bestFit="1" customWidth="1"/>
    <col min="18" max="18" width="31.140625" style="463" bestFit="1" customWidth="1"/>
    <col min="19" max="16384" width="9.140625" style="277"/>
  </cols>
  <sheetData>
    <row r="1" spans="1:18" ht="12.95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434"/>
      <c r="Q1" s="277"/>
      <c r="R1" s="277"/>
    </row>
    <row r="2" spans="1:18" ht="12.95">
      <c r="A2" s="770" t="s">
        <v>4659</v>
      </c>
      <c r="B2" s="772" t="s">
        <v>4660</v>
      </c>
      <c r="C2" s="773" t="s">
        <v>4661</v>
      </c>
      <c r="D2" s="773"/>
      <c r="E2" s="773"/>
      <c r="F2" s="773"/>
      <c r="G2" s="774" t="s">
        <v>4662</v>
      </c>
      <c r="H2" s="774"/>
      <c r="I2" s="774"/>
      <c r="J2" s="774"/>
      <c r="K2" s="773" t="s">
        <v>4663</v>
      </c>
      <c r="L2" s="773"/>
      <c r="M2" s="773"/>
      <c r="N2" s="773"/>
      <c r="O2" s="769" t="s">
        <v>4664</v>
      </c>
      <c r="P2" s="769"/>
      <c r="Q2" s="769"/>
      <c r="R2" s="769"/>
    </row>
    <row r="3" spans="1:18" ht="12.95">
      <c r="A3" s="771"/>
      <c r="B3" s="772"/>
      <c r="C3" s="322" t="s">
        <v>4665</v>
      </c>
      <c r="D3" s="322" t="s">
        <v>4666</v>
      </c>
      <c r="E3" s="322" t="s">
        <v>4667</v>
      </c>
      <c r="F3" s="322" t="s">
        <v>4668</v>
      </c>
      <c r="G3" s="306" t="s">
        <v>4665</v>
      </c>
      <c r="H3" s="306" t="s">
        <v>4666</v>
      </c>
      <c r="I3" s="306" t="s">
        <v>4667</v>
      </c>
      <c r="J3" s="306" t="s">
        <v>4668</v>
      </c>
      <c r="K3" s="322" t="s">
        <v>4665</v>
      </c>
      <c r="L3" s="322" t="s">
        <v>4666</v>
      </c>
      <c r="M3" s="322" t="s">
        <v>4667</v>
      </c>
      <c r="N3" s="459" t="s">
        <v>4668</v>
      </c>
      <c r="O3" s="464" t="s">
        <v>4665</v>
      </c>
      <c r="P3" s="464" t="s">
        <v>4666</v>
      </c>
      <c r="Q3" s="464" t="s">
        <v>4667</v>
      </c>
      <c r="R3" s="462" t="s">
        <v>4668</v>
      </c>
    </row>
    <row r="4" spans="1:18">
      <c r="K4" s="321">
        <f>+C4-G4</f>
        <v>0</v>
      </c>
      <c r="L4" s="321">
        <f>+D4-H4</f>
        <v>0</v>
      </c>
      <c r="M4" s="321">
        <f>+E4-I4</f>
        <v>0</v>
      </c>
      <c r="N4" s="460">
        <f>+F4-J4</f>
        <v>0</v>
      </c>
    </row>
  </sheetData>
  <mergeCells count="6">
    <mergeCell ref="O2:R2"/>
    <mergeCell ref="A2:A3"/>
    <mergeCell ref="B2:B3"/>
    <mergeCell ref="C2:F2"/>
    <mergeCell ref="G2:J2"/>
    <mergeCell ref="K2:N2"/>
  </mergeCells>
  <dataValidations count="2">
    <dataValidation type="whole" allowBlank="1" showInputMessage="1" showErrorMessage="1" error="El periodo debe ir de 1950 a 2099" sqref="A4:A1048576" xr:uid="{08025E02-4D72-4A4B-888D-E7BDD74A228D}">
      <formula1>1950</formula1>
      <formula2>2099</formula2>
    </dataValidation>
    <dataValidation type="decimal" allowBlank="1" showInputMessage="1" showErrorMessage="1" error="El campo debe tener como maximo 9.999.999.999.999,99" sqref="C4:R1048576 R1:R2 O2:Q2" xr:uid="{5B8CE4A2-A794-49E5-8CFD-C0CC8396EFCB}">
      <formula1>0</formula1>
      <formula2>99999999999999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0B87E2-19E8-4B51-B1B6-300FA6B93A53}">
          <x14:formula1>
            <xm:f>SIAP!$E$108:$E$109</xm:f>
          </x14:formula1>
          <xm:sqref>B4:B1048576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740D-74EC-4920-9408-FCF6831E8942}">
  <sheetPr codeName="Sheet22">
    <tabColor rgb="FF0070C0"/>
  </sheetPr>
  <dimension ref="A1:J3"/>
  <sheetViews>
    <sheetView showGridLines="0" workbookViewId="0">
      <selection activeCell="A5" sqref="A5"/>
    </sheetView>
  </sheetViews>
  <sheetFormatPr defaultColWidth="9.140625" defaultRowHeight="12.6"/>
  <cols>
    <col min="1" max="1" width="12.5703125" style="320" customWidth="1"/>
    <col min="2" max="2" width="20.140625" style="320" bestFit="1" customWidth="1"/>
    <col min="3" max="3" width="8.85546875" style="320"/>
    <col min="4" max="4" width="31.140625" style="320" bestFit="1" customWidth="1"/>
    <col min="5" max="5" width="9.140625" style="320" customWidth="1"/>
    <col min="6" max="6" width="8.85546875" style="320"/>
    <col min="7" max="7" width="31.140625" style="320" bestFit="1" customWidth="1"/>
    <col min="8" max="8" width="20.140625" style="320" bestFit="1" customWidth="1"/>
    <col min="9" max="9" width="8.85546875" style="320"/>
    <col min="10" max="10" width="31.140625" style="320" bestFit="1" customWidth="1"/>
    <col min="11" max="16384" width="9.140625" style="277"/>
  </cols>
  <sheetData>
    <row r="1" spans="1:10">
      <c r="A1" s="277"/>
      <c r="B1" s="277"/>
      <c r="C1" s="277"/>
      <c r="D1" s="277"/>
      <c r="E1" s="277"/>
      <c r="F1" s="277"/>
      <c r="G1" s="277"/>
      <c r="H1" s="277"/>
      <c r="I1" s="277"/>
      <c r="J1" s="277"/>
    </row>
    <row r="2" spans="1:10" ht="12.95">
      <c r="A2" s="770" t="s">
        <v>4659</v>
      </c>
      <c r="B2" s="773" t="s">
        <v>4669</v>
      </c>
      <c r="C2" s="773"/>
      <c r="D2" s="773"/>
      <c r="E2" s="774" t="s">
        <v>4662</v>
      </c>
      <c r="F2" s="774"/>
      <c r="G2" s="774"/>
      <c r="H2" s="773" t="s">
        <v>4663</v>
      </c>
      <c r="I2" s="773"/>
      <c r="J2" s="773"/>
    </row>
    <row r="3" spans="1:10" ht="12.95">
      <c r="A3" s="771"/>
      <c r="B3" s="322" t="s">
        <v>4665</v>
      </c>
      <c r="C3" s="322" t="s">
        <v>4667</v>
      </c>
      <c r="D3" s="322" t="s">
        <v>4668</v>
      </c>
      <c r="E3" s="306" t="s">
        <v>4665</v>
      </c>
      <c r="F3" s="306" t="s">
        <v>4667</v>
      </c>
      <c r="G3" s="306" t="s">
        <v>4668</v>
      </c>
      <c r="H3" s="322" t="s">
        <v>4665</v>
      </c>
      <c r="I3" s="322" t="s">
        <v>4667</v>
      </c>
      <c r="J3" s="322" t="s">
        <v>4668</v>
      </c>
    </row>
  </sheetData>
  <mergeCells count="4">
    <mergeCell ref="B2:D2"/>
    <mergeCell ref="E2:G2"/>
    <mergeCell ref="H2:J2"/>
    <mergeCell ref="A2:A3"/>
  </mergeCells>
  <dataValidations count="2">
    <dataValidation type="decimal" allowBlank="1" showInputMessage="1" showErrorMessage="1" error="El campo debe tener como maximo 9.999.999.999.999,99" sqref="F1 I1 B4:J1048576" xr:uid="{2D5BDBEF-61E4-4194-B63C-04B0BB37177B}">
      <formula1>0</formula1>
      <formula2>99999999999999</formula2>
    </dataValidation>
    <dataValidation type="whole" allowBlank="1" showInputMessage="1" showErrorMessage="1" error="El periodo debe ir de 1950 a 2099" sqref="A4:A1048576" xr:uid="{9D573AF1-C1A2-4B21-B1BB-42CAAA5F1A4D}">
      <formula1>1950</formula1>
      <formula2>2099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05265</dc:creator>
  <cp:keywords/>
  <dc:description/>
  <cp:lastModifiedBy>Patpatian, Juan</cp:lastModifiedBy>
  <cp:revision/>
  <dcterms:created xsi:type="dcterms:W3CDTF">2006-04-20T14:00:56Z</dcterms:created>
  <dcterms:modified xsi:type="dcterms:W3CDTF">2026-10-13T20:11:01Z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2022-03-28T19:42:25Z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e2ae729e-ddf5-4775-97fb-2d71235353c3</vt:lpwstr>
  </property>
  <property fmtid="{D5CDD505-2E9C-101B-9397-08002B2CF9AE}" pid="8" name="MSIP_Label_ea60d57e-af5b-4752-ac57-3e4f28ca11dc_ContentBits">
    <vt:lpwstr>0</vt:lpwstr>
  </property>
</Properties>
</file>