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icio" sheetId="1" state="visible" r:id="rId3"/>
    <sheet name="Inputs" sheetId="2" state="visible" r:id="rId4"/>
    <sheet name="CTF" sheetId="3" state="visible" r:id="rId5"/>
    <sheet name="Resumen" sheetId="4" state="visible" r:id="rId6"/>
    <sheet name="PG" sheetId="5" state="visible" r:id="rId7"/>
    <sheet name="IPC" sheetId="6" state="visible" r:id="rId8"/>
  </sheets>
  <definedNames>
    <definedName function="false" hidden="false" name="ANIO_ACTUAL" vbProcedure="false">Inicio!$C$7</definedName>
    <definedName function="false" hidden="false" name="ANIO_LY" vbProcedure="false">Inicio!$C$12</definedName>
    <definedName function="false" hidden="false" name="IPC_CIERRE" vbProcedure="false">Inicio!$C$10</definedName>
    <definedName function="false" hidden="false" name="IPC_CIERRE_LY" vbProcedure="false">Inicio!$C$13</definedName>
    <definedName function="false" hidden="false" name="MES_CIERRE" vbProcedure="false">Inicio!$C$8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<sst xmlns="http://schemas.openxmlformats.org/spreadsheetml/2006/main" count="219" uniqueCount="211">
  <si>
    <t xml:space="preserve">CTF — Padrón Histórico de Bienes de Uso</t>
  </si>
  <si>
    <t xml:space="preserve">Impuesto a las Ganancias — Matching por código de Activo Fijo</t>
  </si>
  <si>
    <t xml:space="preserve">Configuración del ejercicio</t>
  </si>
  <si>
    <t xml:space="preserve">Año del ejercicio fiscal:</t>
  </si>
  <si>
    <t xml:space="preserve">Editá según el año a calcular</t>
  </si>
  <si>
    <t xml:space="preserve">Mes de cierre (1-12):</t>
  </si>
  <si>
    <t xml:space="preserve">Default: 12 (diciembre)</t>
  </si>
  <si>
    <t xml:space="preserve">Fecha de cierre:</t>
  </si>
  <si>
    <t xml:space="preserve">Derivado de año + mes</t>
  </si>
  <si>
    <t xml:space="preserve">IPC de cierre:</t>
  </si>
  <si>
    <t xml:space="preserve">IPC del mes de cierre del ejercicio</t>
  </si>
  <si>
    <t xml:space="preserve">Año LY:</t>
  </si>
  <si>
    <t xml:space="preserve">Derivado</t>
  </si>
  <si>
    <t xml:space="preserve">IPC de cierre LY:</t>
  </si>
  <si>
    <t xml:space="preserve">Mismo mes, año anterior</t>
  </si>
  <si>
    <t xml:space="preserve">Flujo de trabajo</t>
  </si>
  <si>
    <t xml:space="preserve">1. Hoja IPC: pegá el último índice cuando salga. Todo se ajusta automáticamente.</t>
  </si>
  <si>
    <t xml:space="preserve">2. Hoja Inputs: pegá los movimientos del año del cliente (4 columnas):</t>
  </si>
  <si>
    <t xml:space="preserve">      A: Activo Fijo  |  B: Fecha Adq  |  C: VU  |  D: VO (positivo = alta, negativo = baja)</t>
  </si>
  <si>
    <t xml:space="preserve">3. Apretá el botón CALCULAR. La macro va a:</t>
  </si>
  <si>
    <t xml:space="preserve">      • Buscar cada código de Activo Fijo en la hoja CTF</t>
  </si>
  <si>
    <t xml:space="preserve">      • Si EXISTE: sumar a la columna ALTA (si VO&gt;0) o BAJA (si VO&lt;0)</t>
  </si>
  <si>
    <t xml:space="preserve">      • Si NO EXISTE: agregar línea nueva al padrón</t>
  </si>
  <si>
    <t xml:space="preserve">4. Mirá la hoja Resumen para los totales y la hoja CTF para el detalle.</t>
  </si>
  <si>
    <t xml:space="preserve">🟡 Amarillo: inputs del cliente</t>
  </si>
  <si>
    <t xml:space="preserve">🟢 Verde: indicadores clave</t>
  </si>
  <si>
    <t xml:space="preserve">🟠 Naranja: comparación año anterior</t>
  </si>
  <si>
    <t xml:space="preserve">🔵 Azul: cálculos automáticos</t>
  </si>
  <si>
    <t xml:space="preserve">📋 INPUTS DEL CLIENTE — Pegá los movimientos del año (altas con VO+, bajas con VO-)</t>
  </si>
  <si>
    <t xml:space="preserve">⬇️ Apretá CALCULAR (botón VBA — ver README)</t>
  </si>
  <si>
    <t xml:space="preserve">Activo Fijo</t>
  </si>
  <si>
    <t xml:space="preserve">Fecha Adquisición</t>
  </si>
  <si>
    <t xml:space="preserve">VU (años)</t>
  </si>
  <si>
    <t xml:space="preserve">VO (con signo)</t>
  </si>
  <si>
    <t xml:space="preserve">ℹ️ Reglas:</t>
  </si>
  <si>
    <t xml:space="preserve">• VO positivo = ALTA</t>
  </si>
  <si>
    <t xml:space="preserve">• VO negativo = BAJA</t>
  </si>
  <si>
    <t xml:space="preserve">• Activo Fijo existente → suma a su línea</t>
  </si>
  <si>
    <t xml:space="preserve">• Activo Fijo nuevo → agrega línea al CTF</t>
  </si>
  <si>
    <t xml:space="preserve">• Baja de activo inexistente → ERROR</t>
  </si>
  <si>
    <t xml:space="preserve">🗂️ PADRÓN HISTÓRICO — Actualizado por el botón CALCULAR</t>
  </si>
  <si>
    <t xml:space="preserve">MOVIMIENTOS DEL AÑO</t>
  </si>
  <si>
    <t xml:space="preserve">CÁLCULOS HISTÓRICOS</t>
  </si>
  <si>
    <t xml:space="preserve">AJUSTE POR INFLACIÓN (AxI)</t>
  </si>
  <si>
    <t xml:space="preserve">Identificador</t>
  </si>
  <si>
    <t xml:space="preserve">Datos del bien</t>
  </si>
  <si>
    <t xml:space="preserve">Movimientos año</t>
  </si>
  <si>
    <t xml:space="preserve">VO al cierre</t>
  </si>
  <si>
    <t xml:space="preserve">Amortizaciones histórico</t>
  </si>
  <si>
    <t xml:space="preserve">Valor Residual</t>
  </si>
  <si>
    <t xml:space="preserve">IPC + Coef</t>
  </si>
  <si>
    <t xml:space="preserve">AxI</t>
  </si>
  <si>
    <t xml:space="preserve">Estado</t>
  </si>
  <si>
    <t xml:space="preserve">Fecha Adq</t>
  </si>
  <si>
    <t xml:space="preserve">VU</t>
  </si>
  <si>
    <t xml:space="preserve">Valor Origen</t>
  </si>
  <si>
    <t xml:space="preserve">ALTA</t>
  </si>
  <si>
    <t xml:space="preserve">BAJA</t>
  </si>
  <si>
    <t xml:space="preserve">AA al inicio</t>
  </si>
  <si>
    <t xml:space="preserve">AE — Amort Ej.</t>
  </si>
  <si>
    <t xml:space="preserve">AB — Amort Baja</t>
  </si>
  <si>
    <t xml:space="preserve">AA al cierre</t>
  </si>
  <si>
    <t xml:space="preserve">VR al cierre</t>
  </si>
  <si>
    <t xml:space="preserve">IPC Alta</t>
  </si>
  <si>
    <t xml:space="preserve">IPC Cierre</t>
  </si>
  <si>
    <t xml:space="preserve">Coeficiente</t>
  </si>
  <si>
    <t xml:space="preserve">VO al cierre AxI</t>
  </si>
  <si>
    <t xml:space="preserve">AA cierre AxI</t>
  </si>
  <si>
    <t xml:space="preserve">AE AxI</t>
  </si>
  <si>
    <t xml:space="preserve">VR AxI</t>
  </si>
  <si>
    <t xml:space="preserve">Resumen — CTF Histórico</t>
  </si>
  <si>
    <t xml:space="preserve">Año actual:</t>
  </si>
  <si>
    <t xml:space="preserve">Padrón</t>
  </si>
  <si>
    <t xml:space="preserve">Cantidad</t>
  </si>
  <si>
    <t xml:space="preserve">Total de bienes en el padrón</t>
  </si>
  <si>
    <t xml:space="preserve">Bienes con ALTA este año</t>
  </si>
  <si>
    <t xml:space="preserve">Bienes con BAJA este año</t>
  </si>
  <si>
    <t xml:space="preserve">Bienes nuevos del año actual</t>
  </si>
  <si>
    <t xml:space="preserve">Bienes que agotaron VU</t>
  </si>
  <si>
    <t xml:space="preserve">Bienes en último año de VU</t>
  </si>
  <si>
    <t xml:space="preserve">Bienes en amortización</t>
  </si>
  <si>
    <t xml:space="preserve">Concepto</t>
  </si>
  <si>
    <t xml:space="preserve">Histórico</t>
  </si>
  <si>
    <t xml:space="preserve">Ajustado x Inflación</t>
  </si>
  <si>
    <t xml:space="preserve">Valor de Origen al cierre</t>
  </si>
  <si>
    <t xml:space="preserve">Altas del año</t>
  </si>
  <si>
    <t xml:space="preserve">Bajas del año</t>
  </si>
  <si>
    <t xml:space="preserve">AA al inicio del ejercicio</t>
  </si>
  <si>
    <t xml:space="preserve">AE — Amort. del Ejercicio</t>
  </si>
  <si>
    <t xml:space="preserve">AB — Amort. de Bajas</t>
  </si>
  <si>
    <t xml:space="preserve">AA al cierre del ejercicio</t>
  </si>
  <si>
    <t xml:space="preserve">Prueba Global — Cuadratura de Amortización</t>
  </si>
  <si>
    <t xml:space="preserve">Verifica que la Amort. del Ejercicio cuadra desde sus componentes (Amort LY + altas − bajas − agotados LY)</t>
  </si>
  <si>
    <t xml:space="preserve">Ejercicio:</t>
  </si>
  <si>
    <t xml:space="preserve">(+) Amort. LY de bienes vivos en LY</t>
  </si>
  <si>
    <t xml:space="preserve">(+) Amort. ALTAS del año</t>
  </si>
  <si>
    <t xml:space="preserve">(−) Amort. BAJAS del año</t>
  </si>
  <si>
    <t xml:space="preserve">(−) Amort. Bs. que agotaron VU en LY</t>
  </si>
  <si>
    <t xml:space="preserve">Amort. según PG (suma)</t>
  </si>
  <si>
    <t xml:space="preserve">Amort. según CTF (Σ directo)</t>
  </si>
  <si>
    <t xml:space="preserve">Control (PG − CTF, debe ser 0)</t>
  </si>
  <si>
    <t xml:space="preserve">Cómo leer esta prueba:</t>
  </si>
  <si>
    <t xml:space="preserve">• La Amort. del año debe poder reconstruirse desde sus componentes: LY + altas − bajas − agotados LY.</t>
  </si>
  <si>
    <t xml:space="preserve">• Si Control = 0, el CTF está cuadrado: las amortizaciones se computan correctamente.</t>
  </si>
  <si>
    <t xml:space="preserve">• Si Control ≠ 0, hay un movimiento sin reflejar (o un error en VU, fechas, o saldos AA inicio).</t>
  </si>
  <si>
    <t xml:space="preserve">• Bienes pre-2018: no actualizan por inflación (coef = 1), aportan igual al histórico y al ajustado.</t>
  </si>
  <si>
    <t xml:space="preserve">• La PG ajustada incluye el AxI (diferencia ajustado vs histórico) embebido en cada componente.</t>
  </si>
  <si>
    <t xml:space="preserve">Mes-Año</t>
  </si>
  <si>
    <t xml:space="preserve">Fecha</t>
  </si>
  <si>
    <t xml:space="preserve">Índice IPC</t>
  </si>
  <si>
    <t xml:space="preserve">12-2017</t>
  </si>
  <si>
    <t xml:space="preserve">1-2018</t>
  </si>
  <si>
    <t xml:space="preserve">2-2018</t>
  </si>
  <si>
    <t xml:space="preserve">3-2018</t>
  </si>
  <si>
    <t xml:space="preserve">4-2018</t>
  </si>
  <si>
    <t xml:space="preserve">5-2018</t>
  </si>
  <si>
    <t xml:space="preserve">6-2018</t>
  </si>
  <si>
    <t xml:space="preserve">7-2018</t>
  </si>
  <si>
    <t xml:space="preserve">8-2018</t>
  </si>
  <si>
    <t xml:space="preserve">9-2018</t>
  </si>
  <si>
    <t xml:space="preserve">10-2018</t>
  </si>
  <si>
    <t xml:space="preserve">11-2018</t>
  </si>
  <si>
    <t xml:space="preserve">12-2018</t>
  </si>
  <si>
    <t xml:space="preserve">1-2019</t>
  </si>
  <si>
    <t xml:space="preserve">2-2019</t>
  </si>
  <si>
    <t xml:space="preserve">3-2019</t>
  </si>
  <si>
    <t xml:space="preserve">4-2019</t>
  </si>
  <si>
    <t xml:space="preserve">5-2019</t>
  </si>
  <si>
    <t xml:space="preserve">6-2019</t>
  </si>
  <si>
    <t xml:space="preserve">7-2019</t>
  </si>
  <si>
    <t xml:space="preserve">8-2019</t>
  </si>
  <si>
    <t xml:space="preserve">9-2019</t>
  </si>
  <si>
    <t xml:space="preserve">10-2019</t>
  </si>
  <si>
    <t xml:space="preserve">11-2019</t>
  </si>
  <si>
    <t xml:space="preserve">12-2019</t>
  </si>
  <si>
    <t xml:space="preserve">1-2020</t>
  </si>
  <si>
    <t xml:space="preserve">2-2020</t>
  </si>
  <si>
    <t xml:space="preserve">3-2020</t>
  </si>
  <si>
    <t xml:space="preserve">4-2020</t>
  </si>
  <si>
    <t xml:space="preserve">5-2020</t>
  </si>
  <si>
    <t xml:space="preserve">6-2020</t>
  </si>
  <si>
    <t xml:space="preserve">7-2020</t>
  </si>
  <si>
    <t xml:space="preserve">8-2020</t>
  </si>
  <si>
    <t xml:space="preserve">9-2020</t>
  </si>
  <si>
    <t xml:space="preserve">10-2020</t>
  </si>
  <si>
    <t xml:space="preserve">11-2020</t>
  </si>
  <si>
    <t xml:space="preserve">12-2020</t>
  </si>
  <si>
    <t xml:space="preserve">1-2021</t>
  </si>
  <si>
    <t xml:space="preserve">2-2021</t>
  </si>
  <si>
    <t xml:space="preserve">3-2021</t>
  </si>
  <si>
    <t xml:space="preserve">4-2021</t>
  </si>
  <si>
    <t xml:space="preserve">5-2021</t>
  </si>
  <si>
    <t xml:space="preserve">6-2021</t>
  </si>
  <si>
    <t xml:space="preserve">7-2021</t>
  </si>
  <si>
    <t xml:space="preserve">8-2021</t>
  </si>
  <si>
    <t xml:space="preserve">9-2021</t>
  </si>
  <si>
    <t xml:space="preserve">10-2021</t>
  </si>
  <si>
    <t xml:space="preserve">11-2021</t>
  </si>
  <si>
    <t xml:space="preserve">12-2021</t>
  </si>
  <si>
    <t xml:space="preserve">1-2022</t>
  </si>
  <si>
    <t xml:space="preserve">2-2022</t>
  </si>
  <si>
    <t xml:space="preserve">3-2022</t>
  </si>
  <si>
    <t xml:space="preserve">4-2022</t>
  </si>
  <si>
    <t xml:space="preserve">5-2022</t>
  </si>
  <si>
    <t xml:space="preserve">6-2022</t>
  </si>
  <si>
    <t xml:space="preserve">7-2022</t>
  </si>
  <si>
    <t xml:space="preserve">8-2022</t>
  </si>
  <si>
    <t xml:space="preserve">9-2022</t>
  </si>
  <si>
    <t xml:space="preserve">10-2022</t>
  </si>
  <si>
    <t xml:space="preserve">11-2022</t>
  </si>
  <si>
    <t xml:space="preserve">12-2022</t>
  </si>
  <si>
    <t xml:space="preserve">1-2023</t>
  </si>
  <si>
    <t xml:space="preserve">2-2023</t>
  </si>
  <si>
    <t xml:space="preserve">3-2023</t>
  </si>
  <si>
    <t xml:space="preserve">4-2023</t>
  </si>
  <si>
    <t xml:space="preserve">5-2023</t>
  </si>
  <si>
    <t xml:space="preserve">6-2023</t>
  </si>
  <si>
    <t xml:space="preserve">7-2023</t>
  </si>
  <si>
    <t xml:space="preserve">8-2023</t>
  </si>
  <si>
    <t xml:space="preserve">9-2023</t>
  </si>
  <si>
    <t xml:space="preserve">10-2023</t>
  </si>
  <si>
    <t xml:space="preserve">11-2023</t>
  </si>
  <si>
    <t xml:space="preserve">12-2023</t>
  </si>
  <si>
    <t xml:space="preserve">1-2024</t>
  </si>
  <si>
    <t xml:space="preserve">2-2024</t>
  </si>
  <si>
    <t xml:space="preserve">3-2024</t>
  </si>
  <si>
    <t xml:space="preserve">4-2024</t>
  </si>
  <si>
    <t xml:space="preserve">5-2024</t>
  </si>
  <si>
    <t xml:space="preserve">6-2024</t>
  </si>
  <si>
    <t xml:space="preserve">7-2024</t>
  </si>
  <si>
    <t xml:space="preserve">8-2024</t>
  </si>
  <si>
    <t xml:space="preserve">9-2024</t>
  </si>
  <si>
    <t xml:space="preserve">10-2024</t>
  </si>
  <si>
    <t xml:space="preserve">11-2024</t>
  </si>
  <si>
    <t xml:space="preserve">12-2024</t>
  </si>
  <si>
    <t xml:space="preserve">1-2025</t>
  </si>
  <si>
    <t xml:space="preserve">2-2025</t>
  </si>
  <si>
    <t xml:space="preserve">3-2025</t>
  </si>
  <si>
    <t xml:space="preserve">4-2025</t>
  </si>
  <si>
    <t xml:space="preserve">5-2025</t>
  </si>
  <si>
    <t xml:space="preserve">6-2025</t>
  </si>
  <si>
    <t xml:space="preserve">7-2025</t>
  </si>
  <si>
    <t xml:space="preserve">8-2025</t>
  </si>
  <si>
    <t xml:space="preserve">9-2025</t>
  </si>
  <si>
    <t xml:space="preserve">10-2025</t>
  </si>
  <si>
    <t xml:space="preserve">11-2025</t>
  </si>
  <si>
    <t xml:space="preserve">12-2025</t>
  </si>
  <si>
    <t xml:space="preserve">1-2026</t>
  </si>
  <si>
    <t xml:space="preserve">2-2026</t>
  </si>
  <si>
    <t xml:space="preserve">3-2026</t>
  </si>
  <si>
    <t xml:space="preserve">4-2026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</si>
</sst>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;\(#,##0\);\-"/>
    <numFmt numFmtId="167" formatCode="dd/mm/yyyy"/>
    <numFmt numFmtId="168" formatCode="#,##0.00;\(#,##0.00\);\-"/>
    <numFmt numFmtId="169" formatCode="0.00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61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404040"/>
        <bgColor rgb="FF333300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FFE699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ill>
        <patternFill>
          <bgColor rgb="FFFFB3B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99CCFF"/>
      <rgbColor rgb="FFFCE4D6"/>
      <rgbColor rgb="FFCC99FF"/>
      <rgbColor rgb="FFFFB3B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CTF" displayName="tblCTF" ref="A3:T13" headerRowCount="1" totalsRowCount="0" totalsRowShown="0">
  <autoFilter ref="A3:T13"/>
  <tableColumns count="20">
    <tableColumn id="1" name="Activo Fijo"/>
    <tableColumn id="2" name="Fecha Adq"/>
    <tableColumn id="3" name="VU"/>
    <tableColumn id="4" name="Valor Origen"/>
    <tableColumn id="5" name="ALTA"/>
    <tableColumn id="6" name="BAJA"/>
    <tableColumn id="7" name="VO al cierre"/>
    <tableColumn id="8" name="AA al inicio"/>
    <tableColumn id="9" name="AE — Amort Ej."/>
    <tableColumn id="10" name="AB — Amort Baja"/>
    <tableColumn id="11" name="AA al cierre"/>
    <tableColumn id="12" name="VR al cierre"/>
    <tableColumn id="13" name="IPC Alta"/>
    <tableColumn id="14" name="IPC Cierre"/>
    <tableColumn id="15" name="Coeficiente"/>
    <tableColumn id="16" name="VO al cierre AxI"/>
    <tableColumn id="17" name="AA cierre AxI"/>
    <tableColumn id="18" name="AE AxI"/>
    <tableColumn id="19" name="VR AxI"/>
    <tableColumn id="20" name="Estado"/>
  </tableColumns>
</table>
</file>

<file path=xl/tables/table2.xml><?xml version="1.0" encoding="utf-8"?>
<table xmlns="http://schemas.openxmlformats.org/spreadsheetml/2006/main" id="2" name="tblInputs" displayName="tblInputs" ref="A3:D23" headerRowCount="1" totalsRowCount="0" totalsRowShown="0">
  <autoFilter ref="A3:D23"/>
  <tableColumns count="4">
    <tableColumn id="1" name="Activo Fijo"/>
    <tableColumn id="2" name="Fecha Adquisición"/>
    <tableColumn id="3" name="VU (años)"/>
    <tableColumn id="4" name="VO (con signo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50"/>
    <col collapsed="false" customWidth="true" hidden="false" outlineLevel="0" max="5" min="5" style="1" width="12"/>
  </cols>
  <sheetData>
    <row r="2" customFormat="false" ht="15" hidden="false" customHeight="true" outlineLevel="0" collapsed="false">
      <c r="B2" s="2" t="s">
        <v>0</v>
      </c>
      <c r="C2" s="2"/>
      <c r="D2" s="2"/>
      <c r="E2" s="2"/>
      <c r="F2" s="2"/>
    </row>
    <row r="3" customFormat="false" ht="15" hidden="false" customHeight="true" outlineLevel="0" collapsed="false">
      <c r="B3" s="2"/>
      <c r="C3" s="2"/>
      <c r="D3" s="2"/>
      <c r="E3" s="2"/>
      <c r="F3" s="2"/>
    </row>
    <row r="4" customFormat="false" ht="15" hidden="false" customHeight="true" outlineLevel="0" collapsed="false">
      <c r="B4" s="3" t="s">
        <v>1</v>
      </c>
      <c r="C4" s="3"/>
      <c r="D4" s="3"/>
      <c r="E4" s="3"/>
      <c r="F4" s="3"/>
    </row>
    <row r="6" customFormat="false" ht="15" hidden="false" customHeight="true" outlineLevel="0" collapsed="false">
      <c r="B6" s="4" t="s">
        <v>2</v>
      </c>
    </row>
    <row r="7" customFormat="false" ht="15" hidden="false" customHeight="true" outlineLevel="0" collapsed="false">
      <c r="B7" s="5" t="s">
        <v>3</v>
      </c>
      <c r="C7" s="6" t="n">
        <v>2025</v>
      </c>
      <c r="D7" s="7" t="s">
        <v>4</v>
      </c>
    </row>
    <row r="8" customFormat="false" ht="15" hidden="false" customHeight="true" outlineLevel="0" collapsed="false">
      <c r="B8" s="5" t="s">
        <v>5</v>
      </c>
      <c r="C8" s="8" t="n">
        <v>12</v>
      </c>
      <c r="D8" s="7" t="s">
        <v>6</v>
      </c>
    </row>
    <row r="9" customFormat="false" ht="15" hidden="false" customHeight="true" outlineLevel="0" collapsed="false">
      <c r="B9" s="5" t="s">
        <v>7</v>
      </c>
      <c r="C9" s="9" t="n">
        <f aca="false">DATE(C7,C8,1)</f>
        <v>45992</v>
      </c>
      <c r="D9" s="7" t="s">
        <v>8</v>
      </c>
    </row>
    <row r="10" customFormat="false" ht="15" hidden="false" customHeight="true" outlineLevel="0" collapsed="false">
      <c r="B10" s="5" t="s">
        <v>9</v>
      </c>
      <c r="C10" s="10" t="n">
        <f aca="false">IFERROR(VLOOKUP(C8&amp;"-"&amp;C7,IPC!$A$2:$C$10000,3,FALSE()),"⚠ Falta IPC")</f>
        <v>10121.4</v>
      </c>
      <c r="D10" s="7" t="s">
        <v>10</v>
      </c>
    </row>
    <row r="12" customFormat="false" ht="15" hidden="false" customHeight="true" outlineLevel="0" collapsed="false">
      <c r="B12" s="5" t="s">
        <v>11</v>
      </c>
      <c r="C12" s="11" t="n">
        <f aca="false">C7-1</f>
        <v>2024</v>
      </c>
      <c r="D12" s="7" t="s">
        <v>12</v>
      </c>
    </row>
    <row r="13" customFormat="false" ht="15" hidden="false" customHeight="true" outlineLevel="0" collapsed="false">
      <c r="B13" s="5" t="s">
        <v>13</v>
      </c>
      <c r="C13" s="10" t="n">
        <f aca="false">IFERROR(VLOOKUP(C8&amp;"-"&amp;(C7-1),IPC!$A$2:$C$10000,3,FALSE()),"⚠ Falta IPC")</f>
        <v>7694.0075</v>
      </c>
      <c r="D13" s="7" t="s">
        <v>14</v>
      </c>
    </row>
    <row r="16" customFormat="false" ht="15" hidden="false" customHeight="true" outlineLevel="0" collapsed="false">
      <c r="B16" s="4" t="s">
        <v>15</v>
      </c>
    </row>
    <row r="17" customFormat="false" ht="15" hidden="false" customHeight="true" outlineLevel="0" collapsed="false">
      <c r="B17" s="12" t="s">
        <v>16</v>
      </c>
      <c r="C17" s="12"/>
      <c r="D17" s="12"/>
      <c r="E17" s="12"/>
      <c r="F17" s="12"/>
    </row>
    <row r="18" customFormat="false" ht="15" hidden="false" customHeight="true" outlineLevel="0" collapsed="false">
      <c r="B18" s="12" t="s">
        <v>17</v>
      </c>
      <c r="C18" s="12"/>
      <c r="D18" s="12"/>
      <c r="E18" s="12"/>
      <c r="F18" s="12"/>
    </row>
    <row r="19" customFormat="false" ht="15" hidden="false" customHeight="true" outlineLevel="0" collapsed="false">
      <c r="B19" s="12" t="s">
        <v>18</v>
      </c>
      <c r="C19" s="12"/>
      <c r="D19" s="12"/>
      <c r="E19" s="12"/>
      <c r="F19" s="12"/>
    </row>
    <row r="20" customFormat="false" ht="15" hidden="false" customHeight="true" outlineLevel="0" collapsed="false">
      <c r="B20" s="12" t="s">
        <v>19</v>
      </c>
      <c r="C20" s="12"/>
      <c r="D20" s="12"/>
      <c r="E20" s="12"/>
      <c r="F20" s="12"/>
    </row>
    <row r="21" customFormat="false" ht="15" hidden="false" customHeight="true" outlineLevel="0" collapsed="false">
      <c r="B21" s="12" t="s">
        <v>20</v>
      </c>
      <c r="C21" s="12"/>
      <c r="D21" s="12"/>
      <c r="E21" s="12"/>
      <c r="F21" s="12"/>
    </row>
    <row r="22" customFormat="false" ht="15" hidden="false" customHeight="true" outlineLevel="0" collapsed="false">
      <c r="B22" s="12" t="s">
        <v>21</v>
      </c>
      <c r="C22" s="12"/>
      <c r="D22" s="12"/>
      <c r="E22" s="12"/>
      <c r="F22" s="12"/>
    </row>
    <row r="23" customFormat="false" ht="15" hidden="false" customHeight="true" outlineLevel="0" collapsed="false">
      <c r="B23" s="12" t="s">
        <v>22</v>
      </c>
      <c r="C23" s="12"/>
      <c r="D23" s="12"/>
      <c r="E23" s="12"/>
      <c r="F23" s="12"/>
    </row>
    <row r="24" customFormat="false" ht="15" hidden="false" customHeight="true" outlineLevel="0" collapsed="false">
      <c r="B24" s="12" t="s">
        <v>23</v>
      </c>
      <c r="C24" s="12"/>
      <c r="D24" s="12"/>
      <c r="E24" s="12"/>
      <c r="F24" s="12"/>
    </row>
    <row r="25" customFormat="false" ht="15" hidden="false" customHeight="true" outlineLevel="0" collapsed="false">
      <c r="B25" s="12"/>
      <c r="C25" s="12"/>
      <c r="D25" s="12"/>
      <c r="E25" s="12"/>
      <c r="F25" s="12"/>
    </row>
    <row r="26" customFormat="false" ht="15" hidden="false" customHeight="true" outlineLevel="0" collapsed="false">
      <c r="B26" s="12" t="s">
        <v>24</v>
      </c>
      <c r="C26" s="12"/>
      <c r="D26" s="12"/>
      <c r="E26" s="12"/>
      <c r="F26" s="12"/>
    </row>
    <row r="27" customFormat="false" ht="15" hidden="false" customHeight="true" outlineLevel="0" collapsed="false">
      <c r="B27" s="12" t="s">
        <v>25</v>
      </c>
      <c r="C27" s="12"/>
      <c r="D27" s="12"/>
      <c r="E27" s="12"/>
      <c r="F27" s="12"/>
    </row>
    <row r="28" customFormat="false" ht="15" hidden="false" customHeight="true" outlineLevel="0" collapsed="false">
      <c r="B28" s="12" t="s">
        <v>26</v>
      </c>
      <c r="C28" s="12"/>
      <c r="D28" s="12"/>
      <c r="E28" s="12"/>
      <c r="F28" s="12"/>
    </row>
    <row r="29" customFormat="false" ht="15" hidden="false" customHeight="true" outlineLevel="0" collapsed="false">
      <c r="B29" s="12" t="s">
        <v>27</v>
      </c>
      <c r="C29" s="12"/>
      <c r="D29" s="12"/>
      <c r="E29" s="12"/>
      <c r="F29" s="12"/>
    </row>
  </sheetData>
  <mergeCells count="15">
    <mergeCell ref="B2:F3"/>
    <mergeCell ref="B4:F4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1"/>
    <col collapsed="false" customWidth="true" hidden="false" outlineLevel="0" max="4" min="4" style="1" width="18"/>
    <col collapsed="false" customWidth="true" hidden="false" outlineLevel="0" max="5" min="5" style="1" width="4"/>
    <col collapsed="false" customWidth="true" hidden="false" outlineLevel="0" max="6" min="6" style="1" width="42"/>
    <col collapsed="false" customWidth="true" hidden="false" outlineLevel="0" max="7" min="7" style="1" width="8"/>
  </cols>
  <sheetData>
    <row r="1" customFormat="false" ht="27.75" hidden="false" customHeight="true" outlineLevel="0" collapsed="false">
      <c r="A1" s="13" t="s">
        <v>28</v>
      </c>
      <c r="B1" s="13"/>
      <c r="C1" s="13"/>
      <c r="D1" s="13"/>
      <c r="F1" s="14" t="s">
        <v>29</v>
      </c>
      <c r="G1" s="14"/>
    </row>
    <row r="3" customFormat="false" ht="27.75" hidden="false" customHeight="true" outlineLevel="0" collapsed="false">
      <c r="A3" s="15" t="s">
        <v>30</v>
      </c>
      <c r="B3" s="15" t="s">
        <v>31</v>
      </c>
      <c r="C3" s="15" t="s">
        <v>32</v>
      </c>
      <c r="D3" s="15" t="s">
        <v>33</v>
      </c>
    </row>
    <row r="4" customFormat="false" ht="15" hidden="false" customHeight="true" outlineLevel="0" collapsed="false">
      <c r="A4" s="16"/>
      <c r="B4" s="17"/>
      <c r="C4" s="18"/>
      <c r="D4" s="19"/>
      <c r="F4" s="20" t="s">
        <v>34</v>
      </c>
    </row>
    <row r="5" customFormat="false" ht="15" hidden="false" customHeight="true" outlineLevel="0" collapsed="false">
      <c r="A5" s="16"/>
      <c r="B5" s="17"/>
      <c r="C5" s="18"/>
      <c r="D5" s="19"/>
      <c r="F5" s="21" t="s">
        <v>35</v>
      </c>
    </row>
    <row r="6" customFormat="false" ht="15" hidden="false" customHeight="true" outlineLevel="0" collapsed="false">
      <c r="A6" s="16"/>
      <c r="B6" s="17"/>
      <c r="C6" s="18"/>
      <c r="D6" s="19"/>
      <c r="F6" s="21" t="s">
        <v>36</v>
      </c>
    </row>
    <row r="7" customFormat="false" ht="15" hidden="false" customHeight="true" outlineLevel="0" collapsed="false">
      <c r="A7" s="16"/>
      <c r="B7" s="17"/>
      <c r="C7" s="18"/>
      <c r="D7" s="19"/>
      <c r="F7" s="21" t="s">
        <v>37</v>
      </c>
    </row>
    <row r="8" customFormat="false" ht="15" hidden="false" customHeight="true" outlineLevel="0" collapsed="false">
      <c r="A8" s="16"/>
      <c r="B8" s="17"/>
      <c r="C8" s="18"/>
      <c r="D8" s="19"/>
      <c r="F8" s="21" t="s">
        <v>38</v>
      </c>
    </row>
    <row r="9" customFormat="false" ht="15" hidden="false" customHeight="true" outlineLevel="0" collapsed="false">
      <c r="A9" s="16"/>
      <c r="B9" s="17"/>
      <c r="C9" s="18"/>
      <c r="D9" s="19"/>
      <c r="F9" s="21" t="s">
        <v>39</v>
      </c>
    </row>
    <row r="10" customFormat="false" ht="15" hidden="false" customHeight="true" outlineLevel="0" collapsed="false">
      <c r="A10" s="16"/>
      <c r="B10" s="17"/>
      <c r="C10" s="18"/>
      <c r="D10" s="19"/>
    </row>
    <row r="11" customFormat="false" ht="15" hidden="false" customHeight="true" outlineLevel="0" collapsed="false">
      <c r="A11" s="16"/>
      <c r="B11" s="17"/>
      <c r="C11" s="18"/>
      <c r="D11" s="19"/>
    </row>
    <row r="12" customFormat="false" ht="15" hidden="false" customHeight="true" outlineLevel="0" collapsed="false">
      <c r="A12" s="16"/>
      <c r="B12" s="17"/>
      <c r="C12" s="18"/>
      <c r="D12" s="19"/>
    </row>
    <row r="13" customFormat="false" ht="15" hidden="false" customHeight="true" outlineLevel="0" collapsed="false">
      <c r="A13" s="16"/>
      <c r="B13" s="17"/>
      <c r="C13" s="18"/>
      <c r="D13" s="19"/>
    </row>
    <row r="14" customFormat="false" ht="15" hidden="false" customHeight="true" outlineLevel="0" collapsed="false">
      <c r="A14" s="16"/>
      <c r="B14" s="17"/>
      <c r="C14" s="18"/>
      <c r="D14" s="19"/>
    </row>
    <row r="15" customFormat="false" ht="15" hidden="false" customHeight="true" outlineLevel="0" collapsed="false">
      <c r="A15" s="16"/>
      <c r="B15" s="17"/>
      <c r="C15" s="18"/>
      <c r="D15" s="19"/>
    </row>
    <row r="16" customFormat="false" ht="15" hidden="false" customHeight="true" outlineLevel="0" collapsed="false">
      <c r="A16" s="16"/>
      <c r="B16" s="17"/>
      <c r="C16" s="18"/>
      <c r="D16" s="19"/>
    </row>
    <row r="17" customFormat="false" ht="15" hidden="false" customHeight="true" outlineLevel="0" collapsed="false">
      <c r="A17" s="16"/>
      <c r="B17" s="17"/>
      <c r="C17" s="18"/>
      <c r="D17" s="19"/>
    </row>
    <row r="18" customFormat="false" ht="15" hidden="false" customHeight="true" outlineLevel="0" collapsed="false">
      <c r="A18" s="16"/>
      <c r="B18" s="17"/>
      <c r="C18" s="18"/>
      <c r="D18" s="19"/>
    </row>
    <row r="19" customFormat="false" ht="15" hidden="false" customHeight="true" outlineLevel="0" collapsed="false">
      <c r="A19" s="16"/>
      <c r="B19" s="17"/>
      <c r="C19" s="18"/>
      <c r="D19" s="19"/>
    </row>
    <row r="20" customFormat="false" ht="15" hidden="false" customHeight="true" outlineLevel="0" collapsed="false">
      <c r="A20" s="16"/>
      <c r="B20" s="17"/>
      <c r="C20" s="18"/>
      <c r="D20" s="19"/>
    </row>
    <row r="21" customFormat="false" ht="15" hidden="false" customHeight="true" outlineLevel="0" collapsed="false">
      <c r="A21" s="16"/>
      <c r="B21" s="17"/>
      <c r="C21" s="18"/>
      <c r="D21" s="19"/>
    </row>
    <row r="22" customFormat="false" ht="15" hidden="false" customHeight="true" outlineLevel="0" collapsed="false">
      <c r="A22" s="16"/>
      <c r="B22" s="17"/>
      <c r="C22" s="18"/>
      <c r="D22" s="19"/>
    </row>
    <row r="23" customFormat="false" ht="15" hidden="false" customHeight="true" outlineLevel="0" collapsed="false">
      <c r="A23" s="16"/>
      <c r="B23" s="17"/>
      <c r="C23" s="18"/>
      <c r="D23" s="19"/>
    </row>
  </sheetData>
  <mergeCells count="2">
    <mergeCell ref="A1:D1"/>
    <mergeCell ref="F1:G1"/>
  </mergeCells>
  <conditionalFormatting sqref="D4:D50000">
    <cfRule type="cellIs" priority="2" operator="lessThan" aboveAverage="0" equalAverage="0" bottom="0" percent="0" rank="0" text="" dxfId="4">
      <formula>0</formula>
    </cfRule>
    <cfRule type="cellIs" priority="3" operator="greater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7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8" min="7" style="1" width="14"/>
    <col collapsed="false" customWidth="true" hidden="false" outlineLevel="0" max="10" min="9" style="1" width="13"/>
    <col collapsed="false" customWidth="true" hidden="false" outlineLevel="0" max="12" min="11" style="1" width="14"/>
    <col collapsed="false" customWidth="true" hidden="false" outlineLevel="0" max="15" min="13" style="1" width="11"/>
    <col collapsed="false" customWidth="true" hidden="false" outlineLevel="0" max="17" min="16" style="1" width="14"/>
    <col collapsed="false" customWidth="true" hidden="false" outlineLevel="0" max="18" min="18" style="1" width="13"/>
    <col collapsed="false" customWidth="true" hidden="false" outlineLevel="0" max="19" min="19" style="1" width="14"/>
    <col collapsed="false" customWidth="true" hidden="false" outlineLevel="0" max="20" min="20" style="1" width="20"/>
  </cols>
  <sheetData>
    <row r="1" customFormat="false" ht="24" hidden="false" customHeight="true" outlineLevel="0" collapsed="false">
      <c r="A1" s="22" t="s">
        <v>40</v>
      </c>
      <c r="B1" s="22"/>
      <c r="C1" s="22"/>
      <c r="D1" s="22"/>
      <c r="E1" s="23" t="s">
        <v>41</v>
      </c>
      <c r="F1" s="23"/>
      <c r="G1" s="24" t="s">
        <v>42</v>
      </c>
      <c r="H1" s="24"/>
      <c r="I1" s="24"/>
      <c r="J1" s="24"/>
      <c r="K1" s="24"/>
      <c r="L1" s="24"/>
      <c r="M1" s="25" t="s">
        <v>43</v>
      </c>
      <c r="N1" s="25"/>
      <c r="O1" s="25"/>
      <c r="P1" s="25"/>
      <c r="Q1" s="25"/>
      <c r="R1" s="25"/>
      <c r="S1" s="25"/>
    </row>
    <row r="2" customFormat="false" ht="19.5" hidden="false" customHeight="true" outlineLevel="0" collapsed="false">
      <c r="A2" s="26" t="s">
        <v>44</v>
      </c>
      <c r="B2" s="27" t="s">
        <v>45</v>
      </c>
      <c r="C2" s="27"/>
      <c r="D2" s="27"/>
      <c r="E2" s="27" t="s">
        <v>46</v>
      </c>
      <c r="F2" s="27"/>
      <c r="G2" s="28" t="s">
        <v>47</v>
      </c>
      <c r="H2" s="29" t="s">
        <v>48</v>
      </c>
      <c r="I2" s="29"/>
      <c r="J2" s="29"/>
      <c r="K2" s="29"/>
      <c r="L2" s="30" t="s">
        <v>49</v>
      </c>
      <c r="M2" s="31" t="s">
        <v>50</v>
      </c>
      <c r="N2" s="31"/>
      <c r="O2" s="31"/>
      <c r="P2" s="31" t="s">
        <v>51</v>
      </c>
      <c r="Q2" s="31"/>
      <c r="R2" s="31"/>
      <c r="S2" s="31"/>
      <c r="T2" s="32" t="s">
        <v>52</v>
      </c>
    </row>
    <row r="3" customFormat="false" ht="36" hidden="false" customHeight="true" outlineLevel="0" collapsed="false">
      <c r="A3" s="33" t="s">
        <v>30</v>
      </c>
      <c r="B3" s="33" t="s">
        <v>53</v>
      </c>
      <c r="C3" s="33" t="s">
        <v>54</v>
      </c>
      <c r="D3" s="33" t="s">
        <v>55</v>
      </c>
      <c r="E3" s="33" t="s">
        <v>56</v>
      </c>
      <c r="F3" s="33" t="s">
        <v>57</v>
      </c>
      <c r="G3" s="33" t="s">
        <v>47</v>
      </c>
      <c r="H3" s="33" t="s">
        <v>58</v>
      </c>
      <c r="I3" s="33" t="s">
        <v>59</v>
      </c>
      <c r="J3" s="33" t="s">
        <v>60</v>
      </c>
      <c r="K3" s="33" t="s">
        <v>61</v>
      </c>
      <c r="L3" s="33" t="s">
        <v>62</v>
      </c>
      <c r="M3" s="33" t="s">
        <v>63</v>
      </c>
      <c r="N3" s="33" t="s">
        <v>64</v>
      </c>
      <c r="O3" s="33" t="s">
        <v>65</v>
      </c>
      <c r="P3" s="33" t="s">
        <v>66</v>
      </c>
      <c r="Q3" s="33" t="s">
        <v>67</v>
      </c>
      <c r="R3" s="33" t="s">
        <v>68</v>
      </c>
      <c r="S3" s="33" t="s">
        <v>69</v>
      </c>
      <c r="T3" s="33" t="s">
        <v>52</v>
      </c>
    </row>
    <row r="4" customFormat="false" ht="15" hidden="false" customHeight="true" outlineLevel="0" collapsed="false">
      <c r="A4" s="34" t="n">
        <v>90006</v>
      </c>
      <c r="B4" s="17" t="n">
        <v>35582</v>
      </c>
      <c r="C4" s="34" t="n">
        <v>3</v>
      </c>
      <c r="D4" s="19" t="n">
        <v>198</v>
      </c>
      <c r="E4" s="19"/>
      <c r="F4" s="19" t="n">
        <v>-198</v>
      </c>
      <c r="G4" s="35" t="n">
        <f aca="false">IF(A4="","",D4+E4+F4)</f>
        <v>0</v>
      </c>
      <c r="H4" s="19" t="n">
        <v>198</v>
      </c>
      <c r="I4" s="35" t="n">
        <f aca="false">IF(A4="","",IF(D4=0,0,IF(F4&lt;=-D4,0,IF(YEAR(B4)+C4-1&lt;ANIO_ACTUAL,0,IFERROR(G4/C4,0)))))</f>
        <v>0</v>
      </c>
      <c r="J4" s="35" t="n">
        <f aca="false">IF(OR(A4="",F4=0,D4=0),0,H4*(F4/D4))</f>
        <v>-198</v>
      </c>
      <c r="K4" s="36" t="n">
        <f aca="false">IF(A4="","",H4+I4+J4)</f>
        <v>0</v>
      </c>
      <c r="L4" s="35" t="n">
        <f aca="false">IF(A4="","",G4-K4)</f>
        <v>0</v>
      </c>
      <c r="M4" s="35" t="n">
        <f aca="false">IF(OR(A4="",YEAR(B4)&lt;2018),0,IFERROR(VLOOKUP(MONTH(B4)&amp;"-"&amp;YEAR(B4),IPC!$A:$C,3,FALSE()),0))</f>
        <v>0</v>
      </c>
      <c r="N4" s="35" t="n">
        <f aca="false">IF(OR(A4="",YEAR(B4)&lt;2018),0,IPC_CIERRE)</f>
        <v>0</v>
      </c>
      <c r="O4" s="37" t="n">
        <f aca="false">IF(OR(A4="",M4=0),1,N4/M4)</f>
        <v>1</v>
      </c>
      <c r="P4" s="38" t="n">
        <f aca="false">IF(A4="","",G4*O4)</f>
        <v>0</v>
      </c>
      <c r="Q4" s="38" t="n">
        <f aca="false">IF(A4="","",K4*O4)</f>
        <v>0</v>
      </c>
      <c r="R4" s="38" t="n">
        <f aca="false">IF(A4="","",I4*O4)</f>
        <v>0</v>
      </c>
      <c r="S4" s="39" t="n">
        <f aca="false">IF(A4="","",P4-Q4)</f>
        <v>0</v>
      </c>
      <c r="T4" s="40" t="str">
        <f aca="false">IF(A4="","",IF(YEAR(B4)=ANIO_ACTUAL,"ALTA "&amp;ANIO_ACTUAL,IF(F4&lt;&gt;0,IF(F4&lt;=-D4,"BAJA TOTAL","BAJA PARCIAL"),IF(YEAR(B4)+C4-1&lt;ANIO_ACTUAL,"AGOTADA",IF(YEAR(B4)+C4-1=ANIO_ACTUAL,"ÚLTIMO AÑO","EN AMORTIZACIÓN")))))</f>
        <v>BAJA TOTAL</v>
      </c>
    </row>
    <row r="5" customFormat="false" ht="15" hidden="false" customHeight="true" outlineLevel="0" collapsed="false">
      <c r="A5" s="34" t="n">
        <v>130145</v>
      </c>
      <c r="B5" s="17" t="n">
        <v>40088</v>
      </c>
      <c r="C5" s="34" t="n">
        <v>3</v>
      </c>
      <c r="D5" s="19" t="n">
        <v>24295.04</v>
      </c>
      <c r="E5" s="19"/>
      <c r="F5" s="19"/>
      <c r="G5" s="35" t="n">
        <f aca="false">IF(A5="","",D5+E5+F5)</f>
        <v>24295.04</v>
      </c>
      <c r="H5" s="19" t="n">
        <v>24295.04</v>
      </c>
      <c r="I5" s="35" t="n">
        <f aca="false">IF(A5="","",IF(D5=0,0,IF(F5&lt;=-D5,0,IF(YEAR(B5)+C5-1&lt;ANIO_ACTUAL,0,IFERROR(G5/C5,0)))))</f>
        <v>0</v>
      </c>
      <c r="J5" s="35" t="n">
        <f aca="false">IF(OR(A5="",F5=0,D5=0),0,H5*(F5/D5))</f>
        <v>0</v>
      </c>
      <c r="K5" s="36" t="n">
        <f aca="false">IF(A5="","",H5+I5+J5)</f>
        <v>24295.04</v>
      </c>
      <c r="L5" s="35" t="n">
        <f aca="false">IF(A5="","",G5-K5)</f>
        <v>0</v>
      </c>
      <c r="M5" s="35" t="n">
        <f aca="false">IF(OR(A5="",YEAR(B5)&lt;2018),0,IFERROR(VLOOKUP(MONTH(B5)&amp;"-"&amp;YEAR(B5),IPC!$A:$C,3,FALSE()),0))</f>
        <v>0</v>
      </c>
      <c r="N5" s="35" t="n">
        <f aca="false">IF(OR(A5="",YEAR(B5)&lt;2018),0,IPC_CIERRE)</f>
        <v>0</v>
      </c>
      <c r="O5" s="37" t="n">
        <f aca="false">IF(OR(A5="",M5=0),1,N5/M5)</f>
        <v>1</v>
      </c>
      <c r="P5" s="38" t="n">
        <f aca="false">IF(A5="","",G5*O5)</f>
        <v>24295.04</v>
      </c>
      <c r="Q5" s="38" t="n">
        <f aca="false">IF(A5="","",K5*O5)</f>
        <v>24295.04</v>
      </c>
      <c r="R5" s="38" t="n">
        <f aca="false">IF(A5="","",I5*O5)</f>
        <v>0</v>
      </c>
      <c r="S5" s="39" t="n">
        <f aca="false">IF(A5="","",P5-Q5)</f>
        <v>0</v>
      </c>
      <c r="T5" s="40" t="str">
        <f aca="false">IF(A5="","",IF(YEAR(B5)=ANIO_ACTUAL,"ALTA "&amp;ANIO_ACTUAL,IF(F5&lt;&gt;0,IF(F5&lt;=-D5,"BAJA TOTAL","BAJA PARCIAL"),IF(YEAR(B5)+C5-1&lt;ANIO_ACTUAL,"AGOTADA",IF(YEAR(B5)+C5-1=ANIO_ACTUAL,"ÚLTIMO AÑO","EN AMORTIZACIÓN")))))</f>
        <v>AGOTADA</v>
      </c>
    </row>
    <row r="6" customFormat="false" ht="15" hidden="false" customHeight="true" outlineLevel="0" collapsed="false">
      <c r="A6" s="34" t="n">
        <v>130146</v>
      </c>
      <c r="B6" s="17" t="n">
        <v>44905</v>
      </c>
      <c r="C6" s="34" t="n">
        <v>3</v>
      </c>
      <c r="D6" s="19" t="n">
        <v>39801.19</v>
      </c>
      <c r="E6" s="19"/>
      <c r="F6" s="19"/>
      <c r="G6" s="35" t="n">
        <f aca="false">IF(A6="","",D6+E6+F6)</f>
        <v>39801.19</v>
      </c>
      <c r="H6" s="19" t="n">
        <v>26534.13</v>
      </c>
      <c r="I6" s="35" t="n">
        <f aca="false">IF(A6="","",IF(D6=0,0,IF(F6&lt;=-D6,0,IF(YEAR(B6)+C6-1&lt;ANIO_ACTUAL,0,IFERROR(G6/C6,0)))))</f>
        <v>0</v>
      </c>
      <c r="J6" s="35" t="n">
        <f aca="false">IF(OR(A6="",F6=0,D6=0),0,H6*(F6/D6))</f>
        <v>0</v>
      </c>
      <c r="K6" s="36" t="n">
        <f aca="false">IF(A6="","",H6+I6+J6)</f>
        <v>26534.13</v>
      </c>
      <c r="L6" s="35" t="n">
        <f aca="false">IF(A6="","",G6-K6)</f>
        <v>13267.06</v>
      </c>
      <c r="M6" s="35" t="n">
        <f aca="false">IF(OR(A6="",YEAR(B6)&lt;2018),0,IFERROR(VLOOKUP(MONTH(B6)&amp;"-"&amp;YEAR(B6),IPC!$A:$C,3,FALSE()),0))</f>
        <v>1134.5875</v>
      </c>
      <c r="N6" s="35" t="n">
        <f aca="false">IF(OR(A6="",YEAR(B6)&lt;2018),0,IPC_CIERRE)</f>
        <v>10121.4</v>
      </c>
      <c r="O6" s="37" t="n">
        <f aca="false">IF(OR(A6="",M6=0),1,N6/M6)</f>
        <v>8.9207751715932</v>
      </c>
      <c r="P6" s="38" t="n">
        <f aca="false">IF(A6="","",G6*O6)</f>
        <v>355057.467551864</v>
      </c>
      <c r="Q6" s="38" t="n">
        <f aca="false">IF(A6="","",K6*O6)</f>
        <v>236705.008103826</v>
      </c>
      <c r="R6" s="38" t="n">
        <f aca="false">IF(A6="","",I6*O6)</f>
        <v>0</v>
      </c>
      <c r="S6" s="39" t="n">
        <f aca="false">IF(A6="","",P6-Q6)</f>
        <v>118352.459448037</v>
      </c>
      <c r="T6" s="40" t="str">
        <f aca="false">IF(A6="","",IF(YEAR(B6)=ANIO_ACTUAL,"ALTA "&amp;ANIO_ACTUAL,IF(F6&lt;&gt;0,IF(F6&lt;=-D6,"BAJA TOTAL","BAJA PARCIAL"),IF(YEAR(B6)+C6-1&lt;ANIO_ACTUAL,"AGOTADA",IF(YEAR(B6)+C6-1=ANIO_ACTUAL,"ÚLTIMO AÑO","EN AMORTIZACIÓN")))))</f>
        <v>AGOTADA</v>
      </c>
    </row>
    <row r="7" customFormat="false" ht="15" hidden="false" customHeight="true" outlineLevel="0" collapsed="false">
      <c r="A7" s="34" t="n">
        <v>130147</v>
      </c>
      <c r="B7" s="17" t="n">
        <v>45184</v>
      </c>
      <c r="C7" s="34" t="n">
        <v>5</v>
      </c>
      <c r="D7" s="19" t="n">
        <v>36102.5</v>
      </c>
      <c r="E7" s="19" t="n">
        <v>10000</v>
      </c>
      <c r="F7" s="19"/>
      <c r="G7" s="35" t="n">
        <f aca="false">IF(A7="","",D7+E7+F7)</f>
        <v>46102.5</v>
      </c>
      <c r="H7" s="19" t="n">
        <v>7220.5</v>
      </c>
      <c r="I7" s="35" t="n">
        <f aca="false">IF(A7="","",IF(D7=0,0,IF(F7&lt;=-D7,0,IF(YEAR(B7)+C7-1&lt;ANIO_ACTUAL,0,IFERROR(G7/C7,0)))))</f>
        <v>9220.5</v>
      </c>
      <c r="J7" s="35" t="n">
        <f aca="false">IF(OR(A7="",F7=0,D7=0),0,H7*(F7/D7))</f>
        <v>0</v>
      </c>
      <c r="K7" s="36" t="n">
        <f aca="false">IF(A7="","",H7+I7+J7)</f>
        <v>16441</v>
      </c>
      <c r="L7" s="35" t="n">
        <f aca="false">IF(A7="","",G7-K7)</f>
        <v>29661.5</v>
      </c>
      <c r="M7" s="35" t="n">
        <f aca="false">IF(OR(A7="",YEAR(B7)&lt;2018),0,IFERROR(VLOOKUP(MONTH(B7)&amp;"-"&amp;YEAR(B7),IPC!$A:$C,3,FALSE()),0))</f>
        <v>2304.9242</v>
      </c>
      <c r="N7" s="35" t="n">
        <f aca="false">IF(OR(A7="",YEAR(B7)&lt;2018),0,IPC_CIERRE)</f>
        <v>10121.4</v>
      </c>
      <c r="O7" s="37" t="n">
        <f aca="false">IF(OR(A7="",M7=0),1,N7/M7)</f>
        <v>4.39120731171984</v>
      </c>
      <c r="P7" s="38" t="n">
        <f aca="false">IF(A7="","",G7*O7)</f>
        <v>202445.635088564</v>
      </c>
      <c r="Q7" s="38" t="n">
        <f aca="false">IF(A7="","",K7*O7)</f>
        <v>72195.8394119859</v>
      </c>
      <c r="R7" s="38" t="n">
        <f aca="false">IF(A7="","",I7*O7)</f>
        <v>40489.1270177128</v>
      </c>
      <c r="S7" s="39" t="n">
        <f aca="false">IF(A7="","",P7-Q7)</f>
        <v>130249.795676578</v>
      </c>
      <c r="T7" s="40" t="str">
        <f aca="false">IF(A7="","",IF(YEAR(B7)=ANIO_ACTUAL,"ALTA "&amp;ANIO_ACTUAL,IF(F7&lt;&gt;0,IF(F7&lt;=-D7,"BAJA TOTAL","BAJA PARCIAL"),IF(YEAR(B7)+C7-1&lt;ANIO_ACTUAL,"AGOTADA",IF(YEAR(B7)+C7-1=ANIO_ACTUAL,"ÚLTIMO AÑO","EN AMORTIZACIÓN")))))</f>
        <v>EN AMORTIZACIÓN</v>
      </c>
    </row>
    <row r="8" customFormat="false" ht="15" hidden="false" customHeight="true" outlineLevel="0" collapsed="false">
      <c r="A8" s="34" t="n">
        <v>200006</v>
      </c>
      <c r="B8" s="17" t="n">
        <v>36982</v>
      </c>
      <c r="C8" s="34" t="n">
        <v>26</v>
      </c>
      <c r="D8" s="19" t="n">
        <v>157005.79</v>
      </c>
      <c r="E8" s="19"/>
      <c r="F8" s="19" t="n">
        <v>-50000</v>
      </c>
      <c r="G8" s="35" t="n">
        <f aca="false">IF(A8="","",D8+E8+F8)</f>
        <v>107005.79</v>
      </c>
      <c r="H8" s="19" t="n">
        <v>138543.13</v>
      </c>
      <c r="I8" s="35" t="n">
        <f aca="false">IF(A8="","",IF(D8=0,0,IF(F8&lt;=-D8,0,IF(YEAR(B8)+C8-1&lt;ANIO_ACTUAL,0,IFERROR(G8/C8,0)))))</f>
        <v>4115.60730769231</v>
      </c>
      <c r="J8" s="35" t="n">
        <f aca="false">IF(OR(A8="",F8=0,D8=0),0,H8*(F8/D8))</f>
        <v>-44120.3888085911</v>
      </c>
      <c r="K8" s="36" t="n">
        <f aca="false">IF(A8="","",H8+I8+J8)</f>
        <v>98538.3484991013</v>
      </c>
      <c r="L8" s="35" t="n">
        <f aca="false">IF(A8="","",G8-K8)</f>
        <v>8467.44150089874</v>
      </c>
      <c r="M8" s="35" t="n">
        <f aca="false">IF(OR(A8="",YEAR(B8)&lt;2018),0,IFERROR(VLOOKUP(MONTH(B8)&amp;"-"&amp;YEAR(B8),IPC!$A:$C,3,FALSE()),0))</f>
        <v>0</v>
      </c>
      <c r="N8" s="35" t="n">
        <f aca="false">IF(OR(A8="",YEAR(B8)&lt;2018),0,IPC_CIERRE)</f>
        <v>0</v>
      </c>
      <c r="O8" s="37" t="n">
        <f aca="false">IF(OR(A8="",M8=0),1,N8/M8)</f>
        <v>1</v>
      </c>
      <c r="P8" s="38" t="n">
        <f aca="false">IF(A8="","",G8*O8)</f>
        <v>107005.79</v>
      </c>
      <c r="Q8" s="38" t="n">
        <f aca="false">IF(A8="","",K8*O8)</f>
        <v>98538.3484991013</v>
      </c>
      <c r="R8" s="38" t="n">
        <f aca="false">IF(A8="","",I8*O8)</f>
        <v>4115.60730769231</v>
      </c>
      <c r="S8" s="39" t="n">
        <f aca="false">IF(A8="","",P8-Q8)</f>
        <v>8467.44150089874</v>
      </c>
      <c r="T8" s="40" t="str">
        <f aca="false">IF(A8="","",IF(YEAR(B8)=ANIO_ACTUAL,"ALTA "&amp;ANIO_ACTUAL,IF(F8&lt;&gt;0,IF(F8&lt;=-D8,"BAJA TOTAL","BAJA PARCIAL"),IF(YEAR(B8)+C8-1&lt;ANIO_ACTUAL,"AGOTADA",IF(YEAR(B8)+C8-1=ANIO_ACTUAL,"ÚLTIMO AÑO","EN AMORTIZACIÓN")))))</f>
        <v>BAJA PARCIAL</v>
      </c>
    </row>
    <row r="9" customFormat="false" ht="15" hidden="false" customHeight="true" outlineLevel="0" collapsed="false">
      <c r="A9" s="34" t="n">
        <v>300050</v>
      </c>
      <c r="B9" s="17" t="n">
        <v>45730</v>
      </c>
      <c r="C9" s="34" t="n">
        <v>5</v>
      </c>
      <c r="D9" s="19" t="n">
        <v>95432</v>
      </c>
      <c r="E9" s="19"/>
      <c r="F9" s="19"/>
      <c r="G9" s="35" t="n">
        <f aca="false">IF(A9="","",D9+E9+F9)</f>
        <v>95432</v>
      </c>
      <c r="H9" s="19" t="n">
        <v>0</v>
      </c>
      <c r="I9" s="35" t="n">
        <f aca="false">IF(A9="","",IF(D9=0,0,IF(F9&lt;=-D9,0,IF(YEAR(B9)+C9-1&lt;ANIO_ACTUAL,0,IFERROR(G9/C9,0)))))</f>
        <v>19086.4</v>
      </c>
      <c r="J9" s="35" t="n">
        <f aca="false">IF(OR(A9="",F9=0,D9=0),0,H9*(F9/D9))</f>
        <v>0</v>
      </c>
      <c r="K9" s="36" t="n">
        <f aca="false">IF(A9="","",H9+I9+J9)</f>
        <v>19086.4</v>
      </c>
      <c r="L9" s="35" t="n">
        <f aca="false">IF(A9="","",G9-K9)</f>
        <v>76345.6</v>
      </c>
      <c r="M9" s="35" t="n">
        <f aca="false">IF(OR(A9="",YEAR(B9)&lt;2018),0,IFERROR(VLOOKUP(MONTH(B9)&amp;"-"&amp;YEAR(B9),IPC!$A:$C,3,FALSE()),0))</f>
        <v>8353.3158</v>
      </c>
      <c r="N9" s="35" t="n">
        <f aca="false">IF(OR(A9="",YEAR(B9)&lt;2018),0,IPC_CIERRE)</f>
        <v>10121.4</v>
      </c>
      <c r="O9" s="37" t="n">
        <f aca="false">IF(OR(A9="",M9=0),1,N9/M9)</f>
        <v>1.21166255919595</v>
      </c>
      <c r="P9" s="38" t="n">
        <f aca="false">IF(A9="","",G9*O9)</f>
        <v>115631.381349188</v>
      </c>
      <c r="Q9" s="38" t="n">
        <f aca="false">IF(A9="","",K9*O9)</f>
        <v>23126.2762698377</v>
      </c>
      <c r="R9" s="38" t="n">
        <f aca="false">IF(A9="","",I9*O9)</f>
        <v>23126.2762698377</v>
      </c>
      <c r="S9" s="39" t="n">
        <f aca="false">IF(A9="","",P9-Q9)</f>
        <v>92505.1050793506</v>
      </c>
      <c r="T9" s="40" t="str">
        <f aca="false">IF(A9="","",IF(YEAR(B9)=ANIO_ACTUAL,"ALTA "&amp;ANIO_ACTUAL,IF(F9&lt;&gt;0,IF(F9&lt;=-D9,"BAJA TOTAL","BAJA PARCIAL"),IF(YEAR(B9)+C9-1&lt;ANIO_ACTUAL,"AGOTADA",IF(YEAR(B9)+C9-1=ANIO_ACTUAL,"ÚLTIMO AÑO","EN AMORTIZACIÓN")))))</f>
        <v>ALTA 2025</v>
      </c>
    </row>
    <row r="10" customFormat="false" ht="15" hidden="false" customHeight="true" outlineLevel="0" collapsed="false">
      <c r="A10" s="34" t="n">
        <v>300051</v>
      </c>
      <c r="B10" s="17" t="n">
        <v>45676</v>
      </c>
      <c r="C10" s="34" t="n">
        <v>2</v>
      </c>
      <c r="D10" s="19" t="n">
        <v>120000</v>
      </c>
      <c r="E10" s="19"/>
      <c r="F10" s="19"/>
      <c r="G10" s="35" t="n">
        <f aca="false">IF(A10="","",D10+E10+F10)</f>
        <v>120000</v>
      </c>
      <c r="H10" s="19" t="n">
        <v>0</v>
      </c>
      <c r="I10" s="35" t="n">
        <f aca="false">IF(A10="","",IF(D10=0,0,IF(F10&lt;=-D10,0,IF(YEAR(B10)+C10-1&lt;ANIO_ACTUAL,0,IFERROR(G10/C10,0)))))</f>
        <v>60000</v>
      </c>
      <c r="J10" s="35" t="n">
        <f aca="false">IF(OR(A10="",F10=0,D10=0),0,H10*(F10/D10))</f>
        <v>0</v>
      </c>
      <c r="K10" s="36" t="n">
        <f aca="false">IF(A10="","",H10+I10+J10)</f>
        <v>60000</v>
      </c>
      <c r="L10" s="35" t="n">
        <f aca="false">IF(A10="","",G10-K10)</f>
        <v>60000</v>
      </c>
      <c r="M10" s="35" t="n">
        <f aca="false">IF(OR(A10="",YEAR(B10)&lt;2018),0,IFERROR(VLOOKUP(MONTH(B10)&amp;"-"&amp;YEAR(B10),IPC!$A:$C,3,FALSE()),0))</f>
        <v>7864.1257</v>
      </c>
      <c r="N10" s="35" t="n">
        <f aca="false">IF(OR(A10="",YEAR(B10)&lt;2018),0,IPC_CIERRE)</f>
        <v>10121.4</v>
      </c>
      <c r="O10" s="37" t="n">
        <f aca="false">IF(OR(A10="",M10=0),1,N10/M10)</f>
        <v>1.28703436162014</v>
      </c>
      <c r="P10" s="38" t="n">
        <f aca="false">IF(A10="","",G10*O10)</f>
        <v>154444.123394416</v>
      </c>
      <c r="Q10" s="38" t="n">
        <f aca="false">IF(A10="","",K10*O10)</f>
        <v>77222.0616972081</v>
      </c>
      <c r="R10" s="38" t="n">
        <f aca="false">IF(A10="","",I10*O10)</f>
        <v>77222.0616972081</v>
      </c>
      <c r="S10" s="39" t="n">
        <f aca="false">IF(A10="","",P10-Q10)</f>
        <v>77222.0616972081</v>
      </c>
      <c r="T10" s="40" t="str">
        <f aca="false">IF(A10="","",IF(YEAR(B10)=ANIO_ACTUAL,"ALTA "&amp;ANIO_ACTUAL,IF(F10&lt;&gt;0,IF(F10&lt;=-D10,"BAJA TOTAL","BAJA PARCIAL"),IF(YEAR(B10)+C10-1&lt;ANIO_ACTUAL,"AGOTADA",IF(YEAR(B10)+C10-1=ANIO_ACTUAL,"ÚLTIMO AÑO","EN AMORTIZACIÓN")))))</f>
        <v>ALTA 2025</v>
      </c>
    </row>
    <row r="11" customFormat="false" ht="15" hidden="false" customHeight="true" outlineLevel="0" collapsed="false">
      <c r="A11" s="34"/>
      <c r="B11" s="17"/>
      <c r="C11" s="34"/>
      <c r="D11" s="19"/>
      <c r="E11" s="19"/>
      <c r="F11" s="19"/>
      <c r="G11" s="35" t="str">
        <f aca="false">IF(A11="","",D11+E11+F11)</f>
        <v/>
      </c>
      <c r="H11" s="19"/>
      <c r="I11" s="35" t="str">
        <f aca="false">IF(A11="","",IF(D11=0,0,IF(F11&lt;=-D11,0,IF(YEAR(B11)+C11-1&lt;ANIO_ACTUAL,0,IFERROR(G11/C11,0)))))</f>
        <v/>
      </c>
      <c r="J11" s="35" t="n">
        <f aca="false">IF(OR(A11="",F11=0,D11=0),0,H11*(F11/D11))</f>
        <v>0</v>
      </c>
      <c r="K11" s="36" t="str">
        <f aca="false">IF(A11="","",H11+I11+J11)</f>
        <v/>
      </c>
      <c r="L11" s="35" t="str">
        <f aca="false">IF(A11="","",G11-K11)</f>
        <v/>
      </c>
      <c r="M11" s="35" t="n">
        <f aca="false">IF(OR(A11="",YEAR(B11)&lt;2018),0,IFERROR(VLOOKUP(MONTH(B11)&amp;"-"&amp;YEAR(B11),IPC!$A:$C,3,FALSE()),0))</f>
        <v>0</v>
      </c>
      <c r="N11" s="35" t="n">
        <f aca="false">IF(OR(A11="",YEAR(B11)&lt;2018),0,IPC_CIERRE)</f>
        <v>0</v>
      </c>
      <c r="O11" s="37" t="n">
        <f aca="false">IF(OR(A11="",M11=0),1,N11/M11)</f>
        <v>1</v>
      </c>
      <c r="P11" s="38" t="str">
        <f aca="false">IF(A11="","",G11*O11)</f>
        <v/>
      </c>
      <c r="Q11" s="38" t="str">
        <f aca="false">IF(A11="","",K11*O11)</f>
        <v/>
      </c>
      <c r="R11" s="38" t="str">
        <f aca="false">IF(A11="","",I11*O11)</f>
        <v/>
      </c>
      <c r="S11" s="39" t="str">
        <f aca="false">IF(A11="","",P11-Q11)</f>
        <v/>
      </c>
      <c r="T11" s="40" t="str">
        <f aca="false">IF(A11="","",IF(YEAR(B11)=ANIO_ACTUAL,"ALTA "&amp;ANIO_ACTUAL,IF(F11&lt;&gt;0,IF(F11&lt;=-D11,"BAJA TOTAL","BAJA PARCIAL"),IF(YEAR(B11)+C11-1&lt;ANIO_ACTUAL,"AGOTADA",IF(YEAR(B11)+C11-1=ANIO_ACTUAL,"ÚLTIMO AÑO","EN AMORTIZACIÓN")))))</f>
        <v/>
      </c>
    </row>
    <row r="12" customFormat="false" ht="15" hidden="false" customHeight="true" outlineLevel="0" collapsed="false">
      <c r="A12" s="34"/>
      <c r="B12" s="17"/>
      <c r="C12" s="34"/>
      <c r="D12" s="19"/>
      <c r="E12" s="19"/>
      <c r="F12" s="19"/>
      <c r="G12" s="35" t="str">
        <f aca="false">IF(A12="","",D12+E12+F12)</f>
        <v/>
      </c>
      <c r="H12" s="19"/>
      <c r="I12" s="35" t="str">
        <f aca="false">IF(A12="","",IF(D12=0,0,IF(F12&lt;=-D12,0,IF(YEAR(B12)+C12-1&lt;ANIO_ACTUAL,0,IFERROR(G12/C12,0)))))</f>
        <v/>
      </c>
      <c r="J12" s="35" t="n">
        <f aca="false">IF(OR(A12="",F12=0,D12=0),0,H12*(F12/D12))</f>
        <v>0</v>
      </c>
      <c r="K12" s="36" t="str">
        <f aca="false">IF(A12="","",H12+I12+J12)</f>
        <v/>
      </c>
      <c r="L12" s="35" t="str">
        <f aca="false">IF(A12="","",G12-K12)</f>
        <v/>
      </c>
      <c r="M12" s="35" t="n">
        <f aca="false">IF(OR(A12="",YEAR(B12)&lt;2018),0,IFERROR(VLOOKUP(MONTH(B12)&amp;"-"&amp;YEAR(B12),IPC!$A:$C,3,FALSE()),0))</f>
        <v>0</v>
      </c>
      <c r="N12" s="35" t="n">
        <f aca="false">IF(OR(A12="",YEAR(B12)&lt;2018),0,IPC_CIERRE)</f>
        <v>0</v>
      </c>
      <c r="O12" s="37" t="n">
        <f aca="false">IF(OR(A12="",M12=0),1,N12/M12)</f>
        <v>1</v>
      </c>
      <c r="P12" s="38" t="str">
        <f aca="false">IF(A12="","",G12*O12)</f>
        <v/>
      </c>
      <c r="Q12" s="38" t="str">
        <f aca="false">IF(A12="","",K12*O12)</f>
        <v/>
      </c>
      <c r="R12" s="38" t="str">
        <f aca="false">IF(A12="","",I12*O12)</f>
        <v/>
      </c>
      <c r="S12" s="39" t="str">
        <f aca="false">IF(A12="","",P12-Q12)</f>
        <v/>
      </c>
      <c r="T12" s="40" t="str">
        <f aca="false">IF(A12="","",IF(YEAR(B12)=ANIO_ACTUAL,"ALTA "&amp;ANIO_ACTUAL,IF(F12&lt;&gt;0,IF(F12&lt;=-D12,"BAJA TOTAL","BAJA PARCIAL"),IF(YEAR(B12)+C12-1&lt;ANIO_ACTUAL,"AGOTADA",IF(YEAR(B12)+C12-1=ANIO_ACTUAL,"ÚLTIMO AÑO","EN AMORTIZACIÓN")))))</f>
        <v/>
      </c>
    </row>
    <row r="13" customFormat="false" ht="15" hidden="false" customHeight="true" outlineLevel="0" collapsed="false">
      <c r="A13" s="34"/>
      <c r="B13" s="17"/>
      <c r="C13" s="34"/>
      <c r="D13" s="19"/>
      <c r="E13" s="19"/>
      <c r="F13" s="19"/>
      <c r="G13" s="35" t="str">
        <f aca="false">IF(A13="","",D13+E13+F13)</f>
        <v/>
      </c>
      <c r="H13" s="19"/>
      <c r="I13" s="35" t="str">
        <f aca="false">IF(A13="","",IF(D13=0,0,IF(F13&lt;=-D13,0,IF(YEAR(B13)+C13-1&lt;ANIO_ACTUAL,0,IFERROR(G13/C13,0)))))</f>
        <v/>
      </c>
      <c r="J13" s="35" t="n">
        <f aca="false">IF(OR(A13="",F13=0,D13=0),0,H13*(F13/D13))</f>
        <v>0</v>
      </c>
      <c r="K13" s="36" t="str">
        <f aca="false">IF(A13="","",H13+I13+J13)</f>
        <v/>
      </c>
      <c r="L13" s="35" t="str">
        <f aca="false">IF(A13="","",G13-K13)</f>
        <v/>
      </c>
      <c r="M13" s="35" t="n">
        <f aca="false">IF(OR(A13="",YEAR(B13)&lt;2018),0,IFERROR(VLOOKUP(MONTH(B13)&amp;"-"&amp;YEAR(B13),IPC!$A:$C,3,FALSE()),0))</f>
        <v>0</v>
      </c>
      <c r="N13" s="35" t="n">
        <f aca="false">IF(OR(A13="",YEAR(B13)&lt;2018),0,IPC_CIERRE)</f>
        <v>0</v>
      </c>
      <c r="O13" s="37" t="n">
        <f aca="false">IF(OR(A13="",M13=0),1,N13/M13)</f>
        <v>1</v>
      </c>
      <c r="P13" s="38" t="str">
        <f aca="false">IF(A13="","",G13*O13)</f>
        <v/>
      </c>
      <c r="Q13" s="38" t="str">
        <f aca="false">IF(A13="","",K13*O13)</f>
        <v/>
      </c>
      <c r="R13" s="38" t="str">
        <f aca="false">IF(A13="","",I13*O13)</f>
        <v/>
      </c>
      <c r="S13" s="39" t="str">
        <f aca="false">IF(A13="","",P13-Q13)</f>
        <v/>
      </c>
      <c r="T13" s="40" t="str">
        <f aca="false">IF(A13="","",IF(YEAR(B13)=ANIO_ACTUAL,"ALTA "&amp;ANIO_ACTUAL,IF(F13&lt;&gt;0,IF(F13&lt;=-D13,"BAJA TOTAL","BAJA PARCIAL"),IF(YEAR(B13)+C13-1&lt;ANIO_ACTUAL,"AGOTADA",IF(YEAR(B13)+C13-1=ANIO_ACTUAL,"ÚLTIMO AÑO","EN AMORTIZACIÓN")))))</f>
        <v/>
      </c>
    </row>
  </sheetData>
  <mergeCells count="9">
    <mergeCell ref="A1:D1"/>
    <mergeCell ref="E1:F1"/>
    <mergeCell ref="G1:L1"/>
    <mergeCell ref="M1:S1"/>
    <mergeCell ref="B2:D2"/>
    <mergeCell ref="E2:F2"/>
    <mergeCell ref="H2:K2"/>
    <mergeCell ref="M2:O2"/>
    <mergeCell ref="P2:S2"/>
  </mergeCells>
  <conditionalFormatting sqref="T4:T50000">
    <cfRule type="expression" priority="2" aboveAverage="0" equalAverage="0" bottom="0" percent="0" rank="0" text="" dxfId="5">
      <formula>ISNUMBER(SEARCH("ALTA",T4))</formula>
    </cfRule>
    <cfRule type="expression" priority="3" aboveAverage="0" equalAverage="0" bottom="0" percent="0" rank="0" text="" dxfId="4">
      <formula>ISNUMBER(SEARCH("BAJA",T4))</formula>
    </cfRule>
    <cfRule type="expression" priority="4" aboveAverage="0" equalAverage="0" bottom="0" percent="0" rank="0" text="" dxfId="10">
      <formula>ISNUMBER(SEARCH("AGOTADA",T4))</formula>
    </cfRule>
    <cfRule type="expression" priority="5" aboveAverage="0" equalAverage="0" bottom="0" percent="0" rank="0" text="" dxfId="11">
      <formula>ISNUMBER(SEARCH("ÚLTIMO",T4))</formula>
    </cfRule>
  </conditionalFormatting>
  <conditionalFormatting sqref="A4:A50000">
    <cfRule type="expression" priority="6" aboveAverage="0" equalAverage="0" bottom="0" percent="0" rank="0" text="" dxfId="12">
      <formula>AND(A4&lt;&gt;"",COUNTIF($A$4:$A$50000,A4)&gt;1)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4" min="3" style="1" width="22"/>
  </cols>
  <sheetData>
    <row r="2" customFormat="false" ht="15" hidden="false" customHeight="true" outlineLevel="0" collapsed="false">
      <c r="B2" s="2" t="s">
        <v>70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2"/>
      <c r="C3" s="2"/>
      <c r="D3" s="2"/>
      <c r="E3" s="2"/>
      <c r="F3" s="2"/>
      <c r="G3" s="2"/>
    </row>
    <row r="5" customFormat="false" ht="15" hidden="false" customHeight="true" outlineLevel="0" collapsed="false">
      <c r="B5" s="41" t="s">
        <v>71</v>
      </c>
      <c r="C5" s="42" t="n">
        <f aca="false">ANIO_ACTUAL</f>
        <v>2025</v>
      </c>
    </row>
    <row r="7" customFormat="false" ht="15" hidden="false" customHeight="true" outlineLevel="0" collapsed="false">
      <c r="B7" s="43" t="s">
        <v>72</v>
      </c>
      <c r="C7" s="43" t="s">
        <v>73</v>
      </c>
    </row>
    <row r="8" customFormat="false" ht="15" hidden="false" customHeight="true" outlineLevel="0" collapsed="false">
      <c r="B8" s="40" t="s">
        <v>74</v>
      </c>
      <c r="C8" s="44" t="n">
        <f aca="false">COUNTA(tblCTF[Activo Fijo])</f>
        <v>7</v>
      </c>
    </row>
    <row r="9" customFormat="false" ht="15" hidden="false" customHeight="true" outlineLevel="0" collapsed="false">
      <c r="B9" s="40" t="s">
        <v>75</v>
      </c>
      <c r="C9" s="44" t="n">
        <f aca="false">COUNTIF(tblCTF[ALTA],"&gt;0")</f>
        <v>1</v>
      </c>
    </row>
    <row r="10" customFormat="false" ht="15" hidden="false" customHeight="true" outlineLevel="0" collapsed="false">
      <c r="B10" s="40" t="s">
        <v>76</v>
      </c>
      <c r="C10" s="44" t="n">
        <f aca="false">COUNTIF(tblCTF[BAJA],"&lt;0")</f>
        <v>2</v>
      </c>
    </row>
    <row r="11" customFormat="false" ht="15" hidden="false" customHeight="true" outlineLevel="0" collapsed="false">
      <c r="B11" s="40" t="s">
        <v>77</v>
      </c>
      <c r="C11" s="44" t="n">
        <f aca="false">SUMPRODUCT((YEAR(tblCTF[Fecha Adq])=ANIO_ACTUAL)*1)</f>
        <v>2</v>
      </c>
    </row>
    <row r="12" customFormat="false" ht="15" hidden="false" customHeight="true" outlineLevel="0" collapsed="false">
      <c r="B12" s="40" t="s">
        <v>78</v>
      </c>
      <c r="C12" s="44" t="n">
        <f aca="false">COUNTIF(tblCTF[Estado],"AGOTADA")</f>
        <v>2</v>
      </c>
    </row>
    <row r="13" customFormat="false" ht="15" hidden="false" customHeight="true" outlineLevel="0" collapsed="false">
      <c r="B13" s="40" t="s">
        <v>79</v>
      </c>
      <c r="C13" s="44" t="n">
        <f aca="false">COUNTIF(tblCTF[Estado],"ÚLTIMO AÑO")</f>
        <v>0</v>
      </c>
    </row>
    <row r="14" customFormat="false" ht="15" hidden="false" customHeight="true" outlineLevel="0" collapsed="false">
      <c r="B14" s="40" t="s">
        <v>80</v>
      </c>
      <c r="C14" s="44" t="n">
        <f aca="false">COUNTIF(tblCTF[Estado],"EN AMORTIZACIÓN")</f>
        <v>1</v>
      </c>
    </row>
    <row r="17" customFormat="false" ht="15" hidden="false" customHeight="true" outlineLevel="0" collapsed="false">
      <c r="B17" s="43" t="s">
        <v>81</v>
      </c>
      <c r="C17" s="43" t="s">
        <v>82</v>
      </c>
      <c r="D17" s="43" t="s">
        <v>83</v>
      </c>
    </row>
    <row r="18" customFormat="false" ht="15" hidden="false" customHeight="true" outlineLevel="0" collapsed="false">
      <c r="B18" s="40" t="s">
        <v>84</v>
      </c>
      <c r="C18" s="35" t="n">
        <f aca="false">SUM(tblCTF[VO al cierre])</f>
        <v>432636.52</v>
      </c>
      <c r="D18" s="35" t="n">
        <f aca="false">SUM(tblCTF[VO al cierre AxI])</f>
        <v>958879.437384032</v>
      </c>
    </row>
    <row r="19" customFormat="false" ht="15" hidden="false" customHeight="true" outlineLevel="0" collapsed="false">
      <c r="B19" s="40" t="s">
        <v>85</v>
      </c>
      <c r="C19" s="35" t="n">
        <f aca="false">SUM(tblCTF[ALTA])</f>
        <v>10000</v>
      </c>
      <c r="D19" s="45"/>
    </row>
    <row r="20" customFormat="false" ht="15" hidden="false" customHeight="true" outlineLevel="0" collapsed="false">
      <c r="B20" s="40" t="s">
        <v>86</v>
      </c>
      <c r="C20" s="35" t="n">
        <f aca="false">SUM(tblCTF[BAJA])</f>
        <v>-50198</v>
      </c>
      <c r="D20" s="45"/>
    </row>
    <row r="21" customFormat="false" ht="15" hidden="false" customHeight="true" outlineLevel="0" collapsed="false">
      <c r="B21" s="40" t="s">
        <v>87</v>
      </c>
      <c r="C21" s="35" t="n">
        <f aca="false">SUM(tblCTF[AA al inicio])</f>
        <v>196790.8</v>
      </c>
      <c r="D21" s="45"/>
    </row>
    <row r="22" customFormat="false" ht="15" hidden="false" customHeight="true" outlineLevel="0" collapsed="false">
      <c r="B22" s="46" t="s">
        <v>88</v>
      </c>
      <c r="C22" s="47" t="n">
        <f aca="false">SUM(tblCTF[AE — Amort Ej.])</f>
        <v>92422.5073076923</v>
      </c>
      <c r="D22" s="47" t="n">
        <f aca="false">SUM(tblCTF[AE AxI])</f>
        <v>144953.072292451</v>
      </c>
    </row>
    <row r="23" customFormat="false" ht="15" hidden="false" customHeight="true" outlineLevel="0" collapsed="false">
      <c r="B23" s="40" t="s">
        <v>89</v>
      </c>
      <c r="C23" s="35" t="n">
        <f aca="false">SUM(tblCTF[AB — Amort Baja])</f>
        <v>-44318.3888085911</v>
      </c>
      <c r="D23" s="45"/>
    </row>
    <row r="24" customFormat="false" ht="15" hidden="false" customHeight="true" outlineLevel="0" collapsed="false">
      <c r="B24" s="40" t="s">
        <v>90</v>
      </c>
      <c r="C24" s="35" t="n">
        <f aca="false">SUM(tblCTF[AA al cierre])</f>
        <v>244894.918499101</v>
      </c>
      <c r="D24" s="35" t="n">
        <f aca="false">SUM(tblCTF[AA cierre AxI])</f>
        <v>532082.573981959</v>
      </c>
    </row>
    <row r="25" customFormat="false" ht="15" hidden="false" customHeight="true" outlineLevel="0" collapsed="false">
      <c r="B25" s="40" t="s">
        <v>62</v>
      </c>
      <c r="C25" s="35" t="n">
        <f aca="false">SUM(tblCTF[VR al cierre])</f>
        <v>187741.601500899</v>
      </c>
      <c r="D25" s="35" t="n">
        <f aca="false">SUM(tblCTF[VR AxI])</f>
        <v>426796.863402073</v>
      </c>
    </row>
  </sheetData>
  <mergeCells count="1">
    <mergeCell ref="B2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12"/>
  </cols>
  <sheetData>
    <row r="2" customFormat="false" ht="15" hidden="false" customHeight="true" outlineLevel="0" collapsed="false">
      <c r="B2" s="2" t="s">
        <v>91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2"/>
      <c r="C3" s="2"/>
      <c r="D3" s="2"/>
      <c r="E3" s="2"/>
      <c r="F3" s="2"/>
      <c r="G3" s="2"/>
    </row>
    <row r="5" customFormat="false" ht="15" hidden="false" customHeight="true" outlineLevel="0" collapsed="false">
      <c r="B5" s="48" t="s">
        <v>92</v>
      </c>
      <c r="C5" s="48"/>
      <c r="D5" s="48"/>
      <c r="E5" s="48"/>
      <c r="F5" s="48"/>
      <c r="G5" s="48"/>
    </row>
    <row r="7" customFormat="false" ht="15" hidden="false" customHeight="true" outlineLevel="0" collapsed="false">
      <c r="B7" s="41" t="s">
        <v>93</v>
      </c>
      <c r="C7" s="42" t="n">
        <f aca="false">ANIO_ACTUAL</f>
        <v>2025</v>
      </c>
      <c r="E7" s="41" t="s">
        <v>11</v>
      </c>
      <c r="F7" s="42" t="n">
        <f aca="false">ANIO_LY</f>
        <v>2024</v>
      </c>
    </row>
    <row r="9" customFormat="false" ht="15" hidden="false" customHeight="true" outlineLevel="0" collapsed="false">
      <c r="B9" s="43" t="s">
        <v>81</v>
      </c>
      <c r="C9" s="43" t="s">
        <v>82</v>
      </c>
      <c r="D9" s="43" t="s">
        <v>83</v>
      </c>
    </row>
    <row r="10" customFormat="false" ht="15" hidden="false" customHeight="true" outlineLevel="0" collapsed="false">
      <c r="B10" s="40" t="s">
        <v>94</v>
      </c>
      <c r="C10" s="35" t="n">
        <f aca="false">SUMPRODUCT((tblCTF[Activo Fijo]&lt;&gt;"")*((IFERROR(YEAR(tblCTF[Fecha Adq]),0)&lt;=ANIO_LY)*((IFERROR(YEAR(tblCTF[Fecha Adq]),0)+tblCTF[VU]-1)&gt;=ANIO_LY))*IFERROR(tblCTF[Valor Origen]/tblCTF[VU],0))</f>
        <v>26526.2475641026</v>
      </c>
      <c r="D10" s="35" t="n">
        <f aca="false">SUMPRODUCT((tblCTF[Activo Fijo]&lt;&gt;"")*((IFERROR(YEAR(tblCTF[Fecha Adq]),0)&lt;=ANIO_LY)*((IFERROR(YEAR(tblCTF[Fecha Adq]),0)+tblCTF[VU]-1)&gt;=ANIO_LY))*IFERROR(tblCTF[Valor Origen]/tblCTF[VU],0)*IFERROR(IF(tblCTF[IPC Alta]=0,1,tblCTF[IPC Cierre]/tblCTF[IPC Alta]),1))</f>
        <v>156097.885808997</v>
      </c>
    </row>
    <row r="11" customFormat="false" ht="15" hidden="false" customHeight="true" outlineLevel="0" collapsed="false">
      <c r="B11" s="40" t="s">
        <v>95</v>
      </c>
      <c r="C11" s="35" t="n">
        <f aca="false">SUMPRODUCT((tblCTF[Activo Fijo]&lt;&gt;"")*(IFERROR(YEAR(tblCTF[Fecha Adq]),0)=ANIO_ACTUAL)*IFERROR(tblCTF[Valor Origen]/tblCTF[VU],0))+SUMPRODUCT((tblCTF[Activo Fijo]&lt;&gt;"")*IFERROR(tblCTF[ALTA]/tblCTF[VU],0))</f>
        <v>81086.4</v>
      </c>
      <c r="D11" s="35" t="n">
        <f aca="false">SUMPRODUCT((tblCTF[Activo Fijo]&lt;&gt;"")*(IFERROR(YEAR(tblCTF[Fecha Adq]),0)=ANIO_ACTUAL)*IFERROR(tblCTF[Valor Origen]/tblCTF[VU],0)*IFERROR(IF(tblCTF[IPC Alta]=0,1,tblCTF[IPC Cierre]/tblCTF[IPC Alta]),1))+SUMPRODUCT((tblCTF[Activo Fijo]&lt;&gt;"")*IFERROR(tblCTF[ALTA]/tblCTF[VU],0)*IFERROR(IF(tblCTF[IPC Alta]=0,1,tblCTF[IPC Cierre]/tblCTF[IPC Alta]),1))</f>
        <v>109130.752590485</v>
      </c>
    </row>
    <row r="12" customFormat="false" ht="15" hidden="false" customHeight="true" outlineLevel="0" collapsed="false">
      <c r="B12" s="40" t="s">
        <v>96</v>
      </c>
      <c r="C12" s="35" t="n">
        <f aca="false">SUMPRODUCT((tblCTF[Activo Fijo]&lt;&gt;"")*(((IFERROR(YEAR(tblCTF[Fecha Adq]),0)&lt;=ANIO_LY)*((IFERROR(YEAR(tblCTF[Fecha Adq]),0)+tblCTF[VU]-1)&gt;=ANIO_LY))+(IFERROR(YEAR(tblCTF[Fecha Adq]),0)=ANIO_ACTUAL))*IFERROR(tblCTF[BAJA]/tblCTF[VU],0))</f>
        <v>-1923.07692307692</v>
      </c>
      <c r="D12" s="35" t="n">
        <f aca="false">SUMPRODUCT((tblCTF[Activo Fijo]&lt;&gt;"")*(((IFERROR(YEAR(tblCTF[Fecha Adq]),0)&lt;=ANIO_LY)*((IFERROR(YEAR(tblCTF[Fecha Adq]),0)+tblCTF[VU]-1)&gt;=ANIO_LY))+(IFERROR(YEAR(tblCTF[Fecha Adq]),0)=ANIO_ACTUAL))*IFERROR(tblCTF[BAJA]/tblCTF[VU],0)*IFERROR(IF(tblCTF[IPC Alta]=0,1,tblCTF[IPC Cierre]/tblCTF[IPC Alta]),1))</f>
        <v>-1923.07692307692</v>
      </c>
    </row>
    <row r="13" customFormat="false" ht="15" hidden="false" customHeight="true" outlineLevel="0" collapsed="false">
      <c r="B13" s="40" t="s">
        <v>97</v>
      </c>
      <c r="C13" s="35" t="n">
        <f aca="false">-SUMPRODUCT((tblCTF[Activo Fijo]&lt;&gt;"")*((IFERROR(YEAR(tblCTF[Fecha Adq]),0)+tblCTF[VU]-1)=ANIO_LY)*IFERROR(tblCTF[Valor Origen]/tblCTF[VU],0))</f>
        <v>-13267.0633333333</v>
      </c>
      <c r="D13" s="35" t="n">
        <f aca="false">-SUMPRODUCT((tblCTF[Activo Fijo]&lt;&gt;"")*((IFERROR(YEAR(tblCTF[Fecha Adq]),0)+tblCTF[VU]-1)=ANIO_LY)*IFERROR(tblCTF[Valor Origen]/tblCTF[VU],0)*IFERROR(IF(tblCTF[IPC Alta]=0,1,tblCTF[IPC Cierre]/tblCTF[IPC Alta]),1))</f>
        <v>-118352.489183955</v>
      </c>
    </row>
    <row r="15" customFormat="false" ht="15" hidden="false" customHeight="true" outlineLevel="0" collapsed="false">
      <c r="B15" s="49" t="s">
        <v>98</v>
      </c>
      <c r="C15" s="50" t="n">
        <f aca="false">SUM(C10:C13)</f>
        <v>92422.5073076923</v>
      </c>
      <c r="D15" s="50" t="n">
        <f aca="false">SUM(D10:D13)</f>
        <v>144953.072292451</v>
      </c>
    </row>
    <row r="17" customFormat="false" ht="15" hidden="false" customHeight="true" outlineLevel="0" collapsed="false">
      <c r="B17" s="49" t="s">
        <v>99</v>
      </c>
      <c r="C17" s="50" t="n">
        <f aca="false">SUM(tblCTF[AE — Amort Ej.])</f>
        <v>92422.5073076923</v>
      </c>
      <c r="D17" s="50" t="n">
        <f aca="false">SUM(tblCTF[AE AxI])</f>
        <v>144953.072292451</v>
      </c>
    </row>
    <row r="19" customFormat="false" ht="15" hidden="false" customHeight="true" outlineLevel="0" collapsed="false">
      <c r="B19" s="51" t="s">
        <v>100</v>
      </c>
      <c r="C19" s="52" t="n">
        <f aca="false">C15-C17</f>
        <v>0</v>
      </c>
      <c r="D19" s="52" t="n">
        <f aca="false">D15-D17</f>
        <v>0</v>
      </c>
      <c r="E19" s="53" t="str">
        <f aca="false">IF(ABS(C19)&lt;0.5,"✅ OK","❌ NO CUADRA")</f>
        <v>✅ OK</v>
      </c>
      <c r="F19" s="53" t="str">
        <f aca="false">IF(ABS(D19)&lt;0.5,"✅ OK","❌ NO CUADRA")</f>
        <v>✅ OK</v>
      </c>
    </row>
    <row r="22" customFormat="false" ht="15" hidden="false" customHeight="true" outlineLevel="0" collapsed="false">
      <c r="B22" s="54" t="s">
        <v>101</v>
      </c>
    </row>
    <row r="23" customFormat="false" ht="15" hidden="false" customHeight="true" outlineLevel="0" collapsed="false">
      <c r="B23" s="12" t="s">
        <v>102</v>
      </c>
      <c r="C23" s="12"/>
      <c r="D23" s="12"/>
      <c r="E23" s="12"/>
      <c r="F23" s="12"/>
    </row>
    <row r="24" customFormat="false" ht="15" hidden="false" customHeight="true" outlineLevel="0" collapsed="false">
      <c r="B24" s="12" t="s">
        <v>103</v>
      </c>
      <c r="C24" s="12"/>
      <c r="D24" s="12"/>
      <c r="E24" s="12"/>
      <c r="F24" s="12"/>
    </row>
    <row r="25" customFormat="false" ht="15" hidden="false" customHeight="true" outlineLevel="0" collapsed="false">
      <c r="B25" s="12" t="s">
        <v>104</v>
      </c>
      <c r="C25" s="12"/>
      <c r="D25" s="12"/>
      <c r="E25" s="12"/>
      <c r="F25" s="12"/>
    </row>
    <row r="26" customFormat="false" ht="15" hidden="false" customHeight="true" outlineLevel="0" collapsed="false">
      <c r="B26" s="12" t="s">
        <v>105</v>
      </c>
      <c r="C26" s="12"/>
      <c r="D26" s="12"/>
      <c r="E26" s="12"/>
      <c r="F26" s="12"/>
    </row>
    <row r="27" customFormat="false" ht="15" hidden="false" customHeight="true" outlineLevel="0" collapsed="false">
      <c r="B27" s="12" t="s">
        <v>106</v>
      </c>
      <c r="C27" s="12"/>
      <c r="D27" s="12"/>
      <c r="E27" s="12"/>
      <c r="F27" s="12"/>
    </row>
  </sheetData>
  <mergeCells count="7">
    <mergeCell ref="B2:G3"/>
    <mergeCell ref="B5:G5"/>
    <mergeCell ref="B23:F23"/>
    <mergeCell ref="B24:F24"/>
    <mergeCell ref="B25:F25"/>
    <mergeCell ref="B26:F26"/>
    <mergeCell ref="B27:F27"/>
  </mergeCells>
  <conditionalFormatting sqref="C19:D19">
    <cfRule type="cellIs" priority="2" operator="notBetween" aboveAverage="0" equalAverage="0" bottom="0" percent="0" rank="0" text="" dxfId="4">
      <formula>-0.5</formula>
      <formula>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6"/>
  </cols>
  <sheetData>
    <row r="1" customFormat="false" ht="15" hidden="false" customHeight="true" outlineLevel="0" collapsed="false">
      <c r="A1" s="55" t="s">
        <v>107</v>
      </c>
      <c r="B1" s="55" t="s">
        <v>108</v>
      </c>
      <c r="C1" s="55" t="s">
        <v>109</v>
      </c>
    </row>
    <row r="2" customFormat="false" ht="15" hidden="false" customHeight="true" outlineLevel="0" collapsed="false">
      <c r="A2" s="56" t="s">
        <v>110</v>
      </c>
      <c r="B2" s="57" t="n">
        <v>43070</v>
      </c>
      <c r="C2" s="58" t="n">
        <v>124.7956</v>
      </c>
    </row>
    <row r="3" customFormat="false" ht="15" hidden="false" customHeight="true" outlineLevel="0" collapsed="false">
      <c r="A3" s="56" t="s">
        <v>111</v>
      </c>
      <c r="B3" s="57" t="n">
        <v>43101</v>
      </c>
      <c r="C3" s="58" t="n">
        <v>126.9887</v>
      </c>
    </row>
    <row r="4" customFormat="false" ht="15" hidden="false" customHeight="true" outlineLevel="0" collapsed="false">
      <c r="A4" s="56" t="s">
        <v>112</v>
      </c>
      <c r="B4" s="57" t="n">
        <v>43132</v>
      </c>
      <c r="C4" s="58" t="n">
        <v>130.0606</v>
      </c>
    </row>
    <row r="5" customFormat="false" ht="15" hidden="false" customHeight="true" outlineLevel="0" collapsed="false">
      <c r="A5" s="56" t="s">
        <v>113</v>
      </c>
      <c r="B5" s="57" t="n">
        <v>43160</v>
      </c>
      <c r="C5" s="58" t="n">
        <v>133.1054</v>
      </c>
    </row>
    <row r="6" customFormat="false" ht="15" hidden="false" customHeight="true" outlineLevel="0" collapsed="false">
      <c r="A6" s="56" t="s">
        <v>114</v>
      </c>
      <c r="B6" s="57" t="n">
        <v>43191</v>
      </c>
      <c r="C6" s="58" t="n">
        <v>136.7512</v>
      </c>
    </row>
    <row r="7" customFormat="false" ht="15" hidden="false" customHeight="true" outlineLevel="0" collapsed="false">
      <c r="A7" s="56" t="s">
        <v>115</v>
      </c>
      <c r="B7" s="57" t="n">
        <v>43221</v>
      </c>
      <c r="C7" s="58" t="n">
        <v>139.5893</v>
      </c>
    </row>
    <row r="8" customFormat="false" ht="15" hidden="false" customHeight="true" outlineLevel="0" collapsed="false">
      <c r="A8" s="56" t="s">
        <v>116</v>
      </c>
      <c r="B8" s="57" t="n">
        <v>43252</v>
      </c>
      <c r="C8" s="58" t="n">
        <v>144.8053</v>
      </c>
    </row>
    <row r="9" customFormat="false" ht="15" hidden="false" customHeight="true" outlineLevel="0" collapsed="false">
      <c r="A9" s="56" t="s">
        <v>117</v>
      </c>
      <c r="B9" s="57" t="n">
        <v>43282</v>
      </c>
      <c r="C9" s="58" t="n">
        <v>149.2966</v>
      </c>
    </row>
    <row r="10" customFormat="false" ht="15" hidden="false" customHeight="true" outlineLevel="0" collapsed="false">
      <c r="A10" s="56" t="s">
        <v>118</v>
      </c>
      <c r="B10" s="57" t="n">
        <v>43313</v>
      </c>
      <c r="C10" s="58" t="n">
        <v>155.1034</v>
      </c>
    </row>
    <row r="11" customFormat="false" ht="15" hidden="false" customHeight="true" outlineLevel="0" collapsed="false">
      <c r="A11" s="56" t="s">
        <v>119</v>
      </c>
      <c r="B11" s="57" t="n">
        <v>43344</v>
      </c>
      <c r="C11" s="58" t="n">
        <v>165.2383</v>
      </c>
    </row>
    <row r="12" customFormat="false" ht="15" hidden="false" customHeight="true" outlineLevel="0" collapsed="false">
      <c r="A12" s="56" t="s">
        <v>120</v>
      </c>
      <c r="B12" s="57" t="n">
        <v>43374</v>
      </c>
      <c r="C12" s="58" t="n">
        <v>174.1473</v>
      </c>
    </row>
    <row r="13" customFormat="false" ht="15" hidden="false" customHeight="true" outlineLevel="0" collapsed="false">
      <c r="A13" s="56" t="s">
        <v>121</v>
      </c>
      <c r="B13" s="57" t="n">
        <v>43405</v>
      </c>
      <c r="C13" s="58" t="n">
        <v>179.6388</v>
      </c>
    </row>
    <row r="14" customFormat="false" ht="15" hidden="false" customHeight="true" outlineLevel="0" collapsed="false">
      <c r="A14" s="56" t="s">
        <v>122</v>
      </c>
      <c r="B14" s="57" t="n">
        <v>43435</v>
      </c>
      <c r="C14" s="58" t="n">
        <v>184.2552</v>
      </c>
    </row>
    <row r="15" customFormat="false" ht="15" hidden="false" customHeight="true" outlineLevel="0" collapsed="false">
      <c r="A15" s="56" t="s">
        <v>123</v>
      </c>
      <c r="B15" s="57" t="n">
        <v>43466</v>
      </c>
      <c r="C15" s="58" t="n">
        <v>189.6101</v>
      </c>
    </row>
    <row r="16" customFormat="false" ht="15" hidden="false" customHeight="true" outlineLevel="0" collapsed="false">
      <c r="A16" s="56" t="s">
        <v>124</v>
      </c>
      <c r="B16" s="57" t="n">
        <v>43497</v>
      </c>
      <c r="C16" s="58" t="n">
        <v>196.7501</v>
      </c>
    </row>
    <row r="17" customFormat="false" ht="15" hidden="false" customHeight="true" outlineLevel="0" collapsed="false">
      <c r="A17" s="56" t="s">
        <v>125</v>
      </c>
      <c r="B17" s="57" t="n">
        <v>43525</v>
      </c>
      <c r="C17" s="58" t="n">
        <v>205.9571</v>
      </c>
    </row>
    <row r="18" customFormat="false" ht="15" hidden="false" customHeight="true" outlineLevel="0" collapsed="false">
      <c r="A18" s="56" t="s">
        <v>126</v>
      </c>
      <c r="B18" s="57" t="n">
        <v>43556</v>
      </c>
      <c r="C18" s="58" t="n">
        <v>213.0517</v>
      </c>
    </row>
    <row r="19" customFormat="false" ht="15" hidden="false" customHeight="true" outlineLevel="0" collapsed="false">
      <c r="A19" s="56" t="s">
        <v>127</v>
      </c>
      <c r="B19" s="57" t="n">
        <v>43586</v>
      </c>
      <c r="C19" s="58" t="n">
        <v>219.5691</v>
      </c>
    </row>
    <row r="20" customFormat="false" ht="15" hidden="false" customHeight="true" outlineLevel="0" collapsed="false">
      <c r="A20" s="56" t="s">
        <v>128</v>
      </c>
      <c r="B20" s="57" t="n">
        <v>43617</v>
      </c>
      <c r="C20" s="58" t="n">
        <v>225.537</v>
      </c>
    </row>
    <row r="21" customFormat="false" ht="15" hidden="false" customHeight="true" outlineLevel="0" collapsed="false">
      <c r="A21" s="56" t="s">
        <v>129</v>
      </c>
      <c r="B21" s="57" t="n">
        <v>43647</v>
      </c>
      <c r="C21" s="58" t="n">
        <v>230.494</v>
      </c>
    </row>
    <row r="22" customFormat="false" ht="15" hidden="false" customHeight="true" outlineLevel="0" collapsed="false">
      <c r="A22" s="56" t="s">
        <v>130</v>
      </c>
      <c r="B22" s="57" t="n">
        <v>43678</v>
      </c>
      <c r="C22" s="58" t="n">
        <v>239.6077</v>
      </c>
    </row>
    <row r="23" customFormat="false" ht="15" hidden="false" customHeight="true" outlineLevel="0" collapsed="false">
      <c r="A23" s="56" t="s">
        <v>131</v>
      </c>
      <c r="B23" s="57" t="n">
        <v>43709</v>
      </c>
      <c r="C23" s="58" t="n">
        <v>253.7102</v>
      </c>
    </row>
    <row r="24" customFormat="false" ht="15" hidden="false" customHeight="true" outlineLevel="0" collapsed="false">
      <c r="A24" s="56" t="s">
        <v>132</v>
      </c>
      <c r="B24" s="57" t="n">
        <v>43739</v>
      </c>
      <c r="C24" s="58" t="n">
        <v>262.0661</v>
      </c>
    </row>
    <row r="25" customFormat="false" ht="15" hidden="false" customHeight="true" outlineLevel="0" collapsed="false">
      <c r="A25" s="56" t="s">
        <v>133</v>
      </c>
      <c r="B25" s="57" t="n">
        <v>43770</v>
      </c>
      <c r="C25" s="58" t="n">
        <v>273.2158</v>
      </c>
    </row>
    <row r="26" customFormat="false" ht="15" hidden="false" customHeight="true" outlineLevel="0" collapsed="false">
      <c r="A26" s="56" t="s">
        <v>134</v>
      </c>
      <c r="B26" s="57" t="n">
        <v>43800</v>
      </c>
      <c r="C26" s="58" t="n">
        <v>283.4442</v>
      </c>
    </row>
    <row r="27" customFormat="false" ht="15" hidden="false" customHeight="true" outlineLevel="0" collapsed="false">
      <c r="A27" s="56" t="s">
        <v>135</v>
      </c>
      <c r="B27" s="57" t="n">
        <v>43831</v>
      </c>
      <c r="C27" s="58" t="n">
        <v>289.8299</v>
      </c>
    </row>
    <row r="28" customFormat="false" ht="15" hidden="false" customHeight="true" outlineLevel="0" collapsed="false">
      <c r="A28" s="56" t="s">
        <v>136</v>
      </c>
      <c r="B28" s="57" t="n">
        <v>43862</v>
      </c>
      <c r="C28" s="58" t="n">
        <v>295.666</v>
      </c>
    </row>
    <row r="29" customFormat="false" ht="15" hidden="false" customHeight="true" outlineLevel="0" collapsed="false">
      <c r="A29" s="56" t="s">
        <v>137</v>
      </c>
      <c r="B29" s="57" t="n">
        <v>43891</v>
      </c>
      <c r="C29" s="58" t="n">
        <v>305.5515</v>
      </c>
    </row>
    <row r="30" customFormat="false" ht="15" hidden="false" customHeight="true" outlineLevel="0" collapsed="false">
      <c r="A30" s="56" t="s">
        <v>138</v>
      </c>
      <c r="B30" s="57" t="n">
        <v>43922</v>
      </c>
      <c r="C30" s="58" t="n">
        <v>310.1243</v>
      </c>
    </row>
    <row r="31" customFormat="false" ht="15" hidden="false" customHeight="true" outlineLevel="0" collapsed="false">
      <c r="A31" s="56" t="s">
        <v>139</v>
      </c>
      <c r="B31" s="57" t="n">
        <v>43952</v>
      </c>
      <c r="C31" s="58" t="n">
        <v>314.9087</v>
      </c>
    </row>
    <row r="32" customFormat="false" ht="15" hidden="false" customHeight="true" outlineLevel="0" collapsed="false">
      <c r="A32" s="56" t="s">
        <v>140</v>
      </c>
      <c r="B32" s="57" t="n">
        <v>43983</v>
      </c>
      <c r="C32" s="58" t="n">
        <v>321.9738</v>
      </c>
    </row>
    <row r="33" customFormat="false" ht="15" hidden="false" customHeight="true" outlineLevel="0" collapsed="false">
      <c r="A33" s="56" t="s">
        <v>141</v>
      </c>
      <c r="B33" s="57" t="n">
        <v>44013</v>
      </c>
      <c r="C33" s="58" t="n">
        <v>328.2014</v>
      </c>
    </row>
    <row r="34" customFormat="false" ht="15" hidden="false" customHeight="true" outlineLevel="0" collapsed="false">
      <c r="A34" s="56" t="s">
        <v>142</v>
      </c>
      <c r="B34" s="57" t="n">
        <v>44044</v>
      </c>
      <c r="C34" s="58" t="n">
        <v>337.0632</v>
      </c>
    </row>
    <row r="35" customFormat="false" ht="15" hidden="false" customHeight="true" outlineLevel="0" collapsed="false">
      <c r="A35" s="56" t="s">
        <v>143</v>
      </c>
      <c r="B35" s="57" t="n">
        <v>44075</v>
      </c>
      <c r="C35" s="58" t="n">
        <v>346.6207</v>
      </c>
    </row>
    <row r="36" customFormat="false" ht="15" hidden="false" customHeight="true" outlineLevel="0" collapsed="false">
      <c r="A36" s="56" t="s">
        <v>144</v>
      </c>
      <c r="B36" s="57" t="n">
        <v>44105</v>
      </c>
      <c r="C36" s="58" t="n">
        <v>359.657</v>
      </c>
    </row>
    <row r="37" customFormat="false" ht="15" hidden="false" customHeight="true" outlineLevel="0" collapsed="false">
      <c r="A37" s="56" t="s">
        <v>145</v>
      </c>
      <c r="B37" s="57" t="n">
        <v>44136</v>
      </c>
      <c r="C37" s="58" t="n">
        <v>371.0211</v>
      </c>
    </row>
    <row r="38" customFormat="false" ht="15" hidden="false" customHeight="true" outlineLevel="0" collapsed="false">
      <c r="A38" s="56" t="s">
        <v>146</v>
      </c>
      <c r="B38" s="57" t="n">
        <v>44166</v>
      </c>
      <c r="C38" s="58" t="n">
        <v>385.8826</v>
      </c>
    </row>
    <row r="39" customFormat="false" ht="15" hidden="false" customHeight="true" outlineLevel="0" collapsed="false">
      <c r="A39" s="56" t="s">
        <v>147</v>
      </c>
      <c r="B39" s="57" t="n">
        <v>44197</v>
      </c>
      <c r="C39" s="58" t="n">
        <v>401.5071</v>
      </c>
    </row>
    <row r="40" customFormat="false" ht="15" hidden="false" customHeight="true" outlineLevel="0" collapsed="false">
      <c r="A40" s="56" t="s">
        <v>148</v>
      </c>
      <c r="B40" s="57" t="n">
        <v>44228</v>
      </c>
      <c r="C40" s="58" t="n">
        <v>415.8595</v>
      </c>
    </row>
    <row r="41" customFormat="false" ht="15" hidden="false" customHeight="true" outlineLevel="0" collapsed="false">
      <c r="A41" s="56" t="s">
        <v>149</v>
      </c>
      <c r="B41" s="57" t="n">
        <v>44256</v>
      </c>
      <c r="C41" s="58" t="n">
        <v>435.8657</v>
      </c>
    </row>
    <row r="42" customFormat="false" ht="15" hidden="false" customHeight="true" outlineLevel="0" collapsed="false">
      <c r="A42" s="56" t="s">
        <v>150</v>
      </c>
      <c r="B42" s="57" t="n">
        <v>44287</v>
      </c>
      <c r="C42" s="58" t="n">
        <v>453.6503</v>
      </c>
    </row>
    <row r="43" customFormat="false" ht="15" hidden="false" customHeight="true" outlineLevel="0" collapsed="false">
      <c r="A43" s="56" t="s">
        <v>151</v>
      </c>
      <c r="B43" s="57" t="n">
        <v>44317</v>
      </c>
      <c r="C43" s="58" t="n">
        <v>468.725</v>
      </c>
    </row>
    <row r="44" customFormat="false" ht="15" hidden="false" customHeight="true" outlineLevel="0" collapsed="false">
      <c r="A44" s="56" t="s">
        <v>152</v>
      </c>
      <c r="B44" s="57" t="n">
        <v>44348</v>
      </c>
      <c r="C44" s="58" t="n">
        <v>483.6049</v>
      </c>
    </row>
    <row r="45" customFormat="false" ht="15" hidden="false" customHeight="true" outlineLevel="0" collapsed="false">
      <c r="A45" s="56" t="s">
        <v>153</v>
      </c>
      <c r="B45" s="57" t="n">
        <v>44378</v>
      </c>
      <c r="C45" s="58" t="n">
        <v>498.0987</v>
      </c>
    </row>
    <row r="46" customFormat="false" ht="15" hidden="false" customHeight="true" outlineLevel="0" collapsed="false">
      <c r="A46" s="56" t="s">
        <v>154</v>
      </c>
      <c r="B46" s="57" t="n">
        <v>44409</v>
      </c>
      <c r="C46" s="58" t="n">
        <v>510.3942</v>
      </c>
    </row>
    <row r="47" customFormat="false" ht="15" hidden="false" customHeight="true" outlineLevel="0" collapsed="false">
      <c r="A47" s="56" t="s">
        <v>155</v>
      </c>
      <c r="B47" s="57" t="n">
        <v>44440</v>
      </c>
      <c r="C47" s="58" t="n">
        <v>528.4968</v>
      </c>
    </row>
    <row r="48" customFormat="false" ht="15" hidden="false" customHeight="true" outlineLevel="0" collapsed="false">
      <c r="A48" s="56" t="s">
        <v>156</v>
      </c>
      <c r="B48" s="57" t="n">
        <v>44470</v>
      </c>
      <c r="C48" s="58" t="n">
        <v>547.0802</v>
      </c>
    </row>
    <row r="49" customFormat="false" ht="15" hidden="false" customHeight="true" outlineLevel="0" collapsed="false">
      <c r="A49" s="56" t="s">
        <v>157</v>
      </c>
      <c r="B49" s="57" t="n">
        <v>44501</v>
      </c>
      <c r="C49" s="58" t="n">
        <v>560.9184</v>
      </c>
    </row>
    <row r="50" customFormat="false" ht="15" hidden="false" customHeight="true" outlineLevel="0" collapsed="false">
      <c r="A50" s="56" t="s">
        <v>158</v>
      </c>
      <c r="B50" s="57" t="n">
        <v>44531</v>
      </c>
      <c r="C50" s="58" t="n">
        <v>582.4575</v>
      </c>
    </row>
    <row r="51" customFormat="false" ht="15" hidden="false" customHeight="true" outlineLevel="0" collapsed="false">
      <c r="A51" s="56" t="s">
        <v>159</v>
      </c>
      <c r="B51" s="57" t="n">
        <v>44562</v>
      </c>
      <c r="C51" s="58" t="n">
        <v>605.0317</v>
      </c>
    </row>
    <row r="52" customFormat="false" ht="15" hidden="false" customHeight="true" outlineLevel="0" collapsed="false">
      <c r="A52" s="56" t="s">
        <v>160</v>
      </c>
      <c r="B52" s="57" t="n">
        <v>44593</v>
      </c>
      <c r="C52" s="58" t="n">
        <v>633.4341</v>
      </c>
    </row>
    <row r="53" customFormat="false" ht="15" hidden="false" customHeight="true" outlineLevel="0" collapsed="false">
      <c r="A53" s="56" t="s">
        <v>161</v>
      </c>
      <c r="B53" s="57" t="n">
        <v>44621</v>
      </c>
      <c r="C53" s="58" t="n">
        <v>676.0566</v>
      </c>
    </row>
    <row r="54" customFormat="false" ht="15" hidden="false" customHeight="true" outlineLevel="0" collapsed="false">
      <c r="A54" s="56" t="s">
        <v>162</v>
      </c>
      <c r="B54" s="57" t="n">
        <v>44652</v>
      </c>
      <c r="C54" s="58" t="n">
        <v>716.9399</v>
      </c>
    </row>
    <row r="55" customFormat="false" ht="15" hidden="false" customHeight="true" outlineLevel="0" collapsed="false">
      <c r="A55" s="56" t="s">
        <v>163</v>
      </c>
      <c r="B55" s="57" t="n">
        <v>44682</v>
      </c>
      <c r="C55" s="58" t="n">
        <v>753.147</v>
      </c>
    </row>
    <row r="56" customFormat="false" ht="15" hidden="false" customHeight="true" outlineLevel="0" collapsed="false">
      <c r="A56" s="56" t="s">
        <v>164</v>
      </c>
      <c r="B56" s="57" t="n">
        <v>44713</v>
      </c>
      <c r="C56" s="58" t="n">
        <v>793.0278</v>
      </c>
    </row>
    <row r="57" customFormat="false" ht="15" hidden="false" customHeight="true" outlineLevel="0" collapsed="false">
      <c r="A57" s="56" t="s">
        <v>165</v>
      </c>
      <c r="B57" s="57" t="n">
        <v>44743</v>
      </c>
      <c r="C57" s="58" t="n">
        <v>851.761</v>
      </c>
    </row>
    <row r="58" customFormat="false" ht="15" hidden="false" customHeight="true" outlineLevel="0" collapsed="false">
      <c r="A58" s="56" t="s">
        <v>166</v>
      </c>
      <c r="B58" s="57" t="n">
        <v>44774</v>
      </c>
      <c r="C58" s="58" t="n">
        <v>911.1316</v>
      </c>
    </row>
    <row r="59" customFormat="false" ht="15" hidden="false" customHeight="true" outlineLevel="0" collapsed="false">
      <c r="A59" s="56" t="s">
        <v>167</v>
      </c>
      <c r="B59" s="57" t="n">
        <v>44805</v>
      </c>
      <c r="C59" s="58" t="n">
        <v>967.3076</v>
      </c>
    </row>
    <row r="60" customFormat="false" ht="15" hidden="false" customHeight="true" outlineLevel="0" collapsed="false">
      <c r="A60" s="56" t="s">
        <v>168</v>
      </c>
      <c r="B60" s="57" t="n">
        <v>44835</v>
      </c>
      <c r="C60" s="58" t="n">
        <v>1028.706</v>
      </c>
    </row>
    <row r="61" customFormat="false" ht="15" hidden="false" customHeight="true" outlineLevel="0" collapsed="false">
      <c r="A61" s="56" t="s">
        <v>169</v>
      </c>
      <c r="B61" s="57" t="n">
        <v>44866</v>
      </c>
      <c r="C61" s="58" t="n">
        <v>1079.2787</v>
      </c>
    </row>
    <row r="62" customFormat="false" ht="15" hidden="false" customHeight="true" outlineLevel="0" collapsed="false">
      <c r="A62" s="56" t="s">
        <v>170</v>
      </c>
      <c r="B62" s="57" t="n">
        <v>44896</v>
      </c>
      <c r="C62" s="58" t="n">
        <v>1134.5875</v>
      </c>
    </row>
    <row r="63" customFormat="false" ht="15" hidden="false" customHeight="true" outlineLevel="0" collapsed="false">
      <c r="A63" s="56" t="s">
        <v>171</v>
      </c>
      <c r="B63" s="57" t="n">
        <v>44927</v>
      </c>
      <c r="C63" s="58" t="n">
        <v>1202.979</v>
      </c>
    </row>
    <row r="64" customFormat="false" ht="15" hidden="false" customHeight="true" outlineLevel="0" collapsed="false">
      <c r="A64" s="56" t="s">
        <v>172</v>
      </c>
      <c r="B64" s="57" t="n">
        <v>44958</v>
      </c>
      <c r="C64" s="58" t="n">
        <v>1282.7091</v>
      </c>
    </row>
    <row r="65" customFormat="false" ht="15" hidden="false" customHeight="true" outlineLevel="0" collapsed="false">
      <c r="A65" s="56" t="s">
        <v>173</v>
      </c>
      <c r="B65" s="57" t="n">
        <v>44986</v>
      </c>
      <c r="C65" s="58" t="n">
        <v>1381.1601</v>
      </c>
    </row>
    <row r="66" customFormat="false" ht="15" hidden="false" customHeight="true" outlineLevel="0" collapsed="false">
      <c r="A66" s="56" t="s">
        <v>174</v>
      </c>
      <c r="B66" s="57" t="n">
        <v>45017</v>
      </c>
      <c r="C66" s="58" t="n">
        <v>1497.2147</v>
      </c>
    </row>
    <row r="67" customFormat="false" ht="15" hidden="false" customHeight="true" outlineLevel="0" collapsed="false">
      <c r="A67" s="56" t="s">
        <v>175</v>
      </c>
      <c r="B67" s="57" t="n">
        <v>45047</v>
      </c>
      <c r="C67" s="58" t="n">
        <v>1613.5895</v>
      </c>
    </row>
    <row r="68" customFormat="false" ht="15" hidden="false" customHeight="true" outlineLevel="0" collapsed="false">
      <c r="A68" s="56" t="s">
        <v>176</v>
      </c>
      <c r="B68" s="57" t="n">
        <v>45078</v>
      </c>
      <c r="C68" s="58" t="n">
        <v>1709.6115</v>
      </c>
    </row>
    <row r="69" customFormat="false" ht="15" hidden="false" customHeight="true" outlineLevel="0" collapsed="false">
      <c r="A69" s="56" t="s">
        <v>177</v>
      </c>
      <c r="B69" s="57" t="n">
        <v>45108</v>
      </c>
      <c r="C69" s="58" t="n">
        <v>1818.0838</v>
      </c>
    </row>
    <row r="70" customFormat="false" ht="15" hidden="false" customHeight="true" outlineLevel="0" collapsed="false">
      <c r="A70" s="56" t="s">
        <v>178</v>
      </c>
      <c r="B70" s="57" t="n">
        <v>45139</v>
      </c>
      <c r="C70" s="58" t="n">
        <v>2044.2832</v>
      </c>
    </row>
    <row r="71" customFormat="false" ht="15" hidden="false" customHeight="true" outlineLevel="0" collapsed="false">
      <c r="A71" s="56" t="s">
        <v>179</v>
      </c>
      <c r="B71" s="57" t="n">
        <v>45170</v>
      </c>
      <c r="C71" s="58" t="n">
        <v>2304.9242</v>
      </c>
    </row>
    <row r="72" customFormat="false" ht="15" hidden="false" customHeight="true" outlineLevel="0" collapsed="false">
      <c r="A72" s="56" t="s">
        <v>180</v>
      </c>
      <c r="B72" s="57" t="n">
        <v>45200</v>
      </c>
      <c r="C72" s="58" t="n">
        <v>2496.273</v>
      </c>
    </row>
    <row r="73" customFormat="false" ht="15" hidden="false" customHeight="true" outlineLevel="0" collapsed="false">
      <c r="A73" s="56" t="s">
        <v>181</v>
      </c>
      <c r="B73" s="57" t="n">
        <v>45231</v>
      </c>
      <c r="C73" s="58" t="n">
        <v>2816.0628</v>
      </c>
    </row>
    <row r="74" customFormat="false" ht="15" hidden="false" customHeight="true" outlineLevel="0" collapsed="false">
      <c r="A74" s="56" t="s">
        <v>182</v>
      </c>
      <c r="B74" s="57" t="n">
        <v>45261</v>
      </c>
      <c r="C74" s="58" t="n">
        <v>3533.1922</v>
      </c>
    </row>
    <row r="75" customFormat="false" ht="15" hidden="false" customHeight="true" outlineLevel="0" collapsed="false">
      <c r="A75" s="56" t="s">
        <v>183</v>
      </c>
      <c r="B75" s="57" t="n">
        <v>45292</v>
      </c>
      <c r="C75" s="58" t="n">
        <v>4261.5324</v>
      </c>
    </row>
    <row r="76" customFormat="false" ht="15" hidden="false" customHeight="true" outlineLevel="0" collapsed="false">
      <c r="A76" s="56" t="s">
        <v>184</v>
      </c>
      <c r="B76" s="57" t="n">
        <v>45323</v>
      </c>
      <c r="C76" s="58" t="n">
        <v>4825.7881</v>
      </c>
    </row>
    <row r="77" customFormat="false" ht="15" hidden="false" customHeight="true" outlineLevel="0" collapsed="false">
      <c r="A77" s="56" t="s">
        <v>185</v>
      </c>
      <c r="B77" s="57" t="n">
        <v>45352</v>
      </c>
      <c r="C77" s="58" t="n">
        <v>5357.0929</v>
      </c>
    </row>
    <row r="78" customFormat="false" ht="15" hidden="false" customHeight="true" outlineLevel="0" collapsed="false">
      <c r="A78" s="56" t="s">
        <v>186</v>
      </c>
      <c r="B78" s="57" t="n">
        <v>45383</v>
      </c>
      <c r="C78" s="58" t="n">
        <v>5830.2271</v>
      </c>
    </row>
    <row r="79" customFormat="false" ht="15" hidden="false" customHeight="true" outlineLevel="0" collapsed="false">
      <c r="A79" s="56" t="s">
        <v>187</v>
      </c>
      <c r="B79" s="57" t="n">
        <v>45413</v>
      </c>
      <c r="C79" s="58" t="n">
        <v>6073.7165</v>
      </c>
    </row>
    <row r="80" customFormat="false" ht="15" hidden="false" customHeight="true" outlineLevel="0" collapsed="false">
      <c r="A80" s="56" t="s">
        <v>188</v>
      </c>
      <c r="B80" s="57" t="n">
        <v>45444</v>
      </c>
      <c r="C80" s="58" t="n">
        <v>6351.7145</v>
      </c>
    </row>
    <row r="81" customFormat="false" ht="15" hidden="false" customHeight="true" outlineLevel="0" collapsed="false">
      <c r="A81" s="56" t="s">
        <v>189</v>
      </c>
      <c r="B81" s="57" t="n">
        <v>45474</v>
      </c>
      <c r="C81" s="58" t="n">
        <v>6607.7479</v>
      </c>
    </row>
    <row r="82" customFormat="false" ht="15" hidden="false" customHeight="true" outlineLevel="0" collapsed="false">
      <c r="A82" s="56" t="s">
        <v>190</v>
      </c>
      <c r="B82" s="57" t="n">
        <v>45505</v>
      </c>
      <c r="C82" s="58" t="n">
        <v>6883.4412</v>
      </c>
    </row>
    <row r="83" customFormat="false" ht="15" hidden="false" customHeight="true" outlineLevel="0" collapsed="false">
      <c r="A83" s="56" t="s">
        <v>191</v>
      </c>
      <c r="B83" s="57" t="n">
        <v>45536</v>
      </c>
      <c r="C83" s="58" t="n">
        <v>7122.2421</v>
      </c>
    </row>
    <row r="84" customFormat="false" ht="15" hidden="false" customHeight="true" outlineLevel="0" collapsed="false">
      <c r="A84" s="56" t="s">
        <v>192</v>
      </c>
      <c r="B84" s="57" t="n">
        <v>45566</v>
      </c>
      <c r="C84" s="58" t="n">
        <v>7313.9542</v>
      </c>
    </row>
    <row r="85" customFormat="false" ht="15" hidden="false" customHeight="true" outlineLevel="0" collapsed="false">
      <c r="A85" s="56" t="s">
        <v>193</v>
      </c>
      <c r="B85" s="57" t="n">
        <v>45597</v>
      </c>
      <c r="C85" s="58" t="n">
        <v>7491.4314</v>
      </c>
    </row>
    <row r="86" customFormat="false" ht="15" hidden="false" customHeight="true" outlineLevel="0" collapsed="false">
      <c r="A86" s="56" t="s">
        <v>194</v>
      </c>
      <c r="B86" s="57" t="n">
        <v>45627</v>
      </c>
      <c r="C86" s="58" t="n">
        <v>7694.0075</v>
      </c>
    </row>
    <row r="87" customFormat="false" ht="15" hidden="false" customHeight="true" outlineLevel="0" collapsed="false">
      <c r="A87" s="56" t="s">
        <v>195</v>
      </c>
      <c r="B87" s="57" t="n">
        <v>45658</v>
      </c>
      <c r="C87" s="58" t="n">
        <v>7864.1257</v>
      </c>
    </row>
    <row r="88" customFormat="false" ht="15" hidden="false" customHeight="true" outlineLevel="0" collapsed="false">
      <c r="A88" s="56" t="s">
        <v>196</v>
      </c>
      <c r="B88" s="57" t="n">
        <v>45689</v>
      </c>
      <c r="C88" s="58" t="n">
        <v>8052.9927</v>
      </c>
    </row>
    <row r="89" customFormat="false" ht="15" hidden="false" customHeight="true" outlineLevel="0" collapsed="false">
      <c r="A89" s="56" t="s">
        <v>197</v>
      </c>
      <c r="B89" s="57" t="n">
        <v>45717</v>
      </c>
      <c r="C89" s="58" t="n">
        <v>8353.3158</v>
      </c>
    </row>
    <row r="90" customFormat="false" ht="15" hidden="false" customHeight="true" outlineLevel="0" collapsed="false">
      <c r="A90" s="56" t="s">
        <v>198</v>
      </c>
      <c r="B90" s="57" t="n">
        <v>45748</v>
      </c>
      <c r="C90" s="58" t="n">
        <v>8585.6078</v>
      </c>
    </row>
    <row r="91" customFormat="false" ht="15" hidden="false" customHeight="true" outlineLevel="0" collapsed="false">
      <c r="A91" s="56" t="s">
        <v>199</v>
      </c>
      <c r="B91" s="57" t="n">
        <v>45778</v>
      </c>
      <c r="C91" s="58" t="n">
        <v>8714.4871</v>
      </c>
    </row>
    <row r="92" customFormat="false" ht="15" hidden="false" customHeight="true" outlineLevel="0" collapsed="false">
      <c r="A92" s="56" t="s">
        <v>200</v>
      </c>
      <c r="B92" s="57" t="n">
        <v>45809</v>
      </c>
      <c r="C92" s="58" t="n">
        <v>8855.5681</v>
      </c>
    </row>
    <row r="93" customFormat="false" ht="15" hidden="false" customHeight="true" outlineLevel="0" collapsed="false">
      <c r="A93" s="56" t="s">
        <v>201</v>
      </c>
      <c r="B93" s="57" t="n">
        <v>45839</v>
      </c>
      <c r="C93" s="58" t="n">
        <v>9023.973</v>
      </c>
    </row>
    <row r="94" customFormat="false" ht="15" hidden="false" customHeight="true" outlineLevel="0" collapsed="false">
      <c r="A94" s="56" t="s">
        <v>202</v>
      </c>
      <c r="B94" s="57" t="n">
        <v>45870</v>
      </c>
      <c r="C94" s="58" t="n">
        <v>9193.2441</v>
      </c>
    </row>
    <row r="95" customFormat="false" ht="15" hidden="false" customHeight="true" outlineLevel="0" collapsed="false">
      <c r="A95" s="56" t="s">
        <v>203</v>
      </c>
      <c r="B95" s="57" t="n">
        <v>45901</v>
      </c>
      <c r="C95" s="58" t="n">
        <v>9384.0922</v>
      </c>
    </row>
    <row r="96" customFormat="false" ht="15" hidden="false" customHeight="true" outlineLevel="0" collapsed="false">
      <c r="A96" s="56" t="s">
        <v>204</v>
      </c>
      <c r="B96" s="57" t="n">
        <v>45931</v>
      </c>
      <c r="C96" s="58" t="n">
        <v>9603.8623</v>
      </c>
    </row>
    <row r="97" customFormat="false" ht="15" hidden="false" customHeight="true" outlineLevel="0" collapsed="false">
      <c r="A97" s="56" t="s">
        <v>205</v>
      </c>
      <c r="B97" s="57" t="n">
        <v>45962</v>
      </c>
      <c r="C97" s="58" t="n">
        <v>9841.3581</v>
      </c>
    </row>
    <row r="98" customFormat="false" ht="15" hidden="false" customHeight="true" outlineLevel="0" collapsed="false">
      <c r="A98" s="56" t="s">
        <v>206</v>
      </c>
      <c r="B98" s="57" t="n">
        <v>45992</v>
      </c>
      <c r="C98" s="58" t="n">
        <v>10121.4</v>
      </c>
    </row>
    <row r="99" customFormat="false" ht="15" hidden="false" customHeight="true" outlineLevel="0" collapsed="false">
      <c r="A99" s="56" t="s">
        <v>207</v>
      </c>
      <c r="B99" s="57" t="n">
        <v>46023</v>
      </c>
      <c r="C99" s="58" t="n">
        <v>10413.0309</v>
      </c>
    </row>
    <row r="100" customFormat="false" ht="15" hidden="false" customHeight="true" outlineLevel="0" collapsed="false">
      <c r="A100" s="56" t="s">
        <v>208</v>
      </c>
      <c r="B100" s="57" t="n">
        <v>46054</v>
      </c>
      <c r="C100" s="58" t="n">
        <v>10714.6255</v>
      </c>
    </row>
    <row r="101" customFormat="false" ht="15" hidden="false" customHeight="true" outlineLevel="0" collapsed="false">
      <c r="A101" s="56" t="s">
        <v>209</v>
      </c>
      <c r="B101" s="57" t="n">
        <v>46082</v>
      </c>
      <c r="C101" s="58" t="n">
        <v>11077.0608</v>
      </c>
    </row>
    <row r="102" customFormat="false" ht="15" hidden="false" customHeight="true" outlineLevel="0" collapsed="false">
      <c r="A102" s="56" t="s">
        <v>210</v>
      </c>
      <c r="B102" s="57" t="n">
        <v>46113</v>
      </c>
      <c r="C102" s="58" t="n">
        <v>11363.0904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2026-06-03T19:38:13Z</dcterms:created>
  <dc:creator>openpyxl</dc:creator>
  <dc:description/>
  <dc:language>en-US</dc:language>
  <cp:lastModifiedBy/>
  <dcterms:modified xsi:type="dcterms:W3CDTF">2026-06-03T19:38:15Z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