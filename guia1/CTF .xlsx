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bola\Documents\"/>
    </mc:Choice>
  </mc:AlternateContent>
  <xr:revisionPtr revIDLastSave="0" documentId="8_{D9996174-7309-4C1A-8BFC-4D01EA6E0617}" xr6:coauthVersionLast="47" xr6:coauthVersionMax="47" xr10:uidLastSave="{00000000-0000-0000-0000-000000000000}"/>
  <bookViews>
    <workbookView xWindow="-110" yWindow="-110" windowWidth="19420" windowHeight="10300" xr2:uid="{E0DA0FA2-2813-4F59-A2F2-94752F84A99C}"/>
  </bookViews>
  <sheets>
    <sheet name="CTF" sheetId="1" r:id="rId1"/>
    <sheet name="Sheet1" sheetId="3" r:id="rId2"/>
    <sheet name="IPC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L17" i="3"/>
  <c r="I17" i="3"/>
  <c r="K16" i="3"/>
  <c r="K15" i="3"/>
  <c r="K14" i="3"/>
  <c r="K13" i="3"/>
  <c r="K12" i="3"/>
  <c r="K11" i="3"/>
  <c r="K10" i="3"/>
  <c r="K9" i="3"/>
  <c r="K8" i="3"/>
  <c r="K7" i="3"/>
  <c r="E17" i="3"/>
  <c r="D17" i="3"/>
  <c r="G16" i="3"/>
  <c r="G15" i="3"/>
  <c r="G14" i="3"/>
  <c r="G13" i="3"/>
  <c r="G12" i="3"/>
  <c r="G11" i="3"/>
  <c r="G10" i="3"/>
  <c r="G9" i="3"/>
  <c r="G8" i="3"/>
  <c r="F7" i="3"/>
  <c r="F17" i="3" s="1"/>
  <c r="H9" i="1"/>
  <c r="X14" i="1"/>
  <c r="W14" i="1"/>
  <c r="AA13" i="1"/>
  <c r="AA12" i="1"/>
  <c r="AA11" i="1"/>
  <c r="AA10" i="1"/>
  <c r="AA9" i="1"/>
  <c r="AA8" i="1"/>
  <c r="AA7" i="1"/>
  <c r="AA6" i="1"/>
  <c r="AA5" i="1"/>
  <c r="AA4" i="1"/>
  <c r="Z13" i="1"/>
  <c r="Z12" i="1"/>
  <c r="Z10" i="1"/>
  <c r="Z9" i="1"/>
  <c r="Z8" i="1"/>
  <c r="Z7" i="1"/>
  <c r="Z6" i="1"/>
  <c r="Z5" i="1"/>
  <c r="Z11" i="1"/>
  <c r="Y13" i="1"/>
  <c r="Y12" i="1"/>
  <c r="Y11" i="1"/>
  <c r="Y10" i="1"/>
  <c r="Y8" i="1"/>
  <c r="Y7" i="1"/>
  <c r="Y6" i="1"/>
  <c r="Y5" i="1"/>
  <c r="U13" i="1"/>
  <c r="T13" i="1"/>
  <c r="S13" i="1"/>
  <c r="R13" i="1"/>
  <c r="U12" i="1"/>
  <c r="T12" i="1"/>
  <c r="S12" i="1"/>
  <c r="R12" i="1"/>
  <c r="U11" i="1"/>
  <c r="T11" i="1"/>
  <c r="S11" i="1"/>
  <c r="R11" i="1"/>
  <c r="U10" i="1"/>
  <c r="T10" i="1"/>
  <c r="S10" i="1"/>
  <c r="R10" i="1"/>
  <c r="R9" i="1"/>
  <c r="U8" i="1"/>
  <c r="T8" i="1"/>
  <c r="S8" i="1"/>
  <c r="R8" i="1"/>
  <c r="U7" i="1"/>
  <c r="T7" i="1"/>
  <c r="S7" i="1"/>
  <c r="R7" i="1"/>
  <c r="U6" i="1"/>
  <c r="T6" i="1"/>
  <c r="S6" i="1"/>
  <c r="R6" i="1"/>
  <c r="U5" i="1"/>
  <c r="T5" i="1"/>
  <c r="S5" i="1"/>
  <c r="R5" i="1"/>
  <c r="R4" i="1"/>
  <c r="Q13" i="1"/>
  <c r="Q12" i="1"/>
  <c r="Q11" i="1"/>
  <c r="Q10" i="1"/>
  <c r="Q9" i="1"/>
  <c r="Q8" i="1"/>
  <c r="Q7" i="1"/>
  <c r="Q6" i="1"/>
  <c r="Q5" i="1"/>
  <c r="Q4" i="1"/>
  <c r="P13" i="1"/>
  <c r="P12" i="1"/>
  <c r="P11" i="1"/>
  <c r="P10" i="1"/>
  <c r="P9" i="1"/>
  <c r="P8" i="1"/>
  <c r="P7" i="1"/>
  <c r="P6" i="1"/>
  <c r="P5" i="1"/>
  <c r="P4" i="1"/>
  <c r="O12" i="1"/>
  <c r="O9" i="1"/>
  <c r="O6" i="1"/>
  <c r="O5" i="1"/>
  <c r="O4" i="1"/>
  <c r="G7" i="3" l="1"/>
  <c r="G17" i="3" s="1"/>
  <c r="O7" i="1"/>
  <c r="O8" i="1"/>
  <c r="O10" i="1"/>
  <c r="O13" i="1"/>
  <c r="O11" i="1"/>
  <c r="J13" i="1" l="1"/>
  <c r="J12" i="1"/>
  <c r="J11" i="1"/>
  <c r="J10" i="1"/>
  <c r="J9" i="1"/>
  <c r="J8" i="1"/>
  <c r="J7" i="1"/>
  <c r="J6" i="1"/>
  <c r="J5" i="1"/>
  <c r="H13" i="1"/>
  <c r="L13" i="1" s="1"/>
  <c r="H12" i="1"/>
  <c r="L12" i="1" s="1"/>
  <c r="H11" i="1"/>
  <c r="L11" i="1" s="1"/>
  <c r="H10" i="1"/>
  <c r="L10" i="1" s="1"/>
  <c r="L9" i="1"/>
  <c r="H8" i="1"/>
  <c r="L8" i="1" s="1"/>
  <c r="H7" i="1"/>
  <c r="L7" i="1" s="1"/>
  <c r="H6" i="1"/>
  <c r="L6" i="1" s="1"/>
  <c r="H5" i="1"/>
  <c r="L5" i="1" s="1"/>
  <c r="H4" i="1"/>
  <c r="J4" i="1"/>
  <c r="Z4" i="1" s="1"/>
  <c r="S9" i="1" l="1"/>
  <c r="I9" i="1"/>
  <c r="M9" i="1" s="1"/>
  <c r="N9" i="1" s="1"/>
  <c r="I11" i="1"/>
  <c r="M11" i="1" s="1"/>
  <c r="N11" i="1" s="1"/>
  <c r="I12" i="1"/>
  <c r="M12" i="1" s="1"/>
  <c r="I7" i="1"/>
  <c r="M7" i="1" s="1"/>
  <c r="N7" i="1" s="1"/>
  <c r="N12" i="1"/>
  <c r="I10" i="1"/>
  <c r="M10" i="1" s="1"/>
  <c r="N10" i="1" s="1"/>
  <c r="I5" i="1"/>
  <c r="M5" i="1" s="1"/>
  <c r="N5" i="1" s="1"/>
  <c r="I13" i="1"/>
  <c r="M13" i="1" s="1"/>
  <c r="N13" i="1" s="1"/>
  <c r="I4" i="1"/>
  <c r="M4" i="1" s="1"/>
  <c r="L4" i="1"/>
  <c r="I6" i="1"/>
  <c r="M6" i="1" s="1"/>
  <c r="N6" i="1" s="1"/>
  <c r="I8" i="1"/>
  <c r="M8" i="1" s="1"/>
  <c r="N8" i="1" s="1"/>
  <c r="T4" i="1" l="1"/>
  <c r="Y4" i="1"/>
  <c r="S14" i="1"/>
  <c r="N4" i="1"/>
  <c r="U4" i="1" s="1"/>
  <c r="S4" i="1"/>
  <c r="L14" i="1"/>
  <c r="N14" i="1"/>
  <c r="U9" i="1"/>
  <c r="U14" i="1" s="1"/>
  <c r="M14" i="1"/>
  <c r="Y9" i="1"/>
  <c r="Y14" i="1" s="1"/>
  <c r="T9" i="1"/>
  <c r="T14" i="1" s="1"/>
</calcChain>
</file>

<file path=xl/sharedStrings.xml><?xml version="1.0" encoding="utf-8"?>
<sst xmlns="http://schemas.openxmlformats.org/spreadsheetml/2006/main" count="187" uniqueCount="166">
  <si>
    <t>Detalle</t>
  </si>
  <si>
    <t>Vida útil en años</t>
  </si>
  <si>
    <t>Total</t>
  </si>
  <si>
    <t>Transcurrida</t>
  </si>
  <si>
    <t>Restante</t>
  </si>
  <si>
    <t xml:space="preserve">FIN VU </t>
  </si>
  <si>
    <t xml:space="preserve">Activo Fijo </t>
  </si>
  <si>
    <t>Fecha de Adquisión</t>
  </si>
  <si>
    <t>Valor de Origen</t>
  </si>
  <si>
    <t>Amortización acumulada al inicio hist.</t>
  </si>
  <si>
    <t>Amortización del ejercicio historico</t>
  </si>
  <si>
    <t>Valor residual al cierre historico</t>
  </si>
  <si>
    <t>IPC ALTA</t>
  </si>
  <si>
    <t>IPC CIERRE</t>
  </si>
  <si>
    <t xml:space="preserve">COEFICIENTE </t>
  </si>
  <si>
    <t>Valor de origen AxI</t>
  </si>
  <si>
    <t>Amortización acumulada al inicio AxI</t>
  </si>
  <si>
    <t>Amortización del ejercicio AxI</t>
  </si>
  <si>
    <t>Valor residual al cierre AxI</t>
  </si>
  <si>
    <t>Amort Histórica 2025</t>
  </si>
  <si>
    <t>VR Histórico 2025</t>
  </si>
  <si>
    <t>Amort Histórica 2026 vs 2025</t>
  </si>
  <si>
    <t>LY</t>
  </si>
  <si>
    <t>Implementación Integration Suite</t>
  </si>
  <si>
    <t>Licencias Microsoft</t>
  </si>
  <si>
    <t>Cromatógrafo gaseoso</t>
  </si>
  <si>
    <t>Espectrofotómetro IR FTIR</t>
  </si>
  <si>
    <t>Medidor de dureza mecánica</t>
  </si>
  <si>
    <t>Compra 7 equipos estructurales completos de protec</t>
  </si>
  <si>
    <t>Comisionado De Planta y Gastos Por PP25</t>
  </si>
  <si>
    <t>Equipo Goodman enfriador</t>
  </si>
  <si>
    <t>Equipo de frio sector tomograf</t>
  </si>
  <si>
    <t>Mes de Alta</t>
  </si>
  <si>
    <t>Indice</t>
  </si>
  <si>
    <t>dic-17</t>
  </si>
  <si>
    <t>IPC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</si>
  <si>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</si>
  <si>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</si>
  <si>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</si>
  <si>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</si>
  <si>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</si>
  <si>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</si>
  <si>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</si>
  <si>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</si>
  <si>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</si>
  <si>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</si>
  <si>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</si>
  <si>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</si>
  <si>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12-2018</t>
  </si>
  <si>
    <t xml:space="preserve"> 05-2004</t>
  </si>
  <si>
    <t xml:space="preserve"> 06-2005</t>
  </si>
  <si>
    <t xml:space="preserve"> 10-2009</t>
  </si>
  <si>
    <t>1-2018</t>
  </si>
  <si>
    <t>2-2018</t>
  </si>
  <si>
    <t>3-2018</t>
  </si>
  <si>
    <t>4-2018</t>
  </si>
  <si>
    <t>5-2018</t>
  </si>
  <si>
    <t>6-2018</t>
  </si>
  <si>
    <t>7-2018</t>
  </si>
  <si>
    <t>8-2018</t>
  </si>
  <si>
    <t>9-2018</t>
  </si>
  <si>
    <t>10-2018</t>
  </si>
  <si>
    <t>11-2018</t>
  </si>
  <si>
    <t>1-2019</t>
  </si>
  <si>
    <t>2-2019</t>
  </si>
  <si>
    <t>3-2019</t>
  </si>
  <si>
    <t>4-2019</t>
  </si>
  <si>
    <t>5-2019</t>
  </si>
  <si>
    <t>6-2019</t>
  </si>
  <si>
    <t>7-2019</t>
  </si>
  <si>
    <t>8-2019</t>
  </si>
  <si>
    <t>9-2019</t>
  </si>
  <si>
    <t>10-2019</t>
  </si>
  <si>
    <t>11-2019</t>
  </si>
  <si>
    <t>12-2019</t>
  </si>
  <si>
    <t>1-2020</t>
  </si>
  <si>
    <t>2-2020</t>
  </si>
  <si>
    <t>3-2020</t>
  </si>
  <si>
    <t>4-2020</t>
  </si>
  <si>
    <t>5-2020</t>
  </si>
  <si>
    <t>6-2020</t>
  </si>
  <si>
    <t>7-2020</t>
  </si>
  <si>
    <t>8-2020</t>
  </si>
  <si>
    <t>9-2020</t>
  </si>
  <si>
    <t>10-2020</t>
  </si>
  <si>
    <t>11-2020</t>
  </si>
  <si>
    <t>12-2020</t>
  </si>
  <si>
    <t>1-2021</t>
  </si>
  <si>
    <t>2-2021</t>
  </si>
  <si>
    <t>3-2021</t>
  </si>
  <si>
    <t>4-2021</t>
  </si>
  <si>
    <t>5-2021</t>
  </si>
  <si>
    <t>6-2021</t>
  </si>
  <si>
    <t>7-2021</t>
  </si>
  <si>
    <t>8-2021</t>
  </si>
  <si>
    <t>9-2021</t>
  </si>
  <si>
    <t>10-2021</t>
  </si>
  <si>
    <t>11-2021</t>
  </si>
  <si>
    <t>12-2021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</si>
  <si>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</si>
  <si>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</si>
  <si>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</si>
  <si>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</si>
  <si>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</si>
  <si>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</si>
  <si>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</si>
  <si>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</si>
  <si>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</si>
  <si>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</si>
  <si>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</si>
  <si>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</si>
  <si>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</si>
  <si>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</si>
  <si>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</si>
  <si>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</si>
  <si>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</si>
  <si>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</si>
  <si>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</si>
  <si>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</si>
  <si>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</si>
  <si>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</si>
  <si>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</si>
  <si>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</si>
  <si>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</si>
  <si>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</si>
  <si>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</si>
  <si>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</si>
  <si>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</si>
  <si>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</si>
  <si>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</si>
  <si>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</si>
  <si>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</si>
  <si>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</si>
  <si>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</si>
  <si>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</si>
  <si>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 xml:space="preserve">Año </t>
  </si>
  <si>
    <t>1-2026</t>
  </si>
  <si>
    <t>2-2026</t>
  </si>
  <si>
    <t>3-2026</t>
  </si>
  <si>
    <t>4-2026</t>
  </si>
  <si>
    <t>Comentarios ( AGOTO V.UTIL)</t>
  </si>
  <si>
    <t>Comentarios ( ALTAS 2026)</t>
  </si>
  <si>
    <t>INFO QUE VIENE DEL CTF DEL AÑO ANTERIOR</t>
  </si>
  <si>
    <t>ALTA</t>
  </si>
  <si>
    <t>BAJA</t>
  </si>
  <si>
    <t>VO al cierre</t>
  </si>
  <si>
    <t>AA al inicio</t>
  </si>
  <si>
    <t>AE</t>
  </si>
  <si>
    <t>AB</t>
  </si>
  <si>
    <t>AA al cierre</t>
  </si>
  <si>
    <t>CÍA</t>
  </si>
  <si>
    <t>VU</t>
  </si>
  <si>
    <t>GAN</t>
  </si>
  <si>
    <t>I</t>
  </si>
  <si>
    <t>II</t>
  </si>
  <si>
    <t>III</t>
  </si>
  <si>
    <t>IV = SUM (I, II, III)</t>
  </si>
  <si>
    <t>FORM</t>
  </si>
  <si>
    <t xml:space="preserve">SI ES BAJA, CALCULAR LA AMORT. DEL AÑO PASADO. </t>
  </si>
  <si>
    <t>ID</t>
  </si>
  <si>
    <t>valor residual</t>
  </si>
  <si>
    <t>mes de alta</t>
  </si>
  <si>
    <t xml:space="preserve">La idea es armar una planilla donde pegar todos los datos que nos da la cia, y que en otra planilla, me calcule todo eso, que reconozca si hay algun mismo activo fijo y si tiene alguna baja, que cargue la baja y si hay alta que le sume la alta. En caso que no tenga activo fijo, sumarlo a la planilla y asi ir calculando todo. </t>
  </si>
  <si>
    <t>En la planilla de ipc, estaria buenisimo si puede tomarla de la web y se haga automaticamente</t>
  </si>
  <si>
    <t xml:space="preserve">Tambien hay que hacer una planilla de axi, que calcule todo como la de ctf y luego haga la comparacion en otra planilla a ver como evoluciona todo. </t>
  </si>
  <si>
    <t>siempre es diciembre del año que estoy haciedno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</si>
</sst>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Continuous"/>
    </xf>
    <xf numFmtId="43" fontId="3" fillId="2" borderId="2" xfId="1" applyFon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43" fontId="4" fillId="2" borderId="0" xfId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43" fontId="7" fillId="0" borderId="0" xfId="1" applyFont="1" applyFill="1" applyBorder="1" applyAlignment="1">
      <alignment horizontal="center"/>
    </xf>
    <xf numFmtId="0" fontId="7" fillId="0" borderId="0" xfId="0" applyFont="1" applyAlignment="1">
      <alignment horizontal="centerContinuous"/>
    </xf>
    <xf numFmtId="43" fontId="7" fillId="0" borderId="0" xfId="1" applyFont="1" applyFill="1" applyBorder="1" applyAlignment="1" applyProtection="1">
      <alignment horizontal="left"/>
    </xf>
    <xf numFmtId="14" fontId="7" fillId="0" borderId="0" xfId="0" applyNumberFormat="1" applyFont="1" applyAlignment="1">
      <alignment horizontal="center"/>
    </xf>
    <xf numFmtId="1" fontId="8" fillId="0" borderId="0" xfId="0" applyNumberFormat="1" applyFont="1"/>
    <xf numFmtId="0" fontId="8" fillId="0" borderId="0" xfId="1" applyNumberFormat="1" applyFont="1" applyFill="1" applyBorder="1"/>
    <xf numFmtId="43" fontId="0" fillId="0" borderId="0" xfId="1" applyFont="1" applyFill="1"/>
    <xf numFmtId="49" fontId="9" fillId="0" borderId="6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7" fontId="5" fillId="0" borderId="0" xfId="0" applyNumberFormat="1" applyFont="1" applyAlignment="1">
      <alignment horizontal="center"/>
    </xf>
    <xf numFmtId="17" fontId="5" fillId="0" borderId="0" xfId="0" applyNumberFormat="1" applyFont="1"/>
    <xf numFmtId="17" fontId="5" fillId="5" borderId="0" xfId="0" applyNumberFormat="1" applyFont="1" applyFill="1"/>
    <xf numFmtId="0" fontId="7" fillId="0" borderId="0" xfId="0" applyFont="1"/>
    <xf numFmtId="14" fontId="9" fillId="0" borderId="0" xfId="0" applyNumberFormat="1" applyFont="1"/>
    <xf numFmtId="17" fontId="7" fillId="0" borderId="0" xfId="0" applyNumberFormat="1" applyFont="1" applyAlignment="1">
      <alignment horizontal="center"/>
    </xf>
    <xf numFmtId="164" fontId="10" fillId="0" borderId="0" xfId="0" applyNumberFormat="1" applyFont="1"/>
    <xf numFmtId="43" fontId="7" fillId="0" borderId="0" xfId="0" applyNumberFormat="1" applyFont="1"/>
    <xf numFmtId="43" fontId="7" fillId="0" borderId="0" xfId="1" applyFont="1" applyFill="1"/>
    <xf numFmtId="164" fontId="7" fillId="0" borderId="0" xfId="0" applyNumberFormat="1" applyFont="1"/>
    <xf numFmtId="43" fontId="7" fillId="0" borderId="0" xfId="1" applyFont="1" applyFill="1" applyAlignment="1">
      <alignment horizontal="center"/>
    </xf>
    <xf numFmtId="43" fontId="2" fillId="0" borderId="0" xfId="0" applyNumberFormat="1" applyFont="1"/>
    <xf numFmtId="0" fontId="7" fillId="0" borderId="7" xfId="0" applyFont="1" applyBorder="1" applyAlignment="1">
      <alignment horizontal="center"/>
    </xf>
    <xf numFmtId="14" fontId="7" fillId="0" borderId="7" xfId="0" applyNumberFormat="1" applyFont="1" applyBorder="1" applyAlignment="1">
      <alignment horizontal="center"/>
    </xf>
    <xf numFmtId="17" fontId="7" fillId="0" borderId="7" xfId="0" applyNumberFormat="1" applyFont="1" applyBorder="1" applyAlignment="1">
      <alignment horizontal="center"/>
    </xf>
    <xf numFmtId="0" fontId="7" fillId="0" borderId="7" xfId="0" applyFont="1" applyBorder="1"/>
    <xf numFmtId="43" fontId="7" fillId="0" borderId="7" xfId="1" applyFont="1" applyFill="1" applyBorder="1" applyAlignment="1">
      <alignment horizontal="center"/>
    </xf>
    <xf numFmtId="1" fontId="8" fillId="0" borderId="7" xfId="0" applyNumberFormat="1" applyFont="1" applyBorder="1"/>
    <xf numFmtId="0" fontId="8" fillId="0" borderId="7" xfId="1" applyNumberFormat="1" applyFont="1" applyFill="1" applyBorder="1"/>
    <xf numFmtId="0" fontId="0" fillId="0" borderId="7" xfId="0" applyBorder="1"/>
    <xf numFmtId="43" fontId="7" fillId="0" borderId="7" xfId="0" applyNumberFormat="1" applyFont="1" applyBorder="1"/>
    <xf numFmtId="43" fontId="7" fillId="0" borderId="7" xfId="1" applyFont="1" applyFill="1" applyBorder="1"/>
    <xf numFmtId="164" fontId="7" fillId="0" borderId="7" xfId="0" applyNumberFormat="1" applyFont="1" applyBorder="1"/>
    <xf numFmtId="164" fontId="10" fillId="0" borderId="7" xfId="0" applyNumberFormat="1" applyFont="1" applyBorder="1"/>
    <xf numFmtId="43" fontId="7" fillId="6" borderId="0" xfId="1" applyFont="1" applyFill="1"/>
    <xf numFmtId="43" fontId="7" fillId="6" borderId="7" xfId="1" applyFont="1" applyFill="1" applyBorder="1"/>
    <xf numFmtId="0" fontId="0" fillId="6" borderId="0" xfId="0" applyFill="1"/>
    <xf numFmtId="0" fontId="7" fillId="6" borderId="0" xfId="0" applyFont="1" applyFill="1" applyAlignment="1">
      <alignment horizontal="center"/>
    </xf>
    <xf numFmtId="43" fontId="7" fillId="6" borderId="0" xfId="1" applyFont="1" applyFill="1" applyBorder="1" applyAlignment="1">
      <alignment horizontal="center"/>
    </xf>
    <xf numFmtId="0" fontId="7" fillId="6" borderId="0" xfId="0" applyFont="1" applyFill="1" applyAlignment="1">
      <alignment horizontal="centerContinuous"/>
    </xf>
    <xf numFmtId="0" fontId="0" fillId="7" borderId="0" xfId="0" applyFill="1"/>
    <xf numFmtId="43" fontId="0" fillId="7" borderId="0" xfId="0" applyNumberFormat="1" applyFill="1"/>
    <xf numFmtId="43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9898-7B85-4FAF-B52E-D1A03CBFD95B}">
  <dimension ref="A1:AA238"/>
  <sheetViews>
    <sheetView showGridLines="0" tabSelected="1" workbookViewId="0">
      <selection activeCell="E15" sqref="E15"/>
    </sheetView>
  </sheetViews>
  <sheetFormatPr defaultRowHeight="14.5" x14ac:dyDescent="0.35"/>
  <cols>
    <col min="1" max="1" width="12.54296875" customWidth="1"/>
    <col min="2" max="2" width="41.90625" bestFit="1" customWidth="1"/>
    <col min="3" max="5" width="23.08984375" customWidth="1"/>
    <col min="6" max="6" width="14" bestFit="1" customWidth="1"/>
    <col min="7" max="7" width="13.453125" customWidth="1"/>
    <col min="8" max="8" width="10.36328125" bestFit="1" customWidth="1"/>
    <col min="12" max="12" width="30" bestFit="1" customWidth="1"/>
    <col min="13" max="13" width="28.08984375" bestFit="1" customWidth="1"/>
    <col min="14" max="14" width="25.1796875" bestFit="1" customWidth="1"/>
    <col min="15" max="15" width="10.1796875" bestFit="1" customWidth="1"/>
    <col min="16" max="16" width="41.7265625" bestFit="1" customWidth="1"/>
    <col min="17" max="17" width="11.08984375" bestFit="1" customWidth="1"/>
    <col min="18" max="18" width="14.81640625" bestFit="1" customWidth="1"/>
    <col min="19" max="19" width="28.90625" bestFit="1" customWidth="1"/>
    <col min="20" max="20" width="23.26953125" bestFit="1" customWidth="1"/>
    <col min="21" max="21" width="20.6328125" bestFit="1" customWidth="1"/>
    <col min="23" max="23" width="24" style="17" customWidth="1"/>
    <col min="24" max="24" width="14.453125" style="17" bestFit="1" customWidth="1"/>
    <col min="25" max="25" width="23.1796875" style="17" bestFit="1" customWidth="1"/>
    <col min="26" max="26" width="23.36328125" bestFit="1" customWidth="1"/>
    <col min="27" max="27" width="21.6328125" bestFit="1" customWidth="1"/>
  </cols>
  <sheetData>
    <row r="1" spans="1:27" ht="15" thickBot="1" x14ac:dyDescent="0.4">
      <c r="L1" s="59">
        <v>2026</v>
      </c>
      <c r="M1" s="59"/>
      <c r="N1" s="59"/>
      <c r="O1" s="59"/>
      <c r="P1" s="59"/>
      <c r="Q1" s="59"/>
      <c r="R1" s="59"/>
      <c r="S1" s="59"/>
      <c r="T1" s="59"/>
      <c r="U1" s="59"/>
      <c r="W1" s="46" t="s">
        <v>142</v>
      </c>
      <c r="X1" s="46"/>
      <c r="Y1"/>
    </row>
    <row r="2" spans="1:27" ht="15" thickBot="1" x14ac:dyDescent="0.4">
      <c r="A2" s="5"/>
      <c r="B2" s="5"/>
      <c r="C2" s="5"/>
      <c r="D2" s="5"/>
      <c r="E2" s="5"/>
      <c r="F2" s="6"/>
      <c r="G2" s="56" t="s">
        <v>1</v>
      </c>
      <c r="H2" s="56"/>
      <c r="I2" s="56"/>
      <c r="J2" s="56"/>
      <c r="W2" s="57" t="s">
        <v>22</v>
      </c>
      <c r="X2" s="58"/>
      <c r="Y2"/>
    </row>
    <row r="3" spans="1:27" ht="24" customHeight="1" x14ac:dyDescent="0.35">
      <c r="A3" s="1" t="s">
        <v>6</v>
      </c>
      <c r="B3" s="1" t="s">
        <v>0</v>
      </c>
      <c r="C3" s="1" t="s">
        <v>7</v>
      </c>
      <c r="D3" s="1" t="s">
        <v>32</v>
      </c>
      <c r="E3" s="1" t="s">
        <v>135</v>
      </c>
      <c r="F3" s="2" t="s">
        <v>8</v>
      </c>
      <c r="G3" s="3" t="s">
        <v>2</v>
      </c>
      <c r="H3" s="3" t="s">
        <v>3</v>
      </c>
      <c r="I3" s="3" t="s">
        <v>4</v>
      </c>
      <c r="J3" s="4" t="s">
        <v>5</v>
      </c>
      <c r="L3" s="7" t="s">
        <v>9</v>
      </c>
      <c r="M3" s="8" t="s">
        <v>10</v>
      </c>
      <c r="N3" s="7" t="s">
        <v>11</v>
      </c>
      <c r="O3" s="9" t="s">
        <v>12</v>
      </c>
      <c r="P3" s="9" t="s">
        <v>13</v>
      </c>
      <c r="Q3" s="9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W3" s="8" t="s">
        <v>19</v>
      </c>
      <c r="X3" s="8" t="s">
        <v>20</v>
      </c>
      <c r="Y3" s="8" t="s">
        <v>21</v>
      </c>
      <c r="Z3" s="8" t="s">
        <v>140</v>
      </c>
      <c r="AA3" s="8" t="s">
        <v>141</v>
      </c>
    </row>
    <row r="4" spans="1:27" x14ac:dyDescent="0.35">
      <c r="A4" s="10">
        <v>234567</v>
      </c>
      <c r="B4" s="10" t="s">
        <v>24</v>
      </c>
      <c r="C4" s="14">
        <v>38127</v>
      </c>
      <c r="D4" s="25" t="s">
        <v>49</v>
      </c>
      <c r="E4" s="23">
        <v>2004</v>
      </c>
      <c r="F4" s="11">
        <v>15200</v>
      </c>
      <c r="G4" s="12">
        <v>22</v>
      </c>
      <c r="H4" s="15">
        <f>$L$1-YEAR(C4)</f>
        <v>22</v>
      </c>
      <c r="I4" s="15">
        <f>+IF(H4&gt;G4,0,G4-H4)</f>
        <v>0</v>
      </c>
      <c r="J4" s="16">
        <f t="shared" ref="J4:J13" si="0">(YEAR(C4)+G4)-1</f>
        <v>2025</v>
      </c>
      <c r="L4" s="27">
        <f>+IF(H4&gt;G4,F4,0)+IF(H4&lt;=G4,F4/G4*H4)</f>
        <v>15200</v>
      </c>
      <c r="M4" s="28">
        <f>+IF(I4&lt;=0,0,F4/G4)</f>
        <v>0</v>
      </c>
      <c r="N4" s="29">
        <f>+F4-L4-M4</f>
        <v>0</v>
      </c>
      <c r="O4" s="28">
        <f>+IF(E4&gt;=2018,VLOOKUP(D4,IPC!A:C,3,0),0)</f>
        <v>0</v>
      </c>
      <c r="P4" s="28">
        <f>IF(E4&gt;=2018,IPC!$C$103,0)</f>
        <v>0</v>
      </c>
      <c r="Q4" s="26">
        <f t="shared" ref="Q4:Q13" si="1">IFERROR(P4/O4,0)</f>
        <v>0</v>
      </c>
      <c r="R4" s="28">
        <f>+IF(E4&gt;=2018,F4*Q4,F4)</f>
        <v>15200</v>
      </c>
      <c r="S4" s="28">
        <f>+IF(E4&gt;=2018,L4*Q4,L4)</f>
        <v>15200</v>
      </c>
      <c r="T4" s="28">
        <f>+IF(E4&gt;=2018,M4*Q4,M4)</f>
        <v>0</v>
      </c>
      <c r="U4" s="28">
        <f>+IF(E4&gt;=2018,N4*Q4,N4)</f>
        <v>0</v>
      </c>
      <c r="V4" s="23"/>
      <c r="W4" s="44">
        <v>0</v>
      </c>
      <c r="X4" s="44"/>
      <c r="Y4" s="28">
        <f>+M4-W4</f>
        <v>0</v>
      </c>
      <c r="Z4" s="28" t="str">
        <f>+IF(J4=$L$1-1,"agotó v.util LY",0)</f>
        <v>agotó v.util LY</v>
      </c>
      <c r="AA4" s="28">
        <f>+IF(E4=$L$1,"ALTAS 2026",0)</f>
        <v>0</v>
      </c>
    </row>
    <row r="5" spans="1:27" x14ac:dyDescent="0.35">
      <c r="A5" s="10">
        <v>901887</v>
      </c>
      <c r="B5" s="10" t="s">
        <v>23</v>
      </c>
      <c r="C5" s="14">
        <v>38532</v>
      </c>
      <c r="D5" s="25" t="s">
        <v>50</v>
      </c>
      <c r="E5" s="23">
        <v>2005</v>
      </c>
      <c r="F5" s="11">
        <v>23208</v>
      </c>
      <c r="G5" s="10">
        <v>6</v>
      </c>
      <c r="H5" s="15">
        <f t="shared" ref="H5:H13" si="2">$L$1-YEAR(C5)</f>
        <v>21</v>
      </c>
      <c r="I5" s="15">
        <f t="shared" ref="I5:I13" si="3">+IF(H5&gt;G5,0,G5-H5)</f>
        <v>0</v>
      </c>
      <c r="J5" s="16">
        <f t="shared" si="0"/>
        <v>2010</v>
      </c>
      <c r="L5" s="27">
        <f t="shared" ref="L5:L13" si="4">+IF(H5&gt;G5,F5,0)+IF(H5&lt;=G5,F5/G5*H5)</f>
        <v>23208</v>
      </c>
      <c r="M5" s="28">
        <f t="shared" ref="M5:M13" si="5">+IF(I5&lt;=0,0,F5/G5)</f>
        <v>0</v>
      </c>
      <c r="N5" s="29">
        <f t="shared" ref="N5:N13" si="6">+F5-L5-M5</f>
        <v>0</v>
      </c>
      <c r="O5" s="28">
        <f>+IF(E5&gt;=2018,VLOOKUP(D5,IPC!A:C,3,0),0)</f>
        <v>0</v>
      </c>
      <c r="P5" s="28">
        <f>IF(E5&gt;=2018,IPC!$C$103,0)</f>
        <v>0</v>
      </c>
      <c r="Q5" s="26">
        <f t="shared" si="1"/>
        <v>0</v>
      </c>
      <c r="R5" s="28">
        <f t="shared" ref="R5:R13" si="7">+IF(E5&gt;=2018,F5*Q5,F5)</f>
        <v>23208</v>
      </c>
      <c r="S5" s="28">
        <f t="shared" ref="S5:S13" si="8">+IF(E5&gt;=2018,L5*Q5,L5)</f>
        <v>23208</v>
      </c>
      <c r="T5" s="28">
        <f t="shared" ref="T5:T13" si="9">+IF(E5&gt;=2018,M5*Q5,M5)</f>
        <v>0</v>
      </c>
      <c r="U5" s="28">
        <f t="shared" ref="U5:U13" si="10">+IF(E5&gt;=2018,N5*Q5,N5)</f>
        <v>0</v>
      </c>
      <c r="V5" s="23"/>
      <c r="W5" s="44">
        <v>0</v>
      </c>
      <c r="X5" s="44"/>
      <c r="Y5" s="28">
        <f t="shared" ref="Y5:Y13" si="11">+M5-W5</f>
        <v>0</v>
      </c>
      <c r="Z5" s="28">
        <f t="shared" ref="Z5:Z10" si="12">+IF(J5=$L$1-1,"agotó v.util LY",0)</f>
        <v>0</v>
      </c>
      <c r="AA5" s="28">
        <f t="shared" ref="AA5:AA13" si="13">+IF(E5=$L$1,"ALTAS 2026",0)</f>
        <v>0</v>
      </c>
    </row>
    <row r="6" spans="1:27" x14ac:dyDescent="0.35">
      <c r="A6" s="10">
        <v>130145</v>
      </c>
      <c r="B6" s="10" t="s">
        <v>25</v>
      </c>
      <c r="C6" s="14">
        <v>40088</v>
      </c>
      <c r="D6" s="25" t="s">
        <v>51</v>
      </c>
      <c r="E6" s="23">
        <v>2009</v>
      </c>
      <c r="F6" s="11">
        <v>24295.040000000001</v>
      </c>
      <c r="G6" s="10">
        <v>3</v>
      </c>
      <c r="H6" s="15">
        <f t="shared" si="2"/>
        <v>17</v>
      </c>
      <c r="I6" s="15">
        <f t="shared" si="3"/>
        <v>0</v>
      </c>
      <c r="J6" s="16">
        <f t="shared" si="0"/>
        <v>2011</v>
      </c>
      <c r="L6" s="27">
        <f t="shared" si="4"/>
        <v>24295.040000000001</v>
      </c>
      <c r="M6" s="28">
        <f t="shared" si="5"/>
        <v>0</v>
      </c>
      <c r="N6" s="29">
        <f t="shared" si="6"/>
        <v>0</v>
      </c>
      <c r="O6" s="28">
        <f>+IF(E6&gt;=2018,VLOOKUP(D6,IPC!A:C,3,0),0)</f>
        <v>0</v>
      </c>
      <c r="P6" s="28">
        <f>IF(E6&gt;=2018,IPC!$C$103,0)</f>
        <v>0</v>
      </c>
      <c r="Q6" s="26">
        <f t="shared" si="1"/>
        <v>0</v>
      </c>
      <c r="R6" s="28">
        <f t="shared" si="7"/>
        <v>24295.040000000001</v>
      </c>
      <c r="S6" s="28">
        <f t="shared" si="8"/>
        <v>24295.040000000001</v>
      </c>
      <c r="T6" s="28">
        <f t="shared" si="9"/>
        <v>0</v>
      </c>
      <c r="U6" s="28">
        <f t="shared" si="10"/>
        <v>0</v>
      </c>
      <c r="V6" s="23"/>
      <c r="W6" s="44">
        <v>0</v>
      </c>
      <c r="X6" s="44"/>
      <c r="Y6" s="28">
        <f t="shared" si="11"/>
        <v>0</v>
      </c>
      <c r="Z6" s="28">
        <f t="shared" si="12"/>
        <v>0</v>
      </c>
      <c r="AA6" s="28">
        <f t="shared" si="13"/>
        <v>0</v>
      </c>
    </row>
    <row r="7" spans="1:27" x14ac:dyDescent="0.35">
      <c r="A7" s="10">
        <v>130145</v>
      </c>
      <c r="B7" s="10" t="s">
        <v>25</v>
      </c>
      <c r="C7" s="14">
        <v>43414</v>
      </c>
      <c r="D7" s="25" t="s">
        <v>62</v>
      </c>
      <c r="E7" s="23">
        <v>2018</v>
      </c>
      <c r="F7" s="11">
        <v>28650</v>
      </c>
      <c r="G7" s="10">
        <v>3</v>
      </c>
      <c r="H7" s="15">
        <f t="shared" si="2"/>
        <v>8</v>
      </c>
      <c r="I7" s="15">
        <f t="shared" si="3"/>
        <v>0</v>
      </c>
      <c r="J7" s="16">
        <f t="shared" si="0"/>
        <v>2020</v>
      </c>
      <c r="L7" s="27">
        <f t="shared" si="4"/>
        <v>28650</v>
      </c>
      <c r="M7" s="28">
        <f t="shared" si="5"/>
        <v>0</v>
      </c>
      <c r="N7" s="29">
        <f t="shared" si="6"/>
        <v>0</v>
      </c>
      <c r="O7" s="28">
        <f>+IF(E7&gt;=2018,VLOOKUP(D7,IPC!A:C,3,0),0)</f>
        <v>179.6388</v>
      </c>
      <c r="P7" s="28">
        <f>IF(E7&gt;=2018,IPC!$C$103,0)</f>
        <v>11363.090399999999</v>
      </c>
      <c r="Q7" s="26">
        <f t="shared" si="1"/>
        <v>63.255212125665494</v>
      </c>
      <c r="R7" s="28">
        <f t="shared" si="7"/>
        <v>1812261.8274003165</v>
      </c>
      <c r="S7" s="28">
        <f t="shared" si="8"/>
        <v>1812261.8274003165</v>
      </c>
      <c r="T7" s="28">
        <f t="shared" si="9"/>
        <v>0</v>
      </c>
      <c r="U7" s="28">
        <f t="shared" si="10"/>
        <v>0</v>
      </c>
      <c r="V7" s="23"/>
      <c r="W7" s="44">
        <v>0</v>
      </c>
      <c r="X7" s="44"/>
      <c r="Y7" s="28">
        <f t="shared" si="11"/>
        <v>0</v>
      </c>
      <c r="Z7" s="28">
        <f t="shared" si="12"/>
        <v>0</v>
      </c>
      <c r="AA7" s="28">
        <f t="shared" si="13"/>
        <v>0</v>
      </c>
    </row>
    <row r="8" spans="1:27" x14ac:dyDescent="0.35">
      <c r="A8" s="10">
        <v>130146</v>
      </c>
      <c r="B8" s="10" t="s">
        <v>26</v>
      </c>
      <c r="C8" s="14">
        <v>44905</v>
      </c>
      <c r="D8" s="25" t="s">
        <v>110</v>
      </c>
      <c r="E8" s="23">
        <v>2022</v>
      </c>
      <c r="F8" s="11">
        <v>39801.19</v>
      </c>
      <c r="G8" s="10">
        <v>3</v>
      </c>
      <c r="H8" s="15">
        <f t="shared" si="2"/>
        <v>4</v>
      </c>
      <c r="I8" s="15">
        <f t="shared" si="3"/>
        <v>0</v>
      </c>
      <c r="J8" s="16">
        <f t="shared" si="0"/>
        <v>2024</v>
      </c>
      <c r="L8" s="27">
        <f t="shared" si="4"/>
        <v>39801.19</v>
      </c>
      <c r="M8" s="28">
        <f t="shared" si="5"/>
        <v>0</v>
      </c>
      <c r="N8" s="29">
        <f t="shared" si="6"/>
        <v>0</v>
      </c>
      <c r="O8" s="28">
        <f>+IF(E8&gt;=2018,VLOOKUP(D8,IPC!A:C,3,0),0)</f>
        <v>1134.5875000000001</v>
      </c>
      <c r="P8" s="28">
        <f>IF(E8&gt;=2018,IPC!$C$103,0)</f>
        <v>11363.090399999999</v>
      </c>
      <c r="Q8" s="26">
        <f t="shared" si="1"/>
        <v>10.015173267817598</v>
      </c>
      <c r="R8" s="28">
        <f t="shared" si="7"/>
        <v>398615.81411532912</v>
      </c>
      <c r="S8" s="28">
        <f t="shared" si="8"/>
        <v>398615.81411532912</v>
      </c>
      <c r="T8" s="28">
        <f t="shared" si="9"/>
        <v>0</v>
      </c>
      <c r="U8" s="28">
        <f t="shared" si="10"/>
        <v>0</v>
      </c>
      <c r="V8" s="23"/>
      <c r="W8" s="44">
        <v>0</v>
      </c>
      <c r="X8" s="44"/>
      <c r="Y8" s="28">
        <f t="shared" si="11"/>
        <v>0</v>
      </c>
      <c r="Z8" s="28">
        <f t="shared" si="12"/>
        <v>0</v>
      </c>
      <c r="AA8" s="28">
        <f t="shared" si="13"/>
        <v>0</v>
      </c>
    </row>
    <row r="9" spans="1:27" x14ac:dyDescent="0.35">
      <c r="A9" s="10">
        <v>130147</v>
      </c>
      <c r="B9" s="10" t="s">
        <v>27</v>
      </c>
      <c r="C9" s="14">
        <v>45184</v>
      </c>
      <c r="D9" s="25" t="s">
        <v>119</v>
      </c>
      <c r="E9" s="23">
        <v>2023</v>
      </c>
      <c r="F9" s="11">
        <v>36102.5</v>
      </c>
      <c r="G9" s="10">
        <v>5</v>
      </c>
      <c r="H9" s="15">
        <f>$L$1-YEAR(C9)</f>
        <v>3</v>
      </c>
      <c r="I9" s="15">
        <f t="shared" si="3"/>
        <v>2</v>
      </c>
      <c r="J9" s="16">
        <f t="shared" si="0"/>
        <v>2027</v>
      </c>
      <c r="L9" s="27">
        <f t="shared" si="4"/>
        <v>21661.5</v>
      </c>
      <c r="M9" s="28">
        <f t="shared" si="5"/>
        <v>7220.5</v>
      </c>
      <c r="N9" s="29">
        <f t="shared" si="6"/>
        <v>7220.5</v>
      </c>
      <c r="O9" s="28">
        <f>+IF(E9&gt;=2018,VLOOKUP(D9,IPC!A:C,3,0),0)</f>
        <v>2304.9241999999999</v>
      </c>
      <c r="P9" s="28">
        <f>IF(E9&gt;=2018,IPC!$C$103,0)</f>
        <v>11363.090399999999</v>
      </c>
      <c r="Q9" s="26">
        <f t="shared" si="1"/>
        <v>4.9299193439853681</v>
      </c>
      <c r="R9" s="28">
        <f t="shared" si="7"/>
        <v>177982.41311623176</v>
      </c>
      <c r="S9" s="28">
        <f t="shared" si="8"/>
        <v>106789.44786973906</v>
      </c>
      <c r="T9" s="28">
        <f t="shared" si="9"/>
        <v>35596.482623246353</v>
      </c>
      <c r="U9" s="28">
        <f t="shared" si="10"/>
        <v>35596.482623246353</v>
      </c>
      <c r="V9" s="23"/>
      <c r="W9" s="44">
        <v>7220.5</v>
      </c>
      <c r="X9" s="44"/>
      <c r="Y9" s="28">
        <f t="shared" si="11"/>
        <v>0</v>
      </c>
      <c r="Z9" s="28">
        <f t="shared" si="12"/>
        <v>0</v>
      </c>
      <c r="AA9" s="28">
        <f t="shared" si="13"/>
        <v>0</v>
      </c>
    </row>
    <row r="10" spans="1:27" x14ac:dyDescent="0.35">
      <c r="A10" s="10">
        <v>130148</v>
      </c>
      <c r="B10" s="10" t="s">
        <v>28</v>
      </c>
      <c r="C10" s="14">
        <v>45460</v>
      </c>
      <c r="D10" s="25" t="s">
        <v>128</v>
      </c>
      <c r="E10" s="23">
        <v>2024</v>
      </c>
      <c r="F10" s="11">
        <v>22382.44</v>
      </c>
      <c r="G10" s="10">
        <v>5</v>
      </c>
      <c r="H10" s="15">
        <f t="shared" si="2"/>
        <v>2</v>
      </c>
      <c r="I10" s="15">
        <f t="shared" si="3"/>
        <v>3</v>
      </c>
      <c r="J10" s="16">
        <f t="shared" si="0"/>
        <v>2028</v>
      </c>
      <c r="L10" s="27">
        <f t="shared" si="4"/>
        <v>8952.9759999999987</v>
      </c>
      <c r="M10" s="28">
        <f t="shared" si="5"/>
        <v>4476.4879999999994</v>
      </c>
      <c r="N10" s="29">
        <f t="shared" si="6"/>
        <v>8952.9760000000006</v>
      </c>
      <c r="O10" s="28">
        <f>+IF(E10&gt;=2018,VLOOKUP(D10,IPC!A:C,3,0),0)</f>
        <v>6351.7145</v>
      </c>
      <c r="P10" s="28">
        <f>IF(E10&gt;=2018,IPC!$C$103,0)</f>
        <v>11363.090399999999</v>
      </c>
      <c r="Q10" s="26">
        <f t="shared" si="1"/>
        <v>1.7889800305098724</v>
      </c>
      <c r="R10" s="28">
        <f t="shared" si="7"/>
        <v>40041.738194085388</v>
      </c>
      <c r="S10" s="28">
        <f t="shared" si="8"/>
        <v>16016.695277634153</v>
      </c>
      <c r="T10" s="28">
        <f t="shared" si="9"/>
        <v>8008.3476388170766</v>
      </c>
      <c r="U10" s="28">
        <f t="shared" si="10"/>
        <v>16016.695277634157</v>
      </c>
      <c r="V10" s="23"/>
      <c r="W10" s="44">
        <v>4476.4879999999994</v>
      </c>
      <c r="X10" s="44"/>
      <c r="Y10" s="28">
        <f t="shared" si="11"/>
        <v>0</v>
      </c>
      <c r="Z10" s="28">
        <f t="shared" si="12"/>
        <v>0</v>
      </c>
      <c r="AA10" s="28">
        <f t="shared" si="13"/>
        <v>0</v>
      </c>
    </row>
    <row r="11" spans="1:27" x14ac:dyDescent="0.35">
      <c r="A11" s="10">
        <v>170002</v>
      </c>
      <c r="B11" s="10" t="s">
        <v>29</v>
      </c>
      <c r="C11" s="14">
        <v>45881</v>
      </c>
      <c r="D11" s="25" t="s">
        <v>43</v>
      </c>
      <c r="E11" s="23">
        <v>2025</v>
      </c>
      <c r="F11" s="11">
        <v>25000</v>
      </c>
      <c r="G11" s="10">
        <v>1</v>
      </c>
      <c r="H11" s="15">
        <f t="shared" si="2"/>
        <v>1</v>
      </c>
      <c r="I11" s="15">
        <f t="shared" si="3"/>
        <v>0</v>
      </c>
      <c r="J11" s="16">
        <f t="shared" si="0"/>
        <v>2025</v>
      </c>
      <c r="L11" s="27">
        <f t="shared" si="4"/>
        <v>25000</v>
      </c>
      <c r="M11" s="28">
        <f t="shared" si="5"/>
        <v>0</v>
      </c>
      <c r="N11" s="29">
        <f t="shared" si="6"/>
        <v>0</v>
      </c>
      <c r="O11" s="28">
        <f>+IF(E11&gt;=2018,VLOOKUP(D11,IPC!A:C,3,0),0)</f>
        <v>9193.2440999999999</v>
      </c>
      <c r="P11" s="28">
        <f>IF(E11&gt;=2018,IPC!$C$103,0)</f>
        <v>11363.090399999999</v>
      </c>
      <c r="Q11" s="26">
        <f t="shared" si="1"/>
        <v>1.2360261814433926</v>
      </c>
      <c r="R11" s="28">
        <f t="shared" si="7"/>
        <v>30900.654536084814</v>
      </c>
      <c r="S11" s="28">
        <f t="shared" si="8"/>
        <v>30900.654536084814</v>
      </c>
      <c r="T11" s="28">
        <f t="shared" si="9"/>
        <v>0</v>
      </c>
      <c r="U11" s="28">
        <f t="shared" si="10"/>
        <v>0</v>
      </c>
      <c r="V11" s="23"/>
      <c r="W11" s="44">
        <v>25000</v>
      </c>
      <c r="X11" s="44"/>
      <c r="Y11" s="28">
        <f t="shared" si="11"/>
        <v>-25000</v>
      </c>
      <c r="Z11" s="28" t="str">
        <f>+IF(J11=$L$1-1,"agotó v.util LY",0)</f>
        <v>agotó v.util LY</v>
      </c>
      <c r="AA11" s="28">
        <f t="shared" si="13"/>
        <v>0</v>
      </c>
    </row>
    <row r="12" spans="1:27" x14ac:dyDescent="0.35">
      <c r="A12" s="10">
        <v>109835</v>
      </c>
      <c r="B12" s="10" t="s">
        <v>30</v>
      </c>
      <c r="C12" s="14">
        <v>46095</v>
      </c>
      <c r="D12" s="25" t="s">
        <v>138</v>
      </c>
      <c r="E12" s="23">
        <v>2026</v>
      </c>
      <c r="F12" s="11">
        <v>95432</v>
      </c>
      <c r="G12" s="10">
        <v>5</v>
      </c>
      <c r="H12" s="15">
        <f t="shared" si="2"/>
        <v>0</v>
      </c>
      <c r="I12" s="15">
        <f t="shared" si="3"/>
        <v>5</v>
      </c>
      <c r="J12" s="16">
        <f t="shared" si="0"/>
        <v>2030</v>
      </c>
      <c r="L12" s="27">
        <f t="shared" si="4"/>
        <v>0</v>
      </c>
      <c r="M12" s="28">
        <f t="shared" si="5"/>
        <v>19086.400000000001</v>
      </c>
      <c r="N12" s="29">
        <f t="shared" si="6"/>
        <v>76345.600000000006</v>
      </c>
      <c r="O12" s="28">
        <f>+IF(E12&gt;=2018,VLOOKUP(D12,IPC!A:C,3,0),0)</f>
        <v>11077.060799999999</v>
      </c>
      <c r="P12" s="28">
        <f>IF(E12&gt;=2018,IPC!$C$103,0)</f>
        <v>11363.090399999999</v>
      </c>
      <c r="Q12" s="26">
        <f t="shared" si="1"/>
        <v>1.0258217956156745</v>
      </c>
      <c r="R12" s="28">
        <f t="shared" si="7"/>
        <v>97896.225599195051</v>
      </c>
      <c r="S12" s="28">
        <f t="shared" si="8"/>
        <v>0</v>
      </c>
      <c r="T12" s="28">
        <f t="shared" si="9"/>
        <v>19579.245119839012</v>
      </c>
      <c r="U12" s="28">
        <f t="shared" si="10"/>
        <v>78316.980479356047</v>
      </c>
      <c r="V12" s="23"/>
      <c r="W12" s="44">
        <v>0</v>
      </c>
      <c r="X12" s="44"/>
      <c r="Y12" s="28">
        <f t="shared" si="11"/>
        <v>19086.400000000001</v>
      </c>
      <c r="Z12" s="28">
        <f t="shared" ref="Z12:Z13" si="14">+IF(J12=$L$1-1,"agotó v.util LY",0)</f>
        <v>0</v>
      </c>
      <c r="AA12" s="30" t="str">
        <f t="shared" si="13"/>
        <v>ALTAS 2026</v>
      </c>
    </row>
    <row r="13" spans="1:27" x14ac:dyDescent="0.35">
      <c r="A13" s="32">
        <v>109892</v>
      </c>
      <c r="B13" s="32" t="s">
        <v>31</v>
      </c>
      <c r="C13" s="33">
        <v>46041</v>
      </c>
      <c r="D13" s="34" t="s">
        <v>136</v>
      </c>
      <c r="E13" s="35">
        <v>2026</v>
      </c>
      <c r="F13" s="36">
        <v>120000</v>
      </c>
      <c r="G13" s="32">
        <v>2</v>
      </c>
      <c r="H13" s="37">
        <f t="shared" si="2"/>
        <v>0</v>
      </c>
      <c r="I13" s="37">
        <f t="shared" si="3"/>
        <v>2</v>
      </c>
      <c r="J13" s="38">
        <f t="shared" si="0"/>
        <v>2027</v>
      </c>
      <c r="K13" s="39"/>
      <c r="L13" s="40">
        <f t="shared" si="4"/>
        <v>0</v>
      </c>
      <c r="M13" s="41">
        <f t="shared" si="5"/>
        <v>60000</v>
      </c>
      <c r="N13" s="42">
        <f t="shared" si="6"/>
        <v>60000</v>
      </c>
      <c r="O13" s="41">
        <f>+IF(E13&gt;=2018,VLOOKUP(D13,IPC!A:C,3,0),0)</f>
        <v>10413.0309</v>
      </c>
      <c r="P13" s="41">
        <f>IF(E13&gt;=2018,IPC!$C$103,0)</f>
        <v>11363.090399999999</v>
      </c>
      <c r="Q13" s="43">
        <f t="shared" si="1"/>
        <v>1.0912375569729653</v>
      </c>
      <c r="R13" s="41">
        <f t="shared" si="7"/>
        <v>130948.50683675584</v>
      </c>
      <c r="S13" s="41">
        <f t="shared" si="8"/>
        <v>0</v>
      </c>
      <c r="T13" s="41">
        <f t="shared" si="9"/>
        <v>65474.253418377921</v>
      </c>
      <c r="U13" s="41">
        <f t="shared" si="10"/>
        <v>65474.253418377921</v>
      </c>
      <c r="V13" s="35"/>
      <c r="W13" s="45">
        <v>0</v>
      </c>
      <c r="X13" s="45"/>
      <c r="Y13" s="41">
        <f t="shared" si="11"/>
        <v>60000</v>
      </c>
      <c r="Z13" s="41">
        <f t="shared" si="14"/>
        <v>0</v>
      </c>
      <c r="AA13" s="36" t="str">
        <f t="shared" si="13"/>
        <v>ALTAS 2026</v>
      </c>
    </row>
    <row r="14" spans="1:27" x14ac:dyDescent="0.35">
      <c r="A14" s="10"/>
      <c r="B14" s="10"/>
      <c r="C14" s="10"/>
      <c r="D14" s="10"/>
      <c r="E14" s="10"/>
      <c r="F14" s="11"/>
      <c r="G14" s="12"/>
      <c r="H14" s="12"/>
      <c r="I14" s="12"/>
      <c r="J14" s="13"/>
      <c r="L14" s="31">
        <f>+SUM(L4:L13)</f>
        <v>186768.70600000001</v>
      </c>
      <c r="M14" s="31">
        <f>+SUM(M4:M13)</f>
        <v>90783.388000000006</v>
      </c>
      <c r="N14" s="31">
        <f>+SUM(N4:N13)</f>
        <v>152519.076</v>
      </c>
      <c r="O14" s="53" t="s">
        <v>161</v>
      </c>
      <c r="P14" s="53" t="s">
        <v>165</v>
      </c>
      <c r="S14" s="31">
        <f>+SUM(S4:S13)</f>
        <v>2427287.4791991035</v>
      </c>
      <c r="T14" s="31">
        <f>+SUM(T4:T13)</f>
        <v>128658.32880028036</v>
      </c>
      <c r="U14" s="31">
        <f>+SUM(U4:U13)</f>
        <v>195404.41179861448</v>
      </c>
      <c r="W14" s="31">
        <f>+SUM(W4:W13)</f>
        <v>36696.987999999998</v>
      </c>
      <c r="X14" s="31">
        <f>+SUM(X4:X13)</f>
        <v>0</v>
      </c>
      <c r="Y14" s="31">
        <f>+SUM(Y4:Y13)</f>
        <v>54086.400000000001</v>
      </c>
    </row>
    <row r="15" spans="1:27" x14ac:dyDescent="0.35">
      <c r="A15" s="47"/>
      <c r="B15" s="60"/>
      <c r="C15" s="47"/>
      <c r="D15" s="10"/>
      <c r="E15" s="10"/>
      <c r="F15" s="48"/>
      <c r="G15" s="49"/>
      <c r="H15" s="12"/>
      <c r="I15" s="12"/>
      <c r="J15" s="13"/>
    </row>
    <row r="16" spans="1:27" x14ac:dyDescent="0.35">
      <c r="A16" s="10"/>
      <c r="B16" s="10"/>
      <c r="C16" s="10"/>
      <c r="D16" s="10"/>
      <c r="E16" s="10"/>
      <c r="F16" s="11"/>
      <c r="G16" s="12"/>
      <c r="H16" s="12"/>
      <c r="I16" s="12"/>
      <c r="J16" s="13"/>
    </row>
    <row r="17" spans="1:10" x14ac:dyDescent="0.35">
      <c r="A17" s="10"/>
      <c r="B17" s="10"/>
      <c r="C17" s="10"/>
      <c r="D17" s="10"/>
      <c r="E17" s="10"/>
      <c r="F17" s="11"/>
      <c r="G17" s="12"/>
      <c r="H17" s="12"/>
      <c r="I17" s="12"/>
      <c r="J17" s="13"/>
    </row>
    <row r="18" spans="1:10" x14ac:dyDescent="0.35">
      <c r="A18" s="10"/>
      <c r="B18" s="10"/>
      <c r="C18" s="10"/>
      <c r="D18" s="10"/>
      <c r="E18" s="10"/>
      <c r="F18" s="11"/>
      <c r="G18" s="12"/>
      <c r="H18" s="12"/>
      <c r="I18" s="12"/>
      <c r="J18" s="13"/>
    </row>
    <row r="19" spans="1:10" x14ac:dyDescent="0.35">
      <c r="A19" s="10"/>
      <c r="B19" s="10"/>
      <c r="C19" s="10"/>
      <c r="D19" s="10"/>
      <c r="E19" s="10"/>
      <c r="F19" s="11"/>
      <c r="G19" s="12"/>
      <c r="H19" s="12"/>
      <c r="I19" s="12"/>
      <c r="J19" s="13"/>
    </row>
    <row r="20" spans="1:10" x14ac:dyDescent="0.35">
      <c r="A20" s="10"/>
      <c r="B20" s="10"/>
      <c r="C20" s="10"/>
      <c r="D20" s="10"/>
      <c r="E20" s="10"/>
      <c r="F20" s="11"/>
      <c r="G20" s="12"/>
      <c r="H20" s="12"/>
      <c r="I20" s="12"/>
      <c r="J20" s="13"/>
    </row>
    <row r="21" spans="1:10" x14ac:dyDescent="0.35">
      <c r="A21" s="10"/>
      <c r="B21" s="10"/>
      <c r="C21" s="10"/>
      <c r="D21" s="10"/>
      <c r="E21" s="10"/>
      <c r="F21" s="11"/>
      <c r="G21" s="12"/>
      <c r="H21" s="12"/>
      <c r="I21" s="12"/>
      <c r="J21" s="13"/>
    </row>
    <row r="22" spans="1:10" x14ac:dyDescent="0.35">
      <c r="A22" s="10"/>
      <c r="B22" s="10"/>
      <c r="C22" s="10"/>
      <c r="D22" s="10"/>
      <c r="E22" s="10"/>
      <c r="F22" s="11"/>
      <c r="G22" s="12"/>
      <c r="H22" s="12"/>
      <c r="I22" s="12"/>
      <c r="J22" s="13"/>
    </row>
    <row r="23" spans="1:10" x14ac:dyDescent="0.35">
      <c r="A23" s="10"/>
      <c r="B23" s="10"/>
      <c r="C23" s="10"/>
      <c r="D23" s="10"/>
      <c r="E23" s="10"/>
      <c r="F23" s="11"/>
      <c r="G23" s="12"/>
      <c r="H23" s="12"/>
      <c r="I23" s="12"/>
      <c r="J23" s="13"/>
    </row>
    <row r="24" spans="1:10" x14ac:dyDescent="0.35">
      <c r="A24" s="10"/>
      <c r="B24" s="10"/>
      <c r="C24" s="10"/>
      <c r="D24" s="10"/>
      <c r="E24" s="10"/>
      <c r="F24" s="11"/>
      <c r="G24" s="12"/>
      <c r="H24" s="12"/>
      <c r="I24" s="12"/>
      <c r="J24" s="13"/>
    </row>
    <row r="25" spans="1:10" x14ac:dyDescent="0.35">
      <c r="A25" s="10"/>
      <c r="B25" s="10"/>
      <c r="C25" s="10"/>
      <c r="D25" s="10"/>
      <c r="E25" s="10"/>
      <c r="F25" s="11"/>
      <c r="G25" s="12"/>
      <c r="H25" s="12"/>
      <c r="I25" s="12"/>
      <c r="J25" s="13"/>
    </row>
    <row r="26" spans="1:10" x14ac:dyDescent="0.35">
      <c r="A26" s="10"/>
      <c r="B26" s="10"/>
      <c r="C26" s="10"/>
      <c r="D26" s="10"/>
      <c r="E26" s="10"/>
      <c r="F26" s="11"/>
      <c r="G26" s="12"/>
      <c r="H26" s="12"/>
      <c r="I26" s="12"/>
      <c r="J26" s="13"/>
    </row>
    <row r="27" spans="1:10" x14ac:dyDescent="0.35">
      <c r="A27" s="10"/>
      <c r="B27" s="10"/>
      <c r="C27" s="10"/>
      <c r="D27" s="10"/>
      <c r="E27" s="10"/>
      <c r="F27" s="11"/>
      <c r="G27" s="12"/>
      <c r="H27" s="12"/>
      <c r="I27" s="12"/>
      <c r="J27" s="13"/>
    </row>
    <row r="28" spans="1:10" x14ac:dyDescent="0.35">
      <c r="A28" s="10"/>
      <c r="B28" s="10"/>
      <c r="C28" s="10"/>
      <c r="D28" s="10"/>
      <c r="E28" s="10"/>
      <c r="F28" s="11"/>
      <c r="G28" s="12"/>
      <c r="H28" s="12"/>
      <c r="I28" s="12"/>
      <c r="J28" s="13"/>
    </row>
    <row r="29" spans="1:10" x14ac:dyDescent="0.35">
      <c r="A29" s="10"/>
      <c r="B29" s="10"/>
      <c r="C29" s="10"/>
      <c r="D29" s="10"/>
      <c r="E29" s="10"/>
      <c r="F29" s="11"/>
      <c r="G29" s="12"/>
      <c r="H29" s="12"/>
      <c r="I29" s="12"/>
      <c r="J29" s="13"/>
    </row>
    <row r="30" spans="1:10" x14ac:dyDescent="0.35">
      <c r="A30" s="10"/>
      <c r="B30" s="10"/>
      <c r="C30" s="10"/>
      <c r="D30" s="10"/>
      <c r="E30" s="10"/>
      <c r="F30" s="11"/>
      <c r="G30" s="12"/>
      <c r="H30" s="12"/>
      <c r="I30" s="12"/>
      <c r="J30" s="13"/>
    </row>
    <row r="31" spans="1:10" x14ac:dyDescent="0.35">
      <c r="A31" s="10"/>
      <c r="B31" s="10"/>
      <c r="C31" s="10"/>
      <c r="D31" s="10"/>
      <c r="E31" s="10"/>
      <c r="F31" s="11"/>
      <c r="G31" s="12"/>
      <c r="H31" s="12"/>
      <c r="I31" s="12"/>
      <c r="J31" s="13"/>
    </row>
    <row r="32" spans="1:10" x14ac:dyDescent="0.35">
      <c r="A32" s="10"/>
      <c r="B32" s="10"/>
      <c r="C32" s="10"/>
      <c r="D32" s="10"/>
      <c r="E32" s="10"/>
      <c r="F32" s="11"/>
      <c r="G32" s="12"/>
      <c r="H32" s="12"/>
      <c r="I32" s="12"/>
      <c r="J32" s="13"/>
    </row>
    <row r="33" spans="1:10" x14ac:dyDescent="0.35">
      <c r="A33" s="10"/>
      <c r="B33" s="10"/>
      <c r="C33" s="10"/>
      <c r="D33" s="10"/>
      <c r="E33" s="10"/>
      <c r="F33" s="11"/>
      <c r="G33" s="12"/>
      <c r="H33" s="12"/>
      <c r="I33" s="12"/>
      <c r="J33" s="13"/>
    </row>
    <row r="34" spans="1:10" x14ac:dyDescent="0.35">
      <c r="A34" s="10"/>
      <c r="B34" s="10"/>
      <c r="C34" s="10"/>
      <c r="D34" s="10"/>
      <c r="E34" s="10"/>
      <c r="F34" s="11"/>
      <c r="G34" s="12"/>
      <c r="H34" s="12"/>
      <c r="I34" s="12"/>
      <c r="J34" s="13"/>
    </row>
    <row r="35" spans="1:10" x14ac:dyDescent="0.35">
      <c r="A35" s="10"/>
      <c r="B35" s="10"/>
      <c r="C35" s="10"/>
      <c r="D35" s="10"/>
      <c r="E35" s="10"/>
      <c r="F35" s="11"/>
      <c r="G35" s="12"/>
      <c r="H35" s="12"/>
      <c r="I35" s="12"/>
      <c r="J35" s="13"/>
    </row>
    <row r="36" spans="1:10" x14ac:dyDescent="0.35">
      <c r="A36" s="10"/>
      <c r="B36" s="10"/>
      <c r="C36" s="10"/>
      <c r="D36" s="10"/>
      <c r="E36" s="10"/>
      <c r="F36" s="11"/>
      <c r="G36" s="12"/>
      <c r="H36" s="12"/>
      <c r="I36" s="12"/>
      <c r="J36" s="13"/>
    </row>
    <row r="37" spans="1:10" x14ac:dyDescent="0.35">
      <c r="A37" s="10"/>
      <c r="B37" s="10"/>
      <c r="C37" s="10"/>
      <c r="D37" s="10"/>
      <c r="E37" s="10"/>
      <c r="F37" s="11"/>
      <c r="G37" s="12"/>
      <c r="H37" s="12"/>
      <c r="I37" s="12"/>
      <c r="J37" s="13"/>
    </row>
    <row r="38" spans="1:10" x14ac:dyDescent="0.35">
      <c r="A38" s="10"/>
      <c r="B38" s="10"/>
      <c r="C38" s="10"/>
      <c r="D38" s="10"/>
      <c r="E38" s="10"/>
      <c r="F38" s="11"/>
      <c r="G38" s="12"/>
      <c r="H38" s="12"/>
      <c r="I38" s="12"/>
      <c r="J38" s="13"/>
    </row>
    <row r="39" spans="1:10" x14ac:dyDescent="0.35">
      <c r="A39" s="10"/>
      <c r="B39" s="10"/>
      <c r="C39" s="10"/>
      <c r="D39" s="10"/>
      <c r="E39" s="10"/>
      <c r="F39" s="11"/>
      <c r="G39" s="12"/>
      <c r="H39" s="12"/>
      <c r="I39" s="12"/>
      <c r="J39" s="13"/>
    </row>
    <row r="40" spans="1:10" x14ac:dyDescent="0.35">
      <c r="A40" s="10"/>
      <c r="B40" s="10"/>
      <c r="C40" s="10"/>
      <c r="D40" s="10"/>
      <c r="E40" s="10"/>
      <c r="F40" s="11"/>
      <c r="G40" s="12"/>
      <c r="H40" s="12"/>
      <c r="I40" s="12"/>
      <c r="J40" s="13"/>
    </row>
    <row r="41" spans="1:10" x14ac:dyDescent="0.35">
      <c r="A41" s="10"/>
      <c r="B41" s="10"/>
      <c r="C41" s="10"/>
      <c r="D41" s="10"/>
      <c r="E41" s="10"/>
      <c r="F41" s="11"/>
      <c r="G41" s="12"/>
      <c r="H41" s="12"/>
      <c r="I41" s="12"/>
      <c r="J41" s="13"/>
    </row>
    <row r="42" spans="1:10" x14ac:dyDescent="0.35">
      <c r="A42" s="10"/>
      <c r="B42" s="10"/>
      <c r="C42" s="10"/>
      <c r="D42" s="10"/>
      <c r="E42" s="10"/>
      <c r="F42" s="11"/>
      <c r="G42" s="12"/>
      <c r="H42" s="12"/>
      <c r="I42" s="12"/>
      <c r="J42" s="13"/>
    </row>
    <row r="43" spans="1:10" x14ac:dyDescent="0.35">
      <c r="A43" s="10"/>
      <c r="B43" s="10"/>
      <c r="C43" s="10"/>
      <c r="D43" s="10"/>
      <c r="E43" s="10"/>
      <c r="F43" s="11"/>
      <c r="G43" s="12"/>
      <c r="H43" s="12"/>
      <c r="I43" s="12"/>
      <c r="J43" s="13"/>
    </row>
    <row r="44" spans="1:10" x14ac:dyDescent="0.35">
      <c r="A44" s="10"/>
      <c r="B44" s="10"/>
      <c r="C44" s="10"/>
      <c r="D44" s="10"/>
      <c r="E44" s="10"/>
      <c r="F44" s="11"/>
      <c r="G44" s="12"/>
      <c r="H44" s="12"/>
      <c r="I44" s="12"/>
      <c r="J44" s="13"/>
    </row>
    <row r="45" spans="1:10" x14ac:dyDescent="0.35">
      <c r="A45" s="10"/>
      <c r="B45" s="10"/>
      <c r="C45" s="10"/>
      <c r="D45" s="10"/>
      <c r="E45" s="10"/>
      <c r="F45" s="11"/>
      <c r="G45" s="12"/>
      <c r="H45" s="12"/>
      <c r="I45" s="12"/>
      <c r="J45" s="13"/>
    </row>
    <row r="46" spans="1:10" x14ac:dyDescent="0.35">
      <c r="A46" s="10"/>
      <c r="B46" s="10"/>
      <c r="C46" s="10"/>
      <c r="D46" s="10"/>
      <c r="E46" s="10"/>
      <c r="F46" s="11"/>
      <c r="G46" s="12"/>
      <c r="H46" s="12"/>
      <c r="I46" s="12"/>
      <c r="J46" s="13"/>
    </row>
    <row r="47" spans="1:10" x14ac:dyDescent="0.35">
      <c r="A47" s="10"/>
      <c r="B47" s="10"/>
      <c r="C47" s="10"/>
      <c r="D47" s="10"/>
      <c r="E47" s="10"/>
      <c r="F47" s="11"/>
      <c r="G47" s="12"/>
      <c r="H47" s="12"/>
      <c r="I47" s="12"/>
      <c r="J47" s="13"/>
    </row>
    <row r="48" spans="1:10" x14ac:dyDescent="0.35">
      <c r="A48" s="10"/>
      <c r="B48" s="10"/>
      <c r="C48" s="10"/>
      <c r="D48" s="10"/>
      <c r="E48" s="10"/>
      <c r="F48" s="11"/>
      <c r="G48" s="12"/>
      <c r="H48" s="12"/>
      <c r="I48" s="12"/>
      <c r="J48" s="13"/>
    </row>
    <row r="49" spans="1:10" x14ac:dyDescent="0.35">
      <c r="A49" s="10"/>
      <c r="B49" s="10"/>
      <c r="C49" s="10"/>
      <c r="D49" s="10"/>
      <c r="E49" s="10"/>
      <c r="F49" s="11"/>
      <c r="G49" s="12"/>
      <c r="H49" s="12"/>
      <c r="I49" s="12"/>
      <c r="J49" s="13"/>
    </row>
    <row r="50" spans="1:10" x14ac:dyDescent="0.35">
      <c r="A50" s="10"/>
      <c r="B50" s="10"/>
      <c r="C50" s="10"/>
      <c r="D50" s="10"/>
      <c r="E50" s="10"/>
      <c r="F50" s="11"/>
      <c r="G50" s="12"/>
      <c r="H50" s="12"/>
      <c r="I50" s="12"/>
      <c r="J50" s="13"/>
    </row>
    <row r="51" spans="1:10" x14ac:dyDescent="0.35">
      <c r="A51" s="10"/>
      <c r="B51" s="10"/>
      <c r="C51" s="10"/>
      <c r="D51" s="10"/>
      <c r="E51" s="10"/>
      <c r="F51" s="11"/>
      <c r="G51" s="12"/>
      <c r="H51" s="12"/>
      <c r="I51" s="12"/>
      <c r="J51" s="13"/>
    </row>
    <row r="52" spans="1:10" x14ac:dyDescent="0.35">
      <c r="A52" s="10"/>
      <c r="B52" s="10"/>
      <c r="C52" s="10"/>
      <c r="D52" s="10"/>
      <c r="E52" s="10"/>
      <c r="F52" s="11"/>
      <c r="G52" s="12"/>
      <c r="H52" s="12"/>
      <c r="I52" s="12"/>
      <c r="J52" s="13"/>
    </row>
    <row r="53" spans="1:10" x14ac:dyDescent="0.35">
      <c r="A53" s="10"/>
      <c r="B53" s="10"/>
      <c r="C53" s="10"/>
      <c r="D53" s="10"/>
      <c r="E53" s="10"/>
      <c r="F53" s="11"/>
      <c r="G53" s="12"/>
      <c r="H53" s="12"/>
      <c r="I53" s="12"/>
      <c r="J53" s="13"/>
    </row>
    <row r="54" spans="1:10" x14ac:dyDescent="0.35">
      <c r="A54" s="10"/>
      <c r="B54" s="10"/>
      <c r="C54" s="10"/>
      <c r="D54" s="10"/>
      <c r="E54" s="10"/>
      <c r="F54" s="11"/>
      <c r="G54" s="12"/>
      <c r="H54" s="12"/>
      <c r="I54" s="12"/>
      <c r="J54" s="13"/>
    </row>
    <row r="55" spans="1:10" x14ac:dyDescent="0.35">
      <c r="A55" s="10"/>
      <c r="B55" s="10"/>
      <c r="C55" s="10"/>
      <c r="D55" s="10"/>
      <c r="E55" s="10"/>
      <c r="F55" s="11"/>
      <c r="G55" s="12"/>
      <c r="H55" s="12"/>
      <c r="I55" s="12"/>
      <c r="J55" s="13"/>
    </row>
    <row r="56" spans="1:10" x14ac:dyDescent="0.35">
      <c r="A56" s="10"/>
      <c r="B56" s="10"/>
      <c r="C56" s="10"/>
      <c r="D56" s="10"/>
      <c r="E56" s="10"/>
      <c r="F56" s="11"/>
      <c r="G56" s="12"/>
      <c r="H56" s="12"/>
      <c r="I56" s="12"/>
      <c r="J56" s="13"/>
    </row>
    <row r="57" spans="1:10" x14ac:dyDescent="0.35">
      <c r="A57" s="10"/>
      <c r="B57" s="10"/>
      <c r="C57" s="10"/>
      <c r="D57" s="10"/>
      <c r="E57" s="10"/>
      <c r="F57" s="11"/>
      <c r="G57" s="12"/>
      <c r="H57" s="12"/>
      <c r="I57" s="12"/>
      <c r="J57" s="13"/>
    </row>
    <row r="58" spans="1:10" x14ac:dyDescent="0.35">
      <c r="A58" s="10"/>
      <c r="B58" s="10"/>
      <c r="C58" s="10"/>
      <c r="D58" s="10"/>
      <c r="E58" s="10"/>
      <c r="F58" s="11"/>
      <c r="G58" s="12"/>
      <c r="H58" s="12"/>
      <c r="I58" s="12"/>
      <c r="J58" s="13"/>
    </row>
    <row r="59" spans="1:10" x14ac:dyDescent="0.35">
      <c r="A59" s="10"/>
      <c r="B59" s="10"/>
      <c r="C59" s="10"/>
      <c r="D59" s="10"/>
      <c r="E59" s="10"/>
      <c r="F59" s="11"/>
      <c r="G59" s="12"/>
      <c r="H59" s="12"/>
      <c r="I59" s="12"/>
      <c r="J59" s="13"/>
    </row>
    <row r="60" spans="1:10" x14ac:dyDescent="0.35">
      <c r="A60" s="10"/>
      <c r="B60" s="10"/>
      <c r="C60" s="10"/>
      <c r="D60" s="10"/>
      <c r="E60" s="10"/>
      <c r="F60" s="11"/>
      <c r="G60" s="12"/>
      <c r="H60" s="12"/>
      <c r="I60" s="12"/>
      <c r="J60" s="13"/>
    </row>
    <row r="61" spans="1:10" x14ac:dyDescent="0.35">
      <c r="A61" s="10"/>
      <c r="B61" s="10"/>
      <c r="C61" s="10"/>
      <c r="D61" s="10"/>
      <c r="E61" s="10"/>
      <c r="F61" s="11"/>
      <c r="G61" s="12"/>
      <c r="H61" s="12"/>
      <c r="I61" s="12"/>
      <c r="J61" s="13"/>
    </row>
    <row r="62" spans="1:10" x14ac:dyDescent="0.35">
      <c r="A62" s="10"/>
      <c r="B62" s="10"/>
      <c r="C62" s="10"/>
      <c r="D62" s="10"/>
      <c r="E62" s="10"/>
      <c r="F62" s="11"/>
      <c r="G62" s="12"/>
      <c r="H62" s="12"/>
      <c r="I62" s="12"/>
      <c r="J62" s="13"/>
    </row>
    <row r="63" spans="1:10" x14ac:dyDescent="0.35">
      <c r="A63" s="10"/>
      <c r="B63" s="10"/>
      <c r="C63" s="10"/>
      <c r="D63" s="10"/>
      <c r="E63" s="10"/>
      <c r="F63" s="11"/>
      <c r="G63" s="12"/>
      <c r="H63" s="12"/>
      <c r="I63" s="12"/>
      <c r="J63" s="13"/>
    </row>
    <row r="64" spans="1:10" x14ac:dyDescent="0.35">
      <c r="A64" s="10"/>
      <c r="B64" s="10"/>
      <c r="C64" s="10"/>
      <c r="D64" s="10"/>
      <c r="E64" s="10"/>
      <c r="F64" s="11"/>
      <c r="G64" s="12"/>
      <c r="H64" s="12"/>
      <c r="I64" s="12"/>
      <c r="J64" s="13"/>
    </row>
    <row r="65" spans="1:10" x14ac:dyDescent="0.35">
      <c r="A65" s="10"/>
      <c r="B65" s="10"/>
      <c r="C65" s="10"/>
      <c r="D65" s="10"/>
      <c r="E65" s="10"/>
      <c r="F65" s="11"/>
      <c r="G65" s="12"/>
      <c r="H65" s="12"/>
      <c r="I65" s="12"/>
      <c r="J65" s="13"/>
    </row>
    <row r="66" spans="1:10" x14ac:dyDescent="0.35">
      <c r="A66" s="10"/>
      <c r="B66" s="10"/>
      <c r="C66" s="10"/>
      <c r="D66" s="10"/>
      <c r="E66" s="10"/>
      <c r="F66" s="11"/>
      <c r="G66" s="12"/>
      <c r="H66" s="12"/>
      <c r="I66" s="12"/>
      <c r="J66" s="13"/>
    </row>
    <row r="67" spans="1:10" x14ac:dyDescent="0.35">
      <c r="A67" s="10"/>
      <c r="B67" s="10"/>
      <c r="C67" s="10"/>
      <c r="D67" s="10"/>
      <c r="E67" s="10"/>
      <c r="F67" s="11"/>
      <c r="G67" s="12"/>
      <c r="H67" s="12"/>
      <c r="I67" s="12"/>
      <c r="J67" s="13"/>
    </row>
    <row r="68" spans="1:10" x14ac:dyDescent="0.35">
      <c r="A68" s="10"/>
      <c r="B68" s="10"/>
      <c r="C68" s="10"/>
      <c r="D68" s="10"/>
      <c r="E68" s="10"/>
      <c r="F68" s="11"/>
      <c r="G68" s="12"/>
      <c r="H68" s="12"/>
      <c r="I68" s="12"/>
      <c r="J68" s="13"/>
    </row>
    <row r="69" spans="1:10" x14ac:dyDescent="0.35">
      <c r="A69" s="10"/>
      <c r="B69" s="10"/>
      <c r="C69" s="10"/>
      <c r="D69" s="10"/>
      <c r="E69" s="10"/>
      <c r="F69" s="11"/>
      <c r="G69" s="12"/>
      <c r="H69" s="12"/>
      <c r="I69" s="12"/>
      <c r="J69" s="13"/>
    </row>
    <row r="70" spans="1:10" x14ac:dyDescent="0.35">
      <c r="A70" s="10"/>
      <c r="B70" s="10"/>
      <c r="C70" s="10"/>
      <c r="D70" s="10"/>
      <c r="E70" s="10"/>
      <c r="F70" s="11"/>
      <c r="G70" s="12"/>
      <c r="H70" s="12"/>
      <c r="I70" s="12"/>
      <c r="J70" s="13"/>
    </row>
    <row r="71" spans="1:10" x14ac:dyDescent="0.35">
      <c r="A71" s="10"/>
      <c r="B71" s="10"/>
      <c r="C71" s="10"/>
      <c r="D71" s="10"/>
      <c r="E71" s="10"/>
      <c r="F71" s="11"/>
      <c r="G71" s="12"/>
      <c r="H71" s="12"/>
      <c r="I71" s="12"/>
      <c r="J71" s="13"/>
    </row>
    <row r="72" spans="1:10" x14ac:dyDescent="0.35">
      <c r="A72" s="10"/>
      <c r="B72" s="10"/>
      <c r="C72" s="10"/>
      <c r="D72" s="10"/>
      <c r="E72" s="10"/>
      <c r="F72" s="11"/>
      <c r="G72" s="12"/>
      <c r="H72" s="12"/>
      <c r="I72" s="12"/>
      <c r="J72" s="13"/>
    </row>
    <row r="73" spans="1:10" x14ac:dyDescent="0.35">
      <c r="A73" s="10"/>
      <c r="B73" s="10"/>
      <c r="C73" s="10"/>
      <c r="D73" s="10"/>
      <c r="E73" s="10"/>
      <c r="F73" s="11"/>
      <c r="G73" s="12"/>
      <c r="H73" s="12"/>
      <c r="I73" s="12"/>
      <c r="J73" s="13"/>
    </row>
    <row r="74" spans="1:10" x14ac:dyDescent="0.35">
      <c r="A74" s="10"/>
      <c r="B74" s="10"/>
      <c r="C74" s="10"/>
      <c r="D74" s="10"/>
      <c r="E74" s="10"/>
      <c r="F74" s="11"/>
      <c r="G74" s="12"/>
      <c r="H74" s="12"/>
      <c r="I74" s="12"/>
      <c r="J74" s="13"/>
    </row>
    <row r="75" spans="1:10" x14ac:dyDescent="0.35">
      <c r="A75" s="10"/>
      <c r="B75" s="10"/>
      <c r="C75" s="10"/>
      <c r="D75" s="10"/>
      <c r="E75" s="10"/>
      <c r="F75" s="11"/>
      <c r="G75" s="12"/>
      <c r="H75" s="12"/>
      <c r="I75" s="12"/>
      <c r="J75" s="13"/>
    </row>
    <row r="76" spans="1:10" x14ac:dyDescent="0.35">
      <c r="A76" s="10"/>
      <c r="B76" s="10"/>
      <c r="C76" s="10"/>
      <c r="D76" s="10"/>
      <c r="E76" s="10"/>
      <c r="F76" s="11"/>
      <c r="G76" s="12"/>
      <c r="H76" s="12"/>
      <c r="I76" s="12"/>
      <c r="J76" s="13"/>
    </row>
    <row r="77" spans="1:10" x14ac:dyDescent="0.35">
      <c r="A77" s="10"/>
      <c r="B77" s="10"/>
      <c r="C77" s="10"/>
      <c r="D77" s="10"/>
      <c r="E77" s="10"/>
      <c r="F77" s="11"/>
      <c r="G77" s="12"/>
      <c r="H77" s="12"/>
      <c r="I77" s="12"/>
      <c r="J77" s="13"/>
    </row>
    <row r="78" spans="1:10" x14ac:dyDescent="0.35">
      <c r="A78" s="10"/>
      <c r="B78" s="10"/>
      <c r="C78" s="10"/>
      <c r="D78" s="10"/>
      <c r="E78" s="10"/>
      <c r="F78" s="11"/>
      <c r="G78" s="12"/>
      <c r="H78" s="12"/>
      <c r="I78" s="12"/>
      <c r="J78" s="13"/>
    </row>
    <row r="79" spans="1:10" x14ac:dyDescent="0.35">
      <c r="A79" s="10"/>
      <c r="B79" s="10"/>
      <c r="C79" s="10"/>
      <c r="D79" s="10"/>
      <c r="E79" s="10"/>
      <c r="F79" s="11"/>
      <c r="G79" s="12"/>
      <c r="H79" s="12"/>
      <c r="I79" s="12"/>
      <c r="J79" s="13"/>
    </row>
    <row r="80" spans="1:10" x14ac:dyDescent="0.35">
      <c r="A80" s="10"/>
      <c r="B80" s="10"/>
      <c r="C80" s="10"/>
      <c r="D80" s="10"/>
      <c r="E80" s="10"/>
      <c r="F80" s="11"/>
      <c r="G80" s="12"/>
      <c r="H80" s="12"/>
      <c r="I80" s="12"/>
      <c r="J80" s="13"/>
    </row>
    <row r="81" spans="1:10" x14ac:dyDescent="0.35">
      <c r="A81" s="10"/>
      <c r="B81" s="10"/>
      <c r="C81" s="10"/>
      <c r="D81" s="10"/>
      <c r="E81" s="10"/>
      <c r="F81" s="11"/>
      <c r="G81" s="12"/>
      <c r="H81" s="12"/>
      <c r="I81" s="12"/>
      <c r="J81" s="13"/>
    </row>
    <row r="82" spans="1:10" x14ac:dyDescent="0.35">
      <c r="A82" s="10"/>
      <c r="B82" s="10"/>
      <c r="C82" s="10"/>
      <c r="D82" s="10"/>
      <c r="E82" s="10"/>
      <c r="F82" s="11"/>
      <c r="G82" s="12"/>
      <c r="H82" s="12"/>
      <c r="I82" s="12"/>
      <c r="J82" s="13"/>
    </row>
    <row r="83" spans="1:10" x14ac:dyDescent="0.35">
      <c r="A83" s="10"/>
      <c r="B83" s="10"/>
      <c r="C83" s="10"/>
      <c r="D83" s="10"/>
      <c r="E83" s="10"/>
      <c r="F83" s="11"/>
      <c r="G83" s="12"/>
      <c r="H83" s="12"/>
      <c r="I83" s="12"/>
      <c r="J83" s="13"/>
    </row>
    <row r="84" spans="1:10" x14ac:dyDescent="0.35">
      <c r="A84" s="10"/>
      <c r="B84" s="10"/>
      <c r="C84" s="10"/>
      <c r="D84" s="10"/>
      <c r="E84" s="10"/>
      <c r="F84" s="11"/>
      <c r="G84" s="12"/>
      <c r="H84" s="12"/>
      <c r="I84" s="12"/>
      <c r="J84" s="13"/>
    </row>
    <row r="85" spans="1:10" x14ac:dyDescent="0.35">
      <c r="A85" s="10"/>
      <c r="B85" s="10"/>
      <c r="C85" s="10"/>
      <c r="D85" s="10"/>
      <c r="E85" s="10"/>
      <c r="F85" s="11"/>
      <c r="G85" s="12"/>
      <c r="H85" s="12"/>
      <c r="I85" s="12"/>
      <c r="J85" s="13"/>
    </row>
    <row r="86" spans="1:10" x14ac:dyDescent="0.35">
      <c r="A86" s="10"/>
      <c r="B86" s="10"/>
      <c r="C86" s="10"/>
      <c r="D86" s="10"/>
      <c r="E86" s="10"/>
      <c r="F86" s="11"/>
      <c r="G86" s="12"/>
      <c r="H86" s="12"/>
      <c r="I86" s="12"/>
      <c r="J86" s="13"/>
    </row>
    <row r="87" spans="1:10" x14ac:dyDescent="0.35">
      <c r="A87" s="10"/>
      <c r="B87" s="10"/>
      <c r="C87" s="10"/>
      <c r="D87" s="10"/>
      <c r="E87" s="10"/>
      <c r="F87" s="11"/>
      <c r="G87" s="12"/>
      <c r="H87" s="12"/>
      <c r="I87" s="12"/>
      <c r="J87" s="13"/>
    </row>
    <row r="88" spans="1:10" x14ac:dyDescent="0.35">
      <c r="A88" s="10"/>
      <c r="B88" s="10"/>
      <c r="C88" s="10"/>
      <c r="D88" s="10"/>
      <c r="E88" s="10"/>
      <c r="F88" s="11"/>
      <c r="G88" s="12"/>
      <c r="H88" s="12"/>
      <c r="I88" s="12"/>
      <c r="J88" s="13"/>
    </row>
    <row r="89" spans="1:10" x14ac:dyDescent="0.35">
      <c r="A89" s="10"/>
      <c r="B89" s="10"/>
      <c r="C89" s="10"/>
      <c r="D89" s="10"/>
      <c r="E89" s="10"/>
      <c r="F89" s="11"/>
      <c r="G89" s="12"/>
      <c r="H89" s="12"/>
      <c r="I89" s="12"/>
      <c r="J89" s="13"/>
    </row>
    <row r="90" spans="1:10" x14ac:dyDescent="0.35">
      <c r="A90" s="10"/>
      <c r="B90" s="10"/>
      <c r="C90" s="10"/>
      <c r="D90" s="10"/>
      <c r="E90" s="10"/>
      <c r="F90" s="11"/>
      <c r="G90" s="12"/>
      <c r="H90" s="12"/>
      <c r="I90" s="12"/>
      <c r="J90" s="13"/>
    </row>
    <row r="91" spans="1:10" x14ac:dyDescent="0.35">
      <c r="A91" s="10"/>
      <c r="B91" s="10"/>
      <c r="C91" s="10"/>
      <c r="D91" s="10"/>
      <c r="E91" s="10"/>
      <c r="F91" s="11"/>
      <c r="G91" s="12"/>
      <c r="H91" s="12"/>
      <c r="I91" s="12"/>
      <c r="J91" s="13"/>
    </row>
    <row r="92" spans="1:10" x14ac:dyDescent="0.35">
      <c r="A92" s="10"/>
      <c r="B92" s="10"/>
      <c r="C92" s="10"/>
      <c r="D92" s="10"/>
      <c r="E92" s="10"/>
      <c r="F92" s="11"/>
      <c r="G92" s="12"/>
      <c r="H92" s="12"/>
      <c r="I92" s="12"/>
      <c r="J92" s="13"/>
    </row>
    <row r="93" spans="1:10" x14ac:dyDescent="0.35">
      <c r="A93" s="10"/>
      <c r="B93" s="10"/>
      <c r="C93" s="10"/>
      <c r="D93" s="10"/>
      <c r="E93" s="10"/>
      <c r="F93" s="11"/>
      <c r="G93" s="12"/>
      <c r="H93" s="12"/>
      <c r="I93" s="12"/>
      <c r="J93" s="13"/>
    </row>
    <row r="94" spans="1:10" x14ac:dyDescent="0.35">
      <c r="A94" s="10"/>
      <c r="B94" s="10"/>
      <c r="C94" s="10"/>
      <c r="D94" s="10"/>
      <c r="E94" s="10"/>
      <c r="F94" s="11"/>
      <c r="G94" s="12"/>
      <c r="H94" s="12"/>
      <c r="I94" s="12"/>
      <c r="J94" s="13"/>
    </row>
    <row r="95" spans="1:10" x14ac:dyDescent="0.35">
      <c r="A95" s="10"/>
      <c r="B95" s="10"/>
      <c r="C95" s="10"/>
      <c r="D95" s="10"/>
      <c r="E95" s="10"/>
      <c r="F95" s="11"/>
      <c r="G95" s="12"/>
      <c r="H95" s="12"/>
      <c r="I95" s="12"/>
      <c r="J95" s="13"/>
    </row>
    <row r="96" spans="1:10" x14ac:dyDescent="0.35">
      <c r="A96" s="10"/>
      <c r="B96" s="10"/>
      <c r="C96" s="10"/>
      <c r="D96" s="10"/>
      <c r="E96" s="10"/>
      <c r="F96" s="11"/>
      <c r="G96" s="12"/>
      <c r="H96" s="12"/>
      <c r="I96" s="12"/>
      <c r="J96" s="13"/>
    </row>
    <row r="97" spans="1:10" x14ac:dyDescent="0.35">
      <c r="A97" s="10"/>
      <c r="B97" s="10"/>
      <c r="C97" s="10"/>
      <c r="D97" s="10"/>
      <c r="E97" s="10"/>
      <c r="F97" s="11"/>
      <c r="G97" s="12"/>
      <c r="H97" s="12"/>
      <c r="I97" s="12"/>
      <c r="J97" s="13"/>
    </row>
    <row r="98" spans="1:10" x14ac:dyDescent="0.35">
      <c r="A98" s="10"/>
      <c r="B98" s="10"/>
      <c r="C98" s="10"/>
      <c r="D98" s="10"/>
      <c r="E98" s="10"/>
      <c r="F98" s="11"/>
      <c r="G98" s="12"/>
      <c r="H98" s="12"/>
      <c r="I98" s="12"/>
      <c r="J98" s="13"/>
    </row>
    <row r="99" spans="1:10" x14ac:dyDescent="0.35">
      <c r="A99" s="10"/>
      <c r="B99" s="10"/>
      <c r="C99" s="10"/>
      <c r="D99" s="10"/>
      <c r="E99" s="10"/>
      <c r="F99" s="11"/>
      <c r="G99" s="12"/>
      <c r="H99" s="12"/>
      <c r="I99" s="12"/>
      <c r="J99" s="13"/>
    </row>
    <row r="100" spans="1:10" x14ac:dyDescent="0.35">
      <c r="A100" s="10"/>
      <c r="B100" s="10"/>
      <c r="C100" s="10"/>
      <c r="D100" s="10"/>
      <c r="E100" s="10"/>
      <c r="F100" s="11"/>
      <c r="G100" s="12"/>
      <c r="H100" s="12"/>
      <c r="I100" s="12"/>
      <c r="J100" s="13"/>
    </row>
    <row r="101" spans="1:10" x14ac:dyDescent="0.35">
      <c r="A101" s="10"/>
      <c r="B101" s="10"/>
      <c r="C101" s="10"/>
      <c r="D101" s="10"/>
      <c r="E101" s="10"/>
      <c r="F101" s="11"/>
      <c r="G101" s="12"/>
      <c r="H101" s="12"/>
      <c r="I101" s="12"/>
      <c r="J101" s="13"/>
    </row>
    <row r="102" spans="1:10" x14ac:dyDescent="0.35">
      <c r="A102" s="10"/>
      <c r="B102" s="10"/>
      <c r="C102" s="10"/>
      <c r="D102" s="10"/>
      <c r="E102" s="10"/>
      <c r="F102" s="11"/>
      <c r="G102" s="12"/>
      <c r="H102" s="12"/>
      <c r="I102" s="12"/>
      <c r="J102" s="13"/>
    </row>
    <row r="103" spans="1:10" x14ac:dyDescent="0.35">
      <c r="A103" s="10"/>
      <c r="B103" s="10"/>
      <c r="C103" s="10"/>
      <c r="D103" s="10"/>
      <c r="E103" s="10"/>
      <c r="F103" s="11"/>
      <c r="G103" s="12"/>
      <c r="H103" s="12"/>
      <c r="I103" s="12"/>
      <c r="J103" s="13"/>
    </row>
    <row r="104" spans="1:10" x14ac:dyDescent="0.35">
      <c r="A104" s="10"/>
      <c r="B104" s="10"/>
      <c r="C104" s="10"/>
      <c r="D104" s="10"/>
      <c r="E104" s="10"/>
      <c r="F104" s="11"/>
      <c r="G104" s="12"/>
      <c r="H104" s="12"/>
      <c r="I104" s="12"/>
      <c r="J104" s="13"/>
    </row>
    <row r="105" spans="1:10" x14ac:dyDescent="0.35">
      <c r="A105" s="10"/>
      <c r="B105" s="10"/>
      <c r="C105" s="10"/>
      <c r="D105" s="10"/>
      <c r="E105" s="10"/>
      <c r="F105" s="11"/>
      <c r="G105" s="12"/>
      <c r="H105" s="12"/>
      <c r="I105" s="12"/>
      <c r="J105" s="13"/>
    </row>
    <row r="106" spans="1:10" x14ac:dyDescent="0.35">
      <c r="A106" s="10"/>
      <c r="B106" s="10"/>
      <c r="C106" s="10"/>
      <c r="D106" s="10"/>
      <c r="E106" s="10"/>
      <c r="F106" s="11"/>
      <c r="G106" s="12"/>
      <c r="H106" s="12"/>
      <c r="I106" s="12"/>
      <c r="J106" s="13"/>
    </row>
    <row r="107" spans="1:10" x14ac:dyDescent="0.35">
      <c r="A107" s="10"/>
      <c r="B107" s="10"/>
      <c r="C107" s="10"/>
      <c r="D107" s="10"/>
      <c r="E107" s="10"/>
      <c r="F107" s="11"/>
      <c r="G107" s="12"/>
      <c r="H107" s="12"/>
      <c r="I107" s="12"/>
      <c r="J107" s="13"/>
    </row>
    <row r="108" spans="1:10" x14ac:dyDescent="0.35">
      <c r="A108" s="10"/>
      <c r="B108" s="10"/>
      <c r="C108" s="10"/>
      <c r="D108" s="10"/>
      <c r="E108" s="10"/>
      <c r="F108" s="11"/>
      <c r="G108" s="12"/>
      <c r="H108" s="12"/>
      <c r="I108" s="12"/>
      <c r="J108" s="13"/>
    </row>
    <row r="109" spans="1:10" x14ac:dyDescent="0.35">
      <c r="A109" s="10"/>
      <c r="B109" s="10"/>
      <c r="C109" s="10"/>
      <c r="D109" s="10"/>
      <c r="E109" s="10"/>
      <c r="F109" s="11"/>
      <c r="G109" s="12"/>
      <c r="H109" s="12"/>
      <c r="I109" s="12"/>
      <c r="J109" s="13"/>
    </row>
    <row r="110" spans="1:10" x14ac:dyDescent="0.35">
      <c r="A110" s="10"/>
      <c r="B110" s="10"/>
      <c r="C110" s="10"/>
      <c r="D110" s="10"/>
      <c r="E110" s="10"/>
      <c r="F110" s="11"/>
      <c r="G110" s="12"/>
      <c r="H110" s="12"/>
      <c r="I110" s="12"/>
      <c r="J110" s="13"/>
    </row>
    <row r="111" spans="1:10" x14ac:dyDescent="0.35">
      <c r="A111" s="10"/>
      <c r="B111" s="10"/>
      <c r="C111" s="10"/>
      <c r="D111" s="10"/>
      <c r="E111" s="10"/>
      <c r="F111" s="11"/>
      <c r="G111" s="12"/>
      <c r="H111" s="12"/>
      <c r="I111" s="12"/>
      <c r="J111" s="13"/>
    </row>
    <row r="112" spans="1:10" x14ac:dyDescent="0.35">
      <c r="A112" s="10"/>
      <c r="B112" s="10"/>
      <c r="C112" s="10"/>
      <c r="D112" s="10"/>
      <c r="E112" s="10"/>
      <c r="F112" s="11"/>
      <c r="G112" s="12"/>
      <c r="H112" s="12"/>
      <c r="I112" s="12"/>
      <c r="J112" s="13"/>
    </row>
    <row r="113" spans="1:10" x14ac:dyDescent="0.35">
      <c r="A113" s="10"/>
      <c r="B113" s="10"/>
      <c r="C113" s="10"/>
      <c r="D113" s="10"/>
      <c r="E113" s="10"/>
      <c r="F113" s="11"/>
      <c r="G113" s="12"/>
      <c r="H113" s="12"/>
      <c r="I113" s="12"/>
      <c r="J113" s="13"/>
    </row>
    <row r="114" spans="1:10" x14ac:dyDescent="0.35">
      <c r="A114" s="10"/>
      <c r="B114" s="10"/>
      <c r="C114" s="10"/>
      <c r="D114" s="10"/>
      <c r="E114" s="10"/>
      <c r="F114" s="11"/>
      <c r="G114" s="12"/>
      <c r="H114" s="12"/>
      <c r="I114" s="12"/>
      <c r="J114" s="13"/>
    </row>
    <row r="115" spans="1:10" x14ac:dyDescent="0.35">
      <c r="A115" s="10"/>
      <c r="B115" s="10"/>
      <c r="C115" s="10"/>
      <c r="D115" s="10"/>
      <c r="E115" s="10"/>
      <c r="F115" s="11"/>
      <c r="G115" s="12"/>
      <c r="H115" s="12"/>
      <c r="I115" s="12"/>
      <c r="J115" s="13"/>
    </row>
    <row r="116" spans="1:10" x14ac:dyDescent="0.35">
      <c r="A116" s="10"/>
      <c r="B116" s="10"/>
      <c r="C116" s="10"/>
      <c r="D116" s="10"/>
      <c r="E116" s="10"/>
      <c r="F116" s="11"/>
      <c r="G116" s="12"/>
      <c r="H116" s="12"/>
      <c r="I116" s="12"/>
      <c r="J116" s="13"/>
    </row>
    <row r="117" spans="1:10" x14ac:dyDescent="0.35">
      <c r="A117" s="10"/>
      <c r="B117" s="10"/>
      <c r="C117" s="10"/>
      <c r="D117" s="10"/>
      <c r="E117" s="10"/>
      <c r="F117" s="11"/>
      <c r="G117" s="12"/>
      <c r="H117" s="12"/>
      <c r="I117" s="12"/>
      <c r="J117" s="13"/>
    </row>
    <row r="118" spans="1:10" x14ac:dyDescent="0.35">
      <c r="A118" s="10"/>
      <c r="B118" s="10"/>
      <c r="C118" s="10"/>
      <c r="D118" s="10"/>
      <c r="E118" s="10"/>
      <c r="F118" s="11"/>
      <c r="G118" s="12"/>
      <c r="H118" s="12"/>
      <c r="I118" s="12"/>
      <c r="J118" s="13"/>
    </row>
    <row r="119" spans="1:10" x14ac:dyDescent="0.35">
      <c r="A119" s="10"/>
      <c r="B119" s="10"/>
      <c r="C119" s="10"/>
      <c r="D119" s="10"/>
      <c r="E119" s="10"/>
      <c r="F119" s="11"/>
      <c r="G119" s="12"/>
      <c r="H119" s="12"/>
      <c r="I119" s="12"/>
      <c r="J119" s="13"/>
    </row>
    <row r="120" spans="1:10" x14ac:dyDescent="0.35">
      <c r="A120" s="10"/>
      <c r="B120" s="10"/>
      <c r="C120" s="10"/>
      <c r="D120" s="10"/>
      <c r="E120" s="10"/>
      <c r="F120" s="11"/>
      <c r="G120" s="12"/>
      <c r="H120" s="12"/>
      <c r="I120" s="12"/>
      <c r="J120" s="13"/>
    </row>
    <row r="121" spans="1:10" x14ac:dyDescent="0.35">
      <c r="A121" s="10"/>
      <c r="B121" s="10"/>
      <c r="C121" s="10"/>
      <c r="D121" s="10"/>
      <c r="E121" s="10"/>
      <c r="F121" s="11"/>
      <c r="G121" s="12"/>
      <c r="H121" s="12"/>
      <c r="I121" s="12"/>
      <c r="J121" s="13"/>
    </row>
    <row r="122" spans="1:10" x14ac:dyDescent="0.35">
      <c r="A122" s="10"/>
      <c r="B122" s="10"/>
      <c r="C122" s="10"/>
      <c r="D122" s="10"/>
      <c r="E122" s="10"/>
      <c r="F122" s="11"/>
      <c r="G122" s="12"/>
      <c r="H122" s="12"/>
      <c r="I122" s="12"/>
      <c r="J122" s="13"/>
    </row>
    <row r="123" spans="1:10" x14ac:dyDescent="0.35">
      <c r="A123" s="10"/>
      <c r="B123" s="10"/>
      <c r="C123" s="10"/>
      <c r="D123" s="10"/>
      <c r="E123" s="10"/>
      <c r="F123" s="11"/>
      <c r="G123" s="12"/>
      <c r="H123" s="12"/>
      <c r="I123" s="12"/>
      <c r="J123" s="13"/>
    </row>
    <row r="124" spans="1:10" x14ac:dyDescent="0.35">
      <c r="A124" s="10"/>
      <c r="B124" s="10"/>
      <c r="C124" s="10"/>
      <c r="D124" s="10"/>
      <c r="E124" s="10"/>
      <c r="F124" s="11"/>
      <c r="G124" s="12"/>
      <c r="H124" s="12"/>
      <c r="I124" s="12"/>
      <c r="J124" s="13"/>
    </row>
    <row r="125" spans="1:10" x14ac:dyDescent="0.35">
      <c r="A125" s="10"/>
      <c r="B125" s="10"/>
      <c r="C125" s="10"/>
      <c r="D125" s="10"/>
      <c r="E125" s="10"/>
      <c r="F125" s="11"/>
      <c r="G125" s="12"/>
      <c r="H125" s="12"/>
      <c r="I125" s="12"/>
      <c r="J125" s="13"/>
    </row>
    <row r="126" spans="1:10" x14ac:dyDescent="0.35">
      <c r="A126" s="10"/>
      <c r="B126" s="10"/>
      <c r="C126" s="10"/>
      <c r="D126" s="10"/>
      <c r="E126" s="10"/>
      <c r="F126" s="11"/>
      <c r="G126" s="12"/>
      <c r="H126" s="12"/>
      <c r="I126" s="12"/>
      <c r="J126" s="13"/>
    </row>
    <row r="127" spans="1:10" x14ac:dyDescent="0.35">
      <c r="A127" s="10"/>
      <c r="B127" s="10"/>
      <c r="C127" s="10"/>
      <c r="D127" s="10"/>
      <c r="E127" s="10"/>
      <c r="F127" s="11"/>
      <c r="G127" s="12"/>
      <c r="H127" s="12"/>
      <c r="I127" s="12"/>
      <c r="J127" s="13"/>
    </row>
    <row r="128" spans="1:10" x14ac:dyDescent="0.35">
      <c r="A128" s="10"/>
      <c r="B128" s="10"/>
      <c r="C128" s="10"/>
      <c r="D128" s="10"/>
      <c r="E128" s="10"/>
      <c r="F128" s="11"/>
      <c r="G128" s="12"/>
      <c r="H128" s="12"/>
      <c r="I128" s="12"/>
      <c r="J128" s="13"/>
    </row>
    <row r="129" spans="1:10" x14ac:dyDescent="0.35">
      <c r="A129" s="10"/>
      <c r="B129" s="10"/>
      <c r="C129" s="10"/>
      <c r="D129" s="10"/>
      <c r="E129" s="10"/>
      <c r="F129" s="11"/>
      <c r="G129" s="12"/>
      <c r="H129" s="12"/>
      <c r="I129" s="12"/>
      <c r="J129" s="13"/>
    </row>
    <row r="130" spans="1:10" x14ac:dyDescent="0.35">
      <c r="A130" s="10"/>
      <c r="B130" s="10"/>
      <c r="C130" s="10"/>
      <c r="D130" s="10"/>
      <c r="E130" s="10"/>
      <c r="F130" s="11"/>
      <c r="G130" s="12"/>
      <c r="H130" s="12"/>
      <c r="I130" s="12"/>
      <c r="J130" s="13"/>
    </row>
    <row r="131" spans="1:10" x14ac:dyDescent="0.35">
      <c r="A131" s="10"/>
      <c r="B131" s="10"/>
      <c r="C131" s="10"/>
      <c r="D131" s="10"/>
      <c r="E131" s="10"/>
      <c r="F131" s="11"/>
      <c r="G131" s="12"/>
      <c r="H131" s="12"/>
      <c r="I131" s="12"/>
      <c r="J131" s="13"/>
    </row>
    <row r="132" spans="1:10" x14ac:dyDescent="0.35">
      <c r="A132" s="10"/>
      <c r="B132" s="10"/>
      <c r="C132" s="10"/>
      <c r="D132" s="10"/>
      <c r="E132" s="10"/>
      <c r="F132" s="11"/>
      <c r="G132" s="12"/>
      <c r="H132" s="12"/>
      <c r="I132" s="12"/>
      <c r="J132" s="13"/>
    </row>
    <row r="133" spans="1:10" x14ac:dyDescent="0.35">
      <c r="A133" s="10"/>
      <c r="B133" s="10"/>
      <c r="C133" s="10"/>
      <c r="D133" s="10"/>
      <c r="E133" s="10"/>
      <c r="F133" s="11"/>
      <c r="G133" s="12"/>
      <c r="H133" s="12"/>
      <c r="I133" s="12"/>
      <c r="J133" s="13"/>
    </row>
    <row r="134" spans="1:10" x14ac:dyDescent="0.35">
      <c r="A134" s="10"/>
      <c r="B134" s="10"/>
      <c r="C134" s="10"/>
      <c r="D134" s="10"/>
      <c r="E134" s="10"/>
      <c r="F134" s="11"/>
      <c r="G134" s="12"/>
      <c r="H134" s="12"/>
      <c r="I134" s="12"/>
      <c r="J134" s="13"/>
    </row>
    <row r="135" spans="1:10" x14ac:dyDescent="0.35">
      <c r="A135" s="10"/>
      <c r="B135" s="10"/>
      <c r="C135" s="10"/>
      <c r="D135" s="10"/>
      <c r="E135" s="10"/>
      <c r="F135" s="11"/>
      <c r="G135" s="12"/>
      <c r="H135" s="12"/>
      <c r="I135" s="12"/>
      <c r="J135" s="13"/>
    </row>
    <row r="136" spans="1:10" x14ac:dyDescent="0.35">
      <c r="A136" s="10"/>
      <c r="B136" s="10"/>
      <c r="C136" s="10"/>
      <c r="D136" s="10"/>
      <c r="E136" s="10"/>
      <c r="F136" s="11"/>
      <c r="G136" s="12"/>
      <c r="H136" s="12"/>
      <c r="I136" s="12"/>
      <c r="J136" s="13"/>
    </row>
    <row r="137" spans="1:10" x14ac:dyDescent="0.35">
      <c r="A137" s="10"/>
      <c r="B137" s="10"/>
      <c r="C137" s="10"/>
      <c r="D137" s="10"/>
      <c r="E137" s="10"/>
      <c r="F137" s="11"/>
      <c r="G137" s="12"/>
      <c r="H137" s="12"/>
      <c r="I137" s="12"/>
      <c r="J137" s="13"/>
    </row>
    <row r="138" spans="1:10" x14ac:dyDescent="0.35">
      <c r="A138" s="10"/>
      <c r="B138" s="10"/>
      <c r="C138" s="10"/>
      <c r="D138" s="10"/>
      <c r="E138" s="10"/>
      <c r="F138" s="11"/>
      <c r="G138" s="12"/>
      <c r="H138" s="12"/>
      <c r="I138" s="12"/>
      <c r="J138" s="13"/>
    </row>
    <row r="139" spans="1:10" x14ac:dyDescent="0.35">
      <c r="A139" s="10"/>
      <c r="B139" s="10"/>
      <c r="C139" s="10"/>
      <c r="D139" s="10"/>
      <c r="E139" s="10"/>
      <c r="F139" s="11"/>
      <c r="G139" s="12"/>
      <c r="H139" s="12"/>
      <c r="I139" s="12"/>
      <c r="J139" s="13"/>
    </row>
    <row r="140" spans="1:10" x14ac:dyDescent="0.35">
      <c r="A140" s="10"/>
      <c r="B140" s="10"/>
      <c r="C140" s="10"/>
      <c r="D140" s="10"/>
      <c r="E140" s="10"/>
      <c r="F140" s="11"/>
      <c r="G140" s="12"/>
      <c r="H140" s="12"/>
      <c r="I140" s="12"/>
      <c r="J140" s="13"/>
    </row>
    <row r="141" spans="1:10" x14ac:dyDescent="0.35">
      <c r="A141" s="10"/>
      <c r="B141" s="10"/>
      <c r="C141" s="10"/>
      <c r="D141" s="10"/>
      <c r="E141" s="10"/>
      <c r="F141" s="11"/>
      <c r="G141" s="12"/>
      <c r="H141" s="12"/>
      <c r="I141" s="12"/>
      <c r="J141" s="13"/>
    </row>
    <row r="142" spans="1:10" x14ac:dyDescent="0.35">
      <c r="A142" s="10"/>
      <c r="B142" s="10"/>
      <c r="C142" s="10"/>
      <c r="D142" s="10"/>
      <c r="E142" s="10"/>
      <c r="F142" s="11"/>
      <c r="G142" s="12"/>
      <c r="H142" s="12"/>
      <c r="I142" s="12"/>
      <c r="J142" s="13"/>
    </row>
    <row r="143" spans="1:10" x14ac:dyDescent="0.35">
      <c r="A143" s="10"/>
      <c r="B143" s="10"/>
      <c r="C143" s="10"/>
      <c r="D143" s="10"/>
      <c r="E143" s="10"/>
      <c r="F143" s="11"/>
      <c r="G143" s="12"/>
      <c r="H143" s="12"/>
      <c r="I143" s="12"/>
      <c r="J143" s="13"/>
    </row>
    <row r="144" spans="1:10" x14ac:dyDescent="0.35">
      <c r="A144" s="10"/>
      <c r="B144" s="10"/>
      <c r="C144" s="10"/>
      <c r="D144" s="10"/>
      <c r="E144" s="10"/>
      <c r="F144" s="11"/>
      <c r="G144" s="12"/>
      <c r="H144" s="12"/>
      <c r="I144" s="12"/>
      <c r="J144" s="13"/>
    </row>
    <row r="145" spans="1:10" x14ac:dyDescent="0.35">
      <c r="A145" s="10"/>
      <c r="B145" s="10"/>
      <c r="C145" s="10"/>
      <c r="D145" s="10"/>
      <c r="E145" s="10"/>
      <c r="F145" s="11"/>
      <c r="G145" s="12"/>
      <c r="H145" s="12"/>
      <c r="I145" s="12"/>
      <c r="J145" s="13"/>
    </row>
    <row r="146" spans="1:10" x14ac:dyDescent="0.35">
      <c r="A146" s="10"/>
      <c r="B146" s="10"/>
      <c r="C146" s="10"/>
      <c r="D146" s="10"/>
      <c r="E146" s="10"/>
      <c r="F146" s="11"/>
      <c r="G146" s="12"/>
      <c r="H146" s="12"/>
      <c r="I146" s="12"/>
      <c r="J146" s="13"/>
    </row>
    <row r="147" spans="1:10" x14ac:dyDescent="0.35">
      <c r="A147" s="10"/>
      <c r="B147" s="10"/>
      <c r="C147" s="10"/>
      <c r="D147" s="10"/>
      <c r="E147" s="10"/>
      <c r="F147" s="11"/>
      <c r="G147" s="12"/>
      <c r="H147" s="12"/>
      <c r="I147" s="12"/>
      <c r="J147" s="13"/>
    </row>
    <row r="148" spans="1:10" x14ac:dyDescent="0.35">
      <c r="A148" s="10"/>
      <c r="B148" s="10"/>
      <c r="C148" s="10"/>
      <c r="D148" s="10"/>
      <c r="E148" s="10"/>
      <c r="F148" s="11"/>
      <c r="G148" s="12"/>
      <c r="H148" s="12"/>
      <c r="I148" s="12"/>
      <c r="J148" s="13"/>
    </row>
    <row r="149" spans="1:10" x14ac:dyDescent="0.35">
      <c r="A149" s="10"/>
      <c r="B149" s="10"/>
      <c r="C149" s="10"/>
      <c r="D149" s="10"/>
      <c r="E149" s="10"/>
      <c r="F149" s="11"/>
      <c r="G149" s="12"/>
      <c r="H149" s="12"/>
      <c r="I149" s="12"/>
      <c r="J149" s="13"/>
    </row>
    <row r="150" spans="1:10" x14ac:dyDescent="0.35">
      <c r="A150" s="10"/>
      <c r="B150" s="10"/>
      <c r="C150" s="10"/>
      <c r="D150" s="10"/>
      <c r="E150" s="10"/>
      <c r="F150" s="11"/>
      <c r="G150" s="12"/>
      <c r="H150" s="12"/>
      <c r="I150" s="12"/>
      <c r="J150" s="13"/>
    </row>
    <row r="151" spans="1:10" x14ac:dyDescent="0.35">
      <c r="A151" s="10"/>
      <c r="B151" s="10"/>
      <c r="C151" s="10"/>
      <c r="D151" s="10"/>
      <c r="E151" s="10"/>
      <c r="F151" s="11"/>
      <c r="G151" s="12"/>
      <c r="H151" s="12"/>
      <c r="I151" s="12"/>
      <c r="J151" s="13"/>
    </row>
    <row r="152" spans="1:10" x14ac:dyDescent="0.35">
      <c r="A152" s="10"/>
      <c r="B152" s="10"/>
      <c r="C152" s="10"/>
      <c r="D152" s="10"/>
      <c r="E152" s="10"/>
      <c r="F152" s="11"/>
      <c r="G152" s="12"/>
      <c r="H152" s="12"/>
      <c r="I152" s="12"/>
      <c r="J152" s="13"/>
    </row>
    <row r="153" spans="1:10" x14ac:dyDescent="0.35">
      <c r="A153" s="10"/>
      <c r="B153" s="10"/>
      <c r="C153" s="10"/>
      <c r="D153" s="10"/>
      <c r="E153" s="10"/>
      <c r="F153" s="11"/>
      <c r="G153" s="12"/>
      <c r="H153" s="12"/>
      <c r="I153" s="12"/>
      <c r="J153" s="13"/>
    </row>
    <row r="154" spans="1:10" x14ac:dyDescent="0.35">
      <c r="A154" s="10"/>
      <c r="B154" s="10"/>
      <c r="C154" s="10"/>
      <c r="D154" s="10"/>
      <c r="E154" s="10"/>
      <c r="F154" s="11"/>
      <c r="G154" s="12"/>
      <c r="H154" s="12"/>
      <c r="I154" s="12"/>
      <c r="J154" s="13"/>
    </row>
    <row r="155" spans="1:10" x14ac:dyDescent="0.35">
      <c r="A155" s="10"/>
      <c r="B155" s="10"/>
      <c r="C155" s="10"/>
      <c r="D155" s="10"/>
      <c r="E155" s="10"/>
      <c r="F155" s="11"/>
      <c r="G155" s="12"/>
      <c r="H155" s="12"/>
      <c r="I155" s="12"/>
      <c r="J155" s="13"/>
    </row>
    <row r="156" spans="1:10" x14ac:dyDescent="0.35">
      <c r="A156" s="10"/>
      <c r="B156" s="10"/>
      <c r="C156" s="10"/>
      <c r="D156" s="10"/>
      <c r="E156" s="10"/>
      <c r="F156" s="11"/>
      <c r="G156" s="12"/>
      <c r="H156" s="12"/>
      <c r="I156" s="12"/>
      <c r="J156" s="13"/>
    </row>
    <row r="157" spans="1:10" x14ac:dyDescent="0.35">
      <c r="A157" s="10"/>
      <c r="B157" s="10"/>
      <c r="C157" s="10"/>
      <c r="D157" s="10"/>
      <c r="E157" s="10"/>
      <c r="F157" s="11"/>
      <c r="G157" s="12"/>
      <c r="H157" s="12"/>
      <c r="I157" s="12"/>
      <c r="J157" s="13"/>
    </row>
    <row r="158" spans="1:10" x14ac:dyDescent="0.35">
      <c r="A158" s="10"/>
      <c r="B158" s="10"/>
      <c r="C158" s="10"/>
      <c r="D158" s="10"/>
      <c r="E158" s="10"/>
      <c r="F158" s="11"/>
      <c r="G158" s="12"/>
      <c r="H158" s="12"/>
      <c r="I158" s="12"/>
      <c r="J158" s="13"/>
    </row>
    <row r="159" spans="1:10" x14ac:dyDescent="0.35">
      <c r="A159" s="10"/>
      <c r="B159" s="10"/>
      <c r="C159" s="10"/>
      <c r="D159" s="10"/>
      <c r="E159" s="10"/>
      <c r="F159" s="11"/>
      <c r="G159" s="12"/>
      <c r="H159" s="12"/>
      <c r="I159" s="12"/>
      <c r="J159" s="13"/>
    </row>
    <row r="160" spans="1:10" x14ac:dyDescent="0.35">
      <c r="A160" s="10"/>
      <c r="B160" s="10"/>
      <c r="C160" s="10"/>
      <c r="D160" s="10"/>
      <c r="E160" s="10"/>
      <c r="F160" s="11"/>
      <c r="G160" s="12"/>
      <c r="H160" s="12"/>
      <c r="I160" s="12"/>
      <c r="J160" s="13"/>
    </row>
    <row r="161" spans="1:10" x14ac:dyDescent="0.35">
      <c r="A161" s="10"/>
      <c r="B161" s="10"/>
      <c r="C161" s="10"/>
      <c r="D161" s="10"/>
      <c r="E161" s="10"/>
      <c r="F161" s="11"/>
      <c r="G161" s="12"/>
      <c r="H161" s="12"/>
      <c r="I161" s="12"/>
      <c r="J161" s="13"/>
    </row>
    <row r="162" spans="1:10" x14ac:dyDescent="0.35">
      <c r="A162" s="10"/>
      <c r="B162" s="10"/>
      <c r="C162" s="10"/>
      <c r="D162" s="10"/>
      <c r="E162" s="10"/>
      <c r="F162" s="11"/>
      <c r="G162" s="12"/>
      <c r="H162" s="12"/>
      <c r="I162" s="12"/>
      <c r="J162" s="13"/>
    </row>
    <row r="163" spans="1:10" x14ac:dyDescent="0.35">
      <c r="A163" s="10"/>
      <c r="B163" s="10"/>
      <c r="C163" s="10"/>
      <c r="D163" s="10"/>
      <c r="E163" s="10"/>
      <c r="F163" s="11"/>
      <c r="G163" s="12"/>
      <c r="H163" s="12"/>
      <c r="I163" s="12"/>
      <c r="J163" s="13"/>
    </row>
    <row r="164" spans="1:10" x14ac:dyDescent="0.35">
      <c r="A164" s="10"/>
      <c r="B164" s="10"/>
      <c r="C164" s="10"/>
      <c r="D164" s="10"/>
      <c r="E164" s="10"/>
      <c r="F164" s="11"/>
      <c r="G164" s="12"/>
      <c r="H164" s="12"/>
      <c r="I164" s="12"/>
      <c r="J164" s="13"/>
    </row>
    <row r="165" spans="1:10" x14ac:dyDescent="0.35">
      <c r="A165" s="10"/>
      <c r="B165" s="10"/>
      <c r="C165" s="10"/>
      <c r="D165" s="10"/>
      <c r="E165" s="10"/>
      <c r="F165" s="11"/>
      <c r="G165" s="12"/>
      <c r="H165" s="12"/>
      <c r="I165" s="12"/>
      <c r="J165" s="13"/>
    </row>
    <row r="166" spans="1:10" x14ac:dyDescent="0.35">
      <c r="A166" s="10"/>
      <c r="B166" s="10"/>
      <c r="C166" s="10"/>
      <c r="D166" s="10"/>
      <c r="E166" s="10"/>
      <c r="F166" s="11"/>
      <c r="G166" s="12"/>
      <c r="H166" s="12"/>
      <c r="I166" s="12"/>
      <c r="J166" s="13"/>
    </row>
    <row r="167" spans="1:10" x14ac:dyDescent="0.35">
      <c r="A167" s="10"/>
      <c r="B167" s="10"/>
      <c r="C167" s="10"/>
      <c r="D167" s="10"/>
      <c r="E167" s="10"/>
      <c r="F167" s="11"/>
      <c r="G167" s="12"/>
      <c r="H167" s="12"/>
      <c r="I167" s="12"/>
      <c r="J167" s="13"/>
    </row>
    <row r="168" spans="1:10" x14ac:dyDescent="0.35">
      <c r="A168" s="10"/>
      <c r="B168" s="10"/>
      <c r="C168" s="10"/>
      <c r="D168" s="10"/>
      <c r="E168" s="10"/>
      <c r="F168" s="11"/>
      <c r="G168" s="12"/>
      <c r="H168" s="12"/>
      <c r="I168" s="12"/>
      <c r="J168" s="13"/>
    </row>
    <row r="169" spans="1:10" x14ac:dyDescent="0.35">
      <c r="A169" s="10"/>
      <c r="B169" s="10"/>
      <c r="C169" s="10"/>
      <c r="D169" s="10"/>
      <c r="E169" s="10"/>
      <c r="F169" s="11"/>
      <c r="G169" s="12"/>
      <c r="H169" s="12"/>
      <c r="I169" s="12"/>
      <c r="J169" s="13"/>
    </row>
    <row r="170" spans="1:10" x14ac:dyDescent="0.35">
      <c r="A170" s="10"/>
      <c r="B170" s="10"/>
      <c r="C170" s="10"/>
      <c r="D170" s="10"/>
      <c r="E170" s="10"/>
      <c r="F170" s="11"/>
      <c r="G170" s="12"/>
      <c r="H170" s="12"/>
      <c r="I170" s="12"/>
      <c r="J170" s="13"/>
    </row>
    <row r="171" spans="1:10" x14ac:dyDescent="0.35">
      <c r="A171" s="10"/>
      <c r="B171" s="10"/>
      <c r="C171" s="10"/>
      <c r="D171" s="10"/>
      <c r="E171" s="10"/>
      <c r="F171" s="11"/>
      <c r="G171" s="12"/>
      <c r="H171" s="12"/>
      <c r="I171" s="12"/>
      <c r="J171" s="13"/>
    </row>
    <row r="172" spans="1:10" x14ac:dyDescent="0.35">
      <c r="A172" s="10"/>
      <c r="B172" s="10"/>
      <c r="C172" s="10"/>
      <c r="D172" s="10"/>
      <c r="E172" s="10"/>
      <c r="F172" s="11"/>
      <c r="G172" s="12"/>
      <c r="H172" s="12"/>
      <c r="I172" s="12"/>
      <c r="J172" s="13"/>
    </row>
    <row r="173" spans="1:10" x14ac:dyDescent="0.35">
      <c r="A173" s="10"/>
      <c r="B173" s="10"/>
      <c r="C173" s="10"/>
      <c r="D173" s="10"/>
      <c r="E173" s="10"/>
      <c r="F173" s="11"/>
      <c r="G173" s="12"/>
      <c r="H173" s="12"/>
      <c r="I173" s="12"/>
      <c r="J173" s="13"/>
    </row>
    <row r="174" spans="1:10" x14ac:dyDescent="0.35">
      <c r="A174" s="10"/>
      <c r="B174" s="10"/>
      <c r="C174" s="10"/>
      <c r="D174" s="10"/>
      <c r="E174" s="10"/>
      <c r="F174" s="11"/>
      <c r="G174" s="12"/>
      <c r="H174" s="12"/>
      <c r="I174" s="12"/>
      <c r="J174" s="13"/>
    </row>
    <row r="175" spans="1:10" x14ac:dyDescent="0.35">
      <c r="A175" s="10"/>
      <c r="B175" s="10"/>
      <c r="C175" s="10"/>
      <c r="D175" s="10"/>
      <c r="E175" s="10"/>
      <c r="F175" s="11"/>
      <c r="G175" s="12"/>
      <c r="H175" s="12"/>
      <c r="I175" s="12"/>
      <c r="J175" s="13"/>
    </row>
    <row r="176" spans="1:10" x14ac:dyDescent="0.35">
      <c r="A176" s="10"/>
      <c r="B176" s="10"/>
      <c r="C176" s="10"/>
      <c r="D176" s="10"/>
      <c r="E176" s="10"/>
      <c r="F176" s="11"/>
      <c r="G176" s="12"/>
      <c r="H176" s="12"/>
      <c r="I176" s="12"/>
      <c r="J176" s="13"/>
    </row>
    <row r="177" spans="1:10" x14ac:dyDescent="0.35">
      <c r="A177" s="10"/>
      <c r="B177" s="10"/>
      <c r="C177" s="10"/>
      <c r="D177" s="10"/>
      <c r="E177" s="10"/>
      <c r="F177" s="11"/>
      <c r="G177" s="12"/>
      <c r="H177" s="12"/>
      <c r="I177" s="12"/>
      <c r="J177" s="13"/>
    </row>
    <row r="178" spans="1:10" x14ac:dyDescent="0.35">
      <c r="A178" s="10"/>
      <c r="B178" s="10"/>
      <c r="C178" s="10"/>
      <c r="D178" s="10"/>
      <c r="E178" s="10"/>
      <c r="F178" s="11"/>
      <c r="G178" s="12"/>
      <c r="H178" s="12"/>
      <c r="I178" s="12"/>
      <c r="J178" s="13"/>
    </row>
    <row r="179" spans="1:10" x14ac:dyDescent="0.35">
      <c r="A179" s="10"/>
      <c r="B179" s="10"/>
      <c r="C179" s="10"/>
      <c r="D179" s="10"/>
      <c r="E179" s="10"/>
      <c r="F179" s="11"/>
      <c r="G179" s="12"/>
      <c r="H179" s="12"/>
      <c r="I179" s="12"/>
      <c r="J179" s="13"/>
    </row>
    <row r="180" spans="1:10" x14ac:dyDescent="0.35">
      <c r="A180" s="10"/>
      <c r="B180" s="10"/>
      <c r="C180" s="10"/>
      <c r="D180" s="10"/>
      <c r="E180" s="10"/>
      <c r="F180" s="11"/>
      <c r="G180" s="12"/>
      <c r="H180" s="12"/>
      <c r="I180" s="12"/>
      <c r="J180" s="13"/>
    </row>
    <row r="181" spans="1:10" x14ac:dyDescent="0.35">
      <c r="A181" s="10"/>
      <c r="B181" s="10"/>
      <c r="C181" s="10"/>
      <c r="D181" s="10"/>
      <c r="E181" s="10"/>
      <c r="F181" s="11"/>
      <c r="G181" s="12"/>
      <c r="H181" s="12"/>
      <c r="I181" s="12"/>
      <c r="J181" s="13"/>
    </row>
    <row r="182" spans="1:10" x14ac:dyDescent="0.35">
      <c r="A182" s="10"/>
      <c r="B182" s="10"/>
      <c r="C182" s="10"/>
      <c r="D182" s="10"/>
      <c r="E182" s="10"/>
      <c r="F182" s="11"/>
      <c r="G182" s="12"/>
      <c r="H182" s="12"/>
      <c r="I182" s="12"/>
      <c r="J182" s="13"/>
    </row>
    <row r="183" spans="1:10" x14ac:dyDescent="0.35">
      <c r="A183" s="10"/>
      <c r="B183" s="10"/>
      <c r="C183" s="10"/>
      <c r="D183" s="10"/>
      <c r="E183" s="10"/>
      <c r="F183" s="11"/>
      <c r="G183" s="12"/>
      <c r="H183" s="12"/>
      <c r="I183" s="12"/>
      <c r="J183" s="13"/>
    </row>
    <row r="184" spans="1:10" x14ac:dyDescent="0.35">
      <c r="A184" s="10"/>
      <c r="B184" s="10"/>
      <c r="C184" s="10"/>
      <c r="D184" s="10"/>
      <c r="E184" s="10"/>
      <c r="F184" s="11"/>
      <c r="G184" s="12"/>
      <c r="H184" s="12"/>
      <c r="I184" s="12"/>
      <c r="J184" s="13"/>
    </row>
    <row r="185" spans="1:10" x14ac:dyDescent="0.35">
      <c r="A185" s="10"/>
      <c r="B185" s="10"/>
      <c r="C185" s="10"/>
      <c r="D185" s="10"/>
      <c r="E185" s="10"/>
      <c r="F185" s="11"/>
      <c r="G185" s="12"/>
      <c r="H185" s="12"/>
      <c r="I185" s="12"/>
      <c r="J185" s="13"/>
    </row>
    <row r="186" spans="1:10" x14ac:dyDescent="0.35">
      <c r="A186" s="10"/>
      <c r="B186" s="10"/>
      <c r="C186" s="10"/>
      <c r="D186" s="10"/>
      <c r="E186" s="10"/>
      <c r="F186" s="11"/>
      <c r="G186" s="12"/>
      <c r="H186" s="12"/>
      <c r="I186" s="12"/>
      <c r="J186" s="13"/>
    </row>
    <row r="187" spans="1:10" x14ac:dyDescent="0.35">
      <c r="A187" s="10"/>
      <c r="B187" s="10"/>
      <c r="C187" s="10"/>
      <c r="D187" s="10"/>
      <c r="E187" s="10"/>
      <c r="F187" s="11"/>
      <c r="G187" s="12"/>
      <c r="H187" s="12"/>
      <c r="I187" s="12"/>
      <c r="J187" s="13"/>
    </row>
    <row r="188" spans="1:10" x14ac:dyDescent="0.35">
      <c r="A188" s="10"/>
      <c r="B188" s="10"/>
      <c r="C188" s="10"/>
      <c r="D188" s="10"/>
      <c r="E188" s="10"/>
      <c r="F188" s="11"/>
      <c r="G188" s="12"/>
      <c r="H188" s="12"/>
      <c r="I188" s="12"/>
      <c r="J188" s="13"/>
    </row>
    <row r="189" spans="1:10" x14ac:dyDescent="0.35">
      <c r="A189" s="10"/>
      <c r="B189" s="10"/>
      <c r="C189" s="10"/>
      <c r="D189" s="10"/>
      <c r="E189" s="10"/>
      <c r="F189" s="11"/>
      <c r="G189" s="12"/>
      <c r="H189" s="12"/>
      <c r="I189" s="12"/>
      <c r="J189" s="13"/>
    </row>
    <row r="190" spans="1:10" x14ac:dyDescent="0.35">
      <c r="A190" s="10"/>
      <c r="B190" s="10"/>
      <c r="C190" s="10"/>
      <c r="D190" s="10"/>
      <c r="E190" s="10"/>
      <c r="F190" s="11"/>
      <c r="G190" s="12"/>
      <c r="H190" s="12"/>
      <c r="I190" s="12"/>
      <c r="J190" s="13"/>
    </row>
    <row r="191" spans="1:10" x14ac:dyDescent="0.35">
      <c r="A191" s="10"/>
      <c r="B191" s="10"/>
      <c r="C191" s="10"/>
      <c r="D191" s="10"/>
      <c r="E191" s="10"/>
      <c r="F191" s="11"/>
      <c r="G191" s="12"/>
      <c r="H191" s="12"/>
      <c r="I191" s="12"/>
      <c r="J191" s="13"/>
    </row>
    <row r="192" spans="1:10" x14ac:dyDescent="0.35">
      <c r="A192" s="10"/>
      <c r="B192" s="10"/>
      <c r="C192" s="10"/>
      <c r="D192" s="10"/>
      <c r="E192" s="10"/>
      <c r="F192" s="11"/>
      <c r="G192" s="12"/>
      <c r="H192" s="12"/>
      <c r="I192" s="12"/>
      <c r="J192" s="13"/>
    </row>
    <row r="193" spans="1:10" x14ac:dyDescent="0.35">
      <c r="A193" s="10"/>
      <c r="B193" s="10"/>
      <c r="C193" s="10"/>
      <c r="D193" s="10"/>
      <c r="E193" s="10"/>
      <c r="F193" s="11"/>
      <c r="G193" s="12"/>
      <c r="H193" s="12"/>
      <c r="I193" s="12"/>
      <c r="J193" s="13"/>
    </row>
    <row r="194" spans="1:10" x14ac:dyDescent="0.35">
      <c r="A194" s="10"/>
      <c r="B194" s="10"/>
      <c r="C194" s="10"/>
      <c r="D194" s="10"/>
      <c r="E194" s="10"/>
      <c r="F194" s="11"/>
      <c r="G194" s="12"/>
      <c r="H194" s="12"/>
      <c r="I194" s="12"/>
      <c r="J194" s="13"/>
    </row>
    <row r="195" spans="1:10" x14ac:dyDescent="0.35">
      <c r="A195" s="10"/>
      <c r="B195" s="10"/>
      <c r="C195" s="10"/>
      <c r="D195" s="10"/>
      <c r="E195" s="10"/>
      <c r="F195" s="11"/>
      <c r="G195" s="12"/>
      <c r="H195" s="12"/>
      <c r="I195" s="12"/>
      <c r="J195" s="13"/>
    </row>
    <row r="196" spans="1:10" x14ac:dyDescent="0.35">
      <c r="A196" s="10"/>
      <c r="B196" s="10"/>
      <c r="C196" s="10"/>
      <c r="D196" s="10"/>
      <c r="E196" s="10"/>
      <c r="F196" s="11"/>
      <c r="G196" s="12"/>
      <c r="H196" s="12"/>
      <c r="I196" s="12"/>
      <c r="J196" s="13"/>
    </row>
    <row r="197" spans="1:10" x14ac:dyDescent="0.35">
      <c r="A197" s="10"/>
      <c r="B197" s="10"/>
      <c r="C197" s="10"/>
      <c r="D197" s="10"/>
      <c r="E197" s="10"/>
      <c r="F197" s="11"/>
      <c r="G197" s="12"/>
      <c r="H197" s="12"/>
      <c r="I197" s="12"/>
      <c r="J197" s="13"/>
    </row>
    <row r="198" spans="1:10" x14ac:dyDescent="0.35">
      <c r="A198" s="10"/>
      <c r="B198" s="10"/>
      <c r="C198" s="10"/>
      <c r="D198" s="10"/>
      <c r="E198" s="10"/>
      <c r="F198" s="11"/>
      <c r="G198" s="12"/>
      <c r="H198" s="12"/>
      <c r="I198" s="12"/>
      <c r="J198" s="13"/>
    </row>
    <row r="199" spans="1:10" x14ac:dyDescent="0.35">
      <c r="A199" s="10"/>
      <c r="B199" s="10"/>
      <c r="C199" s="10"/>
      <c r="D199" s="10"/>
      <c r="E199" s="10"/>
      <c r="F199" s="11"/>
      <c r="G199" s="12"/>
      <c r="H199" s="12"/>
      <c r="I199" s="12"/>
      <c r="J199" s="13"/>
    </row>
    <row r="200" spans="1:10" x14ac:dyDescent="0.35">
      <c r="A200" s="10"/>
      <c r="B200" s="10"/>
      <c r="C200" s="10"/>
      <c r="D200" s="10"/>
      <c r="E200" s="10"/>
      <c r="F200" s="11"/>
      <c r="G200" s="12"/>
      <c r="H200" s="12"/>
      <c r="I200" s="12"/>
      <c r="J200" s="13"/>
    </row>
    <row r="201" spans="1:10" x14ac:dyDescent="0.35">
      <c r="A201" s="10"/>
      <c r="B201" s="10"/>
      <c r="C201" s="10"/>
      <c r="D201" s="10"/>
      <c r="E201" s="10"/>
      <c r="F201" s="11"/>
      <c r="G201" s="12"/>
      <c r="H201" s="12"/>
      <c r="I201" s="12"/>
      <c r="J201" s="13"/>
    </row>
    <row r="202" spans="1:10" x14ac:dyDescent="0.35">
      <c r="A202" s="10"/>
      <c r="B202" s="10"/>
      <c r="C202" s="10"/>
      <c r="D202" s="10"/>
      <c r="E202" s="10"/>
      <c r="F202" s="11"/>
      <c r="G202" s="12"/>
      <c r="H202" s="12"/>
      <c r="I202" s="12"/>
      <c r="J202" s="13"/>
    </row>
    <row r="203" spans="1:10" x14ac:dyDescent="0.35">
      <c r="A203" s="10"/>
      <c r="B203" s="10"/>
      <c r="C203" s="10"/>
      <c r="D203" s="10"/>
      <c r="E203" s="10"/>
      <c r="F203" s="11"/>
      <c r="G203" s="12"/>
      <c r="H203" s="12"/>
      <c r="I203" s="12"/>
      <c r="J203" s="13"/>
    </row>
    <row r="204" spans="1:10" x14ac:dyDescent="0.35">
      <c r="A204" s="10"/>
      <c r="B204" s="10"/>
      <c r="C204" s="10"/>
      <c r="D204" s="10"/>
      <c r="E204" s="10"/>
      <c r="F204" s="11"/>
      <c r="G204" s="12"/>
      <c r="H204" s="12"/>
      <c r="I204" s="12"/>
      <c r="J204" s="13"/>
    </row>
    <row r="205" spans="1:10" x14ac:dyDescent="0.35">
      <c r="A205" s="10"/>
      <c r="B205" s="10"/>
      <c r="C205" s="10"/>
      <c r="D205" s="10"/>
      <c r="E205" s="10"/>
      <c r="F205" s="11"/>
      <c r="G205" s="12"/>
      <c r="H205" s="12"/>
      <c r="I205" s="12"/>
      <c r="J205" s="13"/>
    </row>
    <row r="206" spans="1:10" x14ac:dyDescent="0.35">
      <c r="A206" s="10"/>
      <c r="B206" s="10"/>
      <c r="C206" s="10"/>
      <c r="D206" s="10"/>
      <c r="E206" s="10"/>
      <c r="F206" s="11"/>
      <c r="G206" s="12"/>
      <c r="H206" s="12"/>
      <c r="I206" s="12"/>
      <c r="J206" s="13"/>
    </row>
    <row r="207" spans="1:10" x14ac:dyDescent="0.35">
      <c r="A207" s="10"/>
      <c r="B207" s="10"/>
      <c r="C207" s="10"/>
      <c r="D207" s="10"/>
      <c r="E207" s="10"/>
      <c r="F207" s="11"/>
      <c r="G207" s="12"/>
      <c r="H207" s="12"/>
      <c r="I207" s="12"/>
      <c r="J207" s="13"/>
    </row>
    <row r="208" spans="1:10" x14ac:dyDescent="0.35">
      <c r="A208" s="10"/>
      <c r="B208" s="10"/>
      <c r="C208" s="10"/>
      <c r="D208" s="10"/>
      <c r="E208" s="10"/>
      <c r="F208" s="11"/>
      <c r="G208" s="12"/>
      <c r="H208" s="12"/>
      <c r="I208" s="12"/>
      <c r="J208" s="13"/>
    </row>
    <row r="209" spans="1:10" x14ac:dyDescent="0.35">
      <c r="A209" s="10"/>
      <c r="B209" s="10"/>
      <c r="C209" s="10"/>
      <c r="D209" s="10"/>
      <c r="E209" s="10"/>
      <c r="F209" s="11"/>
      <c r="G209" s="12"/>
      <c r="H209" s="12"/>
      <c r="I209" s="12"/>
      <c r="J209" s="13"/>
    </row>
    <row r="210" spans="1:10" x14ac:dyDescent="0.35">
      <c r="A210" s="10"/>
      <c r="B210" s="10"/>
      <c r="C210" s="10"/>
      <c r="D210" s="10"/>
      <c r="E210" s="10"/>
      <c r="F210" s="11"/>
      <c r="G210" s="12"/>
      <c r="H210" s="12"/>
      <c r="I210" s="12"/>
      <c r="J210" s="13"/>
    </row>
    <row r="211" spans="1:10" x14ac:dyDescent="0.35">
      <c r="A211" s="10"/>
      <c r="B211" s="10"/>
      <c r="C211" s="10"/>
      <c r="D211" s="10"/>
      <c r="E211" s="10"/>
      <c r="F211" s="11"/>
      <c r="G211" s="12"/>
      <c r="H211" s="12"/>
      <c r="I211" s="12"/>
      <c r="J211" s="13"/>
    </row>
    <row r="212" spans="1:10" x14ac:dyDescent="0.35">
      <c r="A212" s="10"/>
      <c r="B212" s="10"/>
      <c r="C212" s="10"/>
      <c r="D212" s="10"/>
      <c r="E212" s="10"/>
      <c r="F212" s="11"/>
      <c r="G212" s="12"/>
      <c r="H212" s="12"/>
      <c r="I212" s="12"/>
      <c r="J212" s="13"/>
    </row>
    <row r="213" spans="1:10" x14ac:dyDescent="0.35">
      <c r="A213" s="10"/>
      <c r="B213" s="10"/>
      <c r="C213" s="10"/>
      <c r="D213" s="10"/>
      <c r="E213" s="10"/>
      <c r="F213" s="11"/>
      <c r="G213" s="12"/>
      <c r="H213" s="12"/>
      <c r="I213" s="12"/>
      <c r="J213" s="13"/>
    </row>
    <row r="214" spans="1:10" x14ac:dyDescent="0.35">
      <c r="A214" s="10"/>
      <c r="B214" s="10"/>
      <c r="C214" s="10"/>
      <c r="D214" s="10"/>
      <c r="E214" s="10"/>
      <c r="F214" s="11"/>
      <c r="G214" s="12"/>
      <c r="H214" s="12"/>
      <c r="I214" s="12"/>
      <c r="J214" s="13"/>
    </row>
    <row r="215" spans="1:10" x14ac:dyDescent="0.35">
      <c r="A215" s="10"/>
      <c r="B215" s="10"/>
      <c r="C215" s="10"/>
      <c r="D215" s="10"/>
      <c r="E215" s="10"/>
      <c r="F215" s="11"/>
      <c r="G215" s="12"/>
      <c r="H215" s="12"/>
      <c r="I215" s="12"/>
      <c r="J215" s="13"/>
    </row>
    <row r="216" spans="1:10" x14ac:dyDescent="0.35">
      <c r="A216" s="10"/>
      <c r="B216" s="10"/>
      <c r="C216" s="10"/>
      <c r="D216" s="10"/>
      <c r="E216" s="10"/>
      <c r="F216" s="11"/>
      <c r="G216" s="12"/>
      <c r="H216" s="12"/>
      <c r="I216" s="12"/>
      <c r="J216" s="13"/>
    </row>
    <row r="217" spans="1:10" x14ac:dyDescent="0.35">
      <c r="A217" s="10"/>
      <c r="B217" s="10"/>
      <c r="C217" s="10"/>
      <c r="D217" s="10"/>
      <c r="E217" s="10"/>
      <c r="F217" s="11"/>
      <c r="G217" s="12"/>
      <c r="H217" s="12"/>
      <c r="I217" s="12"/>
      <c r="J217" s="13"/>
    </row>
    <row r="218" spans="1:10" x14ac:dyDescent="0.35">
      <c r="A218" s="10"/>
      <c r="B218" s="10"/>
      <c r="C218" s="10"/>
      <c r="D218" s="10"/>
      <c r="E218" s="10"/>
      <c r="F218" s="11"/>
      <c r="G218" s="12"/>
      <c r="H218" s="12"/>
      <c r="I218" s="12"/>
      <c r="J218" s="13"/>
    </row>
    <row r="219" spans="1:10" x14ac:dyDescent="0.35">
      <c r="A219" s="10"/>
      <c r="B219" s="10"/>
      <c r="C219" s="10"/>
      <c r="D219" s="10"/>
      <c r="E219" s="10"/>
      <c r="F219" s="11"/>
      <c r="G219" s="12"/>
      <c r="H219" s="12"/>
      <c r="I219" s="12"/>
      <c r="J219" s="13"/>
    </row>
    <row r="220" spans="1:10" x14ac:dyDescent="0.35">
      <c r="A220" s="10"/>
      <c r="B220" s="10"/>
      <c r="C220" s="10"/>
      <c r="D220" s="10"/>
      <c r="E220" s="10"/>
      <c r="F220" s="11"/>
      <c r="G220" s="12"/>
      <c r="H220" s="12"/>
      <c r="I220" s="12"/>
      <c r="J220" s="13"/>
    </row>
    <row r="221" spans="1:10" x14ac:dyDescent="0.35">
      <c r="A221" s="10"/>
      <c r="B221" s="10"/>
      <c r="C221" s="10"/>
      <c r="D221" s="10"/>
      <c r="E221" s="10"/>
      <c r="F221" s="11"/>
      <c r="G221" s="12"/>
      <c r="H221" s="12"/>
      <c r="I221" s="12"/>
      <c r="J221" s="13"/>
    </row>
    <row r="222" spans="1:10" x14ac:dyDescent="0.35">
      <c r="A222" s="10"/>
      <c r="B222" s="10"/>
      <c r="C222" s="10"/>
      <c r="D222" s="10"/>
      <c r="E222" s="10"/>
      <c r="F222" s="11"/>
      <c r="G222" s="12"/>
      <c r="H222" s="12"/>
      <c r="I222" s="12"/>
      <c r="J222" s="13"/>
    </row>
    <row r="223" spans="1:10" x14ac:dyDescent="0.35">
      <c r="A223" s="10"/>
      <c r="B223" s="10"/>
      <c r="C223" s="10"/>
      <c r="D223" s="10"/>
      <c r="E223" s="10"/>
      <c r="F223" s="11"/>
      <c r="G223" s="12"/>
      <c r="H223" s="12"/>
      <c r="I223" s="12"/>
      <c r="J223" s="13"/>
    </row>
    <row r="224" spans="1:10" x14ac:dyDescent="0.35">
      <c r="A224" s="10"/>
      <c r="B224" s="10"/>
      <c r="C224" s="10"/>
      <c r="D224" s="10"/>
      <c r="E224" s="10"/>
      <c r="F224" s="11"/>
      <c r="G224" s="12"/>
      <c r="H224" s="12"/>
      <c r="I224" s="12"/>
      <c r="J224" s="13"/>
    </row>
    <row r="225" spans="1:10" x14ac:dyDescent="0.35">
      <c r="A225" s="10"/>
      <c r="B225" s="10"/>
      <c r="C225" s="10"/>
      <c r="D225" s="10"/>
      <c r="E225" s="10"/>
      <c r="F225" s="11"/>
      <c r="G225" s="12"/>
      <c r="H225" s="12"/>
      <c r="I225" s="12"/>
      <c r="J225" s="13"/>
    </row>
    <row r="226" spans="1:10" x14ac:dyDescent="0.35">
      <c r="A226" s="10"/>
      <c r="B226" s="10"/>
      <c r="C226" s="10"/>
      <c r="D226" s="10"/>
      <c r="E226" s="10"/>
      <c r="F226" s="11"/>
      <c r="G226" s="12"/>
      <c r="H226" s="12"/>
      <c r="I226" s="12"/>
      <c r="J226" s="13"/>
    </row>
    <row r="227" spans="1:10" x14ac:dyDescent="0.35">
      <c r="A227" s="10"/>
      <c r="B227" s="10"/>
      <c r="C227" s="10"/>
      <c r="D227" s="10"/>
      <c r="E227" s="10"/>
      <c r="F227" s="11"/>
      <c r="G227" s="12"/>
      <c r="H227" s="12"/>
      <c r="I227" s="12"/>
      <c r="J227" s="13"/>
    </row>
    <row r="228" spans="1:10" x14ac:dyDescent="0.35">
      <c r="A228" s="10"/>
      <c r="B228" s="10"/>
      <c r="C228" s="10"/>
      <c r="D228" s="10"/>
      <c r="E228" s="10"/>
      <c r="F228" s="11"/>
      <c r="G228" s="12"/>
      <c r="H228" s="12"/>
      <c r="I228" s="12"/>
      <c r="J228" s="13"/>
    </row>
    <row r="229" spans="1:10" x14ac:dyDescent="0.35">
      <c r="A229" s="10"/>
      <c r="B229" s="10"/>
      <c r="C229" s="10"/>
      <c r="D229" s="10"/>
      <c r="E229" s="10"/>
      <c r="F229" s="11"/>
      <c r="G229" s="12"/>
      <c r="H229" s="12"/>
      <c r="I229" s="12"/>
      <c r="J229" s="13"/>
    </row>
    <row r="230" spans="1:10" x14ac:dyDescent="0.35">
      <c r="B230" s="10"/>
      <c r="C230" s="10"/>
      <c r="D230" s="10"/>
      <c r="E230" s="10"/>
      <c r="F230" s="11"/>
      <c r="G230" s="12"/>
      <c r="H230" s="12"/>
      <c r="I230" s="12"/>
      <c r="J230" s="13"/>
    </row>
    <row r="231" spans="1:10" x14ac:dyDescent="0.35">
      <c r="B231" s="10"/>
      <c r="C231" s="10"/>
      <c r="D231" s="10"/>
      <c r="E231" s="10"/>
      <c r="F231" s="11"/>
      <c r="G231" s="12"/>
      <c r="H231" s="12"/>
      <c r="I231" s="12"/>
      <c r="J231" s="13"/>
    </row>
    <row r="232" spans="1:10" x14ac:dyDescent="0.35">
      <c r="B232" s="10"/>
      <c r="C232" s="10"/>
      <c r="D232" s="10"/>
      <c r="E232" s="10"/>
      <c r="F232" s="11"/>
      <c r="G232" s="12"/>
      <c r="H232" s="12"/>
      <c r="I232" s="12"/>
      <c r="J232" s="13"/>
    </row>
    <row r="233" spans="1:10" x14ac:dyDescent="0.35">
      <c r="B233" s="10"/>
      <c r="C233" s="10"/>
      <c r="D233" s="10"/>
      <c r="E233" s="10"/>
      <c r="F233" s="11"/>
      <c r="G233" s="12"/>
      <c r="H233" s="12"/>
      <c r="I233" s="12"/>
      <c r="J233" s="13"/>
    </row>
    <row r="234" spans="1:10" x14ac:dyDescent="0.35">
      <c r="B234" s="10"/>
      <c r="C234" s="10"/>
      <c r="D234" s="10"/>
      <c r="E234" s="10"/>
      <c r="F234" s="11"/>
      <c r="G234" s="12"/>
      <c r="H234" s="12"/>
      <c r="I234" s="12"/>
      <c r="J234" s="13"/>
    </row>
    <row r="235" spans="1:10" x14ac:dyDescent="0.35">
      <c r="B235" s="10"/>
      <c r="C235" s="10"/>
      <c r="D235" s="10"/>
      <c r="E235" s="10"/>
      <c r="F235" s="11"/>
      <c r="G235" s="12"/>
      <c r="H235" s="12"/>
      <c r="I235" s="12"/>
      <c r="J235" s="13"/>
    </row>
    <row r="236" spans="1:10" x14ac:dyDescent="0.35">
      <c r="B236" s="10"/>
      <c r="C236" s="10"/>
      <c r="D236" s="10"/>
      <c r="E236" s="10"/>
      <c r="F236" s="11"/>
      <c r="G236" s="12"/>
      <c r="H236" s="12"/>
      <c r="I236" s="12"/>
      <c r="J236" s="13"/>
    </row>
    <row r="237" spans="1:10" x14ac:dyDescent="0.35">
      <c r="B237" s="10"/>
      <c r="C237" s="10"/>
      <c r="D237" s="10"/>
      <c r="E237" s="10"/>
      <c r="F237" s="11"/>
      <c r="G237" s="12"/>
      <c r="H237" s="12"/>
      <c r="I237" s="12"/>
      <c r="J237" s="13"/>
    </row>
    <row r="238" spans="1:10" x14ac:dyDescent="0.35">
      <c r="B238" s="10"/>
      <c r="C238" s="10"/>
      <c r="D238" s="10"/>
      <c r="E238" s="10"/>
      <c r="F238" s="11"/>
      <c r="G238" s="12"/>
      <c r="H238" s="12"/>
      <c r="I238" s="12"/>
      <c r="J238" s="13"/>
    </row>
  </sheetData>
  <mergeCells count="3">
    <mergeCell ref="G2:J2"/>
    <mergeCell ref="W2:X2"/>
    <mergeCell ref="L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C660-E5A5-46EC-B08C-4D23D6E1DB33}">
  <dimension ref="A1:L28"/>
  <sheetViews>
    <sheetView workbookViewId="0">
      <selection activeCell="H4" sqref="H4"/>
    </sheetView>
  </sheetViews>
  <sheetFormatPr defaultRowHeight="14.5" x14ac:dyDescent="0.35"/>
  <cols>
    <col min="1" max="1" width="9.1796875" bestFit="1" customWidth="1"/>
    <col min="2" max="2" width="15.81640625" bestFit="1" customWidth="1"/>
    <col min="3" max="3" width="15.81640625" customWidth="1"/>
    <col min="4" max="4" width="14" bestFit="1" customWidth="1"/>
    <col min="5" max="6" width="10.1796875" bestFit="1" customWidth="1"/>
    <col min="7" max="7" width="14.08984375" bestFit="1" customWidth="1"/>
    <col min="8" max="9" width="14" bestFit="1" customWidth="1"/>
    <col min="10" max="10" width="44.453125" bestFit="1" customWidth="1"/>
    <col min="11" max="11" width="14" bestFit="1" customWidth="1"/>
    <col min="12" max="12" width="12.26953125" bestFit="1" customWidth="1"/>
  </cols>
  <sheetData>
    <row r="1" spans="1:12" x14ac:dyDescent="0.35">
      <c r="A1">
        <v>2025</v>
      </c>
    </row>
    <row r="2" spans="1:12" x14ac:dyDescent="0.35">
      <c r="A2" s="54" t="s">
        <v>150</v>
      </c>
      <c r="B2" s="54" t="s">
        <v>150</v>
      </c>
      <c r="C2" s="54" t="s">
        <v>150</v>
      </c>
      <c r="D2" s="54" t="s">
        <v>150</v>
      </c>
      <c r="E2" s="54" t="s">
        <v>150</v>
      </c>
      <c r="F2" s="54" t="s">
        <v>150</v>
      </c>
      <c r="G2" s="54" t="s">
        <v>157</v>
      </c>
      <c r="H2" s="54" t="s">
        <v>157</v>
      </c>
      <c r="I2" s="54" t="s">
        <v>157</v>
      </c>
      <c r="J2" s="54" t="s">
        <v>157</v>
      </c>
      <c r="K2" s="54" t="s">
        <v>157</v>
      </c>
    </row>
    <row r="3" spans="1:12" x14ac:dyDescent="0.35">
      <c r="A3" s="54"/>
      <c r="B3" s="54"/>
      <c r="C3" s="54"/>
      <c r="D3" s="54"/>
      <c r="E3" s="54"/>
      <c r="F3" s="54"/>
    </row>
    <row r="4" spans="1:12" ht="15" customHeight="1" x14ac:dyDescent="0.35">
      <c r="A4" s="54"/>
      <c r="B4" s="54"/>
      <c r="C4" s="54"/>
      <c r="D4" s="54"/>
      <c r="E4" s="54"/>
      <c r="F4" s="54"/>
    </row>
    <row r="5" spans="1:12" x14ac:dyDescent="0.35">
      <c r="D5" t="s">
        <v>153</v>
      </c>
      <c r="E5" t="s">
        <v>154</v>
      </c>
      <c r="F5" t="s">
        <v>155</v>
      </c>
      <c r="G5" t="s">
        <v>156</v>
      </c>
    </row>
    <row r="6" spans="1:12" x14ac:dyDescent="0.35">
      <c r="A6" s="1" t="s">
        <v>6</v>
      </c>
      <c r="B6" s="1" t="s">
        <v>7</v>
      </c>
      <c r="C6" s="3" t="s">
        <v>151</v>
      </c>
      <c r="D6" s="2" t="s">
        <v>8</v>
      </c>
      <c r="E6" s="2" t="s">
        <v>143</v>
      </c>
      <c r="F6" s="2" t="s">
        <v>144</v>
      </c>
      <c r="G6" s="2" t="s">
        <v>145</v>
      </c>
      <c r="H6" s="2" t="s">
        <v>146</v>
      </c>
      <c r="I6" s="2" t="s">
        <v>147</v>
      </c>
      <c r="J6" s="2" t="s">
        <v>148</v>
      </c>
      <c r="K6" s="2" t="s">
        <v>149</v>
      </c>
      <c r="L6" s="2" t="s">
        <v>160</v>
      </c>
    </row>
    <row r="7" spans="1:12" x14ac:dyDescent="0.35">
      <c r="A7" s="10">
        <v>234567</v>
      </c>
      <c r="B7" s="14">
        <v>38127</v>
      </c>
      <c r="C7" s="12">
        <v>10</v>
      </c>
      <c r="D7" s="11">
        <v>15200</v>
      </c>
      <c r="E7" s="50"/>
      <c r="F7" s="51">
        <f>-D7</f>
        <v>-15200</v>
      </c>
      <c r="G7" s="51">
        <f>+SUM(D7:F7)</f>
        <v>0</v>
      </c>
      <c r="J7" t="s">
        <v>158</v>
      </c>
      <c r="K7" s="51">
        <f>+SUM(H7:J7)</f>
        <v>0</v>
      </c>
      <c r="L7" s="52">
        <f>+G7-K7</f>
        <v>0</v>
      </c>
    </row>
    <row r="8" spans="1:12" x14ac:dyDescent="0.35">
      <c r="A8" s="10">
        <v>901887</v>
      </c>
      <c r="B8" s="14">
        <v>38532</v>
      </c>
      <c r="C8" s="10">
        <v>6</v>
      </c>
      <c r="D8" s="11">
        <v>23208</v>
      </c>
      <c r="E8" s="50"/>
      <c r="F8" s="50"/>
      <c r="G8" s="51">
        <f t="shared" ref="G8:G16" si="0">+SUM(D8:F8)</f>
        <v>23208</v>
      </c>
      <c r="K8" s="51">
        <f t="shared" ref="K8:K16" si="1">+SUM(H8:J8)</f>
        <v>0</v>
      </c>
    </row>
    <row r="9" spans="1:12" x14ac:dyDescent="0.35">
      <c r="A9" s="10">
        <v>130145</v>
      </c>
      <c r="B9" s="14">
        <v>40088</v>
      </c>
      <c r="C9" s="10">
        <v>3</v>
      </c>
      <c r="D9" s="11">
        <v>24295.040000000001</v>
      </c>
      <c r="E9" s="50"/>
      <c r="F9" s="50"/>
      <c r="G9" s="51">
        <f t="shared" si="0"/>
        <v>24295.040000000001</v>
      </c>
      <c r="K9" s="51">
        <f t="shared" si="1"/>
        <v>0</v>
      </c>
    </row>
    <row r="10" spans="1:12" x14ac:dyDescent="0.35">
      <c r="A10" s="10">
        <v>130145</v>
      </c>
      <c r="B10" s="14">
        <v>43414</v>
      </c>
      <c r="C10" s="10">
        <v>3</v>
      </c>
      <c r="D10" s="11">
        <v>28650</v>
      </c>
      <c r="E10" s="50"/>
      <c r="F10" s="50"/>
      <c r="G10" s="51">
        <f t="shared" si="0"/>
        <v>28650</v>
      </c>
      <c r="K10" s="51">
        <f t="shared" si="1"/>
        <v>0</v>
      </c>
    </row>
    <row r="11" spans="1:12" x14ac:dyDescent="0.35">
      <c r="A11" s="10">
        <v>130146</v>
      </c>
      <c r="B11" s="14">
        <v>44905</v>
      </c>
      <c r="C11" s="10">
        <v>3</v>
      </c>
      <c r="D11" s="11">
        <v>39801.19</v>
      </c>
      <c r="E11" s="50"/>
      <c r="F11" s="50"/>
      <c r="G11" s="51">
        <f t="shared" si="0"/>
        <v>39801.19</v>
      </c>
      <c r="K11" s="51">
        <f t="shared" si="1"/>
        <v>0</v>
      </c>
    </row>
    <row r="12" spans="1:12" x14ac:dyDescent="0.35">
      <c r="A12" s="10">
        <v>130147</v>
      </c>
      <c r="B12" s="14">
        <v>45184</v>
      </c>
      <c r="C12" s="10">
        <v>5</v>
      </c>
      <c r="D12" s="11">
        <v>36102.5</v>
      </c>
      <c r="E12" s="50"/>
      <c r="F12" s="50"/>
      <c r="G12" s="51">
        <f t="shared" si="0"/>
        <v>36102.5</v>
      </c>
      <c r="K12" s="51">
        <f t="shared" si="1"/>
        <v>0</v>
      </c>
    </row>
    <row r="13" spans="1:12" x14ac:dyDescent="0.35">
      <c r="A13" s="10">
        <v>130148</v>
      </c>
      <c r="B13" s="14">
        <v>45460</v>
      </c>
      <c r="C13" s="10">
        <v>5</v>
      </c>
      <c r="D13" s="11">
        <v>22382.44</v>
      </c>
      <c r="E13" s="50"/>
      <c r="F13" s="50"/>
      <c r="G13" s="51">
        <f t="shared" si="0"/>
        <v>22382.44</v>
      </c>
      <c r="K13" s="51">
        <f t="shared" si="1"/>
        <v>0</v>
      </c>
    </row>
    <row r="14" spans="1:12" x14ac:dyDescent="0.35">
      <c r="A14" s="10">
        <v>170002</v>
      </c>
      <c r="B14" s="14">
        <v>45881</v>
      </c>
      <c r="C14" s="10">
        <v>1</v>
      </c>
      <c r="D14" s="11">
        <v>25000</v>
      </c>
      <c r="E14" s="50"/>
      <c r="F14" s="50"/>
      <c r="G14" s="51">
        <f t="shared" si="0"/>
        <v>25000</v>
      </c>
      <c r="K14" s="51">
        <f t="shared" si="1"/>
        <v>0</v>
      </c>
    </row>
    <row r="15" spans="1:12" x14ac:dyDescent="0.35">
      <c r="A15" s="10">
        <v>109835</v>
      </c>
      <c r="B15" s="14">
        <v>46095</v>
      </c>
      <c r="C15" s="10">
        <v>5</v>
      </c>
      <c r="D15" s="11">
        <v>95432</v>
      </c>
      <c r="E15" s="50"/>
      <c r="F15" s="50"/>
      <c r="G15" s="51">
        <f t="shared" si="0"/>
        <v>95432</v>
      </c>
      <c r="K15" s="51">
        <f t="shared" si="1"/>
        <v>0</v>
      </c>
    </row>
    <row r="16" spans="1:12" x14ac:dyDescent="0.35">
      <c r="A16" s="32">
        <v>109892</v>
      </c>
      <c r="B16" s="33">
        <v>46041</v>
      </c>
      <c r="C16" s="32">
        <v>2</v>
      </c>
      <c r="D16" s="36">
        <v>120000</v>
      </c>
      <c r="E16" s="50">
        <v>20000</v>
      </c>
      <c r="F16" s="50"/>
      <c r="G16" s="51">
        <f t="shared" si="0"/>
        <v>140000</v>
      </c>
      <c r="K16" s="51">
        <f t="shared" si="1"/>
        <v>0</v>
      </c>
    </row>
    <row r="17" spans="1:12" x14ac:dyDescent="0.35">
      <c r="D17" s="52">
        <f>SUM(D7:D16)</f>
        <v>430071.17000000004</v>
      </c>
      <c r="E17" s="52">
        <f t="shared" ref="E17:I17" si="2">SUM(E7:E16)</f>
        <v>20000</v>
      </c>
      <c r="F17" s="52">
        <f t="shared" si="2"/>
        <v>-15200</v>
      </c>
      <c r="G17" s="52">
        <f t="shared" si="2"/>
        <v>434871.17000000004</v>
      </c>
      <c r="I17" s="52">
        <f t="shared" si="2"/>
        <v>0</v>
      </c>
      <c r="L17" s="52">
        <f t="shared" ref="L17" si="3">SUM(L7:L16)</f>
        <v>0</v>
      </c>
    </row>
    <row r="18" spans="1:12" x14ac:dyDescent="0.35">
      <c r="I18" s="55" t="s">
        <v>152</v>
      </c>
      <c r="L18" s="55" t="s">
        <v>159</v>
      </c>
    </row>
    <row r="24" spans="1:12" x14ac:dyDescent="0.35">
      <c r="A24" t="s">
        <v>162</v>
      </c>
    </row>
    <row r="26" spans="1:12" x14ac:dyDescent="0.35">
      <c r="A26" t="s">
        <v>163</v>
      </c>
    </row>
    <row r="28" spans="1:12" x14ac:dyDescent="0.35">
      <c r="A28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7220-A1A6-49FA-88E1-912591FDC6B9}">
  <dimension ref="A1:C103"/>
  <sheetViews>
    <sheetView workbookViewId="0">
      <selection activeCell="D103" sqref="D103"/>
    </sheetView>
  </sheetViews>
  <sheetFormatPr defaultRowHeight="14.5" x14ac:dyDescent="0.35"/>
  <cols>
    <col min="1" max="1" width="6.81640625" bestFit="1" customWidth="1"/>
  </cols>
  <sheetData>
    <row r="1" spans="1:3" x14ac:dyDescent="0.35">
      <c r="A1" t="s">
        <v>35</v>
      </c>
    </row>
    <row r="2" spans="1:3" ht="26" x14ac:dyDescent="0.35">
      <c r="A2" s="18"/>
      <c r="B2" s="18" t="s">
        <v>32</v>
      </c>
      <c r="C2" s="18" t="s">
        <v>33</v>
      </c>
    </row>
    <row r="3" spans="1:3" x14ac:dyDescent="0.35">
      <c r="A3" s="19"/>
      <c r="B3" s="19" t="s">
        <v>34</v>
      </c>
      <c r="C3" s="19">
        <v>124.79559999999999</v>
      </c>
    </row>
    <row r="4" spans="1:3" x14ac:dyDescent="0.35">
      <c r="A4" s="24" t="s">
        <v>52</v>
      </c>
      <c r="B4" s="20">
        <v>43101</v>
      </c>
      <c r="C4">
        <v>126.98869999999999</v>
      </c>
    </row>
    <row r="5" spans="1:3" x14ac:dyDescent="0.35">
      <c r="A5" s="21" t="s">
        <v>53</v>
      </c>
      <c r="B5" s="20">
        <v>43132</v>
      </c>
      <c r="C5">
        <v>130.06059999999999</v>
      </c>
    </row>
    <row r="6" spans="1:3" x14ac:dyDescent="0.35">
      <c r="A6" s="21" t="s">
        <v>54</v>
      </c>
      <c r="B6" s="20">
        <v>43160</v>
      </c>
      <c r="C6">
        <v>133.1054</v>
      </c>
    </row>
    <row r="7" spans="1:3" x14ac:dyDescent="0.35">
      <c r="A7" s="21" t="s">
        <v>55</v>
      </c>
      <c r="B7" s="20">
        <v>43191</v>
      </c>
      <c r="C7">
        <v>136.75120000000001</v>
      </c>
    </row>
    <row r="8" spans="1:3" x14ac:dyDescent="0.35">
      <c r="A8" s="21" t="s">
        <v>56</v>
      </c>
      <c r="B8" s="20">
        <v>43221</v>
      </c>
      <c r="C8">
        <v>139.58930000000001</v>
      </c>
    </row>
    <row r="9" spans="1:3" x14ac:dyDescent="0.35">
      <c r="A9" s="21" t="s">
        <v>57</v>
      </c>
      <c r="B9" s="20">
        <v>43252</v>
      </c>
      <c r="C9">
        <v>144.80529999999999</v>
      </c>
    </row>
    <row r="10" spans="1:3" x14ac:dyDescent="0.35">
      <c r="A10" s="21" t="s">
        <v>58</v>
      </c>
      <c r="B10" s="20">
        <v>43282</v>
      </c>
      <c r="C10">
        <v>149.29660000000001</v>
      </c>
    </row>
    <row r="11" spans="1:3" x14ac:dyDescent="0.35">
      <c r="A11" s="21" t="s">
        <v>59</v>
      </c>
      <c r="B11" s="20">
        <v>43313</v>
      </c>
      <c r="C11">
        <v>155.10339999999999</v>
      </c>
    </row>
    <row r="12" spans="1:3" x14ac:dyDescent="0.35">
      <c r="A12" s="21" t="s">
        <v>60</v>
      </c>
      <c r="B12" s="20">
        <v>43344</v>
      </c>
      <c r="C12">
        <v>165.23830000000001</v>
      </c>
    </row>
    <row r="13" spans="1:3" x14ac:dyDescent="0.35">
      <c r="A13" s="21" t="s">
        <v>61</v>
      </c>
      <c r="B13" s="20">
        <v>43374</v>
      </c>
      <c r="C13">
        <v>174.1473</v>
      </c>
    </row>
    <row r="14" spans="1:3" x14ac:dyDescent="0.35">
      <c r="A14" s="21" t="s">
        <v>62</v>
      </c>
      <c r="B14" s="20">
        <v>43405</v>
      </c>
      <c r="C14">
        <v>179.6388</v>
      </c>
    </row>
    <row r="15" spans="1:3" x14ac:dyDescent="0.35">
      <c r="A15" s="21" t="s">
        <v>48</v>
      </c>
      <c r="B15" s="20">
        <v>43435</v>
      </c>
      <c r="C15">
        <v>184.2552</v>
      </c>
    </row>
    <row r="16" spans="1:3" x14ac:dyDescent="0.35">
      <c r="A16" s="21" t="s">
        <v>63</v>
      </c>
      <c r="B16" s="20">
        <v>43466</v>
      </c>
      <c r="C16">
        <v>189.61009999999999</v>
      </c>
    </row>
    <row r="17" spans="1:3" x14ac:dyDescent="0.35">
      <c r="A17" s="21" t="s">
        <v>64</v>
      </c>
      <c r="B17" s="20">
        <v>43497</v>
      </c>
      <c r="C17">
        <v>196.7501</v>
      </c>
    </row>
    <row r="18" spans="1:3" x14ac:dyDescent="0.35">
      <c r="A18" s="21" t="s">
        <v>65</v>
      </c>
      <c r="B18" s="20">
        <v>43525</v>
      </c>
      <c r="C18">
        <v>205.9571</v>
      </c>
    </row>
    <row r="19" spans="1:3" x14ac:dyDescent="0.35">
      <c r="A19" s="21" t="s">
        <v>66</v>
      </c>
      <c r="B19" s="20">
        <v>43556</v>
      </c>
      <c r="C19">
        <v>213.05170000000001</v>
      </c>
    </row>
    <row r="20" spans="1:3" x14ac:dyDescent="0.35">
      <c r="A20" s="21" t="s">
        <v>67</v>
      </c>
      <c r="B20" s="20">
        <v>43586</v>
      </c>
      <c r="C20">
        <v>219.56909999999999</v>
      </c>
    </row>
    <row r="21" spans="1:3" x14ac:dyDescent="0.35">
      <c r="A21" s="21" t="s">
        <v>68</v>
      </c>
      <c r="B21" s="20">
        <v>43617</v>
      </c>
      <c r="C21">
        <v>225.53700000000001</v>
      </c>
    </row>
    <row r="22" spans="1:3" x14ac:dyDescent="0.35">
      <c r="A22" s="21" t="s">
        <v>69</v>
      </c>
      <c r="B22" s="20">
        <v>43647</v>
      </c>
      <c r="C22">
        <v>230.494</v>
      </c>
    </row>
    <row r="23" spans="1:3" x14ac:dyDescent="0.35">
      <c r="A23" s="21" t="s">
        <v>70</v>
      </c>
      <c r="B23" s="20">
        <v>43678</v>
      </c>
      <c r="C23">
        <v>239.60769999999999</v>
      </c>
    </row>
    <row r="24" spans="1:3" x14ac:dyDescent="0.35">
      <c r="A24" s="21" t="s">
        <v>71</v>
      </c>
      <c r="B24" s="20">
        <v>43709</v>
      </c>
      <c r="C24">
        <v>253.71019999999999</v>
      </c>
    </row>
    <row r="25" spans="1:3" x14ac:dyDescent="0.35">
      <c r="A25" s="21" t="s">
        <v>72</v>
      </c>
      <c r="B25" s="20">
        <v>43739</v>
      </c>
      <c r="C25">
        <v>262.06610000000001</v>
      </c>
    </row>
    <row r="26" spans="1:3" x14ac:dyDescent="0.35">
      <c r="A26" s="21" t="s">
        <v>73</v>
      </c>
      <c r="B26" s="20">
        <v>43770</v>
      </c>
      <c r="C26">
        <v>273.2158</v>
      </c>
    </row>
    <row r="27" spans="1:3" x14ac:dyDescent="0.35">
      <c r="A27" s="21" t="s">
        <v>74</v>
      </c>
      <c r="B27" s="20">
        <v>43800</v>
      </c>
      <c r="C27">
        <v>283.44420000000002</v>
      </c>
    </row>
    <row r="28" spans="1:3" x14ac:dyDescent="0.35">
      <c r="A28" s="21" t="s">
        <v>75</v>
      </c>
      <c r="B28" s="20">
        <v>43831</v>
      </c>
      <c r="C28">
        <v>289.82990000000001</v>
      </c>
    </row>
    <row r="29" spans="1:3" x14ac:dyDescent="0.35">
      <c r="A29" s="21" t="s">
        <v>76</v>
      </c>
      <c r="B29" s="20">
        <v>43862</v>
      </c>
      <c r="C29">
        <v>295.666</v>
      </c>
    </row>
    <row r="30" spans="1:3" x14ac:dyDescent="0.35">
      <c r="A30" s="21" t="s">
        <v>77</v>
      </c>
      <c r="B30" s="20">
        <v>43891</v>
      </c>
      <c r="C30">
        <v>305.55149999999998</v>
      </c>
    </row>
    <row r="31" spans="1:3" x14ac:dyDescent="0.35">
      <c r="A31" s="21" t="s">
        <v>78</v>
      </c>
      <c r="B31" s="20">
        <v>43922</v>
      </c>
      <c r="C31">
        <v>310.12430000000001</v>
      </c>
    </row>
    <row r="32" spans="1:3" x14ac:dyDescent="0.35">
      <c r="A32" s="21" t="s">
        <v>79</v>
      </c>
      <c r="B32" s="20">
        <v>43952</v>
      </c>
      <c r="C32">
        <v>314.90870000000001</v>
      </c>
    </row>
    <row r="33" spans="1:3" x14ac:dyDescent="0.35">
      <c r="A33" s="21" t="s">
        <v>80</v>
      </c>
      <c r="B33" s="20">
        <v>43983</v>
      </c>
      <c r="C33">
        <v>321.97379999999998</v>
      </c>
    </row>
    <row r="34" spans="1:3" x14ac:dyDescent="0.35">
      <c r="A34" s="21" t="s">
        <v>81</v>
      </c>
      <c r="B34" s="20">
        <v>44013</v>
      </c>
      <c r="C34">
        <v>328.20139999999998</v>
      </c>
    </row>
    <row r="35" spans="1:3" x14ac:dyDescent="0.35">
      <c r="A35" s="21" t="s">
        <v>82</v>
      </c>
      <c r="B35" s="20">
        <v>44044</v>
      </c>
      <c r="C35">
        <v>337.06319999999999</v>
      </c>
    </row>
    <row r="36" spans="1:3" x14ac:dyDescent="0.35">
      <c r="A36" s="21" t="s">
        <v>83</v>
      </c>
      <c r="B36" s="20">
        <v>44075</v>
      </c>
      <c r="C36">
        <v>346.6207</v>
      </c>
    </row>
    <row r="37" spans="1:3" x14ac:dyDescent="0.35">
      <c r="A37" s="21" t="s">
        <v>84</v>
      </c>
      <c r="B37" s="20">
        <v>44105</v>
      </c>
      <c r="C37">
        <v>359.65699999999998</v>
      </c>
    </row>
    <row r="38" spans="1:3" x14ac:dyDescent="0.35">
      <c r="A38" s="21" t="s">
        <v>85</v>
      </c>
      <c r="B38" s="20">
        <v>44136</v>
      </c>
      <c r="C38">
        <v>371.02109999999999</v>
      </c>
    </row>
    <row r="39" spans="1:3" x14ac:dyDescent="0.35">
      <c r="A39" s="21" t="s">
        <v>86</v>
      </c>
      <c r="B39" s="20">
        <v>44166</v>
      </c>
      <c r="C39">
        <v>385.88260000000002</v>
      </c>
    </row>
    <row r="40" spans="1:3" x14ac:dyDescent="0.35">
      <c r="A40" s="21" t="s">
        <v>87</v>
      </c>
      <c r="B40" s="20">
        <v>44197</v>
      </c>
      <c r="C40">
        <v>401.50709999999998</v>
      </c>
    </row>
    <row r="41" spans="1:3" x14ac:dyDescent="0.35">
      <c r="A41" s="21" t="s">
        <v>88</v>
      </c>
      <c r="B41" s="20">
        <v>44228</v>
      </c>
      <c r="C41">
        <v>415.85950000000003</v>
      </c>
    </row>
    <row r="42" spans="1:3" x14ac:dyDescent="0.35">
      <c r="A42" s="21" t="s">
        <v>89</v>
      </c>
      <c r="B42" s="20">
        <v>44256</v>
      </c>
      <c r="C42">
        <v>435.8657</v>
      </c>
    </row>
    <row r="43" spans="1:3" x14ac:dyDescent="0.35">
      <c r="A43" s="21" t="s">
        <v>90</v>
      </c>
      <c r="B43" s="20">
        <v>44287</v>
      </c>
      <c r="C43">
        <v>453.65030000000002</v>
      </c>
    </row>
    <row r="44" spans="1:3" x14ac:dyDescent="0.35">
      <c r="A44" s="21" t="s">
        <v>91</v>
      </c>
      <c r="B44" s="20">
        <v>44317</v>
      </c>
      <c r="C44">
        <v>468.72500000000002</v>
      </c>
    </row>
    <row r="45" spans="1:3" x14ac:dyDescent="0.35">
      <c r="A45" s="21" t="s">
        <v>92</v>
      </c>
      <c r="B45" s="20">
        <v>44348</v>
      </c>
      <c r="C45">
        <v>483.60489999999999</v>
      </c>
    </row>
    <row r="46" spans="1:3" x14ac:dyDescent="0.35">
      <c r="A46" s="21" t="s">
        <v>93</v>
      </c>
      <c r="B46" s="20">
        <v>44378</v>
      </c>
      <c r="C46">
        <v>498.09870000000001</v>
      </c>
    </row>
    <row r="47" spans="1:3" x14ac:dyDescent="0.35">
      <c r="A47" s="21" t="s">
        <v>94</v>
      </c>
      <c r="B47" s="20">
        <v>44409</v>
      </c>
      <c r="C47">
        <v>510.39420000000001</v>
      </c>
    </row>
    <row r="48" spans="1:3" x14ac:dyDescent="0.35">
      <c r="A48" s="21" t="s">
        <v>95</v>
      </c>
      <c r="B48" s="20">
        <v>44440</v>
      </c>
      <c r="C48">
        <v>528.49680000000001</v>
      </c>
    </row>
    <row r="49" spans="1:3" x14ac:dyDescent="0.35">
      <c r="A49" s="21" t="s">
        <v>96</v>
      </c>
      <c r="B49" s="20">
        <v>44470</v>
      </c>
      <c r="C49">
        <v>547.08019999999999</v>
      </c>
    </row>
    <row r="50" spans="1:3" x14ac:dyDescent="0.35">
      <c r="A50" s="21" t="s">
        <v>97</v>
      </c>
      <c r="B50" s="20">
        <v>44501</v>
      </c>
      <c r="C50">
        <v>560.91840000000002</v>
      </c>
    </row>
    <row r="51" spans="1:3" x14ac:dyDescent="0.35">
      <c r="A51" s="21" t="s">
        <v>98</v>
      </c>
      <c r="B51" s="20">
        <v>44531</v>
      </c>
      <c r="C51">
        <v>582.45749999999998</v>
      </c>
    </row>
    <row r="52" spans="1:3" x14ac:dyDescent="0.35">
      <c r="A52" s="21" t="s">
        <v>99</v>
      </c>
      <c r="B52" s="20">
        <v>44562</v>
      </c>
      <c r="C52">
        <v>605.0317</v>
      </c>
    </row>
    <row r="53" spans="1:3" x14ac:dyDescent="0.35">
      <c r="A53" s="21" t="s">
        <v>100</v>
      </c>
      <c r="B53" s="20">
        <v>44593</v>
      </c>
      <c r="C53">
        <v>633.43409999999994</v>
      </c>
    </row>
    <row r="54" spans="1:3" x14ac:dyDescent="0.35">
      <c r="A54" s="21" t="s">
        <v>101</v>
      </c>
      <c r="B54" s="20">
        <v>44621</v>
      </c>
      <c r="C54">
        <v>676.0566</v>
      </c>
    </row>
    <row r="55" spans="1:3" x14ac:dyDescent="0.35">
      <c r="A55" s="21" t="s">
        <v>102</v>
      </c>
      <c r="B55" s="20">
        <v>44652</v>
      </c>
      <c r="C55">
        <v>716.93989999999997</v>
      </c>
    </row>
    <row r="56" spans="1:3" x14ac:dyDescent="0.35">
      <c r="A56" s="21" t="s">
        <v>103</v>
      </c>
      <c r="B56" s="20">
        <v>44682</v>
      </c>
      <c r="C56">
        <v>753.14700000000005</v>
      </c>
    </row>
    <row r="57" spans="1:3" x14ac:dyDescent="0.35">
      <c r="A57" s="21" t="s">
        <v>104</v>
      </c>
      <c r="B57" s="20">
        <v>44713</v>
      </c>
      <c r="C57">
        <v>793.02779999999996</v>
      </c>
    </row>
    <row r="58" spans="1:3" x14ac:dyDescent="0.35">
      <c r="A58" s="21" t="s">
        <v>105</v>
      </c>
      <c r="B58" s="20">
        <v>44743</v>
      </c>
      <c r="C58">
        <v>851.76099999999997</v>
      </c>
    </row>
    <row r="59" spans="1:3" x14ac:dyDescent="0.35">
      <c r="A59" s="21" t="s">
        <v>106</v>
      </c>
      <c r="B59" s="20">
        <v>44774</v>
      </c>
      <c r="C59">
        <v>911.13160000000005</v>
      </c>
    </row>
    <row r="60" spans="1:3" x14ac:dyDescent="0.35">
      <c r="A60" s="21" t="s">
        <v>107</v>
      </c>
      <c r="B60" s="20">
        <v>44805</v>
      </c>
      <c r="C60">
        <v>967.30759999999998</v>
      </c>
    </row>
    <row r="61" spans="1:3" x14ac:dyDescent="0.35">
      <c r="A61" s="21" t="s">
        <v>108</v>
      </c>
      <c r="B61" s="20">
        <v>44835</v>
      </c>
      <c r="C61">
        <v>1028.7059999999999</v>
      </c>
    </row>
    <row r="62" spans="1:3" x14ac:dyDescent="0.35">
      <c r="A62" s="21" t="s">
        <v>109</v>
      </c>
      <c r="B62" s="20">
        <v>44866</v>
      </c>
      <c r="C62">
        <v>1079.2787000000001</v>
      </c>
    </row>
    <row r="63" spans="1:3" x14ac:dyDescent="0.35">
      <c r="A63" s="21" t="s">
        <v>110</v>
      </c>
      <c r="B63" s="20">
        <v>44896</v>
      </c>
      <c r="C63">
        <v>1134.5875000000001</v>
      </c>
    </row>
    <row r="64" spans="1:3" x14ac:dyDescent="0.35">
      <c r="A64" s="21" t="s">
        <v>111</v>
      </c>
      <c r="B64" s="21">
        <v>44927</v>
      </c>
      <c r="C64">
        <v>1202.979</v>
      </c>
    </row>
    <row r="65" spans="1:3" x14ac:dyDescent="0.35">
      <c r="A65" s="21" t="s">
        <v>112</v>
      </c>
      <c r="B65" s="21">
        <v>44958</v>
      </c>
      <c r="C65">
        <v>1282.7091</v>
      </c>
    </row>
    <row r="66" spans="1:3" x14ac:dyDescent="0.35">
      <c r="A66" s="21" t="s">
        <v>113</v>
      </c>
      <c r="B66" s="21">
        <v>44986</v>
      </c>
      <c r="C66">
        <v>1381.1601000000001</v>
      </c>
    </row>
    <row r="67" spans="1:3" x14ac:dyDescent="0.35">
      <c r="A67" s="21" t="s">
        <v>114</v>
      </c>
      <c r="B67" s="21">
        <v>45017</v>
      </c>
      <c r="C67">
        <v>1497.2147</v>
      </c>
    </row>
    <row r="68" spans="1:3" x14ac:dyDescent="0.35">
      <c r="A68" s="21" t="s">
        <v>115</v>
      </c>
      <c r="B68" s="22">
        <v>45047</v>
      </c>
      <c r="C68">
        <v>1613.5895</v>
      </c>
    </row>
    <row r="69" spans="1:3" x14ac:dyDescent="0.35">
      <c r="A69" s="21" t="s">
        <v>116</v>
      </c>
      <c r="B69" s="22">
        <v>45078</v>
      </c>
      <c r="C69">
        <v>1709.6115</v>
      </c>
    </row>
    <row r="70" spans="1:3" x14ac:dyDescent="0.35">
      <c r="A70" s="21" t="s">
        <v>117</v>
      </c>
      <c r="B70" s="22">
        <v>45108</v>
      </c>
      <c r="C70">
        <v>1818.0838000000001</v>
      </c>
    </row>
    <row r="71" spans="1:3" x14ac:dyDescent="0.35">
      <c r="A71" s="21" t="s">
        <v>118</v>
      </c>
      <c r="B71" s="22">
        <v>45139</v>
      </c>
      <c r="C71">
        <v>2044.2832000000001</v>
      </c>
    </row>
    <row r="72" spans="1:3" x14ac:dyDescent="0.35">
      <c r="A72" s="21" t="s">
        <v>119</v>
      </c>
      <c r="B72" s="22">
        <v>45170</v>
      </c>
      <c r="C72">
        <v>2304.9241999999999</v>
      </c>
    </row>
    <row r="73" spans="1:3" x14ac:dyDescent="0.35">
      <c r="A73" s="21" t="s">
        <v>120</v>
      </c>
      <c r="B73" s="22">
        <v>45200</v>
      </c>
      <c r="C73">
        <v>2496.2730000000001</v>
      </c>
    </row>
    <row r="74" spans="1:3" x14ac:dyDescent="0.35">
      <c r="A74" s="21" t="s">
        <v>121</v>
      </c>
      <c r="B74" s="22">
        <v>45231</v>
      </c>
      <c r="C74">
        <v>2816.0628000000002</v>
      </c>
    </row>
    <row r="75" spans="1:3" x14ac:dyDescent="0.35">
      <c r="A75" s="21" t="s">
        <v>122</v>
      </c>
      <c r="B75" s="22">
        <v>45261</v>
      </c>
      <c r="C75">
        <v>3533.1922</v>
      </c>
    </row>
    <row r="76" spans="1:3" x14ac:dyDescent="0.35">
      <c r="A76" s="21" t="s">
        <v>123</v>
      </c>
      <c r="B76" s="22">
        <v>45292</v>
      </c>
      <c r="C76">
        <v>4261.5324000000001</v>
      </c>
    </row>
    <row r="77" spans="1:3" x14ac:dyDescent="0.35">
      <c r="A77" s="21" t="s">
        <v>124</v>
      </c>
      <c r="B77" s="22">
        <v>45323</v>
      </c>
      <c r="C77">
        <v>4825.7880999999998</v>
      </c>
    </row>
    <row r="78" spans="1:3" x14ac:dyDescent="0.35">
      <c r="A78" s="21" t="s">
        <v>125</v>
      </c>
      <c r="B78" s="22">
        <v>45352</v>
      </c>
      <c r="C78">
        <v>5357.0928999999996</v>
      </c>
    </row>
    <row r="79" spans="1:3" x14ac:dyDescent="0.35">
      <c r="A79" s="21" t="s">
        <v>126</v>
      </c>
      <c r="B79" s="22">
        <v>45383</v>
      </c>
      <c r="C79">
        <v>5830.2271000000001</v>
      </c>
    </row>
    <row r="80" spans="1:3" x14ac:dyDescent="0.35">
      <c r="A80" s="21" t="s">
        <v>127</v>
      </c>
      <c r="B80" s="22">
        <v>45413</v>
      </c>
      <c r="C80">
        <v>6073.7165000000005</v>
      </c>
    </row>
    <row r="81" spans="1:3" x14ac:dyDescent="0.35">
      <c r="A81" s="21" t="s">
        <v>128</v>
      </c>
      <c r="B81" s="22">
        <v>45444</v>
      </c>
      <c r="C81">
        <v>6351.7145</v>
      </c>
    </row>
    <row r="82" spans="1:3" x14ac:dyDescent="0.35">
      <c r="A82" s="21" t="s">
        <v>129</v>
      </c>
      <c r="B82" s="22">
        <v>45474</v>
      </c>
      <c r="C82">
        <v>6607.7479000000003</v>
      </c>
    </row>
    <row r="83" spans="1:3" x14ac:dyDescent="0.35">
      <c r="A83" s="21" t="s">
        <v>130</v>
      </c>
      <c r="B83" s="22">
        <v>45505</v>
      </c>
      <c r="C83">
        <v>6883.4412000000002</v>
      </c>
    </row>
    <row r="84" spans="1:3" x14ac:dyDescent="0.35">
      <c r="A84" s="21" t="s">
        <v>131</v>
      </c>
      <c r="B84" s="22">
        <v>45536</v>
      </c>
      <c r="C84">
        <v>7122.2421000000004</v>
      </c>
    </row>
    <row r="85" spans="1:3" x14ac:dyDescent="0.35">
      <c r="A85" s="21" t="s">
        <v>132</v>
      </c>
      <c r="B85" s="22">
        <v>45566</v>
      </c>
      <c r="C85">
        <v>7313.9542000000001</v>
      </c>
    </row>
    <row r="86" spans="1:3" x14ac:dyDescent="0.35">
      <c r="A86" s="21" t="s">
        <v>133</v>
      </c>
      <c r="B86" s="22">
        <v>45597</v>
      </c>
      <c r="C86">
        <v>7491.4314000000004</v>
      </c>
    </row>
    <row r="87" spans="1:3" x14ac:dyDescent="0.35">
      <c r="A87" s="21" t="s">
        <v>134</v>
      </c>
      <c r="B87" s="22">
        <v>45627</v>
      </c>
      <c r="C87">
        <v>7694.0074999999997</v>
      </c>
    </row>
    <row r="88" spans="1:3" x14ac:dyDescent="0.35">
      <c r="A88" s="21" t="s">
        <v>36</v>
      </c>
      <c r="B88" s="21">
        <v>45658</v>
      </c>
      <c r="C88">
        <v>7864.1256999999996</v>
      </c>
    </row>
    <row r="89" spans="1:3" x14ac:dyDescent="0.35">
      <c r="A89" s="21" t="s">
        <v>37</v>
      </c>
      <c r="B89" s="21">
        <v>45689</v>
      </c>
      <c r="C89">
        <v>8052.9926999999998</v>
      </c>
    </row>
    <row r="90" spans="1:3" x14ac:dyDescent="0.35">
      <c r="A90" s="21" t="s">
        <v>38</v>
      </c>
      <c r="B90" s="21">
        <v>45717</v>
      </c>
      <c r="C90">
        <v>8353.3158000000003</v>
      </c>
    </row>
    <row r="91" spans="1:3" x14ac:dyDescent="0.35">
      <c r="A91" s="21" t="s">
        <v>39</v>
      </c>
      <c r="B91" s="21">
        <v>45748</v>
      </c>
      <c r="C91">
        <v>8585.6077999999998</v>
      </c>
    </row>
    <row r="92" spans="1:3" x14ac:dyDescent="0.35">
      <c r="A92" s="21" t="s">
        <v>40</v>
      </c>
      <c r="B92" s="21">
        <v>45778</v>
      </c>
      <c r="C92">
        <v>8714.4871000000003</v>
      </c>
    </row>
    <row r="93" spans="1:3" x14ac:dyDescent="0.35">
      <c r="A93" s="21" t="s">
        <v>41</v>
      </c>
      <c r="B93" s="21">
        <v>45809</v>
      </c>
      <c r="C93">
        <v>8855.5681000000004</v>
      </c>
    </row>
    <row r="94" spans="1:3" x14ac:dyDescent="0.35">
      <c r="A94" s="21" t="s">
        <v>42</v>
      </c>
      <c r="B94" s="21">
        <v>45839</v>
      </c>
      <c r="C94">
        <v>9023.973</v>
      </c>
    </row>
    <row r="95" spans="1:3" x14ac:dyDescent="0.35">
      <c r="A95" s="21" t="s">
        <v>43</v>
      </c>
      <c r="B95" s="21">
        <v>45870</v>
      </c>
      <c r="C95">
        <v>9193.2440999999999</v>
      </c>
    </row>
    <row r="96" spans="1:3" x14ac:dyDescent="0.35">
      <c r="A96" s="21" t="s">
        <v>44</v>
      </c>
      <c r="B96" s="21">
        <v>45901</v>
      </c>
      <c r="C96">
        <v>9384.0921999999991</v>
      </c>
    </row>
    <row r="97" spans="1:3" x14ac:dyDescent="0.35">
      <c r="A97" s="21" t="s">
        <v>45</v>
      </c>
      <c r="B97" s="21">
        <v>45931</v>
      </c>
      <c r="C97">
        <v>9603.8623000000007</v>
      </c>
    </row>
    <row r="98" spans="1:3" x14ac:dyDescent="0.35">
      <c r="A98" s="21" t="s">
        <v>46</v>
      </c>
      <c r="B98" s="21">
        <v>45962</v>
      </c>
      <c r="C98">
        <v>9841.3580999999995</v>
      </c>
    </row>
    <row r="99" spans="1:3" x14ac:dyDescent="0.35">
      <c r="A99" s="21" t="s">
        <v>47</v>
      </c>
      <c r="B99" s="21">
        <v>45992</v>
      </c>
      <c r="C99">
        <v>10121.4</v>
      </c>
    </row>
    <row r="100" spans="1:3" x14ac:dyDescent="0.35">
      <c r="A100" s="21" t="s">
        <v>136</v>
      </c>
      <c r="B100" s="21">
        <v>46023</v>
      </c>
      <c r="C100">
        <v>10413.0309</v>
      </c>
    </row>
    <row r="101" spans="1:3" x14ac:dyDescent="0.35">
      <c r="A101" s="21" t="s">
        <v>137</v>
      </c>
      <c r="B101" s="21">
        <v>46054</v>
      </c>
      <c r="C101">
        <v>10714.6255</v>
      </c>
    </row>
    <row r="102" spans="1:3" x14ac:dyDescent="0.35">
      <c r="A102" s="21" t="s">
        <v>138</v>
      </c>
      <c r="B102" s="21">
        <v>46082</v>
      </c>
      <c r="C102">
        <v>11077.060799999999</v>
      </c>
    </row>
    <row r="103" spans="1:3" x14ac:dyDescent="0.35">
      <c r="A103" s="21" t="s">
        <v>139</v>
      </c>
      <c r="B103" s="21">
        <v>46113</v>
      </c>
      <c r="C103">
        <v>11363.090399999999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3A188818E4D7438C041407C333926B" ma:contentTypeVersion="9" ma:contentTypeDescription="Create a new document." ma:contentTypeScope="" ma:versionID="038f90ba40a4d9670c5faf12f3b1b830">
  <xsd:schema xmlns:xsd="http://www.w3.org/2001/XMLSchema" xmlns:xs="http://www.w3.org/2001/XMLSchema" xmlns:p="http://schemas.microsoft.com/office/2006/metadata/properties" xmlns:ns3="fbc59c50-defa-4113-ae0c-5fda5a1279ac" targetNamespace="http://schemas.microsoft.com/office/2006/metadata/properties" ma:root="true" ma:fieldsID="5a198744c0ec37866de87fc1e9fa5d8a" ns3:_="">
    <xsd:import namespace="fbc59c50-defa-4113-ae0c-5fda5a1279a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59c50-defa-4113-ae0c-5fda5a1279a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c59c50-defa-4113-ae0c-5fda5a1279ac" xsi:nil="true"/>
  </documentManagement>
</p:properties>
</file>

<file path=customXml/itemProps1.xml><?xml version="1.0" encoding="utf-8"?>
<ds:datastoreItem xmlns:ds="http://schemas.openxmlformats.org/officeDocument/2006/customXml" ds:itemID="{A4BF811B-2732-4D3B-976A-7632EA411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c59c50-defa-4113-ae0c-5fda5a127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28656C-17EC-4780-B442-D3879E9159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77E364-3B5A-4197-904C-6DE665EA219A}">
  <ds:schemaRefs>
    <ds:schemaRef ds:uri="fbc59c50-defa-4113-ae0c-5fda5a1279ac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CTF</vt:lpstr>
      <vt:lpstr>Sheet1</vt:lpstr>
      <vt:lpstr>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Arce, Florencia</dc:creator>
  <cp:lastModifiedBy>Rombola, Augusto</cp:lastModifiedBy>
  <dcterms:created xsi:type="dcterms:W3CDTF">2026-06-01T12:24:48Z</dcterms:created>
  <dcterms:modified xsi:type="dcterms:W3CDTF">2026-06-02T19:00:49Z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0x0101001E3A188818E4D7438C041407C333926B</vt:lpwstr>
  </property>
</Properties>
</file>