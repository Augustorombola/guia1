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nogues\Downloads\"/>
    </mc:Choice>
  </mc:AlternateContent>
  <xr:revisionPtr revIDLastSave="0" documentId="8_{B8643ABD-F11E-4FCA-8B92-9507ACC5E1B3}" xr6:coauthVersionLast="47" xr6:coauthVersionMax="47" xr10:uidLastSave="{00000000-0000-0000-0000-000000000000}"/>
  <bookViews>
    <workbookView xWindow="19090" yWindow="-110" windowWidth="19420" windowHeight="10300" xr2:uid="{C7F56D7A-2ED5-401B-A16B-7730C513FD13}"/>
  </bookViews>
  <sheets>
    <sheet name="Matriz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J58" i="1" l="1"/>
  <c r="BI58" i="1"/>
  <c r="BH58" i="1"/>
  <c r="BG58" i="1"/>
  <c r="BF58" i="1"/>
  <c r="BC58" i="1"/>
  <c r="AV58" i="1"/>
  <c r="AP58" i="1"/>
  <c r="AO58" i="1"/>
  <c r="AM58" i="1"/>
  <c r="V58" i="1"/>
  <c r="U58" i="1"/>
  <c r="T58" i="1"/>
  <c r="S58" i="1"/>
  <c r="N58" i="1"/>
  <c r="BJ57" i="1"/>
  <c r="BI57" i="1"/>
  <c r="BH57" i="1"/>
  <c r="BG57" i="1"/>
  <c r="BF57" i="1"/>
  <c r="BC57" i="1"/>
  <c r="AV57" i="1"/>
  <c r="AP57" i="1"/>
  <c r="AO57" i="1"/>
  <c r="AM57" i="1"/>
  <c r="V57" i="1"/>
  <c r="U57" i="1"/>
  <c r="T57" i="1"/>
  <c r="S57" i="1"/>
  <c r="N57" i="1"/>
  <c r="BJ56" i="1"/>
  <c r="BI56" i="1"/>
  <c r="BH56" i="1"/>
  <c r="BG56" i="1"/>
  <c r="BF56" i="1"/>
  <c r="BC56" i="1"/>
  <c r="AV56" i="1"/>
  <c r="AP56" i="1"/>
  <c r="AO56" i="1"/>
  <c r="AM56" i="1"/>
  <c r="V56" i="1"/>
  <c r="U56" i="1"/>
  <c r="T56" i="1"/>
  <c r="S56" i="1"/>
  <c r="N56" i="1"/>
  <c r="BJ55" i="1"/>
  <c r="BI55" i="1"/>
  <c r="BH55" i="1"/>
  <c r="BG55" i="1"/>
  <c r="BF55" i="1"/>
  <c r="BC55" i="1"/>
  <c r="AV55" i="1"/>
  <c r="AP55" i="1"/>
  <c r="AO55" i="1"/>
  <c r="AM55" i="1"/>
  <c r="V55" i="1"/>
  <c r="U55" i="1"/>
  <c r="T55" i="1"/>
  <c r="S55" i="1"/>
  <c r="N55" i="1"/>
  <c r="BJ54" i="1"/>
  <c r="BI54" i="1"/>
  <c r="BH54" i="1"/>
  <c r="BG54" i="1"/>
  <c r="BF54" i="1"/>
  <c r="BC54" i="1"/>
  <c r="AV54" i="1"/>
  <c r="AP54" i="1"/>
  <c r="AO54" i="1"/>
  <c r="AM54" i="1"/>
  <c r="V54" i="1"/>
  <c r="U54" i="1"/>
  <c r="T54" i="1"/>
  <c r="S54" i="1"/>
  <c r="N54" i="1"/>
  <c r="BJ53" i="1"/>
  <c r="BI53" i="1"/>
  <c r="BH53" i="1"/>
  <c r="BG53" i="1"/>
  <c r="BF53" i="1"/>
  <c r="BC53" i="1"/>
  <c r="AV53" i="1"/>
  <c r="AP53" i="1"/>
  <c r="AO53" i="1"/>
  <c r="AM53" i="1"/>
  <c r="V53" i="1"/>
  <c r="U53" i="1"/>
  <c r="T53" i="1"/>
  <c r="S53" i="1"/>
  <c r="N53" i="1"/>
  <c r="BJ52" i="1"/>
  <c r="BI52" i="1"/>
  <c r="BH52" i="1"/>
  <c r="BG52" i="1"/>
  <c r="BF52" i="1"/>
  <c r="BC52" i="1"/>
  <c r="AV52" i="1"/>
  <c r="AP52" i="1"/>
  <c r="AO52" i="1"/>
  <c r="AM52" i="1"/>
  <c r="V52" i="1"/>
  <c r="U52" i="1"/>
  <c r="T52" i="1"/>
  <c r="S52" i="1"/>
  <c r="N52" i="1"/>
  <c r="BJ51" i="1"/>
  <c r="BI51" i="1"/>
  <c r="BH51" i="1"/>
  <c r="BG51" i="1"/>
  <c r="BF51" i="1"/>
  <c r="BC51" i="1"/>
  <c r="AV51" i="1"/>
  <c r="AP51" i="1"/>
  <c r="AO51" i="1"/>
  <c r="AM51" i="1"/>
  <c r="V51" i="1"/>
  <c r="U51" i="1"/>
  <c r="T51" i="1"/>
  <c r="S51" i="1"/>
  <c r="N51" i="1"/>
  <c r="BJ50" i="1"/>
  <c r="BI50" i="1"/>
  <c r="BH50" i="1"/>
  <c r="BG50" i="1"/>
  <c r="BF50" i="1"/>
  <c r="BC50" i="1"/>
  <c r="AV50" i="1"/>
  <c r="AP50" i="1"/>
  <c r="AO50" i="1"/>
  <c r="AM50" i="1"/>
  <c r="V50" i="1"/>
  <c r="U50" i="1"/>
  <c r="T50" i="1"/>
  <c r="S50" i="1"/>
  <c r="N50" i="1"/>
  <c r="BJ49" i="1"/>
  <c r="BI49" i="1"/>
  <c r="BH49" i="1"/>
  <c r="BG49" i="1"/>
  <c r="BF49" i="1"/>
  <c r="BC49" i="1"/>
  <c r="AV49" i="1"/>
  <c r="AP49" i="1"/>
  <c r="AO49" i="1"/>
  <c r="AM49" i="1"/>
  <c r="V49" i="1"/>
  <c r="U49" i="1"/>
  <c r="T49" i="1"/>
  <c r="S49" i="1"/>
  <c r="N49" i="1"/>
  <c r="BJ48" i="1"/>
  <c r="BI48" i="1"/>
  <c r="BH48" i="1"/>
  <c r="BG48" i="1"/>
  <c r="BF48" i="1"/>
  <c r="BC48" i="1"/>
  <c r="AV48" i="1"/>
  <c r="AP48" i="1"/>
  <c r="AO48" i="1"/>
  <c r="AM48" i="1"/>
  <c r="V48" i="1"/>
  <c r="U48" i="1"/>
  <c r="T48" i="1"/>
  <c r="S48" i="1"/>
  <c r="N48" i="1"/>
  <c r="BJ47" i="1"/>
  <c r="BI47" i="1"/>
  <c r="BH47" i="1"/>
  <c r="BG47" i="1"/>
  <c r="BF47" i="1"/>
  <c r="BC47" i="1"/>
  <c r="AV47" i="1"/>
  <c r="AP47" i="1"/>
  <c r="AO47" i="1"/>
  <c r="AM47" i="1"/>
  <c r="V47" i="1"/>
  <c r="U47" i="1"/>
  <c r="T47" i="1"/>
  <c r="S47" i="1"/>
  <c r="N47" i="1"/>
  <c r="BJ46" i="1"/>
  <c r="BI46" i="1"/>
  <c r="BH46" i="1"/>
  <c r="BG46" i="1"/>
  <c r="BF46" i="1"/>
  <c r="BC46" i="1"/>
  <c r="AV46" i="1"/>
  <c r="AP46" i="1"/>
  <c r="AO46" i="1"/>
  <c r="AM46" i="1"/>
  <c r="V46" i="1"/>
  <c r="U46" i="1"/>
  <c r="T46" i="1"/>
  <c r="S46" i="1"/>
  <c r="N46" i="1"/>
  <c r="BJ45" i="1"/>
  <c r="BI45" i="1"/>
  <c r="BH45" i="1"/>
  <c r="BG45" i="1"/>
  <c r="BF45" i="1"/>
  <c r="BC45" i="1"/>
  <c r="AV45" i="1"/>
  <c r="AP45" i="1"/>
  <c r="AO45" i="1"/>
  <c r="AM45" i="1"/>
  <c r="V45" i="1"/>
  <c r="U45" i="1"/>
  <c r="T45" i="1"/>
  <c r="S45" i="1"/>
  <c r="N45" i="1"/>
  <c r="BJ44" i="1"/>
  <c r="BI44" i="1"/>
  <c r="BH44" i="1"/>
  <c r="BG44" i="1"/>
  <c r="BF44" i="1"/>
  <c r="BC44" i="1"/>
  <c r="AV44" i="1"/>
  <c r="AP44" i="1"/>
  <c r="AO44" i="1"/>
  <c r="AM44" i="1"/>
  <c r="V44" i="1"/>
  <c r="U44" i="1"/>
  <c r="T44" i="1"/>
  <c r="S44" i="1"/>
  <c r="N44" i="1"/>
  <c r="BJ43" i="1"/>
  <c r="BI43" i="1"/>
  <c r="BH43" i="1"/>
  <c r="BG43" i="1"/>
  <c r="BF43" i="1"/>
  <c r="BC43" i="1"/>
  <c r="AV43" i="1"/>
  <c r="AP43" i="1"/>
  <c r="AO43" i="1"/>
  <c r="AM43" i="1"/>
  <c r="V43" i="1"/>
  <c r="U43" i="1"/>
  <c r="T43" i="1"/>
  <c r="S43" i="1"/>
  <c r="N43" i="1"/>
  <c r="BJ42" i="1"/>
  <c r="BI42" i="1"/>
  <c r="BH42" i="1"/>
  <c r="BG42" i="1"/>
  <c r="BF42" i="1"/>
  <c r="BC42" i="1"/>
  <c r="AV42" i="1"/>
  <c r="AP42" i="1"/>
  <c r="AO42" i="1"/>
  <c r="AM42" i="1"/>
  <c r="V42" i="1"/>
  <c r="U42" i="1"/>
  <c r="T42" i="1"/>
  <c r="S42" i="1"/>
  <c r="N42" i="1"/>
  <c r="BJ41" i="1"/>
  <c r="BI41" i="1"/>
  <c r="BH41" i="1"/>
  <c r="BG41" i="1"/>
  <c r="BF41" i="1"/>
  <c r="BC41" i="1"/>
  <c r="AV41" i="1"/>
  <c r="AP41" i="1"/>
  <c r="AO41" i="1"/>
  <c r="AM41" i="1"/>
  <c r="V41" i="1"/>
  <c r="U41" i="1"/>
  <c r="T41" i="1"/>
  <c r="S41" i="1"/>
  <c r="N41" i="1"/>
  <c r="BJ40" i="1"/>
  <c r="BI40" i="1"/>
  <c r="BH40" i="1"/>
  <c r="BG40" i="1"/>
  <c r="BF40" i="1"/>
  <c r="BC40" i="1"/>
  <c r="AV40" i="1"/>
  <c r="AP40" i="1"/>
  <c r="AO40" i="1"/>
  <c r="AM40" i="1"/>
  <c r="V40" i="1"/>
  <c r="U40" i="1"/>
  <c r="T40" i="1"/>
  <c r="S40" i="1"/>
  <c r="N40" i="1"/>
  <c r="BJ39" i="1"/>
  <c r="BI39" i="1"/>
  <c r="BH39" i="1"/>
  <c r="BG39" i="1"/>
  <c r="BF39" i="1"/>
  <c r="BC39" i="1"/>
  <c r="AV39" i="1"/>
  <c r="AP39" i="1"/>
  <c r="AO39" i="1"/>
  <c r="AM39" i="1"/>
  <c r="V39" i="1"/>
  <c r="U39" i="1"/>
  <c r="T39" i="1"/>
  <c r="S39" i="1"/>
  <c r="N39" i="1"/>
  <c r="BJ38" i="1"/>
  <c r="BI38" i="1"/>
  <c r="BH38" i="1"/>
  <c r="BG38" i="1"/>
  <c r="BF38" i="1"/>
  <c r="BC38" i="1"/>
  <c r="AV38" i="1"/>
  <c r="AP38" i="1"/>
  <c r="AO38" i="1"/>
  <c r="AM38" i="1"/>
  <c r="V38" i="1"/>
  <c r="U38" i="1"/>
  <c r="T38" i="1"/>
  <c r="S38" i="1"/>
  <c r="N38" i="1"/>
  <c r="BJ37" i="1"/>
  <c r="BI37" i="1"/>
  <c r="BH37" i="1"/>
  <c r="BG37" i="1"/>
  <c r="BF37" i="1"/>
  <c r="BC37" i="1"/>
  <c r="AV37" i="1"/>
  <c r="AP37" i="1"/>
  <c r="AO37" i="1"/>
  <c r="AM37" i="1"/>
  <c r="V37" i="1"/>
  <c r="U37" i="1"/>
  <c r="T37" i="1"/>
  <c r="S37" i="1"/>
  <c r="N37" i="1"/>
  <c r="BJ36" i="1"/>
  <c r="BI36" i="1"/>
  <c r="BH36" i="1"/>
  <c r="BG36" i="1"/>
  <c r="BF36" i="1"/>
  <c r="BC36" i="1"/>
  <c r="AV36" i="1"/>
  <c r="AP36" i="1"/>
  <c r="AO36" i="1"/>
  <c r="AM36" i="1"/>
  <c r="V36" i="1"/>
  <c r="U36" i="1"/>
  <c r="T36" i="1"/>
  <c r="S36" i="1"/>
  <c r="N36" i="1"/>
  <c r="BJ35" i="1"/>
  <c r="BI35" i="1"/>
  <c r="BH35" i="1"/>
  <c r="BG35" i="1"/>
  <c r="BF35" i="1"/>
  <c r="BC35" i="1"/>
  <c r="AV35" i="1"/>
  <c r="AP35" i="1"/>
  <c r="AO35" i="1"/>
  <c r="AM35" i="1"/>
  <c r="V35" i="1"/>
  <c r="U35" i="1"/>
  <c r="T35" i="1"/>
  <c r="S35" i="1"/>
  <c r="N35" i="1"/>
  <c r="BJ34" i="1"/>
  <c r="BI34" i="1"/>
  <c r="BH34" i="1"/>
  <c r="BG34" i="1"/>
  <c r="BF34" i="1"/>
  <c r="BC34" i="1"/>
  <c r="AV34" i="1"/>
  <c r="AP34" i="1"/>
  <c r="AO34" i="1"/>
  <c r="AM34" i="1"/>
  <c r="V34" i="1"/>
  <c r="U34" i="1"/>
  <c r="T34" i="1"/>
  <c r="S34" i="1"/>
  <c r="N34" i="1"/>
  <c r="BJ33" i="1"/>
  <c r="BI33" i="1"/>
  <c r="BH33" i="1"/>
  <c r="BG33" i="1"/>
  <c r="BF33" i="1"/>
  <c r="BC33" i="1"/>
  <c r="AV33" i="1"/>
  <c r="AP33" i="1"/>
  <c r="AO33" i="1"/>
  <c r="AM33" i="1"/>
  <c r="V33" i="1"/>
  <c r="U33" i="1"/>
  <c r="T33" i="1"/>
  <c r="S33" i="1"/>
  <c r="N33" i="1"/>
  <c r="BJ32" i="1"/>
  <c r="BI32" i="1"/>
  <c r="BH32" i="1"/>
  <c r="BG32" i="1"/>
  <c r="BF32" i="1"/>
  <c r="BC32" i="1"/>
  <c r="AV32" i="1"/>
  <c r="AP32" i="1"/>
  <c r="AO32" i="1"/>
  <c r="AM32" i="1"/>
  <c r="V32" i="1"/>
  <c r="U32" i="1"/>
  <c r="T32" i="1"/>
  <c r="S32" i="1"/>
  <c r="N32" i="1"/>
  <c r="BJ31" i="1"/>
  <c r="BI31" i="1"/>
  <c r="BH31" i="1"/>
  <c r="BG31" i="1"/>
  <c r="BF31" i="1"/>
  <c r="BC31" i="1"/>
  <c r="AV31" i="1"/>
  <c r="AP31" i="1"/>
  <c r="AO31" i="1"/>
  <c r="AM31" i="1"/>
  <c r="V31" i="1"/>
  <c r="U31" i="1"/>
  <c r="T31" i="1"/>
  <c r="S31" i="1"/>
  <c r="N31" i="1"/>
  <c r="BJ30" i="1"/>
  <c r="BI30" i="1"/>
  <c r="BH30" i="1"/>
  <c r="BG30" i="1"/>
  <c r="BF30" i="1"/>
  <c r="BC30" i="1"/>
  <c r="AV30" i="1"/>
  <c r="AP30" i="1"/>
  <c r="AO30" i="1"/>
  <c r="AM30" i="1"/>
  <c r="V30" i="1"/>
  <c r="U30" i="1"/>
  <c r="T30" i="1"/>
  <c r="S30" i="1"/>
  <c r="N30" i="1"/>
  <c r="BJ29" i="1"/>
  <c r="BI29" i="1"/>
  <c r="BH29" i="1"/>
  <c r="BG29" i="1"/>
  <c r="BF29" i="1"/>
  <c r="BC29" i="1"/>
  <c r="AV29" i="1"/>
  <c r="AP29" i="1"/>
  <c r="AO29" i="1"/>
  <c r="AM29" i="1"/>
  <c r="V29" i="1"/>
  <c r="U29" i="1"/>
  <c r="T29" i="1"/>
  <c r="S29" i="1"/>
  <c r="N29" i="1"/>
  <c r="BJ28" i="1"/>
  <c r="BI28" i="1"/>
  <c r="BH28" i="1"/>
  <c r="BG28" i="1"/>
  <c r="BF28" i="1"/>
  <c r="BC28" i="1"/>
  <c r="AV28" i="1"/>
  <c r="AP28" i="1"/>
  <c r="AO28" i="1"/>
  <c r="AM28" i="1"/>
  <c r="V28" i="1"/>
  <c r="U28" i="1"/>
  <c r="T28" i="1"/>
  <c r="S28" i="1"/>
  <c r="N28" i="1"/>
  <c r="BJ27" i="1"/>
  <c r="BI27" i="1"/>
  <c r="BH27" i="1"/>
  <c r="BG27" i="1"/>
  <c r="BF27" i="1"/>
  <c r="BC27" i="1"/>
  <c r="AV27" i="1"/>
  <c r="AP27" i="1"/>
  <c r="AO27" i="1"/>
  <c r="AM27" i="1"/>
  <c r="V27" i="1"/>
  <c r="U27" i="1"/>
  <c r="T27" i="1"/>
  <c r="S27" i="1"/>
  <c r="N27" i="1"/>
  <c r="BJ26" i="1"/>
  <c r="BI26" i="1"/>
  <c r="BH26" i="1"/>
  <c r="BG26" i="1"/>
  <c r="BF26" i="1"/>
  <c r="BC26" i="1"/>
  <c r="AV26" i="1"/>
  <c r="AP26" i="1"/>
  <c r="AO26" i="1"/>
  <c r="AM26" i="1"/>
  <c r="V26" i="1"/>
  <c r="U26" i="1"/>
  <c r="T26" i="1"/>
  <c r="S26" i="1"/>
  <c r="N26" i="1"/>
  <c r="BJ25" i="1"/>
  <c r="BI25" i="1"/>
  <c r="BH25" i="1"/>
  <c r="BG25" i="1"/>
  <c r="BF25" i="1"/>
  <c r="BC25" i="1"/>
  <c r="AV25" i="1"/>
  <c r="AP25" i="1"/>
  <c r="AO25" i="1"/>
  <c r="AM25" i="1"/>
  <c r="V25" i="1"/>
  <c r="U25" i="1"/>
  <c r="T25" i="1"/>
  <c r="S25" i="1"/>
  <c r="N25" i="1"/>
  <c r="BJ24" i="1"/>
  <c r="BI24" i="1"/>
  <c r="BH24" i="1"/>
  <c r="BG24" i="1"/>
  <c r="BF24" i="1"/>
  <c r="BC24" i="1"/>
  <c r="AV24" i="1"/>
  <c r="AP24" i="1"/>
  <c r="AO24" i="1"/>
  <c r="AM24" i="1"/>
  <c r="V24" i="1"/>
  <c r="U24" i="1"/>
  <c r="T24" i="1"/>
  <c r="S24" i="1"/>
  <c r="N24" i="1"/>
  <c r="BJ23" i="1"/>
  <c r="BI23" i="1"/>
  <c r="BH23" i="1"/>
  <c r="BG23" i="1"/>
  <c r="BF23" i="1"/>
  <c r="BC23" i="1"/>
  <c r="AV23" i="1"/>
  <c r="AP23" i="1"/>
  <c r="AO23" i="1"/>
  <c r="AM23" i="1"/>
  <c r="V23" i="1"/>
  <c r="U23" i="1"/>
  <c r="T23" i="1"/>
  <c r="S23" i="1"/>
  <c r="N23" i="1"/>
  <c r="BJ22" i="1"/>
  <c r="BI22" i="1"/>
  <c r="BH22" i="1"/>
  <c r="BG22" i="1"/>
  <c r="BF22" i="1"/>
  <c r="BC22" i="1"/>
  <c r="AV22" i="1"/>
  <c r="AP22" i="1"/>
  <c r="AO22" i="1"/>
  <c r="AM22" i="1"/>
  <c r="V22" i="1"/>
  <c r="U22" i="1"/>
  <c r="T22" i="1"/>
  <c r="S22" i="1"/>
  <c r="N22" i="1"/>
  <c r="BJ21" i="1"/>
  <c r="BI21" i="1"/>
  <c r="BH21" i="1"/>
  <c r="BG21" i="1"/>
  <c r="BF21" i="1"/>
  <c r="BC21" i="1"/>
  <c r="AV21" i="1"/>
  <c r="AP21" i="1"/>
  <c r="AO21" i="1"/>
  <c r="AM21" i="1"/>
  <c r="V21" i="1"/>
  <c r="U21" i="1"/>
  <c r="T21" i="1"/>
  <c r="S21" i="1"/>
  <c r="N21" i="1"/>
  <c r="BJ20" i="1"/>
  <c r="BI20" i="1"/>
  <c r="BH20" i="1"/>
  <c r="BG20" i="1"/>
  <c r="BF20" i="1"/>
  <c r="BC20" i="1"/>
  <c r="AV20" i="1"/>
  <c r="AP20" i="1"/>
  <c r="AO20" i="1"/>
  <c r="AM20" i="1"/>
  <c r="V20" i="1"/>
  <c r="U20" i="1"/>
  <c r="T20" i="1"/>
  <c r="S20" i="1"/>
  <c r="N20" i="1"/>
  <c r="BJ19" i="1"/>
  <c r="BI19" i="1"/>
  <c r="BH19" i="1"/>
  <c r="BG19" i="1"/>
  <c r="BF19" i="1"/>
  <c r="BC19" i="1"/>
  <c r="AV19" i="1"/>
  <c r="AP19" i="1"/>
  <c r="AO19" i="1"/>
  <c r="AM19" i="1"/>
  <c r="V19" i="1"/>
  <c r="U19" i="1"/>
  <c r="T19" i="1"/>
  <c r="S19" i="1"/>
  <c r="N19" i="1"/>
  <c r="BJ18" i="1"/>
  <c r="BI18" i="1"/>
  <c r="BH18" i="1"/>
  <c r="BG18" i="1"/>
  <c r="BF18" i="1"/>
  <c r="BC18" i="1"/>
  <c r="AV18" i="1"/>
  <c r="AP18" i="1"/>
  <c r="AO18" i="1"/>
  <c r="AM18" i="1"/>
  <c r="V18" i="1"/>
  <c r="U18" i="1"/>
  <c r="T18" i="1"/>
  <c r="S18" i="1"/>
  <c r="N18" i="1"/>
  <c r="BJ17" i="1"/>
  <c r="BI17" i="1"/>
  <c r="BH17" i="1"/>
  <c r="BG17" i="1"/>
  <c r="BF17" i="1"/>
  <c r="BC17" i="1"/>
  <c r="AV17" i="1"/>
  <c r="AP17" i="1"/>
  <c r="AO17" i="1"/>
  <c r="AM17" i="1"/>
  <c r="V17" i="1"/>
  <c r="U17" i="1"/>
  <c r="T17" i="1"/>
  <c r="S17" i="1"/>
  <c r="N17" i="1"/>
  <c r="BJ16" i="1"/>
  <c r="BI16" i="1"/>
  <c r="BH16" i="1"/>
  <c r="BG16" i="1"/>
  <c r="BF16" i="1"/>
  <c r="BC16" i="1"/>
  <c r="AV16" i="1"/>
  <c r="AP16" i="1"/>
  <c r="AO16" i="1"/>
  <c r="AM16" i="1"/>
  <c r="V16" i="1"/>
  <c r="U16" i="1"/>
  <c r="T16" i="1"/>
  <c r="S16" i="1"/>
  <c r="N16" i="1"/>
  <c r="BJ15" i="1"/>
  <c r="BI15" i="1"/>
  <c r="BH15" i="1"/>
  <c r="BG15" i="1"/>
  <c r="BF15" i="1"/>
  <c r="BC15" i="1"/>
  <c r="AV15" i="1"/>
  <c r="AP15" i="1"/>
  <c r="AO15" i="1"/>
  <c r="AM15" i="1"/>
  <c r="V15" i="1"/>
  <c r="U15" i="1"/>
  <c r="T15" i="1"/>
  <c r="S15" i="1"/>
  <c r="N15" i="1"/>
  <c r="BJ14" i="1"/>
  <c r="BI14" i="1"/>
  <c r="BH14" i="1"/>
  <c r="BG14" i="1"/>
  <c r="BF14" i="1"/>
  <c r="BC14" i="1"/>
  <c r="AV14" i="1"/>
  <c r="AP14" i="1"/>
  <c r="AO14" i="1"/>
  <c r="AM14" i="1"/>
  <c r="V14" i="1"/>
  <c r="U14" i="1"/>
  <c r="T14" i="1"/>
  <c r="S14" i="1"/>
  <c r="N14" i="1"/>
  <c r="BH13" i="1"/>
  <c r="BG13" i="1"/>
  <c r="BI13" i="1" s="1"/>
  <c r="AV13" i="1"/>
  <c r="AP13" i="1"/>
  <c r="AO13" i="1"/>
  <c r="AM13" i="1"/>
  <c r="V13" i="1"/>
  <c r="T13" i="1"/>
  <c r="S13" i="1"/>
  <c r="U13" i="1" s="1"/>
  <c r="N13" i="1"/>
  <c r="BF13" i="1" s="1"/>
  <c r="BJ13" i="1" s="1"/>
  <c r="BJ12" i="1"/>
  <c r="BI12" i="1"/>
  <c r="BH12" i="1"/>
  <c r="BG12" i="1"/>
  <c r="BF12" i="1"/>
  <c r="BC12" i="1"/>
  <c r="AV12" i="1"/>
  <c r="AP12" i="1"/>
  <c r="AO12" i="1"/>
  <c r="AM12" i="1"/>
  <c r="V12" i="1"/>
  <c r="U12" i="1"/>
  <c r="T12" i="1"/>
  <c r="S12" i="1"/>
  <c r="N12" i="1"/>
  <c r="BH11" i="1"/>
  <c r="BF11" i="1"/>
  <c r="BJ11" i="1" s="1"/>
  <c r="BC11" i="1"/>
  <c r="AV11" i="1"/>
  <c r="AP11" i="1"/>
  <c r="AO11" i="1"/>
  <c r="AM11" i="1"/>
  <c r="V11" i="1"/>
  <c r="T11" i="1"/>
  <c r="S11" i="1"/>
  <c r="U11" i="1" s="1"/>
  <c r="N11" i="1"/>
  <c r="BG11" i="1" s="1"/>
  <c r="BI11" i="1" s="1"/>
  <c r="BH10" i="1"/>
  <c r="BG10" i="1"/>
  <c r="BI10" i="1" s="1"/>
  <c r="BF10" i="1"/>
  <c r="BJ10" i="1" s="1"/>
  <c r="BC10" i="1"/>
  <c r="AV10" i="1"/>
  <c r="AP10" i="1"/>
  <c r="AO10" i="1"/>
  <c r="AM10" i="1"/>
  <c r="V10" i="1"/>
  <c r="U10" i="1"/>
  <c r="T10" i="1"/>
  <c r="S10" i="1"/>
  <c r="N10" i="1"/>
  <c r="BH9" i="1"/>
  <c r="BG9" i="1"/>
  <c r="BI9" i="1" s="1"/>
  <c r="AV9" i="1"/>
  <c r="AP9" i="1"/>
  <c r="AO9" i="1"/>
  <c r="AM9" i="1"/>
  <c r="V9" i="1"/>
  <c r="T9" i="1"/>
  <c r="S9" i="1"/>
  <c r="U9" i="1" s="1"/>
  <c r="N9" i="1"/>
  <c r="BF9" i="1" s="1"/>
  <c r="BJ9" i="1" s="1"/>
  <c r="BJ8" i="1"/>
  <c r="BI8" i="1"/>
  <c r="BH8" i="1"/>
  <c r="BG8" i="1"/>
  <c r="BF8" i="1"/>
  <c r="BC8" i="1"/>
  <c r="AV8" i="1"/>
  <c r="AP8" i="1"/>
  <c r="AO8" i="1"/>
  <c r="AM8" i="1"/>
  <c r="V8" i="1"/>
  <c r="U8" i="1"/>
  <c r="T8" i="1"/>
  <c r="S8" i="1"/>
  <c r="N8" i="1"/>
  <c r="BI7" i="1"/>
  <c r="BH7" i="1"/>
  <c r="BG7" i="1"/>
  <c r="BF7" i="1"/>
  <c r="BC7" i="1"/>
  <c r="AV7" i="1"/>
  <c r="BJ7" i="1" s="1"/>
  <c r="AP7" i="1"/>
  <c r="AO7" i="1"/>
  <c r="AM7" i="1"/>
  <c r="V7" i="1"/>
  <c r="T7" i="1"/>
  <c r="S7" i="1"/>
  <c r="U7" i="1" s="1"/>
  <c r="N7" i="1"/>
  <c r="BI6" i="1"/>
  <c r="BH6" i="1"/>
  <c r="BG6" i="1"/>
  <c r="BF6" i="1"/>
  <c r="BC6" i="1"/>
  <c r="AV6" i="1"/>
  <c r="BJ6" i="1" s="1"/>
  <c r="AP6" i="1"/>
  <c r="AO6" i="1"/>
  <c r="AM6" i="1"/>
  <c r="V6" i="1"/>
  <c r="U6" i="1"/>
  <c r="T6" i="1"/>
  <c r="S6" i="1"/>
  <c r="N6" i="1"/>
  <c r="BJ5" i="1"/>
  <c r="BI5" i="1"/>
  <c r="BH5" i="1"/>
  <c r="BG5" i="1"/>
  <c r="BF5" i="1"/>
  <c r="BC5" i="1"/>
  <c r="AV5" i="1"/>
  <c r="AP5" i="1"/>
  <c r="AO5" i="1"/>
  <c r="AM5" i="1"/>
  <c r="V5" i="1"/>
  <c r="T5" i="1"/>
  <c r="S5" i="1"/>
  <c r="U5" i="1" s="1"/>
  <c r="N5" i="1"/>
  <c r="BJ4" i="1"/>
  <c r="BI4" i="1"/>
  <c r="BH4" i="1"/>
  <c r="BG4" i="1"/>
  <c r="BF4" i="1"/>
  <c r="BC4" i="1"/>
  <c r="AV4" i="1"/>
  <c r="AP4" i="1"/>
  <c r="AO4" i="1"/>
  <c r="AM4" i="1"/>
  <c r="V4" i="1"/>
  <c r="U4" i="1"/>
  <c r="T4" i="1"/>
  <c r="S4" i="1"/>
  <c r="N4" i="1"/>
  <c r="BC9" i="1" l="1"/>
  <c r="BC13" i="1"/>
</calcChain>
</file>

<file path=xl/sharedStrings.xml><?xml version="1.0" encoding="utf-8"?>
<sst xmlns="http://schemas.openxmlformats.org/spreadsheetml/2006/main" count="214" uniqueCount="142">
  <si>
    <t>Matriz de Procesos Automatizables de T&amp;L</t>
  </si>
  <si>
    <t>A. IDENTIFICACIÓN  (aplica a todos)</t>
  </si>
  <si>
    <t>B. CARACTERIZACIÓN DEL PROCESO  (aplica a todos)</t>
  </si>
  <si>
    <t>C. EVALUACIÓN DEL DESARROLLO  (sólo Tipo = En curso)</t>
  </si>
  <si>
    <t>D. DISEÑO DE LA AUTOMATIZACIÓN  (sólo Tipo = Nuevo)</t>
  </si>
  <si>
    <t>E. PRIORIZACIÓN</t>
  </si>
  <si>
    <t>ID</t>
  </si>
  <si>
    <t>Tipo</t>
  </si>
  <si>
    <t>Ámbito</t>
  </si>
  <si>
    <t>Sector / Área</t>
  </si>
  <si>
    <t>Proceso o desarrollo</t>
  </si>
  <si>
    <t>Referente entrevistado</t>
  </si>
  <si>
    <t>Descripción breve</t>
  </si>
  <si>
    <t>Destinatario</t>
  </si>
  <si>
    <t>Frecuencia</t>
  </si>
  <si>
    <t>Ejecuciones por año
y por cliente</t>
  </si>
  <si>
    <t>Cantidad de
clientes/entidades</t>
  </si>
  <si>
    <t>Duración actual
por ejecución (hs)</t>
  </si>
  <si>
    <t>Personas
involucradas</t>
  </si>
  <si>
    <t>Horas-persona
anuales</t>
  </si>
  <si>
    <t>% Junior</t>
  </si>
  <si>
    <t>% Senior</t>
  </si>
  <si>
    <t>% Gerente</t>
  </si>
  <si>
    <t>% Socio</t>
  </si>
  <si>
    <t>Suma
(control)</t>
  </si>
  <si>
    <t>% Gerente
+ Socio</t>
  </si>
  <si>
    <t>Índice de
seniority (1-4)</t>
  </si>
  <si>
    <t>Amplitud de
roles (1-4)</t>
  </si>
  <si>
    <t>Estacionalidad
(meses pico)</t>
  </si>
  <si>
    <t>Procesos con los
que se entrelaza</t>
  </si>
  <si>
    <t>% data entry
vs. criterio</t>
  </si>
  <si>
    <t>¿Genera cuello
de botella?</t>
  </si>
  <si>
    <t>Naturaleza
del trabajo</t>
  </si>
  <si>
    <t>Sistemas y herramientas
actuales</t>
  </si>
  <si>
    <t>Criticidad
(1-5)</t>
  </si>
  <si>
    <t>Riesgo de
fiscalización (1-5)</t>
  </si>
  <si>
    <t>Nivel de automatización
actual (0-4)</t>
  </si>
  <si>
    <t>Tecnología
utilizada</t>
  </si>
  <si>
    <t>Dónde se ejecuta</t>
  </si>
  <si>
    <t>Horas incurridas
en el desarrollo</t>
  </si>
  <si>
    <t>Responsable de
mantenimiento</t>
  </si>
  <si>
    <t>Puesta en
producción</t>
  </si>
  <si>
    <t>Usuarios
habilitados</t>
  </si>
  <si>
    <t>Usuarios
activos</t>
  </si>
  <si>
    <t>Nivel de uso
(%)</t>
  </si>
  <si>
    <t>Duración ANTES
del desarrollo (hs)</t>
  </si>
  <si>
    <t>Reducción de
duración (%)</t>
  </si>
  <si>
    <t>Horas-persona
ahorradas / año</t>
  </si>
  <si>
    <t>Tasa error
usuario (%)</t>
  </si>
  <si>
    <t>Tasa error
herramienta (%)</t>
  </si>
  <si>
    <t>Gestión de
errores (1-4)</t>
  </si>
  <si>
    <t>Independencia
respecto de IT</t>
  </si>
  <si>
    <t>Satisfacción
usuarios (1-5)</t>
  </si>
  <si>
    <t>Score de Salud
del Desarrollo</t>
  </si>
  <si>
    <t>Grado de
automatizabilidad (1-5)</t>
  </si>
  <si>
    <t>Tipo de automatización
sugerida</t>
  </si>
  <si>
    <t>Herramienta
sugerida</t>
  </si>
  <si>
    <t>Complejidad de
implementación (1-5)</t>
  </si>
  <si>
    <t>Esfuerzo estimado
(hs de desarrollo)</t>
  </si>
  <si>
    <t>Reducción de duración
estimada (%)</t>
  </si>
  <si>
    <t>Horas-persona
ahorro estimado / año</t>
  </si>
  <si>
    <t>Replicable
a clientes</t>
  </si>
  <si>
    <t>Dependencias /
prerrequisitos</t>
  </si>
  <si>
    <t>Score de
Priorización</t>
  </si>
  <si>
    <t>Impacto (0-10)</t>
  </si>
  <si>
    <t>Esfuerzo (0-10)</t>
  </si>
  <si>
    <t>Cuadrante
impacto vs. esfuerzo</t>
  </si>
  <si>
    <t>Prioridad / Estado</t>
  </si>
  <si>
    <t>Comentarios / próximos pasos</t>
  </si>
  <si>
    <t>En curso</t>
  </si>
  <si>
    <t>De área</t>
  </si>
  <si>
    <t>Business Tax</t>
  </si>
  <si>
    <t>Liquidación de Impuesto a las Ganancias</t>
  </si>
  <si>
    <t xml:space="preserve">Franco Vassallo y </t>
  </si>
  <si>
    <t>Papel de trabajo en Excel con macros: parametrización de cuentas, reversión automática de saldos, cálculo del ajuste por inflación y armado de los ajustes de la DDJJ.</t>
  </si>
  <si>
    <t>Interno</t>
  </si>
  <si>
    <t>Anual</t>
  </si>
  <si>
    <t>Abr-May (clientes con cierre en diciembre)</t>
  </si>
  <si>
    <t>CTF (bienes de uso); templates teóricos; valuación de inversiones financieras</t>
  </si>
  <si>
    <t>Sí</t>
  </si>
  <si>
    <t>Compilación entre Excel y otras herramientas</t>
  </si>
  <si>
    <t>Excel + macros</t>
  </si>
  <si>
    <t>Excel + macros (VBA) — a confirmar con IT</t>
  </si>
  <si>
    <t>Notebook del usuario</t>
  </si>
  <si>
    <t>Proyecto de 3-4 años; el último año concentró la mayor parte del avance. La reversión automática de saldos se activa recién en el 2° año de cada cliente (el 1° exige parametrizar cuentas). PENDIENTE: cantidad de clientes, duración por ejecución, reparto por seniority, usuarios habilitados/activos, duración previa, tasas de error, satisfacción y horas de desarrollo. El Score de Salud no es representativo hasta cargar el bloque C. Oportunidad mencionada: validaciones con IA y lectura de balance en PDF.</t>
  </si>
  <si>
    <t>CTF — Valuación impositiva de bienes de uso</t>
  </si>
  <si>
    <t>(champion de Business Tax)</t>
  </si>
  <si>
    <t>Archivo aparte que calcula la amortización impositiva y la actualización por IPC de bienes de uso, con histórico de altas/bajas y prueba global de control. Alimenta el papel de Ganancias.</t>
  </si>
  <si>
    <t>Cálculo o procesamiento</t>
  </si>
  <si>
    <t>Casi terminado, en ronda de feedback. Volumen alto: hay compañías con ~500.000 bienes. La prueba global (saldo inicial + altas − bajas − amortización = 0) devuelve un error accionable y el usuario lo resuelve sin escalar a IT. Valor agregado adicional: subcódigos de obra en curso permiten actualizar por inflación desde cada erogación, lo que hoy se pierde. Sólo se necesitan 3 datos del cliente (costo, vida útil, fecha); el copy-paste no es el cuello de botella. PENDIENTE: clientes, duración, reparto por seniority y todo el resto del bloque C.</t>
  </si>
  <si>
    <t>Templates teóricos por ajuste</t>
  </si>
  <si>
    <t>Repositorio de marco normativo, encuadre teórico y ejemplos por cada ajuste de la DDJJ de Ganancias, a vincular al papel de trabajo.</t>
  </si>
  <si>
    <t>Ad-hoc</t>
  </si>
  <si>
    <t>Abr-May (uso concentrado en temporada)</t>
  </si>
  <si>
    <t>Búsqueda de información</t>
  </si>
  <si>
    <t>Excel / Word</t>
  </si>
  <si>
    <t>Excel</t>
  </si>
  <si>
    <t>Contenido armado (un tema por analista, con revisión). Falta unificar formato y, sobre todo, integrarlo: hoja oculta del papel de trabajo + macro de vínculo desde cada ajuste. No se incorporó jurisprudencia. Oportunidad: usar el conjunto como base de conocimiento de un agente consultable desde el propio papel. PENDIENTE: bloque C completo y frecuencia real de uso.</t>
  </si>
  <si>
    <t>Novedades impositivas — bot de boletines</t>
  </si>
  <si>
    <t>Descarga semanal de los boletines oficiales de las 24 provincias y el nacional, filtro por ministerio + palabras clave y armado de un reporte de novedades relevantes.</t>
  </si>
  <si>
    <t>Semanal</t>
  </si>
  <si>
    <t>Sin estacionalidad marcada</t>
  </si>
  <si>
    <t>Python + Playwright</t>
  </si>
  <si>
    <t>Desarrollado in-house en ~3-4 meses. Criterio de filtro: ministerio + mínimo 2 palabras clave (con 1 descarta, para evitar ruido). Se prefieren falsos positivos a omisiones; cada semana se suman palabras clave. Limitaciones: PDFs escaneados con OCR (San Juan, Santa Cruz) y ausencia de resumen/envío. Próximo paso bloqueado por la aprobación de agentes de IA. NOTA: 'Cantidad de clientes' se cargó como 25 jurisdicciones (unidad de corrida), no como clientes. PENDIENTE: horas semanales que insume hoy la revisión manual y el armado del mail.</t>
  </si>
  <si>
    <t>Nuevo</t>
  </si>
  <si>
    <t>Valuación de inversiones financieras</t>
  </si>
  <si>
    <t>Valuación impositiva de instrumentos financieros para la DDJJ de Ganancias. Sólo están automatizados los fondos comunes de inversión.</t>
  </si>
  <si>
    <t>Excel / información del cliente / cotizaciones de internet</t>
  </si>
  <si>
    <t>Workflow + Agente</t>
  </si>
  <si>
    <t>Python + Agentes de IA</t>
  </si>
  <si>
    <t>Definir fuentes de cotizaciones y su acceso; criterios de valuación por tipo de instrumento.</t>
  </si>
  <si>
    <t>Junto con CTF, es la pata que más horas de análisis consume en el pico. El sector la considera perfectamente automatizable. Grado de automatizabilidad y complejidad son propuesta preliminar del analista, a validar. PENDIENTE: volumen (clientes, duración, personas) — sin eso el Score de Priorización subestima el impacto.</t>
  </si>
  <si>
    <t>General</t>
  </si>
  <si>
    <t>Repositorio y agente de consultas de consultoría</t>
  </si>
  <si>
    <t>Base de conocimiento de memos, mails e informes de consultas ya respondidas, consultable ante una consulta nueva, con trazabilidad al documento original.</t>
  </si>
  <si>
    <t>Carpeta en Teams</t>
  </si>
  <si>
    <t>Agente</t>
  </si>
  <si>
    <t>Aprobación para el uso de agentes de IA; consolidación de la base de memos; criterio de confidencialidad por cliente.</t>
  </si>
  <si>
    <t>La consultoría está centralizada en el sector e incluye consultas de impuestos indirectos (~14 gerentes). El reservorio intentado alcanzó ~7 consultas cargadas: no prendió el hábito de buscar antes de trabajar y una carpeta en Teams no resuelve la búsqueda. Caso claro de 'se construyó y no se usa'. PENDIENTE: volumen de consultas por año, horas por consulta y reparto por seniority.</t>
  </si>
  <si>
    <t>CM05 — DJ anual de Ingresos Brutos</t>
  </si>
  <si>
    <t>Declaración anual de Convenio Multilateral que resume las 12 declaraciones mensuales ya presentadas por la compañía.</t>
  </si>
  <si>
    <t>Proveedor externo (Ambitium) / Excel</t>
  </si>
  <si>
    <t>Workflow</t>
  </si>
  <si>
    <t>Python</t>
  </si>
  <si>
    <t>Acceso a las 12 DDJJ mensuales presentadas; revisar el contrato con el proveedor actual.</t>
  </si>
  <si>
    <t>Hoy se terceriza en un proveedor externo que cobra por armar el resumen. Nivel de automatización 0 = automatización propia inexistente. Internalizarlo tiene un ahorro de costo directo además del ahorro de horas. PENDIENTE: costo anual del proveedor, cantidad de clientes alcanzados y vencimiento (estacionalidad).</t>
  </si>
  <si>
    <t>Bienes Personales — responsable sustituto</t>
  </si>
  <si>
    <t>Tomar del balance el saldo final de patrimonio neto, aplicar la alícuota del 0,5% y cargar la declaración en el aplicativo.</t>
  </si>
  <si>
    <t>Carga en ARCA u otros portales</t>
  </si>
  <si>
    <t>Excel / aplicativo</t>
  </si>
  <si>
    <t>Acceso automatizado al balance y al aplicativo de carga.</t>
  </si>
  <si>
    <t>Quick win declarado por el propio sector: ~30 minutos de liquidación manual más ~15 de carga (0,75 hs en total) que podrían bajar a ~5 minutos, de ahí la reducción estimada del 89%. Sin análisis: es tomar un número y aplicar una alícuota. PENDIENTE: cantidad de clientes (multiplica el ahorro) y mes de vencimiento.</t>
  </si>
  <si>
    <t>Régimen de información de participaciones societarias</t>
  </si>
  <si>
    <t>Informar autoridades (presidente, directores, síndicos) y apoderados con poderes legales y fiscales, a partir de la lectura de las actas de directorio.</t>
  </si>
  <si>
    <t>Actas enviadas por Legales del cliente / Excel</t>
  </si>
  <si>
    <t>Aprobación para el uso de agentes de IA; actas en formato digital legible; modelo de altas y bajas contra lo informado el año anterior.</t>
  </si>
  <si>
    <t>Trabajo íntegramente mecánico y sin aprendizaje para quien lo ejecuta: se parte de lo informado el año anterior y se leen todas las actas del ejercicio buscando designaciones y revocaciones. Candidato natural a extracción documental con IA, aunque requiere diseñar cómo modelar altas y bajas. PENDIENTE: duración por cliente, cantidad de clientes y volumen típico de actas.</t>
  </si>
  <si>
    <t>Facturación y reclamo de cobranzas</t>
  </si>
  <si>
    <t>Emisión de la factura al cliente y seguimiento/reclamo de comprobantes impagos, hoy a cargo de cada gerente.</t>
  </si>
  <si>
    <t>Mensual</t>
  </si>
  <si>
    <t>Comunicación y seguimiento</t>
  </si>
  <si>
    <t>Dolor transversal a la gerencia, planteado también por otras áreas: se estiman ~4 horas por gerente y por mes en reclamos (cargado como duración mensual). NOTA: la unidad de 'Cantidad de clientes' aquí es la cantidad de gerentes alcanzados, no clientes — definir antes de calcular horas-persona. PENDIENTE: sistemas que intervienen (facturación, cobranzas), dueño del proceso y alcance real del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</si>
</sst>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5"/>
      <color rgb="FF0F6B4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F6B4C"/>
        <bgColor rgb="FF008080"/>
      </patternFill>
    </fill>
    <fill>
      <patternFill patternType="solid">
        <fgColor rgb="FF1F4E79"/>
        <bgColor rgb="FF003366"/>
      </patternFill>
    </fill>
    <fill>
      <patternFill patternType="solid">
        <fgColor rgb="FF9C5700"/>
        <bgColor rgb="FF808000"/>
      </patternFill>
    </fill>
    <fill>
      <patternFill patternType="solid">
        <fgColor rgb="FF3F3F3F"/>
        <bgColor rgb="FF555555"/>
      </patternFill>
    </fill>
    <fill>
      <patternFill patternType="solid">
        <fgColor rgb="FFEDF5F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3" fontId="5" fillId="7" borderId="1" xfId="0" applyNumberFormat="1" applyFont="1" applyFill="1" applyBorder="1" applyAlignment="1">
      <alignment vertical="top" wrapText="1"/>
    </xf>
    <xf numFmtId="9" fontId="4" fillId="6" borderId="1" xfId="0" applyNumberFormat="1" applyFont="1" applyFill="1" applyBorder="1" applyAlignment="1">
      <alignment vertical="top" wrapText="1"/>
    </xf>
    <xf numFmtId="9" fontId="5" fillId="7" borderId="1" xfId="0" applyNumberFormat="1" applyFont="1" applyFill="1" applyBorder="1" applyAlignment="1">
      <alignment vertical="top" wrapText="1"/>
    </xf>
    <xf numFmtId="2" fontId="5" fillId="7" borderId="1" xfId="0" applyNumberFormat="1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3" fontId="4" fillId="6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5" fillId="8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9" fontId="5" fillId="8" borderId="1" xfId="0" applyNumberFormat="1" applyFont="1" applyFill="1" applyBorder="1" applyAlignment="1">
      <alignment vertical="top" wrapText="1"/>
    </xf>
    <xf numFmtId="2" fontId="5" fillId="8" borderId="1" xfId="0" applyNumberFormat="1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nogues\Downloads\Matriz_de_Procesos_Automatizables_de_T_L.xlsx" TargetMode="External"/><Relationship Id="rId1" Type="http://schemas.openxmlformats.org/officeDocument/2006/relationships/externalLinkPath" Target="Matriz_de_Procesos_Automatizables_de_T_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ciones"/>
      <sheetName val="Parámetros"/>
      <sheetName val="Resumen"/>
      <sheetName val="Matriz"/>
    </sheetNames>
    <sheetDataSet>
      <sheetData sheetId="0"/>
      <sheetData sheetId="1">
        <row r="5">
          <cell r="B5">
            <v>0.2</v>
          </cell>
        </row>
        <row r="6">
          <cell r="B6">
            <v>0.2</v>
          </cell>
        </row>
        <row r="7">
          <cell r="B7">
            <v>0.12</v>
          </cell>
        </row>
        <row r="8">
          <cell r="B8">
            <v>0.1</v>
          </cell>
        </row>
        <row r="9">
          <cell r="B9">
            <v>0.1</v>
          </cell>
        </row>
        <row r="10">
          <cell r="B10">
            <v>0.08</v>
          </cell>
        </row>
        <row r="11">
          <cell r="B11">
            <v>7.0000000000000007E-2</v>
          </cell>
        </row>
        <row r="12">
          <cell r="B12">
            <v>0.08</v>
          </cell>
        </row>
        <row r="13">
          <cell r="B13">
            <v>0.2</v>
          </cell>
        </row>
        <row r="14">
          <cell r="B14">
            <v>0.94999999999999984</v>
          </cell>
        </row>
        <row r="18">
          <cell r="B18">
            <v>0.25</v>
          </cell>
        </row>
        <row r="19">
          <cell r="B19">
            <v>0.25</v>
          </cell>
        </row>
        <row r="20">
          <cell r="B20">
            <v>0.2</v>
          </cell>
        </row>
        <row r="21">
          <cell r="B21">
            <v>0.15</v>
          </cell>
        </row>
        <row r="22">
          <cell r="B22">
            <v>0.15</v>
          </cell>
        </row>
        <row r="29">
          <cell r="B29">
            <v>1</v>
          </cell>
        </row>
        <row r="30">
          <cell r="B30">
            <v>2</v>
          </cell>
        </row>
        <row r="31">
          <cell r="B31">
            <v>3</v>
          </cell>
        </row>
        <row r="32">
          <cell r="B32">
            <v>4</v>
          </cell>
        </row>
        <row r="37">
          <cell r="A37" t="str">
            <v>Precios de Transferencia</v>
          </cell>
          <cell r="B37">
            <v>3</v>
          </cell>
        </row>
        <row r="38">
          <cell r="A38" t="str">
            <v>Business Tax</v>
          </cell>
          <cell r="B38">
            <v>3</v>
          </cell>
        </row>
        <row r="39">
          <cell r="B39">
            <v>3</v>
          </cell>
        </row>
        <row r="40">
          <cell r="B40">
            <v>3</v>
          </cell>
        </row>
        <row r="41">
          <cell r="B41">
            <v>3</v>
          </cell>
        </row>
        <row r="42">
          <cell r="B42">
            <v>3</v>
          </cell>
        </row>
        <row r="43">
          <cell r="B43">
            <v>3</v>
          </cell>
        </row>
        <row r="44">
          <cell r="B44">
            <v>3</v>
          </cell>
        </row>
        <row r="45">
          <cell r="B45">
            <v>3</v>
          </cell>
        </row>
        <row r="46">
          <cell r="B46">
            <v>3</v>
          </cell>
        </row>
        <row r="47">
          <cell r="B47">
            <v>3</v>
          </cell>
        </row>
        <row r="48">
          <cell r="B48">
            <v>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DE4B-B5D0-4ADB-BE4D-CF20EF96C937}">
  <dimension ref="A1:BK58"/>
  <sheetViews>
    <sheetView showGridLines="0"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ColWidth="8.6328125" defaultRowHeight="14.5" x14ac:dyDescent="0.35"/>
  <cols>
    <col min="1" max="1" width="5" customWidth="1"/>
    <col min="2" max="3" width="11" customWidth="1"/>
    <col min="4" max="4" width="18" customWidth="1"/>
    <col min="5" max="5" width="22" customWidth="1"/>
    <col min="6" max="6" width="18" customWidth="1"/>
    <col min="7" max="7" width="30" customWidth="1"/>
    <col min="8" max="9" width="12" customWidth="1"/>
    <col min="10" max="11" width="13" customWidth="1"/>
    <col min="12" max="12" width="12" customWidth="1"/>
    <col min="13" max="13" width="11" customWidth="1"/>
    <col min="14" max="14" width="12" customWidth="1"/>
    <col min="15" max="18" width="9" customWidth="1"/>
    <col min="19" max="20" width="10" customWidth="1"/>
    <col min="21" max="22" width="11" customWidth="1"/>
    <col min="23" max="23" width="15" customWidth="1"/>
    <col min="24" max="24" width="24" customWidth="1"/>
    <col min="25" max="26" width="12" customWidth="1"/>
    <col min="27" max="28" width="22" customWidth="1"/>
    <col min="29" max="29" width="10" customWidth="1"/>
    <col min="30" max="30" width="12" customWidth="1"/>
    <col min="31" max="31" width="13" customWidth="1"/>
    <col min="32" max="33" width="16" customWidth="1"/>
    <col min="34" max="34" width="12" customWidth="1"/>
    <col min="35" max="35" width="16" customWidth="1"/>
    <col min="36" max="36" width="12" customWidth="1"/>
    <col min="37" max="37" width="11" customWidth="1"/>
    <col min="38" max="39" width="10" customWidth="1"/>
    <col min="40" max="40" width="13" customWidth="1"/>
    <col min="41" max="41" width="11" customWidth="1"/>
    <col min="42" max="42" width="13" customWidth="1"/>
    <col min="43" max="45" width="11" customWidth="1"/>
    <col min="46" max="46" width="14" customWidth="1"/>
    <col min="47" max="47" width="11" customWidth="1"/>
    <col min="48" max="48" width="12" customWidth="1"/>
    <col min="49" max="49" width="13" customWidth="1"/>
    <col min="50" max="50" width="16" customWidth="1"/>
    <col min="51" max="51" width="18" customWidth="1"/>
    <col min="52" max="54" width="13" customWidth="1"/>
    <col min="55" max="55" width="14" customWidth="1"/>
    <col min="56" max="56" width="12" customWidth="1"/>
    <col min="57" max="57" width="24" customWidth="1"/>
    <col min="58" max="58" width="12" customWidth="1"/>
    <col min="59" max="60" width="11" customWidth="1"/>
    <col min="61" max="61" width="18" customWidth="1"/>
    <col min="62" max="62" width="14" customWidth="1"/>
    <col min="63" max="63" width="32" customWidth="1"/>
  </cols>
  <sheetData>
    <row r="1" spans="1:63" ht="18" customHeight="1" x14ac:dyDescent="0.4">
      <c r="A1" s="1" t="s">
        <v>0</v>
      </c>
    </row>
    <row r="2" spans="1:63" ht="19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 t="s">
        <v>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 t="s">
        <v>4</v>
      </c>
      <c r="AX2" s="4"/>
      <c r="AY2" s="4"/>
      <c r="AZ2" s="4"/>
      <c r="BA2" s="4"/>
      <c r="BB2" s="4"/>
      <c r="BC2" s="4"/>
      <c r="BD2" s="4"/>
      <c r="BE2" s="4"/>
      <c r="BF2" s="4"/>
      <c r="BG2" s="5" t="s">
        <v>5</v>
      </c>
      <c r="BH2" s="5"/>
      <c r="BI2" s="5"/>
      <c r="BJ2" s="5"/>
      <c r="BK2" s="5"/>
    </row>
    <row r="3" spans="1:63" ht="45.75" customHeight="1" x14ac:dyDescent="0.3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  <c r="O3" s="6" t="s">
        <v>20</v>
      </c>
      <c r="P3" s="6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31</v>
      </c>
      <c r="AA3" s="6" t="s">
        <v>32</v>
      </c>
      <c r="AB3" s="6" t="s">
        <v>33</v>
      </c>
      <c r="AC3" s="6" t="s">
        <v>34</v>
      </c>
      <c r="AD3" s="6" t="s">
        <v>35</v>
      </c>
      <c r="AE3" s="6" t="s">
        <v>36</v>
      </c>
      <c r="AF3" s="7" t="s">
        <v>37</v>
      </c>
      <c r="AG3" s="7" t="s">
        <v>38</v>
      </c>
      <c r="AH3" s="7" t="s">
        <v>39</v>
      </c>
      <c r="AI3" s="7" t="s">
        <v>40</v>
      </c>
      <c r="AJ3" s="7" t="s">
        <v>41</v>
      </c>
      <c r="AK3" s="7" t="s">
        <v>42</v>
      </c>
      <c r="AL3" s="7" t="s">
        <v>43</v>
      </c>
      <c r="AM3" s="7" t="s">
        <v>44</v>
      </c>
      <c r="AN3" s="7" t="s">
        <v>45</v>
      </c>
      <c r="AO3" s="7" t="s">
        <v>46</v>
      </c>
      <c r="AP3" s="7" t="s">
        <v>47</v>
      </c>
      <c r="AQ3" s="7" t="s">
        <v>48</v>
      </c>
      <c r="AR3" s="7" t="s">
        <v>49</v>
      </c>
      <c r="AS3" s="7" t="s">
        <v>50</v>
      </c>
      <c r="AT3" s="7" t="s">
        <v>51</v>
      </c>
      <c r="AU3" s="7" t="s">
        <v>52</v>
      </c>
      <c r="AV3" s="7" t="s">
        <v>53</v>
      </c>
      <c r="AW3" s="8" t="s">
        <v>54</v>
      </c>
      <c r="AX3" s="8" t="s">
        <v>55</v>
      </c>
      <c r="AY3" s="8" t="s">
        <v>56</v>
      </c>
      <c r="AZ3" s="8" t="s">
        <v>57</v>
      </c>
      <c r="BA3" s="8" t="s">
        <v>58</v>
      </c>
      <c r="BB3" s="8" t="s">
        <v>59</v>
      </c>
      <c r="BC3" s="8" t="s">
        <v>60</v>
      </c>
      <c r="BD3" s="8" t="s">
        <v>61</v>
      </c>
      <c r="BE3" s="8" t="s">
        <v>62</v>
      </c>
      <c r="BF3" s="8" t="s">
        <v>63</v>
      </c>
      <c r="BG3" s="9" t="s">
        <v>64</v>
      </c>
      <c r="BH3" s="9" t="s">
        <v>65</v>
      </c>
      <c r="BI3" s="9" t="s">
        <v>66</v>
      </c>
      <c r="BJ3" s="9" t="s">
        <v>67</v>
      </c>
      <c r="BK3" s="9" t="s">
        <v>68</v>
      </c>
    </row>
    <row r="4" spans="1:63" ht="27.75" customHeight="1" x14ac:dyDescent="0.35">
      <c r="A4" s="10">
        <v>1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75</v>
      </c>
      <c r="I4" s="10" t="s">
        <v>76</v>
      </c>
      <c r="J4" s="10">
        <v>1</v>
      </c>
      <c r="K4" s="10"/>
      <c r="L4" s="10"/>
      <c r="M4" s="10"/>
      <c r="N4" s="11">
        <f t="shared" ref="N4:N58" si="0">IF($E4="","",J4*K4*L4*M4)</f>
        <v>0</v>
      </c>
      <c r="O4" s="12"/>
      <c r="P4" s="12"/>
      <c r="Q4" s="12"/>
      <c r="R4" s="12"/>
      <c r="S4" s="13">
        <f t="shared" ref="S4:S58" si="1">IF($E4="","",O4+P4+Q4+R4)</f>
        <v>0</v>
      </c>
      <c r="T4" s="13">
        <f t="shared" ref="T4:T58" si="2">IF($E4="","",Q4+R4)</f>
        <v>0</v>
      </c>
      <c r="U4" s="14" t="str">
        <f>IF($E4="","",IFERROR(ROUND((O4*[1]Parámetros!$B$29+P4*[1]Parámetros!$B$30+Q4*[1]Parámetros!$B$31+R4*[1]Parámetros!$B$32)/S4,2),""))</f>
        <v/>
      </c>
      <c r="V4" s="15">
        <f t="shared" ref="V4:V58" si="3">IF($E4="","",IF(O4&gt;0,1,0)+IF(P4&gt;0,1,0)+IF(Q4&gt;0,1,0)+IF(R4&gt;0,1,0))</f>
        <v>0</v>
      </c>
      <c r="W4" s="10" t="s">
        <v>77</v>
      </c>
      <c r="X4" s="10" t="s">
        <v>78</v>
      </c>
      <c r="Y4" s="12"/>
      <c r="Z4" s="10" t="s">
        <v>79</v>
      </c>
      <c r="AA4" s="10" t="s">
        <v>80</v>
      </c>
      <c r="AB4" s="10" t="s">
        <v>81</v>
      </c>
      <c r="AC4" s="10"/>
      <c r="AD4" s="10"/>
      <c r="AE4" s="10">
        <v>3</v>
      </c>
      <c r="AF4" s="10" t="s">
        <v>82</v>
      </c>
      <c r="AG4" s="10" t="s">
        <v>83</v>
      </c>
      <c r="AH4" s="16"/>
      <c r="AI4" s="10"/>
      <c r="AJ4" s="10"/>
      <c r="AK4" s="10"/>
      <c r="AL4" s="10"/>
      <c r="AM4" s="13" t="str">
        <f t="shared" ref="AM4:AM58" si="4">IF($B4&lt;&gt;"En curso","",IFERROR(AL4/AK4,""))</f>
        <v/>
      </c>
      <c r="AN4" s="10"/>
      <c r="AO4" s="13" t="str">
        <f t="shared" ref="AO4:AO58" si="5">IF($B4&lt;&gt;"En curso","",IFERROR((AN4-L4)/AN4,""))</f>
        <v/>
      </c>
      <c r="AP4" s="11">
        <f t="shared" ref="AP4:AP58" si="6">IF($B4&lt;&gt;"En curso","",IFERROR((AN4-L4)*J4*K4*M4,""))</f>
        <v>0</v>
      </c>
      <c r="AQ4" s="12"/>
      <c r="AR4" s="12"/>
      <c r="AS4" s="10"/>
      <c r="AT4" s="10"/>
      <c r="AU4" s="10"/>
      <c r="AV4" s="14" t="str">
        <f>IF($B4&lt;&gt;"En curso","",IF(COUNT(AK4:AL4)+COUNT(AN4)+COUNT(AQ4:AR4)=0,"",ROUND(IFERROR(N(AM4),0)*10*[1]Parámetros!$B$18+MAX(0,IFERROR(N(AO4),0))*10*[1]Parámetros!$B$19+MAX(0,1-IFERROR(N(AQ4),0)-IFERROR(N(AR4),0))*10*[1]Parámetros!$B$20+IFERROR(N(AS4),0)/4*10*[1]Parámetros!$B$21+IFERROR(N(AU4),0)/5*10*[1]Parámetros!$B$22,2)))</f>
        <v/>
      </c>
      <c r="AW4" s="10"/>
      <c r="AX4" s="10"/>
      <c r="AY4" s="10"/>
      <c r="AZ4" s="10"/>
      <c r="BA4" s="16"/>
      <c r="BB4" s="12"/>
      <c r="BC4" s="11" t="str">
        <f t="shared" ref="BC4:BC58" si="7">IF($B4&lt;&gt;"Nuevo","",IFERROR(N4*BB4,""))</f>
        <v/>
      </c>
      <c r="BD4" s="10"/>
      <c r="BE4" s="10"/>
      <c r="BF4" s="14" t="str">
        <f>IF($B4&lt;&gt;"Nuevo","",IF(N(N4)=0,"",ROUND(MAX(0,MIN(10,MAX(0,IFERROR(N(N4)/MAX($N$4:$N$58),0)*10*[1]Parámetros!$B$5+IFERROR(N(AW4),0)*2*[1]Parámetros!$B$6+IFERROR(N(AC4),0)*2*[1]Parámetros!$B$7+IFERROR(INDEX([1]Parámetros!$B$37:$B$48,MATCH(D4,[1]Parámetros!$A$37:$A$48,0)),3)*2*[1]Parámetros!$B$8+IFERROR(N(AD4),0)*2*[1]Parámetros!$B$9+IFERROR(N(U4),0)*2.5*[1]Parámetros!$B$10+IFERROR(N(V4),0)*2.5*[1]Parámetros!$B$11+IF(Z4="Sí",10,0)*[1]Parámetros!$B$12)/[1]Parámetros!$B$14)-IFERROR(N(AZ4),0)*2*[1]Parámetros!$B$13),2)))</f>
        <v/>
      </c>
      <c r="BG4" s="14" t="str">
        <f>IF($B4&lt;&gt;"Nuevo","",IF(N(N4)=0,"",ROUND(MIN(10,MAX(0,IFERROR(N(N4)/MAX($N$4:$N$58),0)*10*[1]Parámetros!$B$5+IFERROR(N(AW4),0)*2*[1]Parámetros!$B$6+IFERROR(N(AC4),0)*2*[1]Parámetros!$B$7+IFERROR(INDEX([1]Parámetros!$B$37:$B$48,MATCH(D4,[1]Parámetros!$A$37:$A$48,0)),3)*2*[1]Parámetros!$B$8+IFERROR(N(AD4),0)*2*[1]Parámetros!$B$9+IFERROR(N(U4),0)*2.5*[1]Parámetros!$B$10+IFERROR(N(V4),0)*2.5*[1]Parámetros!$B$11+IF(Z4="Sí",10,0)*[1]Parámetros!$B$12)/[1]Parámetros!$B$14),2)))</f>
        <v/>
      </c>
      <c r="BH4" s="14" t="str">
        <f t="shared" ref="BH4:BH58" si="8">IF($B4&lt;&gt;"Nuevo","",ROUND(IFERROR(AZ4,0)*2,2))</f>
        <v/>
      </c>
      <c r="BI4" s="15" t="str">
        <f t="shared" ref="BI4:BI58" si="9">IF($B4&lt;&gt;"Nuevo","",IF(NOT(ISNUMBER(BG4)),"",IF(BG4&gt;=5,IF(BH4&lt;=5,"Quick win","Estructural"),IF(BH4&lt;=5,"Mejora marginal","Descartar / replantear"))))</f>
        <v/>
      </c>
      <c r="BJ4" s="15" t="str">
        <f t="shared" ref="BJ4:BJ58" si="10">IF($E4="","",IF($B4="Nuevo",IF(NOT(ISNUMBER(BF4)),"",IF(BF4&gt;=6,"Alta",IF(BF4&gt;=4,"Media","Baja"))),IF($B4="En curso",IF(NOT(ISNUMBER(AV4)),"",IF(AV4&gt;=7,"Saludable",IF(AV4&gt;=5,"A revisar","Crítico"))),"")))</f>
        <v/>
      </c>
      <c r="BK4" s="10" t="s">
        <v>84</v>
      </c>
    </row>
    <row r="5" spans="1:63" ht="27.75" customHeight="1" x14ac:dyDescent="0.35">
      <c r="A5" s="17">
        <v>2</v>
      </c>
      <c r="B5" s="17" t="s">
        <v>69</v>
      </c>
      <c r="C5" s="17" t="s">
        <v>70</v>
      </c>
      <c r="D5" s="17" t="s">
        <v>71</v>
      </c>
      <c r="E5" s="17" t="s">
        <v>85</v>
      </c>
      <c r="F5" s="17" t="s">
        <v>86</v>
      </c>
      <c r="G5" s="17" t="s">
        <v>87</v>
      </c>
      <c r="H5" s="17" t="s">
        <v>75</v>
      </c>
      <c r="I5" s="17" t="s">
        <v>76</v>
      </c>
      <c r="J5" s="17">
        <v>1</v>
      </c>
      <c r="K5" s="17"/>
      <c r="L5" s="17"/>
      <c r="M5" s="17"/>
      <c r="N5" s="18">
        <f t="shared" si="0"/>
        <v>0</v>
      </c>
      <c r="O5" s="19"/>
      <c r="P5" s="19"/>
      <c r="Q5" s="19"/>
      <c r="R5" s="19"/>
      <c r="S5" s="20">
        <f t="shared" si="1"/>
        <v>0</v>
      </c>
      <c r="T5" s="20">
        <f t="shared" si="2"/>
        <v>0</v>
      </c>
      <c r="U5" s="21" t="str">
        <f>IF($E5="","",IFERROR(ROUND((O5*[1]Parámetros!$B$29+P5*[1]Parámetros!$B$30+Q5*[1]Parámetros!$B$31+R5*[1]Parámetros!$B$32)/S5,2),""))</f>
        <v/>
      </c>
      <c r="V5" s="22">
        <f t="shared" si="3"/>
        <v>0</v>
      </c>
      <c r="W5" s="17" t="s">
        <v>77</v>
      </c>
      <c r="X5" s="17" t="s">
        <v>72</v>
      </c>
      <c r="Y5" s="19"/>
      <c r="Z5" s="17" t="s">
        <v>79</v>
      </c>
      <c r="AA5" s="17" t="s">
        <v>88</v>
      </c>
      <c r="AB5" s="17" t="s">
        <v>81</v>
      </c>
      <c r="AC5" s="17"/>
      <c r="AD5" s="17"/>
      <c r="AE5" s="17">
        <v>3</v>
      </c>
      <c r="AF5" s="17" t="s">
        <v>82</v>
      </c>
      <c r="AG5" s="17" t="s">
        <v>83</v>
      </c>
      <c r="AH5" s="23"/>
      <c r="AI5" s="17"/>
      <c r="AJ5" s="17"/>
      <c r="AK5" s="17"/>
      <c r="AL5" s="17"/>
      <c r="AM5" s="20" t="str">
        <f t="shared" si="4"/>
        <v/>
      </c>
      <c r="AN5" s="17"/>
      <c r="AO5" s="20" t="str">
        <f t="shared" si="5"/>
        <v/>
      </c>
      <c r="AP5" s="18">
        <f t="shared" si="6"/>
        <v>0</v>
      </c>
      <c r="AQ5" s="19"/>
      <c r="AR5" s="19"/>
      <c r="AS5" s="17">
        <v>4</v>
      </c>
      <c r="AT5" s="17"/>
      <c r="AU5" s="17"/>
      <c r="AV5" s="21" t="str">
        <f>IF($B5&lt;&gt;"En curso","",IF(COUNT(AK5:AL5)+COUNT(AN5)+COUNT(AQ5:AR5)=0,"",ROUND(IFERROR(N(AM5),0)*10*[1]Parámetros!$B$18+MAX(0,IFERROR(N(AO5),0))*10*[1]Parámetros!$B$19+MAX(0,1-IFERROR(N(AQ5),0)-IFERROR(N(AR5),0))*10*[1]Parámetros!$B$20+IFERROR(N(AS5),0)/4*10*[1]Parámetros!$B$21+IFERROR(N(AU5),0)/5*10*[1]Parámetros!$B$22,2)))</f>
        <v/>
      </c>
      <c r="AW5" s="17"/>
      <c r="AX5" s="17"/>
      <c r="AY5" s="17"/>
      <c r="AZ5" s="17"/>
      <c r="BA5" s="23"/>
      <c r="BB5" s="19"/>
      <c r="BC5" s="18" t="str">
        <f t="shared" si="7"/>
        <v/>
      </c>
      <c r="BD5" s="17"/>
      <c r="BE5" s="17"/>
      <c r="BF5" s="21" t="str">
        <f>IF($B5&lt;&gt;"Nuevo","",IF(N(N5)=0,"",ROUND(MAX(0,MIN(10,MAX(0,IFERROR(N(N5)/MAX($N$4:$N$58),0)*10*[1]Parámetros!$B$5+IFERROR(N(AW5),0)*2*[1]Parámetros!$B$6+IFERROR(N(AC5),0)*2*[1]Parámetros!$B$7+IFERROR(INDEX([1]Parámetros!$B$37:$B$48,MATCH(D5,[1]Parámetros!$A$37:$A$48,0)),3)*2*[1]Parámetros!$B$8+IFERROR(N(AD5),0)*2*[1]Parámetros!$B$9+IFERROR(N(U5),0)*2.5*[1]Parámetros!$B$10+IFERROR(N(V5),0)*2.5*[1]Parámetros!$B$11+IF(Z5="Sí",10,0)*[1]Parámetros!$B$12)/[1]Parámetros!$B$14)-IFERROR(N(AZ5),0)*2*[1]Parámetros!$B$13),2)))</f>
        <v/>
      </c>
      <c r="BG5" s="21" t="str">
        <f>IF($B5&lt;&gt;"Nuevo","",IF(N(N5)=0,"",ROUND(MIN(10,MAX(0,IFERROR(N(N5)/MAX($N$4:$N$58),0)*10*[1]Parámetros!$B$5+IFERROR(N(AW5),0)*2*[1]Parámetros!$B$6+IFERROR(N(AC5),0)*2*[1]Parámetros!$B$7+IFERROR(INDEX([1]Parámetros!$B$37:$B$48,MATCH(D5,[1]Parámetros!$A$37:$A$48,0)),3)*2*[1]Parámetros!$B$8+IFERROR(N(AD5),0)*2*[1]Parámetros!$B$9+IFERROR(N(U5),0)*2.5*[1]Parámetros!$B$10+IFERROR(N(V5),0)*2.5*[1]Parámetros!$B$11+IF(Z5="Sí",10,0)*[1]Parámetros!$B$12)/[1]Parámetros!$B$14),2)))</f>
        <v/>
      </c>
      <c r="BH5" s="21" t="str">
        <f t="shared" si="8"/>
        <v/>
      </c>
      <c r="BI5" s="22" t="str">
        <f t="shared" si="9"/>
        <v/>
      </c>
      <c r="BJ5" s="22" t="str">
        <f t="shared" si="10"/>
        <v/>
      </c>
      <c r="BK5" s="17" t="s">
        <v>89</v>
      </c>
    </row>
    <row r="6" spans="1:63" ht="27.75" customHeight="1" x14ac:dyDescent="0.35">
      <c r="A6" s="10">
        <v>3</v>
      </c>
      <c r="B6" s="10" t="s">
        <v>69</v>
      </c>
      <c r="C6" s="10" t="s">
        <v>70</v>
      </c>
      <c r="D6" s="10" t="s">
        <v>71</v>
      </c>
      <c r="E6" s="10" t="s">
        <v>90</v>
      </c>
      <c r="F6" s="10" t="s">
        <v>86</v>
      </c>
      <c r="G6" s="10" t="s">
        <v>91</v>
      </c>
      <c r="H6" s="10" t="s">
        <v>75</v>
      </c>
      <c r="I6" s="10" t="s">
        <v>92</v>
      </c>
      <c r="J6" s="10"/>
      <c r="K6" s="10"/>
      <c r="L6" s="10"/>
      <c r="M6" s="10"/>
      <c r="N6" s="11">
        <f t="shared" si="0"/>
        <v>0</v>
      </c>
      <c r="O6" s="12"/>
      <c r="P6" s="12"/>
      <c r="Q6" s="12"/>
      <c r="R6" s="12"/>
      <c r="S6" s="13">
        <f t="shared" si="1"/>
        <v>0</v>
      </c>
      <c r="T6" s="13">
        <f t="shared" si="2"/>
        <v>0</v>
      </c>
      <c r="U6" s="14" t="str">
        <f>IF($E6="","",IFERROR(ROUND((O6*[1]Parámetros!$B$29+P6*[1]Parámetros!$B$30+Q6*[1]Parámetros!$B$31+R6*[1]Parámetros!$B$32)/S6,2),""))</f>
        <v/>
      </c>
      <c r="V6" s="15">
        <f t="shared" si="3"/>
        <v>0</v>
      </c>
      <c r="W6" s="10" t="s">
        <v>93</v>
      </c>
      <c r="X6" s="10" t="s">
        <v>72</v>
      </c>
      <c r="Y6" s="12"/>
      <c r="Z6" s="10"/>
      <c r="AA6" s="10" t="s">
        <v>94</v>
      </c>
      <c r="AB6" s="10" t="s">
        <v>95</v>
      </c>
      <c r="AC6" s="10"/>
      <c r="AD6" s="10"/>
      <c r="AE6" s="10">
        <v>2</v>
      </c>
      <c r="AF6" s="10" t="s">
        <v>96</v>
      </c>
      <c r="AG6" s="10" t="s">
        <v>83</v>
      </c>
      <c r="AH6" s="16"/>
      <c r="AI6" s="10"/>
      <c r="AJ6" s="10"/>
      <c r="AK6" s="10"/>
      <c r="AL6" s="10"/>
      <c r="AM6" s="13" t="str">
        <f t="shared" si="4"/>
        <v/>
      </c>
      <c r="AN6" s="10"/>
      <c r="AO6" s="13" t="str">
        <f t="shared" si="5"/>
        <v/>
      </c>
      <c r="AP6" s="11">
        <f t="shared" si="6"/>
        <v>0</v>
      </c>
      <c r="AQ6" s="12"/>
      <c r="AR6" s="12"/>
      <c r="AS6" s="10"/>
      <c r="AT6" s="10"/>
      <c r="AU6" s="10"/>
      <c r="AV6" s="14" t="str">
        <f>IF($B6&lt;&gt;"En curso","",IF(COUNT(AK6:AL6)+COUNT(AN6)+COUNT(AQ6:AR6)=0,"",ROUND(IFERROR(N(AM6),0)*10*[1]Parámetros!$B$18+MAX(0,IFERROR(N(AO6),0))*10*[1]Parámetros!$B$19+MAX(0,1-IFERROR(N(AQ6),0)-IFERROR(N(AR6),0))*10*[1]Parámetros!$B$20+IFERROR(N(AS6),0)/4*10*[1]Parámetros!$B$21+IFERROR(N(AU6),0)/5*10*[1]Parámetros!$B$22,2)))</f>
        <v/>
      </c>
      <c r="AW6" s="10"/>
      <c r="AX6" s="10"/>
      <c r="AY6" s="10"/>
      <c r="AZ6" s="10"/>
      <c r="BA6" s="16"/>
      <c r="BB6" s="12"/>
      <c r="BC6" s="11" t="str">
        <f t="shared" si="7"/>
        <v/>
      </c>
      <c r="BD6" s="10"/>
      <c r="BE6" s="10"/>
      <c r="BF6" s="14" t="str">
        <f>IF($B6&lt;&gt;"Nuevo","",IF(N(N6)=0,"",ROUND(MAX(0,MIN(10,MAX(0,IFERROR(N(N6)/MAX($N$4:$N$58),0)*10*[1]Parámetros!$B$5+IFERROR(N(AW6),0)*2*[1]Parámetros!$B$6+IFERROR(N(AC6),0)*2*[1]Parámetros!$B$7+IFERROR(INDEX([1]Parámetros!$B$37:$B$48,MATCH(D6,[1]Parámetros!$A$37:$A$48,0)),3)*2*[1]Parámetros!$B$8+IFERROR(N(AD6),0)*2*[1]Parámetros!$B$9+IFERROR(N(U6),0)*2.5*[1]Parámetros!$B$10+IFERROR(N(V6),0)*2.5*[1]Parámetros!$B$11+IF(Z6="Sí",10,0)*[1]Parámetros!$B$12)/[1]Parámetros!$B$14)-IFERROR(N(AZ6),0)*2*[1]Parámetros!$B$13),2)))</f>
        <v/>
      </c>
      <c r="BG6" s="14" t="str">
        <f>IF($B6&lt;&gt;"Nuevo","",IF(N(N6)=0,"",ROUND(MIN(10,MAX(0,IFERROR(N(N6)/MAX($N$4:$N$58),0)*10*[1]Parámetros!$B$5+IFERROR(N(AW6),0)*2*[1]Parámetros!$B$6+IFERROR(N(AC6),0)*2*[1]Parámetros!$B$7+IFERROR(INDEX([1]Parámetros!$B$37:$B$48,MATCH(D6,[1]Parámetros!$A$37:$A$48,0)),3)*2*[1]Parámetros!$B$8+IFERROR(N(AD6),0)*2*[1]Parámetros!$B$9+IFERROR(N(U6),0)*2.5*[1]Parámetros!$B$10+IFERROR(N(V6),0)*2.5*[1]Parámetros!$B$11+IF(Z6="Sí",10,0)*[1]Parámetros!$B$12)/[1]Parámetros!$B$14),2)))</f>
        <v/>
      </c>
      <c r="BH6" s="14" t="str">
        <f t="shared" si="8"/>
        <v/>
      </c>
      <c r="BI6" s="15" t="str">
        <f t="shared" si="9"/>
        <v/>
      </c>
      <c r="BJ6" s="15" t="str">
        <f t="shared" si="10"/>
        <v/>
      </c>
      <c r="BK6" s="10" t="s">
        <v>97</v>
      </c>
    </row>
    <row r="7" spans="1:63" ht="27.75" customHeight="1" x14ac:dyDescent="0.35">
      <c r="A7" s="17">
        <v>4</v>
      </c>
      <c r="B7" s="17" t="s">
        <v>69</v>
      </c>
      <c r="C7" s="17" t="s">
        <v>70</v>
      </c>
      <c r="D7" s="17" t="s">
        <v>71</v>
      </c>
      <c r="E7" s="17" t="s">
        <v>98</v>
      </c>
      <c r="F7" s="17" t="s">
        <v>86</v>
      </c>
      <c r="G7" s="17" t="s">
        <v>99</v>
      </c>
      <c r="H7" s="17" t="s">
        <v>75</v>
      </c>
      <c r="I7" s="17" t="s">
        <v>100</v>
      </c>
      <c r="J7" s="17">
        <v>52</v>
      </c>
      <c r="K7" s="17">
        <v>25</v>
      </c>
      <c r="L7" s="17"/>
      <c r="M7" s="17"/>
      <c r="N7" s="18">
        <f t="shared" si="0"/>
        <v>0</v>
      </c>
      <c r="O7" s="19"/>
      <c r="P7" s="19"/>
      <c r="Q7" s="19"/>
      <c r="R7" s="19"/>
      <c r="S7" s="20">
        <f t="shared" si="1"/>
        <v>0</v>
      </c>
      <c r="T7" s="20">
        <f t="shared" si="2"/>
        <v>0</v>
      </c>
      <c r="U7" s="21" t="str">
        <f>IF($E7="","",IFERROR(ROUND((O7*[1]Parámetros!$B$29+P7*[1]Parámetros!$B$30+Q7*[1]Parámetros!$B$31+R7*[1]Parámetros!$B$32)/S7,2),""))</f>
        <v/>
      </c>
      <c r="V7" s="22">
        <f t="shared" si="3"/>
        <v>0</v>
      </c>
      <c r="W7" s="17" t="s">
        <v>101</v>
      </c>
      <c r="X7" s="17"/>
      <c r="Y7" s="19"/>
      <c r="Z7" s="17"/>
      <c r="AA7" s="17" t="s">
        <v>94</v>
      </c>
      <c r="AB7" s="17" t="s">
        <v>102</v>
      </c>
      <c r="AC7" s="17"/>
      <c r="AD7" s="17"/>
      <c r="AE7" s="17">
        <v>2</v>
      </c>
      <c r="AF7" s="17" t="s">
        <v>102</v>
      </c>
      <c r="AG7" s="17" t="s">
        <v>83</v>
      </c>
      <c r="AH7" s="23"/>
      <c r="AI7" s="17"/>
      <c r="AJ7" s="17"/>
      <c r="AK7" s="17"/>
      <c r="AL7" s="17"/>
      <c r="AM7" s="20" t="str">
        <f t="shared" si="4"/>
        <v/>
      </c>
      <c r="AN7" s="17"/>
      <c r="AO7" s="20" t="str">
        <f t="shared" si="5"/>
        <v/>
      </c>
      <c r="AP7" s="18">
        <f t="shared" si="6"/>
        <v>0</v>
      </c>
      <c r="AQ7" s="19"/>
      <c r="AR7" s="19"/>
      <c r="AS7" s="17"/>
      <c r="AT7" s="17"/>
      <c r="AU7" s="17"/>
      <c r="AV7" s="21" t="str">
        <f>IF($B7&lt;&gt;"En curso","",IF(COUNT(AK7:AL7)+COUNT(AN7)+COUNT(AQ7:AR7)=0,"",ROUND(IFERROR(N(AM7),0)*10*[1]Parámetros!$B$18+MAX(0,IFERROR(N(AO7),0))*10*[1]Parámetros!$B$19+MAX(0,1-IFERROR(N(AQ7),0)-IFERROR(N(AR7),0))*10*[1]Parámetros!$B$20+IFERROR(N(AS7),0)/4*10*[1]Parámetros!$B$21+IFERROR(N(AU7),0)/5*10*[1]Parámetros!$B$22,2)))</f>
        <v/>
      </c>
      <c r="AW7" s="17"/>
      <c r="AX7" s="17"/>
      <c r="AY7" s="17"/>
      <c r="AZ7" s="17"/>
      <c r="BA7" s="23"/>
      <c r="BB7" s="19"/>
      <c r="BC7" s="18" t="str">
        <f t="shared" si="7"/>
        <v/>
      </c>
      <c r="BD7" s="17"/>
      <c r="BE7" s="17"/>
      <c r="BF7" s="21" t="str">
        <f>IF($B7&lt;&gt;"Nuevo","",IF(N(N7)=0,"",ROUND(MAX(0,MIN(10,MAX(0,IFERROR(N(N7)/MAX($N$4:$N$58),0)*10*[1]Parámetros!$B$5+IFERROR(N(AW7),0)*2*[1]Parámetros!$B$6+IFERROR(N(AC7),0)*2*[1]Parámetros!$B$7+IFERROR(INDEX([1]Parámetros!$B$37:$B$48,MATCH(D7,[1]Parámetros!$A$37:$A$48,0)),3)*2*[1]Parámetros!$B$8+IFERROR(N(AD7),0)*2*[1]Parámetros!$B$9+IFERROR(N(U7),0)*2.5*[1]Parámetros!$B$10+IFERROR(N(V7),0)*2.5*[1]Parámetros!$B$11+IF(Z7="Sí",10,0)*[1]Parámetros!$B$12)/[1]Parámetros!$B$14)-IFERROR(N(AZ7),0)*2*[1]Parámetros!$B$13),2)))</f>
        <v/>
      </c>
      <c r="BG7" s="21" t="str">
        <f>IF($B7&lt;&gt;"Nuevo","",IF(N(N7)=0,"",ROUND(MIN(10,MAX(0,IFERROR(N(N7)/MAX($N$4:$N$58),0)*10*[1]Parámetros!$B$5+IFERROR(N(AW7),0)*2*[1]Parámetros!$B$6+IFERROR(N(AC7),0)*2*[1]Parámetros!$B$7+IFERROR(INDEX([1]Parámetros!$B$37:$B$48,MATCH(D7,[1]Parámetros!$A$37:$A$48,0)),3)*2*[1]Parámetros!$B$8+IFERROR(N(AD7),0)*2*[1]Parámetros!$B$9+IFERROR(N(U7),0)*2.5*[1]Parámetros!$B$10+IFERROR(N(V7),0)*2.5*[1]Parámetros!$B$11+IF(Z7="Sí",10,0)*[1]Parámetros!$B$12)/[1]Parámetros!$B$14),2)))</f>
        <v/>
      </c>
      <c r="BH7" s="21" t="str">
        <f t="shared" si="8"/>
        <v/>
      </c>
      <c r="BI7" s="22" t="str">
        <f t="shared" si="9"/>
        <v/>
      </c>
      <c r="BJ7" s="22" t="str">
        <f t="shared" si="10"/>
        <v/>
      </c>
      <c r="BK7" s="17" t="s">
        <v>103</v>
      </c>
    </row>
    <row r="8" spans="1:63" ht="27.75" customHeight="1" x14ac:dyDescent="0.35">
      <c r="A8" s="10">
        <v>5</v>
      </c>
      <c r="B8" s="10" t="s">
        <v>104</v>
      </c>
      <c r="C8" s="10" t="s">
        <v>70</v>
      </c>
      <c r="D8" s="10" t="s">
        <v>71</v>
      </c>
      <c r="E8" s="10" t="s">
        <v>105</v>
      </c>
      <c r="F8" s="10" t="s">
        <v>86</v>
      </c>
      <c r="G8" s="10" t="s">
        <v>106</v>
      </c>
      <c r="H8" s="10" t="s">
        <v>75</v>
      </c>
      <c r="I8" s="10" t="s">
        <v>76</v>
      </c>
      <c r="J8" s="10">
        <v>1</v>
      </c>
      <c r="K8" s="10"/>
      <c r="L8" s="10"/>
      <c r="M8" s="10"/>
      <c r="N8" s="11">
        <f t="shared" si="0"/>
        <v>0</v>
      </c>
      <c r="O8" s="12"/>
      <c r="P8" s="12"/>
      <c r="Q8" s="12"/>
      <c r="R8" s="12"/>
      <c r="S8" s="13">
        <f t="shared" si="1"/>
        <v>0</v>
      </c>
      <c r="T8" s="13">
        <f t="shared" si="2"/>
        <v>0</v>
      </c>
      <c r="U8" s="14" t="str">
        <f>IF($E8="","",IFERROR(ROUND((O8*[1]Parámetros!$B$29+P8*[1]Parámetros!$B$30+Q8*[1]Parámetros!$B$31+R8*[1]Parámetros!$B$32)/S8,2),""))</f>
        <v/>
      </c>
      <c r="V8" s="15">
        <f t="shared" si="3"/>
        <v>0</v>
      </c>
      <c r="W8" s="10" t="s">
        <v>77</v>
      </c>
      <c r="X8" s="10" t="s">
        <v>72</v>
      </c>
      <c r="Y8" s="12"/>
      <c r="Z8" s="10"/>
      <c r="AA8" s="10" t="s">
        <v>94</v>
      </c>
      <c r="AB8" s="10" t="s">
        <v>107</v>
      </c>
      <c r="AC8" s="10"/>
      <c r="AD8" s="10"/>
      <c r="AE8" s="10">
        <v>1</v>
      </c>
      <c r="AF8" s="10"/>
      <c r="AG8" s="10"/>
      <c r="AH8" s="16"/>
      <c r="AI8" s="10"/>
      <c r="AJ8" s="10"/>
      <c r="AK8" s="10"/>
      <c r="AL8" s="10"/>
      <c r="AM8" s="13" t="str">
        <f t="shared" si="4"/>
        <v/>
      </c>
      <c r="AN8" s="10"/>
      <c r="AO8" s="13" t="str">
        <f t="shared" si="5"/>
        <v/>
      </c>
      <c r="AP8" s="11" t="str">
        <f t="shared" si="6"/>
        <v/>
      </c>
      <c r="AQ8" s="12"/>
      <c r="AR8" s="12"/>
      <c r="AS8" s="10"/>
      <c r="AT8" s="10"/>
      <c r="AU8" s="10"/>
      <c r="AV8" s="14" t="str">
        <f>IF($B8&lt;&gt;"En curso","",IF(COUNT(AK8:AL8)+COUNT(AN8)+COUNT(AQ8:AR8)=0,"",ROUND(IFERROR(N(AM8),0)*10*[1]Parámetros!$B$18+MAX(0,IFERROR(N(AO8),0))*10*[1]Parámetros!$B$19+MAX(0,1-IFERROR(N(AQ8),0)-IFERROR(N(AR8),0))*10*[1]Parámetros!$B$20+IFERROR(N(AS8),0)/4*10*[1]Parámetros!$B$21+IFERROR(N(AU8),0)/5*10*[1]Parámetros!$B$22,2)))</f>
        <v/>
      </c>
      <c r="AW8" s="10">
        <v>4</v>
      </c>
      <c r="AX8" s="10" t="s">
        <v>108</v>
      </c>
      <c r="AY8" s="10" t="s">
        <v>109</v>
      </c>
      <c r="AZ8" s="10">
        <v>4</v>
      </c>
      <c r="BA8" s="16"/>
      <c r="BB8" s="12"/>
      <c r="BC8" s="11">
        <f t="shared" si="7"/>
        <v>0</v>
      </c>
      <c r="BD8" s="10"/>
      <c r="BE8" s="10" t="s">
        <v>110</v>
      </c>
      <c r="BF8" s="14" t="str">
        <f>IF($B8&lt;&gt;"Nuevo","",IF(N(N8)=0,"",ROUND(MAX(0,MIN(10,MAX(0,IFERROR(N(N8)/MAX($N$4:$N$58),0)*10*[1]Parámetros!$B$5+IFERROR(N(AW8),0)*2*[1]Parámetros!$B$6+IFERROR(N(AC8),0)*2*[1]Parámetros!$B$7+IFERROR(INDEX([1]Parámetros!$B$37:$B$48,MATCH(D8,[1]Parámetros!$A$37:$A$48,0)),3)*2*[1]Parámetros!$B$8+IFERROR(N(AD8),0)*2*[1]Parámetros!$B$9+IFERROR(N(U8),0)*2.5*[1]Parámetros!$B$10+IFERROR(N(V8),0)*2.5*[1]Parámetros!$B$11+IF(Z8="Sí",10,0)*[1]Parámetros!$B$12)/[1]Parámetros!$B$14)-IFERROR(N(AZ8),0)*2*[1]Parámetros!$B$13),2)))</f>
        <v/>
      </c>
      <c r="BG8" s="14" t="str">
        <f>IF($B8&lt;&gt;"Nuevo","",IF(N(N8)=0,"",ROUND(MIN(10,MAX(0,IFERROR(N(N8)/MAX($N$4:$N$58),0)*10*[1]Parámetros!$B$5+IFERROR(N(AW8),0)*2*[1]Parámetros!$B$6+IFERROR(N(AC8),0)*2*[1]Parámetros!$B$7+IFERROR(INDEX([1]Parámetros!$B$37:$B$48,MATCH(D8,[1]Parámetros!$A$37:$A$48,0)),3)*2*[1]Parámetros!$B$8+IFERROR(N(AD8),0)*2*[1]Parámetros!$B$9+IFERROR(N(U8),0)*2.5*[1]Parámetros!$B$10+IFERROR(N(V8),0)*2.5*[1]Parámetros!$B$11+IF(Z8="Sí",10,0)*[1]Parámetros!$B$12)/[1]Parámetros!$B$14),2)))</f>
        <v/>
      </c>
      <c r="BH8" s="14">
        <f t="shared" si="8"/>
        <v>8</v>
      </c>
      <c r="BI8" s="15" t="str">
        <f t="shared" si="9"/>
        <v/>
      </c>
      <c r="BJ8" s="15" t="str">
        <f t="shared" si="10"/>
        <v/>
      </c>
      <c r="BK8" s="10" t="s">
        <v>111</v>
      </c>
    </row>
    <row r="9" spans="1:63" ht="27.75" customHeight="1" x14ac:dyDescent="0.35">
      <c r="A9" s="17">
        <v>6</v>
      </c>
      <c r="B9" s="17" t="s">
        <v>104</v>
      </c>
      <c r="C9" s="17" t="s">
        <v>112</v>
      </c>
      <c r="D9" s="17" t="s">
        <v>71</v>
      </c>
      <c r="E9" s="17" t="s">
        <v>113</v>
      </c>
      <c r="F9" s="17" t="s">
        <v>86</v>
      </c>
      <c r="G9" s="17" t="s">
        <v>114</v>
      </c>
      <c r="H9" s="17" t="s">
        <v>75</v>
      </c>
      <c r="I9" s="17" t="s">
        <v>92</v>
      </c>
      <c r="J9" s="17"/>
      <c r="K9" s="17"/>
      <c r="L9" s="17"/>
      <c r="M9" s="17"/>
      <c r="N9" s="18">
        <f t="shared" si="0"/>
        <v>0</v>
      </c>
      <c r="O9" s="19"/>
      <c r="P9" s="19"/>
      <c r="Q9" s="19"/>
      <c r="R9" s="19"/>
      <c r="S9" s="20">
        <f t="shared" si="1"/>
        <v>0</v>
      </c>
      <c r="T9" s="20">
        <f t="shared" si="2"/>
        <v>0</v>
      </c>
      <c r="U9" s="21" t="str">
        <f>IF($E9="","",IFERROR(ROUND((O9*[1]Parámetros!$B$29+P9*[1]Parámetros!$B$30+Q9*[1]Parámetros!$B$31+R9*[1]Parámetros!$B$32)/S9,2),""))</f>
        <v/>
      </c>
      <c r="V9" s="22">
        <f t="shared" si="3"/>
        <v>0</v>
      </c>
      <c r="W9" s="17"/>
      <c r="X9" s="17"/>
      <c r="Y9" s="19"/>
      <c r="Z9" s="17"/>
      <c r="AA9" s="17" t="s">
        <v>94</v>
      </c>
      <c r="AB9" s="17" t="s">
        <v>115</v>
      </c>
      <c r="AC9" s="17"/>
      <c r="AD9" s="17"/>
      <c r="AE9" s="17">
        <v>1</v>
      </c>
      <c r="AF9" s="17"/>
      <c r="AG9" s="17"/>
      <c r="AH9" s="23"/>
      <c r="AI9" s="17"/>
      <c r="AJ9" s="17"/>
      <c r="AK9" s="17"/>
      <c r="AL9" s="17"/>
      <c r="AM9" s="20" t="str">
        <f t="shared" si="4"/>
        <v/>
      </c>
      <c r="AN9" s="17"/>
      <c r="AO9" s="20" t="str">
        <f t="shared" si="5"/>
        <v/>
      </c>
      <c r="AP9" s="18" t="str">
        <f t="shared" si="6"/>
        <v/>
      </c>
      <c r="AQ9" s="19"/>
      <c r="AR9" s="19"/>
      <c r="AS9" s="17"/>
      <c r="AT9" s="17"/>
      <c r="AU9" s="17"/>
      <c r="AV9" s="21" t="str">
        <f>IF($B9&lt;&gt;"En curso","",IF(COUNT(AK9:AL9)+COUNT(AN9)+COUNT(AQ9:AR9)=0,"",ROUND(IFERROR(N(AM9),0)*10*[1]Parámetros!$B$18+MAX(0,IFERROR(N(AO9),0))*10*[1]Parámetros!$B$19+MAX(0,1-IFERROR(N(AQ9),0)-IFERROR(N(AR9),0))*10*[1]Parámetros!$B$20+IFERROR(N(AS9),0)/4*10*[1]Parámetros!$B$21+IFERROR(N(AU9),0)/5*10*[1]Parámetros!$B$22,2)))</f>
        <v/>
      </c>
      <c r="AW9" s="17">
        <v>3</v>
      </c>
      <c r="AX9" s="17" t="s">
        <v>116</v>
      </c>
      <c r="AY9" s="17" t="s">
        <v>109</v>
      </c>
      <c r="AZ9" s="17">
        <v>3</v>
      </c>
      <c r="BA9" s="23"/>
      <c r="BB9" s="19"/>
      <c r="BC9" s="18">
        <f t="shared" si="7"/>
        <v>0</v>
      </c>
      <c r="BD9" s="17"/>
      <c r="BE9" s="17" t="s">
        <v>117</v>
      </c>
      <c r="BF9" s="21" t="str">
        <f>IF($B9&lt;&gt;"Nuevo","",IF(N(N9)=0,"",ROUND(MAX(0,MIN(10,MAX(0,IFERROR(N(N9)/MAX($N$4:$N$58),0)*10*[1]Parámetros!$B$5+IFERROR(N(AW9),0)*2*[1]Parámetros!$B$6+IFERROR(N(AC9),0)*2*[1]Parámetros!$B$7+IFERROR(INDEX([1]Parámetros!$B$37:$B$48,MATCH(D9,[1]Parámetros!$A$37:$A$48,0)),3)*2*[1]Parámetros!$B$8+IFERROR(N(AD9),0)*2*[1]Parámetros!$B$9+IFERROR(N(U9),0)*2.5*[1]Parámetros!$B$10+IFERROR(N(V9),0)*2.5*[1]Parámetros!$B$11+IF(Z9="Sí",10,0)*[1]Parámetros!$B$12)/[1]Parámetros!$B$14)-IFERROR(N(AZ9),0)*2*[1]Parámetros!$B$13),2)))</f>
        <v/>
      </c>
      <c r="BG9" s="21" t="str">
        <f>IF($B9&lt;&gt;"Nuevo","",IF(N(N9)=0,"",ROUND(MIN(10,MAX(0,IFERROR(N(N9)/MAX($N$4:$N$58),0)*10*[1]Parámetros!$B$5+IFERROR(N(AW9),0)*2*[1]Parámetros!$B$6+IFERROR(N(AC9),0)*2*[1]Parámetros!$B$7+IFERROR(INDEX([1]Parámetros!$B$37:$B$48,MATCH(D9,[1]Parámetros!$A$37:$A$48,0)),3)*2*[1]Parámetros!$B$8+IFERROR(N(AD9),0)*2*[1]Parámetros!$B$9+IFERROR(N(U9),0)*2.5*[1]Parámetros!$B$10+IFERROR(N(V9),0)*2.5*[1]Parámetros!$B$11+IF(Z9="Sí",10,0)*[1]Parámetros!$B$12)/[1]Parámetros!$B$14),2)))</f>
        <v/>
      </c>
      <c r="BH9" s="21">
        <f t="shared" si="8"/>
        <v>6</v>
      </c>
      <c r="BI9" s="22" t="str">
        <f t="shared" si="9"/>
        <v/>
      </c>
      <c r="BJ9" s="22" t="str">
        <f t="shared" si="10"/>
        <v/>
      </c>
      <c r="BK9" s="17" t="s">
        <v>118</v>
      </c>
    </row>
    <row r="10" spans="1:63" ht="27.75" customHeight="1" x14ac:dyDescent="0.35">
      <c r="A10" s="10">
        <v>7</v>
      </c>
      <c r="B10" s="10" t="s">
        <v>104</v>
      </c>
      <c r="C10" s="10" t="s">
        <v>70</v>
      </c>
      <c r="D10" s="10" t="s">
        <v>71</v>
      </c>
      <c r="E10" s="10" t="s">
        <v>119</v>
      </c>
      <c r="F10" s="10" t="s">
        <v>86</v>
      </c>
      <c r="G10" s="10" t="s">
        <v>120</v>
      </c>
      <c r="H10" s="10" t="s">
        <v>75</v>
      </c>
      <c r="I10" s="10" t="s">
        <v>76</v>
      </c>
      <c r="J10" s="10">
        <v>1</v>
      </c>
      <c r="K10" s="10"/>
      <c r="L10" s="10"/>
      <c r="M10" s="10"/>
      <c r="N10" s="11">
        <f t="shared" si="0"/>
        <v>0</v>
      </c>
      <c r="O10" s="12"/>
      <c r="P10" s="12"/>
      <c r="Q10" s="12"/>
      <c r="R10" s="12"/>
      <c r="S10" s="13">
        <f t="shared" si="1"/>
        <v>0</v>
      </c>
      <c r="T10" s="13">
        <f t="shared" si="2"/>
        <v>0</v>
      </c>
      <c r="U10" s="14" t="str">
        <f>IF($E10="","",IFERROR(ROUND((O10*[1]Parámetros!$B$29+P10*[1]Parámetros!$B$30+Q10*[1]Parámetros!$B$31+R10*[1]Parámetros!$B$32)/S10,2),""))</f>
        <v/>
      </c>
      <c r="V10" s="15">
        <f t="shared" si="3"/>
        <v>0</v>
      </c>
      <c r="W10" s="10"/>
      <c r="X10" s="10"/>
      <c r="Y10" s="12"/>
      <c r="Z10" s="10"/>
      <c r="AA10" s="10" t="s">
        <v>80</v>
      </c>
      <c r="AB10" s="10" t="s">
        <v>121</v>
      </c>
      <c r="AC10" s="10"/>
      <c r="AD10" s="10"/>
      <c r="AE10" s="10">
        <v>0</v>
      </c>
      <c r="AF10" s="10"/>
      <c r="AG10" s="10"/>
      <c r="AH10" s="16"/>
      <c r="AI10" s="10"/>
      <c r="AJ10" s="10"/>
      <c r="AK10" s="10"/>
      <c r="AL10" s="10"/>
      <c r="AM10" s="13" t="str">
        <f t="shared" si="4"/>
        <v/>
      </c>
      <c r="AN10" s="10"/>
      <c r="AO10" s="13" t="str">
        <f t="shared" si="5"/>
        <v/>
      </c>
      <c r="AP10" s="11" t="str">
        <f t="shared" si="6"/>
        <v/>
      </c>
      <c r="AQ10" s="12"/>
      <c r="AR10" s="12"/>
      <c r="AS10" s="10"/>
      <c r="AT10" s="10"/>
      <c r="AU10" s="10"/>
      <c r="AV10" s="14" t="str">
        <f>IF($B10&lt;&gt;"En curso","",IF(COUNT(AK10:AL10)+COUNT(AN10)+COUNT(AQ10:AR10)=0,"",ROUND(IFERROR(N(AM10),0)*10*[1]Parámetros!$B$18+MAX(0,IFERROR(N(AO10),0))*10*[1]Parámetros!$B$19+MAX(0,1-IFERROR(N(AQ10),0)-IFERROR(N(AR10),0))*10*[1]Parámetros!$B$20+IFERROR(N(AS10),0)/4*10*[1]Parámetros!$B$21+IFERROR(N(AU10),0)/5*10*[1]Parámetros!$B$22,2)))</f>
        <v/>
      </c>
      <c r="AW10" s="10">
        <v>4</v>
      </c>
      <c r="AX10" s="10" t="s">
        <v>122</v>
      </c>
      <c r="AY10" s="10" t="s">
        <v>123</v>
      </c>
      <c r="AZ10" s="10">
        <v>3</v>
      </c>
      <c r="BA10" s="16"/>
      <c r="BB10" s="12"/>
      <c r="BC10" s="11">
        <f t="shared" si="7"/>
        <v>0</v>
      </c>
      <c r="BD10" s="10"/>
      <c r="BE10" s="10" t="s">
        <v>124</v>
      </c>
      <c r="BF10" s="14" t="str">
        <f>IF($B10&lt;&gt;"Nuevo","",IF(N(N10)=0,"",ROUND(MAX(0,MIN(10,MAX(0,IFERROR(N(N10)/MAX($N$4:$N$58),0)*10*[1]Parámetros!$B$5+IFERROR(N(AW10),0)*2*[1]Parámetros!$B$6+IFERROR(N(AC10),0)*2*[1]Parámetros!$B$7+IFERROR(INDEX([1]Parámetros!$B$37:$B$48,MATCH(D10,[1]Parámetros!$A$37:$A$48,0)),3)*2*[1]Parámetros!$B$8+IFERROR(N(AD10),0)*2*[1]Parámetros!$B$9+IFERROR(N(U10),0)*2.5*[1]Parámetros!$B$10+IFERROR(N(V10),0)*2.5*[1]Parámetros!$B$11+IF(Z10="Sí",10,0)*[1]Parámetros!$B$12)/[1]Parámetros!$B$14)-IFERROR(N(AZ10),0)*2*[1]Parámetros!$B$13),2)))</f>
        <v/>
      </c>
      <c r="BG10" s="14" t="str">
        <f>IF($B10&lt;&gt;"Nuevo","",IF(N(N10)=0,"",ROUND(MIN(10,MAX(0,IFERROR(N(N10)/MAX($N$4:$N$58),0)*10*[1]Parámetros!$B$5+IFERROR(N(AW10),0)*2*[1]Parámetros!$B$6+IFERROR(N(AC10),0)*2*[1]Parámetros!$B$7+IFERROR(INDEX([1]Parámetros!$B$37:$B$48,MATCH(D10,[1]Parámetros!$A$37:$A$48,0)),3)*2*[1]Parámetros!$B$8+IFERROR(N(AD10),0)*2*[1]Parámetros!$B$9+IFERROR(N(U10),0)*2.5*[1]Parámetros!$B$10+IFERROR(N(V10),0)*2.5*[1]Parámetros!$B$11+IF(Z10="Sí",10,0)*[1]Parámetros!$B$12)/[1]Parámetros!$B$14),2)))</f>
        <v/>
      </c>
      <c r="BH10" s="14">
        <f t="shared" si="8"/>
        <v>6</v>
      </c>
      <c r="BI10" s="15" t="str">
        <f t="shared" si="9"/>
        <v/>
      </c>
      <c r="BJ10" s="15" t="str">
        <f t="shared" si="10"/>
        <v/>
      </c>
      <c r="BK10" s="10" t="s">
        <v>125</v>
      </c>
    </row>
    <row r="11" spans="1:63" ht="27.75" customHeight="1" x14ac:dyDescent="0.35">
      <c r="A11" s="17">
        <v>8</v>
      </c>
      <c r="B11" s="17" t="s">
        <v>104</v>
      </c>
      <c r="C11" s="17" t="s">
        <v>70</v>
      </c>
      <c r="D11" s="17" t="s">
        <v>71</v>
      </c>
      <c r="E11" s="17" t="s">
        <v>126</v>
      </c>
      <c r="F11" s="17" t="s">
        <v>86</v>
      </c>
      <c r="G11" s="17" t="s">
        <v>127</v>
      </c>
      <c r="H11" s="17" t="s">
        <v>75</v>
      </c>
      <c r="I11" s="17" t="s">
        <v>76</v>
      </c>
      <c r="J11" s="17">
        <v>1</v>
      </c>
      <c r="K11" s="17"/>
      <c r="L11" s="17">
        <v>0.75</v>
      </c>
      <c r="M11" s="17">
        <v>1</v>
      </c>
      <c r="N11" s="18">
        <f t="shared" si="0"/>
        <v>0</v>
      </c>
      <c r="O11" s="19"/>
      <c r="P11" s="19"/>
      <c r="Q11" s="19"/>
      <c r="R11" s="19"/>
      <c r="S11" s="20">
        <f t="shared" si="1"/>
        <v>0</v>
      </c>
      <c r="T11" s="20">
        <f t="shared" si="2"/>
        <v>0</v>
      </c>
      <c r="U11" s="21" t="str">
        <f>IF($E11="","",IFERROR(ROUND((O11*[1]Parámetros!$B$29+P11*[1]Parámetros!$B$30+Q11*[1]Parámetros!$B$31+R11*[1]Parámetros!$B$32)/S11,2),""))</f>
        <v/>
      </c>
      <c r="V11" s="22">
        <f t="shared" si="3"/>
        <v>0</v>
      </c>
      <c r="W11" s="17"/>
      <c r="X11" s="17"/>
      <c r="Y11" s="19"/>
      <c r="Z11" s="17"/>
      <c r="AA11" s="17" t="s">
        <v>128</v>
      </c>
      <c r="AB11" s="17" t="s">
        <v>129</v>
      </c>
      <c r="AC11" s="17"/>
      <c r="AD11" s="17"/>
      <c r="AE11" s="17">
        <v>0</v>
      </c>
      <c r="AF11" s="17"/>
      <c r="AG11" s="17"/>
      <c r="AH11" s="23"/>
      <c r="AI11" s="17"/>
      <c r="AJ11" s="17"/>
      <c r="AK11" s="17"/>
      <c r="AL11" s="17"/>
      <c r="AM11" s="20" t="str">
        <f t="shared" si="4"/>
        <v/>
      </c>
      <c r="AN11" s="17"/>
      <c r="AO11" s="20" t="str">
        <f t="shared" si="5"/>
        <v/>
      </c>
      <c r="AP11" s="18" t="str">
        <f t="shared" si="6"/>
        <v/>
      </c>
      <c r="AQ11" s="19"/>
      <c r="AR11" s="19"/>
      <c r="AS11" s="17"/>
      <c r="AT11" s="17"/>
      <c r="AU11" s="17"/>
      <c r="AV11" s="21" t="str">
        <f>IF($B11&lt;&gt;"En curso","",IF(COUNT(AK11:AL11)+COUNT(AN11)+COUNT(AQ11:AR11)=0,"",ROUND(IFERROR(N(AM11),0)*10*[1]Parámetros!$B$18+MAX(0,IFERROR(N(AO11),0))*10*[1]Parámetros!$B$19+MAX(0,1-IFERROR(N(AQ11),0)-IFERROR(N(AR11),0))*10*[1]Parámetros!$B$20+IFERROR(N(AS11),0)/4*10*[1]Parámetros!$B$21+IFERROR(N(AU11),0)/5*10*[1]Parámetros!$B$22,2)))</f>
        <v/>
      </c>
      <c r="AW11" s="17">
        <v>5</v>
      </c>
      <c r="AX11" s="17" t="s">
        <v>122</v>
      </c>
      <c r="AY11" s="17" t="s">
        <v>123</v>
      </c>
      <c r="AZ11" s="17">
        <v>1</v>
      </c>
      <c r="BA11" s="23"/>
      <c r="BB11" s="19">
        <v>0.89</v>
      </c>
      <c r="BC11" s="18">
        <f t="shared" si="7"/>
        <v>0</v>
      </c>
      <c r="BD11" s="17"/>
      <c r="BE11" s="17" t="s">
        <v>130</v>
      </c>
      <c r="BF11" s="21" t="str">
        <f>IF($B11&lt;&gt;"Nuevo","",IF(N(N11)=0,"",ROUND(MAX(0,MIN(10,MAX(0,IFERROR(N(N11)/MAX($N$4:$N$58),0)*10*[1]Parámetros!$B$5+IFERROR(N(AW11),0)*2*[1]Parámetros!$B$6+IFERROR(N(AC11),0)*2*[1]Parámetros!$B$7+IFERROR(INDEX([1]Parámetros!$B$37:$B$48,MATCH(D11,[1]Parámetros!$A$37:$A$48,0)),3)*2*[1]Parámetros!$B$8+IFERROR(N(AD11),0)*2*[1]Parámetros!$B$9+IFERROR(N(U11),0)*2.5*[1]Parámetros!$B$10+IFERROR(N(V11),0)*2.5*[1]Parámetros!$B$11+IF(Z11="Sí",10,0)*[1]Parámetros!$B$12)/[1]Parámetros!$B$14)-IFERROR(N(AZ11),0)*2*[1]Parámetros!$B$13),2)))</f>
        <v/>
      </c>
      <c r="BG11" s="21" t="str">
        <f>IF($B11&lt;&gt;"Nuevo","",IF(N(N11)=0,"",ROUND(MIN(10,MAX(0,IFERROR(N(N11)/MAX($N$4:$N$58),0)*10*[1]Parámetros!$B$5+IFERROR(N(AW11),0)*2*[1]Parámetros!$B$6+IFERROR(N(AC11),0)*2*[1]Parámetros!$B$7+IFERROR(INDEX([1]Parámetros!$B$37:$B$48,MATCH(D11,[1]Parámetros!$A$37:$A$48,0)),3)*2*[1]Parámetros!$B$8+IFERROR(N(AD11),0)*2*[1]Parámetros!$B$9+IFERROR(N(U11),0)*2.5*[1]Parámetros!$B$10+IFERROR(N(V11),0)*2.5*[1]Parámetros!$B$11+IF(Z11="Sí",10,0)*[1]Parámetros!$B$12)/[1]Parámetros!$B$14),2)))</f>
        <v/>
      </c>
      <c r="BH11" s="21">
        <f t="shared" si="8"/>
        <v>2</v>
      </c>
      <c r="BI11" s="22" t="str">
        <f t="shared" si="9"/>
        <v/>
      </c>
      <c r="BJ11" s="22" t="str">
        <f t="shared" si="10"/>
        <v/>
      </c>
      <c r="BK11" s="17" t="s">
        <v>131</v>
      </c>
    </row>
    <row r="12" spans="1:63" ht="27.75" customHeight="1" x14ac:dyDescent="0.35">
      <c r="A12" s="10">
        <v>9</v>
      </c>
      <c r="B12" s="10" t="s">
        <v>104</v>
      </c>
      <c r="C12" s="10" t="s">
        <v>70</v>
      </c>
      <c r="D12" s="10" t="s">
        <v>71</v>
      </c>
      <c r="E12" s="10" t="s">
        <v>132</v>
      </c>
      <c r="F12" s="10" t="s">
        <v>86</v>
      </c>
      <c r="G12" s="10" t="s">
        <v>133</v>
      </c>
      <c r="H12" s="10" t="s">
        <v>75</v>
      </c>
      <c r="I12" s="10" t="s">
        <v>76</v>
      </c>
      <c r="J12" s="10">
        <v>1</v>
      </c>
      <c r="K12" s="10"/>
      <c r="L12" s="10"/>
      <c r="M12" s="10"/>
      <c r="N12" s="11">
        <f t="shared" si="0"/>
        <v>0</v>
      </c>
      <c r="O12" s="12"/>
      <c r="P12" s="12"/>
      <c r="Q12" s="12"/>
      <c r="R12" s="12"/>
      <c r="S12" s="13">
        <f t="shared" si="1"/>
        <v>0</v>
      </c>
      <c r="T12" s="13">
        <f t="shared" si="2"/>
        <v>0</v>
      </c>
      <c r="U12" s="14" t="str">
        <f>IF($E12="","",IFERROR(ROUND((O12*[1]Parámetros!$B$29+P12*[1]Parámetros!$B$30+Q12*[1]Parámetros!$B$31+R12*[1]Parámetros!$B$32)/S12,2),""))</f>
        <v/>
      </c>
      <c r="V12" s="15">
        <f t="shared" si="3"/>
        <v>0</v>
      </c>
      <c r="W12" s="10"/>
      <c r="X12" s="10"/>
      <c r="Y12" s="12"/>
      <c r="Z12" s="10"/>
      <c r="AA12" s="10" t="s">
        <v>94</v>
      </c>
      <c r="AB12" s="10" t="s">
        <v>134</v>
      </c>
      <c r="AC12" s="10"/>
      <c r="AD12" s="10"/>
      <c r="AE12" s="10">
        <v>0</v>
      </c>
      <c r="AF12" s="10"/>
      <c r="AG12" s="10"/>
      <c r="AH12" s="16"/>
      <c r="AI12" s="10"/>
      <c r="AJ12" s="10"/>
      <c r="AK12" s="10"/>
      <c r="AL12" s="10"/>
      <c r="AM12" s="13" t="str">
        <f t="shared" si="4"/>
        <v/>
      </c>
      <c r="AN12" s="10"/>
      <c r="AO12" s="13" t="str">
        <f t="shared" si="5"/>
        <v/>
      </c>
      <c r="AP12" s="11" t="str">
        <f t="shared" si="6"/>
        <v/>
      </c>
      <c r="AQ12" s="12"/>
      <c r="AR12" s="12"/>
      <c r="AS12" s="10"/>
      <c r="AT12" s="10"/>
      <c r="AU12" s="10"/>
      <c r="AV12" s="14" t="str">
        <f>IF($B12&lt;&gt;"En curso","",IF(COUNT(AK12:AL12)+COUNT(AN12)+COUNT(AQ12:AR12)=0,"",ROUND(IFERROR(N(AM12),0)*10*[1]Parámetros!$B$18+MAX(0,IFERROR(N(AO12),0))*10*[1]Parámetros!$B$19+MAX(0,1-IFERROR(N(AQ12),0)-IFERROR(N(AR12),0))*10*[1]Parámetros!$B$20+IFERROR(N(AS12),0)/4*10*[1]Parámetros!$B$21+IFERROR(N(AU12),0)/5*10*[1]Parámetros!$B$22,2)))</f>
        <v/>
      </c>
      <c r="AW12" s="10">
        <v>3</v>
      </c>
      <c r="AX12" s="10" t="s">
        <v>108</v>
      </c>
      <c r="AY12" s="10" t="s">
        <v>109</v>
      </c>
      <c r="AZ12" s="10">
        <v>3</v>
      </c>
      <c r="BA12" s="16"/>
      <c r="BB12" s="12"/>
      <c r="BC12" s="11">
        <f t="shared" si="7"/>
        <v>0</v>
      </c>
      <c r="BD12" s="10"/>
      <c r="BE12" s="10" t="s">
        <v>135</v>
      </c>
      <c r="BF12" s="14" t="str">
        <f>IF($B12&lt;&gt;"Nuevo","",IF(N(N12)=0,"",ROUND(MAX(0,MIN(10,MAX(0,IFERROR(N(N12)/MAX($N$4:$N$58),0)*10*[1]Parámetros!$B$5+IFERROR(N(AW12),0)*2*[1]Parámetros!$B$6+IFERROR(N(AC12),0)*2*[1]Parámetros!$B$7+IFERROR(INDEX([1]Parámetros!$B$37:$B$48,MATCH(D12,[1]Parámetros!$A$37:$A$48,0)),3)*2*[1]Parámetros!$B$8+IFERROR(N(AD12),0)*2*[1]Parámetros!$B$9+IFERROR(N(U12),0)*2.5*[1]Parámetros!$B$10+IFERROR(N(V12),0)*2.5*[1]Parámetros!$B$11+IF(Z12="Sí",10,0)*[1]Parámetros!$B$12)/[1]Parámetros!$B$14)-IFERROR(N(AZ12),0)*2*[1]Parámetros!$B$13),2)))</f>
        <v/>
      </c>
      <c r="BG12" s="14" t="str">
        <f>IF($B12&lt;&gt;"Nuevo","",IF(N(N12)=0,"",ROUND(MIN(10,MAX(0,IFERROR(N(N12)/MAX($N$4:$N$58),0)*10*[1]Parámetros!$B$5+IFERROR(N(AW12),0)*2*[1]Parámetros!$B$6+IFERROR(N(AC12),0)*2*[1]Parámetros!$B$7+IFERROR(INDEX([1]Parámetros!$B$37:$B$48,MATCH(D12,[1]Parámetros!$A$37:$A$48,0)),3)*2*[1]Parámetros!$B$8+IFERROR(N(AD12),0)*2*[1]Parámetros!$B$9+IFERROR(N(U12),0)*2.5*[1]Parámetros!$B$10+IFERROR(N(V12),0)*2.5*[1]Parámetros!$B$11+IF(Z12="Sí",10,0)*[1]Parámetros!$B$12)/[1]Parámetros!$B$14),2)))</f>
        <v/>
      </c>
      <c r="BH12" s="14">
        <f t="shared" si="8"/>
        <v>6</v>
      </c>
      <c r="BI12" s="15" t="str">
        <f t="shared" si="9"/>
        <v/>
      </c>
      <c r="BJ12" s="15" t="str">
        <f t="shared" si="10"/>
        <v/>
      </c>
      <c r="BK12" s="10" t="s">
        <v>136</v>
      </c>
    </row>
    <row r="13" spans="1:63" ht="27.75" customHeight="1" x14ac:dyDescent="0.35">
      <c r="A13" s="17">
        <v>10</v>
      </c>
      <c r="B13" s="17" t="s">
        <v>104</v>
      </c>
      <c r="C13" s="17" t="s">
        <v>112</v>
      </c>
      <c r="D13" s="17" t="s">
        <v>71</v>
      </c>
      <c r="E13" s="17" t="s">
        <v>137</v>
      </c>
      <c r="F13" s="17" t="s">
        <v>86</v>
      </c>
      <c r="G13" s="17" t="s">
        <v>138</v>
      </c>
      <c r="H13" s="17" t="s">
        <v>75</v>
      </c>
      <c r="I13" s="17" t="s">
        <v>139</v>
      </c>
      <c r="J13" s="17">
        <v>12</v>
      </c>
      <c r="K13" s="17"/>
      <c r="L13" s="17">
        <v>4</v>
      </c>
      <c r="M13" s="17"/>
      <c r="N13" s="18">
        <f t="shared" si="0"/>
        <v>0</v>
      </c>
      <c r="O13" s="19"/>
      <c r="P13" s="19"/>
      <c r="Q13" s="19"/>
      <c r="R13" s="19"/>
      <c r="S13" s="20">
        <f t="shared" si="1"/>
        <v>0</v>
      </c>
      <c r="T13" s="20">
        <f t="shared" si="2"/>
        <v>0</v>
      </c>
      <c r="U13" s="21" t="str">
        <f>IF($E13="","",IFERROR(ROUND((O13*[1]Parámetros!$B$29+P13*[1]Parámetros!$B$30+Q13*[1]Parámetros!$B$31+R13*[1]Parámetros!$B$32)/S13,2),""))</f>
        <v/>
      </c>
      <c r="V13" s="22">
        <f t="shared" si="3"/>
        <v>0</v>
      </c>
      <c r="W13" s="17"/>
      <c r="X13" s="17"/>
      <c r="Y13" s="19"/>
      <c r="Z13" s="17"/>
      <c r="AA13" s="17" t="s">
        <v>140</v>
      </c>
      <c r="AB13" s="17"/>
      <c r="AC13" s="17"/>
      <c r="AD13" s="17"/>
      <c r="AE13" s="17">
        <v>0</v>
      </c>
      <c r="AF13" s="17"/>
      <c r="AG13" s="17"/>
      <c r="AH13" s="23"/>
      <c r="AI13" s="17"/>
      <c r="AJ13" s="17"/>
      <c r="AK13" s="17"/>
      <c r="AL13" s="17"/>
      <c r="AM13" s="20" t="str">
        <f t="shared" si="4"/>
        <v/>
      </c>
      <c r="AN13" s="17"/>
      <c r="AO13" s="20" t="str">
        <f t="shared" si="5"/>
        <v/>
      </c>
      <c r="AP13" s="18" t="str">
        <f t="shared" si="6"/>
        <v/>
      </c>
      <c r="AQ13" s="19"/>
      <c r="AR13" s="19"/>
      <c r="AS13" s="17"/>
      <c r="AT13" s="17"/>
      <c r="AU13" s="17"/>
      <c r="AV13" s="21" t="str">
        <f>IF($B13&lt;&gt;"En curso","",IF(COUNT(AK13:AL13)+COUNT(AN13)+COUNT(AQ13:AR13)=0,"",ROUND(IFERROR(N(AM13),0)*10*[1]Parámetros!$B$18+MAX(0,IFERROR(N(AO13),0))*10*[1]Parámetros!$B$19+MAX(0,1-IFERROR(N(AQ13),0)-IFERROR(N(AR13),0))*10*[1]Parámetros!$B$20+IFERROR(N(AS13),0)/4*10*[1]Parámetros!$B$21+IFERROR(N(AU13),0)/5*10*[1]Parámetros!$B$22,2)))</f>
        <v/>
      </c>
      <c r="AW13" s="17">
        <v>4</v>
      </c>
      <c r="AX13" s="17" t="s">
        <v>108</v>
      </c>
      <c r="AY13" s="17" t="s">
        <v>123</v>
      </c>
      <c r="AZ13" s="17">
        <v>3</v>
      </c>
      <c r="BA13" s="23"/>
      <c r="BB13" s="19"/>
      <c r="BC13" s="18">
        <f t="shared" si="7"/>
        <v>0</v>
      </c>
      <c r="BD13" s="17"/>
      <c r="BE13" s="17"/>
      <c r="BF13" s="21" t="str">
        <f>IF($B13&lt;&gt;"Nuevo","",IF(N(N13)=0,"",ROUND(MAX(0,MIN(10,MAX(0,IFERROR(N(N13)/MAX($N$4:$N$58),0)*10*[1]Parámetros!$B$5+IFERROR(N(AW13),0)*2*[1]Parámetros!$B$6+IFERROR(N(AC13),0)*2*[1]Parámetros!$B$7+IFERROR(INDEX([1]Parámetros!$B$37:$B$48,MATCH(D13,[1]Parámetros!$A$37:$A$48,0)),3)*2*[1]Parámetros!$B$8+IFERROR(N(AD13),0)*2*[1]Parámetros!$B$9+IFERROR(N(U13),0)*2.5*[1]Parámetros!$B$10+IFERROR(N(V13),0)*2.5*[1]Parámetros!$B$11+IF(Z13="Sí",10,0)*[1]Parámetros!$B$12)/[1]Parámetros!$B$14)-IFERROR(N(AZ13),0)*2*[1]Parámetros!$B$13),2)))</f>
        <v/>
      </c>
      <c r="BG13" s="21" t="str">
        <f>IF($B13&lt;&gt;"Nuevo","",IF(N(N13)=0,"",ROUND(MIN(10,MAX(0,IFERROR(N(N13)/MAX($N$4:$N$58),0)*10*[1]Parámetros!$B$5+IFERROR(N(AW13),0)*2*[1]Parámetros!$B$6+IFERROR(N(AC13),0)*2*[1]Parámetros!$B$7+IFERROR(INDEX([1]Parámetros!$B$37:$B$48,MATCH(D13,[1]Parámetros!$A$37:$A$48,0)),3)*2*[1]Parámetros!$B$8+IFERROR(N(AD13),0)*2*[1]Parámetros!$B$9+IFERROR(N(U13),0)*2.5*[1]Parámetros!$B$10+IFERROR(N(V13),0)*2.5*[1]Parámetros!$B$11+IF(Z13="Sí",10,0)*[1]Parámetros!$B$12)/[1]Parámetros!$B$14),2)))</f>
        <v/>
      </c>
      <c r="BH13" s="21">
        <f t="shared" si="8"/>
        <v>6</v>
      </c>
      <c r="BI13" s="22" t="str">
        <f t="shared" si="9"/>
        <v/>
      </c>
      <c r="BJ13" s="22" t="str">
        <f t="shared" si="10"/>
        <v/>
      </c>
      <c r="BK13" s="17" t="s">
        <v>141</v>
      </c>
    </row>
    <row r="14" spans="1:63" ht="27.75" customHeight="1" x14ac:dyDescent="0.35">
      <c r="A14" s="10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 t="str">
        <f t="shared" si="0"/>
        <v/>
      </c>
      <c r="O14" s="12"/>
      <c r="P14" s="12"/>
      <c r="Q14" s="12"/>
      <c r="R14" s="12"/>
      <c r="S14" s="13" t="str">
        <f t="shared" si="1"/>
        <v/>
      </c>
      <c r="T14" s="13" t="str">
        <f t="shared" si="2"/>
        <v/>
      </c>
      <c r="U14" s="14" t="str">
        <f>IF($E14="","",IFERROR(ROUND((O14*[1]Parámetros!$B$29+P14*[1]Parámetros!$B$30+Q14*[1]Parámetros!$B$31+R14*[1]Parámetros!$B$32)/S14,2),""))</f>
        <v/>
      </c>
      <c r="V14" s="15" t="str">
        <f t="shared" si="3"/>
        <v/>
      </c>
      <c r="W14" s="10"/>
      <c r="X14" s="10"/>
      <c r="Y14" s="12"/>
      <c r="Z14" s="10"/>
      <c r="AA14" s="10"/>
      <c r="AB14" s="10"/>
      <c r="AC14" s="10"/>
      <c r="AD14" s="10"/>
      <c r="AE14" s="10"/>
      <c r="AF14" s="10"/>
      <c r="AG14" s="10"/>
      <c r="AH14" s="16"/>
      <c r="AI14" s="10"/>
      <c r="AJ14" s="10"/>
      <c r="AK14" s="10"/>
      <c r="AL14" s="10"/>
      <c r="AM14" s="13" t="str">
        <f t="shared" si="4"/>
        <v/>
      </c>
      <c r="AN14" s="10"/>
      <c r="AO14" s="13" t="str">
        <f t="shared" si="5"/>
        <v/>
      </c>
      <c r="AP14" s="11" t="str">
        <f t="shared" si="6"/>
        <v/>
      </c>
      <c r="AQ14" s="12"/>
      <c r="AR14" s="12"/>
      <c r="AS14" s="10"/>
      <c r="AT14" s="10"/>
      <c r="AU14" s="10"/>
      <c r="AV14" s="14" t="str">
        <f>IF($B14&lt;&gt;"En curso","",IF(COUNT(AK14:AL14)+COUNT(AN14)+COUNT(AQ14:AR14)=0,"",ROUND(IFERROR(N(AM14),0)*10*[1]Parámetros!$B$18+MAX(0,IFERROR(N(AO14),0))*10*[1]Parámetros!$B$19+MAX(0,1-IFERROR(N(AQ14),0)-IFERROR(N(AR14),0))*10*[1]Parámetros!$B$20+IFERROR(N(AS14),0)/4*10*[1]Parámetros!$B$21+IFERROR(N(AU14),0)/5*10*[1]Parámetros!$B$22,2)))</f>
        <v/>
      </c>
      <c r="AW14" s="10"/>
      <c r="AX14" s="10"/>
      <c r="AY14" s="10"/>
      <c r="AZ14" s="10"/>
      <c r="BA14" s="16"/>
      <c r="BB14" s="12"/>
      <c r="BC14" s="11" t="str">
        <f t="shared" si="7"/>
        <v/>
      </c>
      <c r="BD14" s="10"/>
      <c r="BE14" s="10"/>
      <c r="BF14" s="14" t="str">
        <f>IF($B14&lt;&gt;"Nuevo","",IF(N(N14)=0,"",ROUND(MAX(0,MIN(10,MAX(0,IFERROR(N(N14)/MAX($N$4:$N$58),0)*10*[1]Parámetros!$B$5+IFERROR(N(AW14),0)*2*[1]Parámetros!$B$6+IFERROR(N(AC14),0)*2*[1]Parámetros!$B$7+IFERROR(INDEX([1]Parámetros!$B$37:$B$48,MATCH(D14,[1]Parámetros!$A$37:$A$48,0)),3)*2*[1]Parámetros!$B$8+IFERROR(N(AD14),0)*2*[1]Parámetros!$B$9+IFERROR(N(U14),0)*2.5*[1]Parámetros!$B$10+IFERROR(N(V14),0)*2.5*[1]Parámetros!$B$11+IF(Z14="Sí",10,0)*[1]Parámetros!$B$12)/[1]Parámetros!$B$14)-IFERROR(N(AZ14),0)*2*[1]Parámetros!$B$13),2)))</f>
        <v/>
      </c>
      <c r="BG14" s="14" t="str">
        <f>IF($B14&lt;&gt;"Nuevo","",IF(N(N14)=0,"",ROUND(MIN(10,MAX(0,IFERROR(N(N14)/MAX($N$4:$N$58),0)*10*[1]Parámetros!$B$5+IFERROR(N(AW14),0)*2*[1]Parámetros!$B$6+IFERROR(N(AC14),0)*2*[1]Parámetros!$B$7+IFERROR(INDEX([1]Parámetros!$B$37:$B$48,MATCH(D14,[1]Parámetros!$A$37:$A$48,0)),3)*2*[1]Parámetros!$B$8+IFERROR(N(AD14),0)*2*[1]Parámetros!$B$9+IFERROR(N(U14),0)*2.5*[1]Parámetros!$B$10+IFERROR(N(V14),0)*2.5*[1]Parámetros!$B$11+IF(Z14="Sí",10,0)*[1]Parámetros!$B$12)/[1]Parámetros!$B$14),2)))</f>
        <v/>
      </c>
      <c r="BH14" s="14" t="str">
        <f t="shared" si="8"/>
        <v/>
      </c>
      <c r="BI14" s="15" t="str">
        <f t="shared" si="9"/>
        <v/>
      </c>
      <c r="BJ14" s="15" t="str">
        <f t="shared" si="10"/>
        <v/>
      </c>
      <c r="BK14" s="10"/>
    </row>
    <row r="15" spans="1:63" ht="27.75" customHeight="1" x14ac:dyDescent="0.35">
      <c r="A15" s="17">
        <v>12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 t="str">
        <f t="shared" si="0"/>
        <v/>
      </c>
      <c r="O15" s="19"/>
      <c r="P15" s="19"/>
      <c r="Q15" s="19"/>
      <c r="R15" s="19"/>
      <c r="S15" s="20" t="str">
        <f t="shared" si="1"/>
        <v/>
      </c>
      <c r="T15" s="20" t="str">
        <f t="shared" si="2"/>
        <v/>
      </c>
      <c r="U15" s="21" t="str">
        <f>IF($E15="","",IFERROR(ROUND((O15*[1]Parámetros!$B$29+P15*[1]Parámetros!$B$30+Q15*[1]Parámetros!$B$31+R15*[1]Parámetros!$B$32)/S15,2),""))</f>
        <v/>
      </c>
      <c r="V15" s="22" t="str">
        <f t="shared" si="3"/>
        <v/>
      </c>
      <c r="W15" s="17"/>
      <c r="X15" s="17"/>
      <c r="Y15" s="19"/>
      <c r="Z15" s="17"/>
      <c r="AA15" s="17"/>
      <c r="AB15" s="17"/>
      <c r="AC15" s="17"/>
      <c r="AD15" s="17"/>
      <c r="AE15" s="17"/>
      <c r="AF15" s="17"/>
      <c r="AG15" s="17"/>
      <c r="AH15" s="23"/>
      <c r="AI15" s="17"/>
      <c r="AJ15" s="17"/>
      <c r="AK15" s="17"/>
      <c r="AL15" s="17"/>
      <c r="AM15" s="20" t="str">
        <f t="shared" si="4"/>
        <v/>
      </c>
      <c r="AN15" s="17"/>
      <c r="AO15" s="20" t="str">
        <f t="shared" si="5"/>
        <v/>
      </c>
      <c r="AP15" s="18" t="str">
        <f t="shared" si="6"/>
        <v/>
      </c>
      <c r="AQ15" s="19"/>
      <c r="AR15" s="19"/>
      <c r="AS15" s="17"/>
      <c r="AT15" s="17"/>
      <c r="AU15" s="17"/>
      <c r="AV15" s="21" t="str">
        <f>IF($B15&lt;&gt;"En curso","",IF(COUNT(AK15:AL15)+COUNT(AN15)+COUNT(AQ15:AR15)=0,"",ROUND(IFERROR(N(AM15),0)*10*[1]Parámetros!$B$18+MAX(0,IFERROR(N(AO15),0))*10*[1]Parámetros!$B$19+MAX(0,1-IFERROR(N(AQ15),0)-IFERROR(N(AR15),0))*10*[1]Parámetros!$B$20+IFERROR(N(AS15),0)/4*10*[1]Parámetros!$B$21+IFERROR(N(AU15),0)/5*10*[1]Parámetros!$B$22,2)))</f>
        <v/>
      </c>
      <c r="AW15" s="17"/>
      <c r="AX15" s="17"/>
      <c r="AY15" s="17"/>
      <c r="AZ15" s="17"/>
      <c r="BA15" s="23"/>
      <c r="BB15" s="19"/>
      <c r="BC15" s="18" t="str">
        <f t="shared" si="7"/>
        <v/>
      </c>
      <c r="BD15" s="17"/>
      <c r="BE15" s="17"/>
      <c r="BF15" s="21" t="str">
        <f>IF($B15&lt;&gt;"Nuevo","",IF(N(N15)=0,"",ROUND(MAX(0,MIN(10,MAX(0,IFERROR(N(N15)/MAX($N$4:$N$58),0)*10*[1]Parámetros!$B$5+IFERROR(N(AW15),0)*2*[1]Parámetros!$B$6+IFERROR(N(AC15),0)*2*[1]Parámetros!$B$7+IFERROR(INDEX([1]Parámetros!$B$37:$B$48,MATCH(D15,[1]Parámetros!$A$37:$A$48,0)),3)*2*[1]Parámetros!$B$8+IFERROR(N(AD15),0)*2*[1]Parámetros!$B$9+IFERROR(N(U15),0)*2.5*[1]Parámetros!$B$10+IFERROR(N(V15),0)*2.5*[1]Parámetros!$B$11+IF(Z15="Sí",10,0)*[1]Parámetros!$B$12)/[1]Parámetros!$B$14)-IFERROR(N(AZ15),0)*2*[1]Parámetros!$B$13),2)))</f>
        <v/>
      </c>
      <c r="BG15" s="21" t="str">
        <f>IF($B15&lt;&gt;"Nuevo","",IF(N(N15)=0,"",ROUND(MIN(10,MAX(0,IFERROR(N(N15)/MAX($N$4:$N$58),0)*10*[1]Parámetros!$B$5+IFERROR(N(AW15),0)*2*[1]Parámetros!$B$6+IFERROR(N(AC15),0)*2*[1]Parámetros!$B$7+IFERROR(INDEX([1]Parámetros!$B$37:$B$48,MATCH(D15,[1]Parámetros!$A$37:$A$48,0)),3)*2*[1]Parámetros!$B$8+IFERROR(N(AD15),0)*2*[1]Parámetros!$B$9+IFERROR(N(U15),0)*2.5*[1]Parámetros!$B$10+IFERROR(N(V15),0)*2.5*[1]Parámetros!$B$11+IF(Z15="Sí",10,0)*[1]Parámetros!$B$12)/[1]Parámetros!$B$14),2)))</f>
        <v/>
      </c>
      <c r="BH15" s="21" t="str">
        <f t="shared" si="8"/>
        <v/>
      </c>
      <c r="BI15" s="22" t="str">
        <f t="shared" si="9"/>
        <v/>
      </c>
      <c r="BJ15" s="22" t="str">
        <f t="shared" si="10"/>
        <v/>
      </c>
      <c r="BK15" s="17"/>
    </row>
    <row r="16" spans="1:63" ht="27.75" customHeight="1" x14ac:dyDescent="0.35">
      <c r="A16" s="10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 t="str">
        <f t="shared" si="0"/>
        <v/>
      </c>
      <c r="O16" s="12"/>
      <c r="P16" s="12"/>
      <c r="Q16" s="12"/>
      <c r="R16" s="12"/>
      <c r="S16" s="13" t="str">
        <f t="shared" si="1"/>
        <v/>
      </c>
      <c r="T16" s="13" t="str">
        <f t="shared" si="2"/>
        <v/>
      </c>
      <c r="U16" s="14" t="str">
        <f>IF($E16="","",IFERROR(ROUND((O16*[1]Parámetros!$B$29+P16*[1]Parámetros!$B$30+Q16*[1]Parámetros!$B$31+R16*[1]Parámetros!$B$32)/S16,2),""))</f>
        <v/>
      </c>
      <c r="V16" s="15" t="str">
        <f t="shared" si="3"/>
        <v/>
      </c>
      <c r="W16" s="10"/>
      <c r="X16" s="10"/>
      <c r="Y16" s="12"/>
      <c r="Z16" s="10"/>
      <c r="AA16" s="10"/>
      <c r="AB16" s="10"/>
      <c r="AC16" s="10"/>
      <c r="AD16" s="10"/>
      <c r="AE16" s="10"/>
      <c r="AF16" s="10"/>
      <c r="AG16" s="10"/>
      <c r="AH16" s="16"/>
      <c r="AI16" s="10"/>
      <c r="AJ16" s="10"/>
      <c r="AK16" s="10"/>
      <c r="AL16" s="10"/>
      <c r="AM16" s="13" t="str">
        <f t="shared" si="4"/>
        <v/>
      </c>
      <c r="AN16" s="10"/>
      <c r="AO16" s="13" t="str">
        <f t="shared" si="5"/>
        <v/>
      </c>
      <c r="AP16" s="11" t="str">
        <f t="shared" si="6"/>
        <v/>
      </c>
      <c r="AQ16" s="12"/>
      <c r="AR16" s="12"/>
      <c r="AS16" s="10"/>
      <c r="AT16" s="10"/>
      <c r="AU16" s="10"/>
      <c r="AV16" s="14" t="str">
        <f>IF($B16&lt;&gt;"En curso","",IF(COUNT(AK16:AL16)+COUNT(AN16)+COUNT(AQ16:AR16)=0,"",ROUND(IFERROR(N(AM16),0)*10*[1]Parámetros!$B$18+MAX(0,IFERROR(N(AO16),0))*10*[1]Parámetros!$B$19+MAX(0,1-IFERROR(N(AQ16),0)-IFERROR(N(AR16),0))*10*[1]Parámetros!$B$20+IFERROR(N(AS16),0)/4*10*[1]Parámetros!$B$21+IFERROR(N(AU16),0)/5*10*[1]Parámetros!$B$22,2)))</f>
        <v/>
      </c>
      <c r="AW16" s="10"/>
      <c r="AX16" s="10"/>
      <c r="AY16" s="10"/>
      <c r="AZ16" s="10"/>
      <c r="BA16" s="16"/>
      <c r="BB16" s="12"/>
      <c r="BC16" s="11" t="str">
        <f t="shared" si="7"/>
        <v/>
      </c>
      <c r="BD16" s="10"/>
      <c r="BE16" s="10"/>
      <c r="BF16" s="14" t="str">
        <f>IF($B16&lt;&gt;"Nuevo","",IF(N(N16)=0,"",ROUND(MAX(0,MIN(10,MAX(0,IFERROR(N(N16)/MAX($N$4:$N$58),0)*10*[1]Parámetros!$B$5+IFERROR(N(AW16),0)*2*[1]Parámetros!$B$6+IFERROR(N(AC16),0)*2*[1]Parámetros!$B$7+IFERROR(INDEX([1]Parámetros!$B$37:$B$48,MATCH(D16,[1]Parámetros!$A$37:$A$48,0)),3)*2*[1]Parámetros!$B$8+IFERROR(N(AD16),0)*2*[1]Parámetros!$B$9+IFERROR(N(U16),0)*2.5*[1]Parámetros!$B$10+IFERROR(N(V16),0)*2.5*[1]Parámetros!$B$11+IF(Z16="Sí",10,0)*[1]Parámetros!$B$12)/[1]Parámetros!$B$14)-IFERROR(N(AZ16),0)*2*[1]Parámetros!$B$13),2)))</f>
        <v/>
      </c>
      <c r="BG16" s="14" t="str">
        <f>IF($B16&lt;&gt;"Nuevo","",IF(N(N16)=0,"",ROUND(MIN(10,MAX(0,IFERROR(N(N16)/MAX($N$4:$N$58),0)*10*[1]Parámetros!$B$5+IFERROR(N(AW16),0)*2*[1]Parámetros!$B$6+IFERROR(N(AC16),0)*2*[1]Parámetros!$B$7+IFERROR(INDEX([1]Parámetros!$B$37:$B$48,MATCH(D16,[1]Parámetros!$A$37:$A$48,0)),3)*2*[1]Parámetros!$B$8+IFERROR(N(AD16),0)*2*[1]Parámetros!$B$9+IFERROR(N(U16),0)*2.5*[1]Parámetros!$B$10+IFERROR(N(V16),0)*2.5*[1]Parámetros!$B$11+IF(Z16="Sí",10,0)*[1]Parámetros!$B$12)/[1]Parámetros!$B$14),2)))</f>
        <v/>
      </c>
      <c r="BH16" s="14" t="str">
        <f t="shared" si="8"/>
        <v/>
      </c>
      <c r="BI16" s="15" t="str">
        <f t="shared" si="9"/>
        <v/>
      </c>
      <c r="BJ16" s="15" t="str">
        <f t="shared" si="10"/>
        <v/>
      </c>
      <c r="BK16" s="10"/>
    </row>
    <row r="17" spans="1:63" ht="27.75" customHeight="1" x14ac:dyDescent="0.35">
      <c r="A17" s="17">
        <v>14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 t="str">
        <f t="shared" si="0"/>
        <v/>
      </c>
      <c r="O17" s="19"/>
      <c r="P17" s="19"/>
      <c r="Q17" s="19"/>
      <c r="R17" s="19"/>
      <c r="S17" s="20" t="str">
        <f t="shared" si="1"/>
        <v/>
      </c>
      <c r="T17" s="20" t="str">
        <f t="shared" si="2"/>
        <v/>
      </c>
      <c r="U17" s="21" t="str">
        <f>IF($E17="","",IFERROR(ROUND((O17*[1]Parámetros!$B$29+P17*[1]Parámetros!$B$30+Q17*[1]Parámetros!$B$31+R17*[1]Parámetros!$B$32)/S17,2),""))</f>
        <v/>
      </c>
      <c r="V17" s="22" t="str">
        <f t="shared" si="3"/>
        <v/>
      </c>
      <c r="W17" s="17"/>
      <c r="X17" s="17"/>
      <c r="Y17" s="19"/>
      <c r="Z17" s="17"/>
      <c r="AA17" s="17"/>
      <c r="AB17" s="17"/>
      <c r="AC17" s="17"/>
      <c r="AD17" s="17"/>
      <c r="AE17" s="17"/>
      <c r="AF17" s="17"/>
      <c r="AG17" s="17"/>
      <c r="AH17" s="23"/>
      <c r="AI17" s="17"/>
      <c r="AJ17" s="17"/>
      <c r="AK17" s="17"/>
      <c r="AL17" s="17"/>
      <c r="AM17" s="20" t="str">
        <f t="shared" si="4"/>
        <v/>
      </c>
      <c r="AN17" s="17"/>
      <c r="AO17" s="20" t="str">
        <f t="shared" si="5"/>
        <v/>
      </c>
      <c r="AP17" s="18" t="str">
        <f t="shared" si="6"/>
        <v/>
      </c>
      <c r="AQ17" s="19"/>
      <c r="AR17" s="19"/>
      <c r="AS17" s="17"/>
      <c r="AT17" s="17"/>
      <c r="AU17" s="17"/>
      <c r="AV17" s="21" t="str">
        <f>IF($B17&lt;&gt;"En curso","",IF(COUNT(AK17:AL17)+COUNT(AN17)+COUNT(AQ17:AR17)=0,"",ROUND(IFERROR(N(AM17),0)*10*[1]Parámetros!$B$18+MAX(0,IFERROR(N(AO17),0))*10*[1]Parámetros!$B$19+MAX(0,1-IFERROR(N(AQ17),0)-IFERROR(N(AR17),0))*10*[1]Parámetros!$B$20+IFERROR(N(AS17),0)/4*10*[1]Parámetros!$B$21+IFERROR(N(AU17),0)/5*10*[1]Parámetros!$B$22,2)))</f>
        <v/>
      </c>
      <c r="AW17" s="17"/>
      <c r="AX17" s="17"/>
      <c r="AY17" s="17"/>
      <c r="AZ17" s="17"/>
      <c r="BA17" s="23"/>
      <c r="BB17" s="19"/>
      <c r="BC17" s="18" t="str">
        <f t="shared" si="7"/>
        <v/>
      </c>
      <c r="BD17" s="17"/>
      <c r="BE17" s="17"/>
      <c r="BF17" s="21" t="str">
        <f>IF($B17&lt;&gt;"Nuevo","",IF(N(N17)=0,"",ROUND(MAX(0,MIN(10,MAX(0,IFERROR(N(N17)/MAX($N$4:$N$58),0)*10*[1]Parámetros!$B$5+IFERROR(N(AW17),0)*2*[1]Parámetros!$B$6+IFERROR(N(AC17),0)*2*[1]Parámetros!$B$7+IFERROR(INDEX([1]Parámetros!$B$37:$B$48,MATCH(D17,[1]Parámetros!$A$37:$A$48,0)),3)*2*[1]Parámetros!$B$8+IFERROR(N(AD17),0)*2*[1]Parámetros!$B$9+IFERROR(N(U17),0)*2.5*[1]Parámetros!$B$10+IFERROR(N(V17),0)*2.5*[1]Parámetros!$B$11+IF(Z17="Sí",10,0)*[1]Parámetros!$B$12)/[1]Parámetros!$B$14)-IFERROR(N(AZ17),0)*2*[1]Parámetros!$B$13),2)))</f>
        <v/>
      </c>
      <c r="BG17" s="21" t="str">
        <f>IF($B17&lt;&gt;"Nuevo","",IF(N(N17)=0,"",ROUND(MIN(10,MAX(0,IFERROR(N(N17)/MAX($N$4:$N$58),0)*10*[1]Parámetros!$B$5+IFERROR(N(AW17),0)*2*[1]Parámetros!$B$6+IFERROR(N(AC17),0)*2*[1]Parámetros!$B$7+IFERROR(INDEX([1]Parámetros!$B$37:$B$48,MATCH(D17,[1]Parámetros!$A$37:$A$48,0)),3)*2*[1]Parámetros!$B$8+IFERROR(N(AD17),0)*2*[1]Parámetros!$B$9+IFERROR(N(U17),0)*2.5*[1]Parámetros!$B$10+IFERROR(N(V17),0)*2.5*[1]Parámetros!$B$11+IF(Z17="Sí",10,0)*[1]Parámetros!$B$12)/[1]Parámetros!$B$14),2)))</f>
        <v/>
      </c>
      <c r="BH17" s="21" t="str">
        <f t="shared" si="8"/>
        <v/>
      </c>
      <c r="BI17" s="22" t="str">
        <f t="shared" si="9"/>
        <v/>
      </c>
      <c r="BJ17" s="22" t="str">
        <f t="shared" si="10"/>
        <v/>
      </c>
      <c r="BK17" s="17"/>
    </row>
    <row r="18" spans="1:63" ht="27.75" customHeight="1" x14ac:dyDescent="0.35">
      <c r="A18" s="10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 t="str">
        <f t="shared" si="0"/>
        <v/>
      </c>
      <c r="O18" s="12"/>
      <c r="P18" s="12"/>
      <c r="Q18" s="12"/>
      <c r="R18" s="12"/>
      <c r="S18" s="13" t="str">
        <f t="shared" si="1"/>
        <v/>
      </c>
      <c r="T18" s="13" t="str">
        <f t="shared" si="2"/>
        <v/>
      </c>
      <c r="U18" s="14" t="str">
        <f>IF($E18="","",IFERROR(ROUND((O18*[1]Parámetros!$B$29+P18*[1]Parámetros!$B$30+Q18*[1]Parámetros!$B$31+R18*[1]Parámetros!$B$32)/S18,2),""))</f>
        <v/>
      </c>
      <c r="V18" s="15" t="str">
        <f t="shared" si="3"/>
        <v/>
      </c>
      <c r="W18" s="10"/>
      <c r="X18" s="10"/>
      <c r="Y18" s="12"/>
      <c r="Z18" s="10"/>
      <c r="AA18" s="10"/>
      <c r="AB18" s="10"/>
      <c r="AC18" s="10"/>
      <c r="AD18" s="10"/>
      <c r="AE18" s="10"/>
      <c r="AF18" s="10"/>
      <c r="AG18" s="10"/>
      <c r="AH18" s="16"/>
      <c r="AI18" s="10"/>
      <c r="AJ18" s="10"/>
      <c r="AK18" s="10"/>
      <c r="AL18" s="10"/>
      <c r="AM18" s="13" t="str">
        <f t="shared" si="4"/>
        <v/>
      </c>
      <c r="AN18" s="10"/>
      <c r="AO18" s="13" t="str">
        <f t="shared" si="5"/>
        <v/>
      </c>
      <c r="AP18" s="11" t="str">
        <f t="shared" si="6"/>
        <v/>
      </c>
      <c r="AQ18" s="12"/>
      <c r="AR18" s="12"/>
      <c r="AS18" s="10"/>
      <c r="AT18" s="10"/>
      <c r="AU18" s="10"/>
      <c r="AV18" s="14" t="str">
        <f>IF($B18&lt;&gt;"En curso","",IF(COUNT(AK18:AL18)+COUNT(AN18)+COUNT(AQ18:AR18)=0,"",ROUND(IFERROR(N(AM18),0)*10*[1]Parámetros!$B$18+MAX(0,IFERROR(N(AO18),0))*10*[1]Parámetros!$B$19+MAX(0,1-IFERROR(N(AQ18),0)-IFERROR(N(AR18),0))*10*[1]Parámetros!$B$20+IFERROR(N(AS18),0)/4*10*[1]Parámetros!$B$21+IFERROR(N(AU18),0)/5*10*[1]Parámetros!$B$22,2)))</f>
        <v/>
      </c>
      <c r="AW18" s="10"/>
      <c r="AX18" s="10"/>
      <c r="AY18" s="10"/>
      <c r="AZ18" s="10"/>
      <c r="BA18" s="16"/>
      <c r="BB18" s="12"/>
      <c r="BC18" s="11" t="str">
        <f t="shared" si="7"/>
        <v/>
      </c>
      <c r="BD18" s="10"/>
      <c r="BE18" s="10"/>
      <c r="BF18" s="14" t="str">
        <f>IF($B18&lt;&gt;"Nuevo","",IF(N(N18)=0,"",ROUND(MAX(0,MIN(10,MAX(0,IFERROR(N(N18)/MAX($N$4:$N$58),0)*10*[1]Parámetros!$B$5+IFERROR(N(AW18),0)*2*[1]Parámetros!$B$6+IFERROR(N(AC18),0)*2*[1]Parámetros!$B$7+IFERROR(INDEX([1]Parámetros!$B$37:$B$48,MATCH(D18,[1]Parámetros!$A$37:$A$48,0)),3)*2*[1]Parámetros!$B$8+IFERROR(N(AD18),0)*2*[1]Parámetros!$B$9+IFERROR(N(U18),0)*2.5*[1]Parámetros!$B$10+IFERROR(N(V18),0)*2.5*[1]Parámetros!$B$11+IF(Z18="Sí",10,0)*[1]Parámetros!$B$12)/[1]Parámetros!$B$14)-IFERROR(N(AZ18),0)*2*[1]Parámetros!$B$13),2)))</f>
        <v/>
      </c>
      <c r="BG18" s="14" t="str">
        <f>IF($B18&lt;&gt;"Nuevo","",IF(N(N18)=0,"",ROUND(MIN(10,MAX(0,IFERROR(N(N18)/MAX($N$4:$N$58),0)*10*[1]Parámetros!$B$5+IFERROR(N(AW18),0)*2*[1]Parámetros!$B$6+IFERROR(N(AC18),0)*2*[1]Parámetros!$B$7+IFERROR(INDEX([1]Parámetros!$B$37:$B$48,MATCH(D18,[1]Parámetros!$A$37:$A$48,0)),3)*2*[1]Parámetros!$B$8+IFERROR(N(AD18),0)*2*[1]Parámetros!$B$9+IFERROR(N(U18),0)*2.5*[1]Parámetros!$B$10+IFERROR(N(V18),0)*2.5*[1]Parámetros!$B$11+IF(Z18="Sí",10,0)*[1]Parámetros!$B$12)/[1]Parámetros!$B$14),2)))</f>
        <v/>
      </c>
      <c r="BH18" s="14" t="str">
        <f t="shared" si="8"/>
        <v/>
      </c>
      <c r="BI18" s="15" t="str">
        <f t="shared" si="9"/>
        <v/>
      </c>
      <c r="BJ18" s="15" t="str">
        <f t="shared" si="10"/>
        <v/>
      </c>
      <c r="BK18" s="10"/>
    </row>
    <row r="19" spans="1:63" ht="27.75" customHeight="1" x14ac:dyDescent="0.35">
      <c r="A19" s="17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 t="str">
        <f t="shared" si="0"/>
        <v/>
      </c>
      <c r="O19" s="19"/>
      <c r="P19" s="19"/>
      <c r="Q19" s="19"/>
      <c r="R19" s="19"/>
      <c r="S19" s="20" t="str">
        <f t="shared" si="1"/>
        <v/>
      </c>
      <c r="T19" s="20" t="str">
        <f t="shared" si="2"/>
        <v/>
      </c>
      <c r="U19" s="21" t="str">
        <f>IF($E19="","",IFERROR(ROUND((O19*[1]Parámetros!$B$29+P19*[1]Parámetros!$B$30+Q19*[1]Parámetros!$B$31+R19*[1]Parámetros!$B$32)/S19,2),""))</f>
        <v/>
      </c>
      <c r="V19" s="22" t="str">
        <f t="shared" si="3"/>
        <v/>
      </c>
      <c r="W19" s="17"/>
      <c r="X19" s="17"/>
      <c r="Y19" s="19"/>
      <c r="Z19" s="17"/>
      <c r="AA19" s="17"/>
      <c r="AB19" s="17"/>
      <c r="AC19" s="17"/>
      <c r="AD19" s="17"/>
      <c r="AE19" s="17"/>
      <c r="AF19" s="17"/>
      <c r="AG19" s="17"/>
      <c r="AH19" s="23"/>
      <c r="AI19" s="17"/>
      <c r="AJ19" s="17"/>
      <c r="AK19" s="17"/>
      <c r="AL19" s="17"/>
      <c r="AM19" s="20" t="str">
        <f t="shared" si="4"/>
        <v/>
      </c>
      <c r="AN19" s="17"/>
      <c r="AO19" s="20" t="str">
        <f t="shared" si="5"/>
        <v/>
      </c>
      <c r="AP19" s="18" t="str">
        <f t="shared" si="6"/>
        <v/>
      </c>
      <c r="AQ19" s="19"/>
      <c r="AR19" s="19"/>
      <c r="AS19" s="17"/>
      <c r="AT19" s="17"/>
      <c r="AU19" s="17"/>
      <c r="AV19" s="21" t="str">
        <f>IF($B19&lt;&gt;"En curso","",IF(COUNT(AK19:AL19)+COUNT(AN19)+COUNT(AQ19:AR19)=0,"",ROUND(IFERROR(N(AM19),0)*10*[1]Parámetros!$B$18+MAX(0,IFERROR(N(AO19),0))*10*[1]Parámetros!$B$19+MAX(0,1-IFERROR(N(AQ19),0)-IFERROR(N(AR19),0))*10*[1]Parámetros!$B$20+IFERROR(N(AS19),0)/4*10*[1]Parámetros!$B$21+IFERROR(N(AU19),0)/5*10*[1]Parámetros!$B$22,2)))</f>
        <v/>
      </c>
      <c r="AW19" s="17"/>
      <c r="AX19" s="17"/>
      <c r="AY19" s="17"/>
      <c r="AZ19" s="17"/>
      <c r="BA19" s="23"/>
      <c r="BB19" s="19"/>
      <c r="BC19" s="18" t="str">
        <f t="shared" si="7"/>
        <v/>
      </c>
      <c r="BD19" s="17"/>
      <c r="BE19" s="17"/>
      <c r="BF19" s="21" t="str">
        <f>IF($B19&lt;&gt;"Nuevo","",IF(N(N19)=0,"",ROUND(MAX(0,MIN(10,MAX(0,IFERROR(N(N19)/MAX($N$4:$N$58),0)*10*[1]Parámetros!$B$5+IFERROR(N(AW19),0)*2*[1]Parámetros!$B$6+IFERROR(N(AC19),0)*2*[1]Parámetros!$B$7+IFERROR(INDEX([1]Parámetros!$B$37:$B$48,MATCH(D19,[1]Parámetros!$A$37:$A$48,0)),3)*2*[1]Parámetros!$B$8+IFERROR(N(AD19),0)*2*[1]Parámetros!$B$9+IFERROR(N(U19),0)*2.5*[1]Parámetros!$B$10+IFERROR(N(V19),0)*2.5*[1]Parámetros!$B$11+IF(Z19="Sí",10,0)*[1]Parámetros!$B$12)/[1]Parámetros!$B$14)-IFERROR(N(AZ19),0)*2*[1]Parámetros!$B$13),2)))</f>
        <v/>
      </c>
      <c r="BG19" s="21" t="str">
        <f>IF($B19&lt;&gt;"Nuevo","",IF(N(N19)=0,"",ROUND(MIN(10,MAX(0,IFERROR(N(N19)/MAX($N$4:$N$58),0)*10*[1]Parámetros!$B$5+IFERROR(N(AW19),0)*2*[1]Parámetros!$B$6+IFERROR(N(AC19),0)*2*[1]Parámetros!$B$7+IFERROR(INDEX([1]Parámetros!$B$37:$B$48,MATCH(D19,[1]Parámetros!$A$37:$A$48,0)),3)*2*[1]Parámetros!$B$8+IFERROR(N(AD19),0)*2*[1]Parámetros!$B$9+IFERROR(N(U19),0)*2.5*[1]Parámetros!$B$10+IFERROR(N(V19),0)*2.5*[1]Parámetros!$B$11+IF(Z19="Sí",10,0)*[1]Parámetros!$B$12)/[1]Parámetros!$B$14),2)))</f>
        <v/>
      </c>
      <c r="BH19" s="21" t="str">
        <f t="shared" si="8"/>
        <v/>
      </c>
      <c r="BI19" s="22" t="str">
        <f t="shared" si="9"/>
        <v/>
      </c>
      <c r="BJ19" s="22" t="str">
        <f t="shared" si="10"/>
        <v/>
      </c>
      <c r="BK19" s="17"/>
    </row>
    <row r="20" spans="1:63" ht="27.75" customHeight="1" x14ac:dyDescent="0.35">
      <c r="A20" s="10">
        <v>17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 t="str">
        <f t="shared" si="0"/>
        <v/>
      </c>
      <c r="O20" s="12"/>
      <c r="P20" s="12"/>
      <c r="Q20" s="12"/>
      <c r="R20" s="12"/>
      <c r="S20" s="13" t="str">
        <f t="shared" si="1"/>
        <v/>
      </c>
      <c r="T20" s="13" t="str">
        <f t="shared" si="2"/>
        <v/>
      </c>
      <c r="U20" s="14" t="str">
        <f>IF($E20="","",IFERROR(ROUND((O20*[1]Parámetros!$B$29+P20*[1]Parámetros!$B$30+Q20*[1]Parámetros!$B$31+R20*[1]Parámetros!$B$32)/S20,2),""))</f>
        <v/>
      </c>
      <c r="V20" s="15" t="str">
        <f t="shared" si="3"/>
        <v/>
      </c>
      <c r="W20" s="10"/>
      <c r="X20" s="10"/>
      <c r="Y20" s="12"/>
      <c r="Z20" s="10"/>
      <c r="AA20" s="10"/>
      <c r="AB20" s="10"/>
      <c r="AC20" s="10"/>
      <c r="AD20" s="10"/>
      <c r="AE20" s="10"/>
      <c r="AF20" s="10"/>
      <c r="AG20" s="10"/>
      <c r="AH20" s="16"/>
      <c r="AI20" s="10"/>
      <c r="AJ20" s="10"/>
      <c r="AK20" s="10"/>
      <c r="AL20" s="10"/>
      <c r="AM20" s="13" t="str">
        <f t="shared" si="4"/>
        <v/>
      </c>
      <c r="AN20" s="10"/>
      <c r="AO20" s="13" t="str">
        <f t="shared" si="5"/>
        <v/>
      </c>
      <c r="AP20" s="11" t="str">
        <f t="shared" si="6"/>
        <v/>
      </c>
      <c r="AQ20" s="12"/>
      <c r="AR20" s="12"/>
      <c r="AS20" s="10"/>
      <c r="AT20" s="10"/>
      <c r="AU20" s="10"/>
      <c r="AV20" s="14" t="str">
        <f>IF($B20&lt;&gt;"En curso","",IF(COUNT(AK20:AL20)+COUNT(AN20)+COUNT(AQ20:AR20)=0,"",ROUND(IFERROR(N(AM20),0)*10*[1]Parámetros!$B$18+MAX(0,IFERROR(N(AO20),0))*10*[1]Parámetros!$B$19+MAX(0,1-IFERROR(N(AQ20),0)-IFERROR(N(AR20),0))*10*[1]Parámetros!$B$20+IFERROR(N(AS20),0)/4*10*[1]Parámetros!$B$21+IFERROR(N(AU20),0)/5*10*[1]Parámetros!$B$22,2)))</f>
        <v/>
      </c>
      <c r="AW20" s="10"/>
      <c r="AX20" s="10"/>
      <c r="AY20" s="10"/>
      <c r="AZ20" s="10"/>
      <c r="BA20" s="16"/>
      <c r="BB20" s="12"/>
      <c r="BC20" s="11" t="str">
        <f t="shared" si="7"/>
        <v/>
      </c>
      <c r="BD20" s="10"/>
      <c r="BE20" s="10"/>
      <c r="BF20" s="14" t="str">
        <f>IF($B20&lt;&gt;"Nuevo","",IF(N(N20)=0,"",ROUND(MAX(0,MIN(10,MAX(0,IFERROR(N(N20)/MAX($N$4:$N$58),0)*10*[1]Parámetros!$B$5+IFERROR(N(AW20),0)*2*[1]Parámetros!$B$6+IFERROR(N(AC20),0)*2*[1]Parámetros!$B$7+IFERROR(INDEX([1]Parámetros!$B$37:$B$48,MATCH(D20,[1]Parámetros!$A$37:$A$48,0)),3)*2*[1]Parámetros!$B$8+IFERROR(N(AD20),0)*2*[1]Parámetros!$B$9+IFERROR(N(U20),0)*2.5*[1]Parámetros!$B$10+IFERROR(N(V20),0)*2.5*[1]Parámetros!$B$11+IF(Z20="Sí",10,0)*[1]Parámetros!$B$12)/[1]Parámetros!$B$14)-IFERROR(N(AZ20),0)*2*[1]Parámetros!$B$13),2)))</f>
        <v/>
      </c>
      <c r="BG20" s="14" t="str">
        <f>IF($B20&lt;&gt;"Nuevo","",IF(N(N20)=0,"",ROUND(MIN(10,MAX(0,IFERROR(N(N20)/MAX($N$4:$N$58),0)*10*[1]Parámetros!$B$5+IFERROR(N(AW20),0)*2*[1]Parámetros!$B$6+IFERROR(N(AC20),0)*2*[1]Parámetros!$B$7+IFERROR(INDEX([1]Parámetros!$B$37:$B$48,MATCH(D20,[1]Parámetros!$A$37:$A$48,0)),3)*2*[1]Parámetros!$B$8+IFERROR(N(AD20),0)*2*[1]Parámetros!$B$9+IFERROR(N(U20),0)*2.5*[1]Parámetros!$B$10+IFERROR(N(V20),0)*2.5*[1]Parámetros!$B$11+IF(Z20="Sí",10,0)*[1]Parámetros!$B$12)/[1]Parámetros!$B$14),2)))</f>
        <v/>
      </c>
      <c r="BH20" s="14" t="str">
        <f t="shared" si="8"/>
        <v/>
      </c>
      <c r="BI20" s="15" t="str">
        <f t="shared" si="9"/>
        <v/>
      </c>
      <c r="BJ20" s="15" t="str">
        <f t="shared" si="10"/>
        <v/>
      </c>
      <c r="BK20" s="10"/>
    </row>
    <row r="21" spans="1:63" ht="27.75" customHeight="1" x14ac:dyDescent="0.35">
      <c r="A21" s="17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 t="str">
        <f t="shared" si="0"/>
        <v/>
      </c>
      <c r="O21" s="19"/>
      <c r="P21" s="19"/>
      <c r="Q21" s="19"/>
      <c r="R21" s="19"/>
      <c r="S21" s="20" t="str">
        <f t="shared" si="1"/>
        <v/>
      </c>
      <c r="T21" s="20" t="str">
        <f t="shared" si="2"/>
        <v/>
      </c>
      <c r="U21" s="21" t="str">
        <f>IF($E21="","",IFERROR(ROUND((O21*[1]Parámetros!$B$29+P21*[1]Parámetros!$B$30+Q21*[1]Parámetros!$B$31+R21*[1]Parámetros!$B$32)/S21,2),""))</f>
        <v/>
      </c>
      <c r="V21" s="22" t="str">
        <f t="shared" si="3"/>
        <v/>
      </c>
      <c r="W21" s="17"/>
      <c r="X21" s="17"/>
      <c r="Y21" s="19"/>
      <c r="Z21" s="17"/>
      <c r="AA21" s="17"/>
      <c r="AB21" s="17"/>
      <c r="AC21" s="17"/>
      <c r="AD21" s="17"/>
      <c r="AE21" s="17"/>
      <c r="AF21" s="17"/>
      <c r="AG21" s="17"/>
      <c r="AH21" s="23"/>
      <c r="AI21" s="17"/>
      <c r="AJ21" s="17"/>
      <c r="AK21" s="17"/>
      <c r="AL21" s="17"/>
      <c r="AM21" s="20" t="str">
        <f t="shared" si="4"/>
        <v/>
      </c>
      <c r="AN21" s="17"/>
      <c r="AO21" s="20" t="str">
        <f t="shared" si="5"/>
        <v/>
      </c>
      <c r="AP21" s="18" t="str">
        <f t="shared" si="6"/>
        <v/>
      </c>
      <c r="AQ21" s="19"/>
      <c r="AR21" s="19"/>
      <c r="AS21" s="17"/>
      <c r="AT21" s="17"/>
      <c r="AU21" s="17"/>
      <c r="AV21" s="21" t="str">
        <f>IF($B21&lt;&gt;"En curso","",IF(COUNT(AK21:AL21)+COUNT(AN21)+COUNT(AQ21:AR21)=0,"",ROUND(IFERROR(N(AM21),0)*10*[1]Parámetros!$B$18+MAX(0,IFERROR(N(AO21),0))*10*[1]Parámetros!$B$19+MAX(0,1-IFERROR(N(AQ21),0)-IFERROR(N(AR21),0))*10*[1]Parámetros!$B$20+IFERROR(N(AS21),0)/4*10*[1]Parámetros!$B$21+IFERROR(N(AU21),0)/5*10*[1]Parámetros!$B$22,2)))</f>
        <v/>
      </c>
      <c r="AW21" s="17"/>
      <c r="AX21" s="17"/>
      <c r="AY21" s="17"/>
      <c r="AZ21" s="17"/>
      <c r="BA21" s="23"/>
      <c r="BB21" s="19"/>
      <c r="BC21" s="18" t="str">
        <f t="shared" si="7"/>
        <v/>
      </c>
      <c r="BD21" s="17"/>
      <c r="BE21" s="17"/>
      <c r="BF21" s="21" t="str">
        <f>IF($B21&lt;&gt;"Nuevo","",IF(N(N21)=0,"",ROUND(MAX(0,MIN(10,MAX(0,IFERROR(N(N21)/MAX($N$4:$N$58),0)*10*[1]Parámetros!$B$5+IFERROR(N(AW21),0)*2*[1]Parámetros!$B$6+IFERROR(N(AC21),0)*2*[1]Parámetros!$B$7+IFERROR(INDEX([1]Parámetros!$B$37:$B$48,MATCH(D21,[1]Parámetros!$A$37:$A$48,0)),3)*2*[1]Parámetros!$B$8+IFERROR(N(AD21),0)*2*[1]Parámetros!$B$9+IFERROR(N(U21),0)*2.5*[1]Parámetros!$B$10+IFERROR(N(V21),0)*2.5*[1]Parámetros!$B$11+IF(Z21="Sí",10,0)*[1]Parámetros!$B$12)/[1]Parámetros!$B$14)-IFERROR(N(AZ21),0)*2*[1]Parámetros!$B$13),2)))</f>
        <v/>
      </c>
      <c r="BG21" s="21" t="str">
        <f>IF($B21&lt;&gt;"Nuevo","",IF(N(N21)=0,"",ROUND(MIN(10,MAX(0,IFERROR(N(N21)/MAX($N$4:$N$58),0)*10*[1]Parámetros!$B$5+IFERROR(N(AW21),0)*2*[1]Parámetros!$B$6+IFERROR(N(AC21),0)*2*[1]Parámetros!$B$7+IFERROR(INDEX([1]Parámetros!$B$37:$B$48,MATCH(D21,[1]Parámetros!$A$37:$A$48,0)),3)*2*[1]Parámetros!$B$8+IFERROR(N(AD21),0)*2*[1]Parámetros!$B$9+IFERROR(N(U21),0)*2.5*[1]Parámetros!$B$10+IFERROR(N(V21),0)*2.5*[1]Parámetros!$B$11+IF(Z21="Sí",10,0)*[1]Parámetros!$B$12)/[1]Parámetros!$B$14),2)))</f>
        <v/>
      </c>
      <c r="BH21" s="21" t="str">
        <f t="shared" si="8"/>
        <v/>
      </c>
      <c r="BI21" s="22" t="str">
        <f t="shared" si="9"/>
        <v/>
      </c>
      <c r="BJ21" s="22" t="str">
        <f t="shared" si="10"/>
        <v/>
      </c>
      <c r="BK21" s="17"/>
    </row>
    <row r="22" spans="1:63" ht="27.75" customHeight="1" x14ac:dyDescent="0.35">
      <c r="A22" s="10">
        <v>19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 t="str">
        <f t="shared" si="0"/>
        <v/>
      </c>
      <c r="O22" s="12"/>
      <c r="P22" s="12"/>
      <c r="Q22" s="12"/>
      <c r="R22" s="12"/>
      <c r="S22" s="13" t="str">
        <f t="shared" si="1"/>
        <v/>
      </c>
      <c r="T22" s="13" t="str">
        <f t="shared" si="2"/>
        <v/>
      </c>
      <c r="U22" s="14" t="str">
        <f>IF($E22="","",IFERROR(ROUND((O22*[1]Parámetros!$B$29+P22*[1]Parámetros!$B$30+Q22*[1]Parámetros!$B$31+R22*[1]Parámetros!$B$32)/S22,2),""))</f>
        <v/>
      </c>
      <c r="V22" s="15" t="str">
        <f t="shared" si="3"/>
        <v/>
      </c>
      <c r="W22" s="10"/>
      <c r="X22" s="10"/>
      <c r="Y22" s="12"/>
      <c r="Z22" s="10"/>
      <c r="AA22" s="10"/>
      <c r="AB22" s="10"/>
      <c r="AC22" s="10"/>
      <c r="AD22" s="10"/>
      <c r="AE22" s="10"/>
      <c r="AF22" s="10"/>
      <c r="AG22" s="10"/>
      <c r="AH22" s="16"/>
      <c r="AI22" s="10"/>
      <c r="AJ22" s="10"/>
      <c r="AK22" s="10"/>
      <c r="AL22" s="10"/>
      <c r="AM22" s="13" t="str">
        <f t="shared" si="4"/>
        <v/>
      </c>
      <c r="AN22" s="10"/>
      <c r="AO22" s="13" t="str">
        <f t="shared" si="5"/>
        <v/>
      </c>
      <c r="AP22" s="11" t="str">
        <f t="shared" si="6"/>
        <v/>
      </c>
      <c r="AQ22" s="12"/>
      <c r="AR22" s="12"/>
      <c r="AS22" s="10"/>
      <c r="AT22" s="10"/>
      <c r="AU22" s="10"/>
      <c r="AV22" s="14" t="str">
        <f>IF($B22&lt;&gt;"En curso","",IF(COUNT(AK22:AL22)+COUNT(AN22)+COUNT(AQ22:AR22)=0,"",ROUND(IFERROR(N(AM22),0)*10*[1]Parámetros!$B$18+MAX(0,IFERROR(N(AO22),0))*10*[1]Parámetros!$B$19+MAX(0,1-IFERROR(N(AQ22),0)-IFERROR(N(AR22),0))*10*[1]Parámetros!$B$20+IFERROR(N(AS22),0)/4*10*[1]Parámetros!$B$21+IFERROR(N(AU22),0)/5*10*[1]Parámetros!$B$22,2)))</f>
        <v/>
      </c>
      <c r="AW22" s="10"/>
      <c r="AX22" s="10"/>
      <c r="AY22" s="10"/>
      <c r="AZ22" s="10"/>
      <c r="BA22" s="16"/>
      <c r="BB22" s="12"/>
      <c r="BC22" s="11" t="str">
        <f t="shared" si="7"/>
        <v/>
      </c>
      <c r="BD22" s="10"/>
      <c r="BE22" s="10"/>
      <c r="BF22" s="14" t="str">
        <f>IF($B22&lt;&gt;"Nuevo","",IF(N(N22)=0,"",ROUND(MAX(0,MIN(10,MAX(0,IFERROR(N(N22)/MAX($N$4:$N$58),0)*10*[1]Parámetros!$B$5+IFERROR(N(AW22),0)*2*[1]Parámetros!$B$6+IFERROR(N(AC22),0)*2*[1]Parámetros!$B$7+IFERROR(INDEX([1]Parámetros!$B$37:$B$48,MATCH(D22,[1]Parámetros!$A$37:$A$48,0)),3)*2*[1]Parámetros!$B$8+IFERROR(N(AD22),0)*2*[1]Parámetros!$B$9+IFERROR(N(U22),0)*2.5*[1]Parámetros!$B$10+IFERROR(N(V22),0)*2.5*[1]Parámetros!$B$11+IF(Z22="Sí",10,0)*[1]Parámetros!$B$12)/[1]Parámetros!$B$14)-IFERROR(N(AZ22),0)*2*[1]Parámetros!$B$13),2)))</f>
        <v/>
      </c>
      <c r="BG22" s="14" t="str">
        <f>IF($B22&lt;&gt;"Nuevo","",IF(N(N22)=0,"",ROUND(MIN(10,MAX(0,IFERROR(N(N22)/MAX($N$4:$N$58),0)*10*[1]Parámetros!$B$5+IFERROR(N(AW22),0)*2*[1]Parámetros!$B$6+IFERROR(N(AC22),0)*2*[1]Parámetros!$B$7+IFERROR(INDEX([1]Parámetros!$B$37:$B$48,MATCH(D22,[1]Parámetros!$A$37:$A$48,0)),3)*2*[1]Parámetros!$B$8+IFERROR(N(AD22),0)*2*[1]Parámetros!$B$9+IFERROR(N(U22),0)*2.5*[1]Parámetros!$B$10+IFERROR(N(V22),0)*2.5*[1]Parámetros!$B$11+IF(Z22="Sí",10,0)*[1]Parámetros!$B$12)/[1]Parámetros!$B$14),2)))</f>
        <v/>
      </c>
      <c r="BH22" s="14" t="str">
        <f t="shared" si="8"/>
        <v/>
      </c>
      <c r="BI22" s="15" t="str">
        <f t="shared" si="9"/>
        <v/>
      </c>
      <c r="BJ22" s="15" t="str">
        <f t="shared" si="10"/>
        <v/>
      </c>
      <c r="BK22" s="10"/>
    </row>
    <row r="23" spans="1:63" ht="27.75" customHeight="1" x14ac:dyDescent="0.35">
      <c r="A23" s="17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 t="str">
        <f t="shared" si="0"/>
        <v/>
      </c>
      <c r="O23" s="19"/>
      <c r="P23" s="19"/>
      <c r="Q23" s="19"/>
      <c r="R23" s="19"/>
      <c r="S23" s="20" t="str">
        <f t="shared" si="1"/>
        <v/>
      </c>
      <c r="T23" s="20" t="str">
        <f t="shared" si="2"/>
        <v/>
      </c>
      <c r="U23" s="21" t="str">
        <f>IF($E23="","",IFERROR(ROUND((O23*[1]Parámetros!$B$29+P23*[1]Parámetros!$B$30+Q23*[1]Parámetros!$B$31+R23*[1]Parámetros!$B$32)/S23,2),""))</f>
        <v/>
      </c>
      <c r="V23" s="22" t="str">
        <f t="shared" si="3"/>
        <v/>
      </c>
      <c r="W23" s="17"/>
      <c r="X23" s="17"/>
      <c r="Y23" s="19"/>
      <c r="Z23" s="17"/>
      <c r="AA23" s="17"/>
      <c r="AB23" s="17"/>
      <c r="AC23" s="17"/>
      <c r="AD23" s="17"/>
      <c r="AE23" s="17"/>
      <c r="AF23" s="17"/>
      <c r="AG23" s="17"/>
      <c r="AH23" s="23"/>
      <c r="AI23" s="17"/>
      <c r="AJ23" s="17"/>
      <c r="AK23" s="17"/>
      <c r="AL23" s="17"/>
      <c r="AM23" s="20" t="str">
        <f t="shared" si="4"/>
        <v/>
      </c>
      <c r="AN23" s="17"/>
      <c r="AO23" s="20" t="str">
        <f t="shared" si="5"/>
        <v/>
      </c>
      <c r="AP23" s="18" t="str">
        <f t="shared" si="6"/>
        <v/>
      </c>
      <c r="AQ23" s="19"/>
      <c r="AR23" s="19"/>
      <c r="AS23" s="17"/>
      <c r="AT23" s="17"/>
      <c r="AU23" s="17"/>
      <c r="AV23" s="21" t="str">
        <f>IF($B23&lt;&gt;"En curso","",IF(COUNT(AK23:AL23)+COUNT(AN23)+COUNT(AQ23:AR23)=0,"",ROUND(IFERROR(N(AM23),0)*10*[1]Parámetros!$B$18+MAX(0,IFERROR(N(AO23),0))*10*[1]Parámetros!$B$19+MAX(0,1-IFERROR(N(AQ23),0)-IFERROR(N(AR23),0))*10*[1]Parámetros!$B$20+IFERROR(N(AS23),0)/4*10*[1]Parámetros!$B$21+IFERROR(N(AU23),0)/5*10*[1]Parámetros!$B$22,2)))</f>
        <v/>
      </c>
      <c r="AW23" s="17"/>
      <c r="AX23" s="17"/>
      <c r="AY23" s="17"/>
      <c r="AZ23" s="17"/>
      <c r="BA23" s="23"/>
      <c r="BB23" s="19"/>
      <c r="BC23" s="18" t="str">
        <f t="shared" si="7"/>
        <v/>
      </c>
      <c r="BD23" s="17"/>
      <c r="BE23" s="17"/>
      <c r="BF23" s="21" t="str">
        <f>IF($B23&lt;&gt;"Nuevo","",IF(N(N23)=0,"",ROUND(MAX(0,MIN(10,MAX(0,IFERROR(N(N23)/MAX($N$4:$N$58),0)*10*[1]Parámetros!$B$5+IFERROR(N(AW23),0)*2*[1]Parámetros!$B$6+IFERROR(N(AC23),0)*2*[1]Parámetros!$B$7+IFERROR(INDEX([1]Parámetros!$B$37:$B$48,MATCH(D23,[1]Parámetros!$A$37:$A$48,0)),3)*2*[1]Parámetros!$B$8+IFERROR(N(AD23),0)*2*[1]Parámetros!$B$9+IFERROR(N(U23),0)*2.5*[1]Parámetros!$B$10+IFERROR(N(V23),0)*2.5*[1]Parámetros!$B$11+IF(Z23="Sí",10,0)*[1]Parámetros!$B$12)/[1]Parámetros!$B$14)-IFERROR(N(AZ23),0)*2*[1]Parámetros!$B$13),2)))</f>
        <v/>
      </c>
      <c r="BG23" s="21" t="str">
        <f>IF($B23&lt;&gt;"Nuevo","",IF(N(N23)=0,"",ROUND(MIN(10,MAX(0,IFERROR(N(N23)/MAX($N$4:$N$58),0)*10*[1]Parámetros!$B$5+IFERROR(N(AW23),0)*2*[1]Parámetros!$B$6+IFERROR(N(AC23),0)*2*[1]Parámetros!$B$7+IFERROR(INDEX([1]Parámetros!$B$37:$B$48,MATCH(D23,[1]Parámetros!$A$37:$A$48,0)),3)*2*[1]Parámetros!$B$8+IFERROR(N(AD23),0)*2*[1]Parámetros!$B$9+IFERROR(N(U23),0)*2.5*[1]Parámetros!$B$10+IFERROR(N(V23),0)*2.5*[1]Parámetros!$B$11+IF(Z23="Sí",10,0)*[1]Parámetros!$B$12)/[1]Parámetros!$B$14),2)))</f>
        <v/>
      </c>
      <c r="BH23" s="21" t="str">
        <f t="shared" si="8"/>
        <v/>
      </c>
      <c r="BI23" s="22" t="str">
        <f t="shared" si="9"/>
        <v/>
      </c>
      <c r="BJ23" s="22" t="str">
        <f t="shared" si="10"/>
        <v/>
      </c>
      <c r="BK23" s="17"/>
    </row>
    <row r="24" spans="1:63" ht="27.75" customHeight="1" x14ac:dyDescent="0.35">
      <c r="A24" s="10">
        <v>21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 t="str">
        <f t="shared" si="0"/>
        <v/>
      </c>
      <c r="O24" s="12"/>
      <c r="P24" s="12"/>
      <c r="Q24" s="12"/>
      <c r="R24" s="12"/>
      <c r="S24" s="13" t="str">
        <f t="shared" si="1"/>
        <v/>
      </c>
      <c r="T24" s="13" t="str">
        <f t="shared" si="2"/>
        <v/>
      </c>
      <c r="U24" s="14" t="str">
        <f>IF($E24="","",IFERROR(ROUND((O24*[1]Parámetros!$B$29+P24*[1]Parámetros!$B$30+Q24*[1]Parámetros!$B$31+R24*[1]Parámetros!$B$32)/S24,2),""))</f>
        <v/>
      </c>
      <c r="V24" s="15" t="str">
        <f t="shared" si="3"/>
        <v/>
      </c>
      <c r="W24" s="10"/>
      <c r="X24" s="10"/>
      <c r="Y24" s="12"/>
      <c r="Z24" s="10"/>
      <c r="AA24" s="10"/>
      <c r="AB24" s="10"/>
      <c r="AC24" s="10"/>
      <c r="AD24" s="10"/>
      <c r="AE24" s="10"/>
      <c r="AF24" s="10"/>
      <c r="AG24" s="10"/>
      <c r="AH24" s="16"/>
      <c r="AI24" s="10"/>
      <c r="AJ24" s="10"/>
      <c r="AK24" s="10"/>
      <c r="AL24" s="10"/>
      <c r="AM24" s="13" t="str">
        <f t="shared" si="4"/>
        <v/>
      </c>
      <c r="AN24" s="10"/>
      <c r="AO24" s="13" t="str">
        <f t="shared" si="5"/>
        <v/>
      </c>
      <c r="AP24" s="11" t="str">
        <f t="shared" si="6"/>
        <v/>
      </c>
      <c r="AQ24" s="12"/>
      <c r="AR24" s="12"/>
      <c r="AS24" s="10"/>
      <c r="AT24" s="10"/>
      <c r="AU24" s="10"/>
      <c r="AV24" s="14" t="str">
        <f>IF($B24&lt;&gt;"En curso","",IF(COUNT(AK24:AL24)+COUNT(AN24)+COUNT(AQ24:AR24)=0,"",ROUND(IFERROR(N(AM24),0)*10*[1]Parámetros!$B$18+MAX(0,IFERROR(N(AO24),0))*10*[1]Parámetros!$B$19+MAX(0,1-IFERROR(N(AQ24),0)-IFERROR(N(AR24),0))*10*[1]Parámetros!$B$20+IFERROR(N(AS24),0)/4*10*[1]Parámetros!$B$21+IFERROR(N(AU24),0)/5*10*[1]Parámetros!$B$22,2)))</f>
        <v/>
      </c>
      <c r="AW24" s="10"/>
      <c r="AX24" s="10"/>
      <c r="AY24" s="10"/>
      <c r="AZ24" s="10"/>
      <c r="BA24" s="16"/>
      <c r="BB24" s="12"/>
      <c r="BC24" s="11" t="str">
        <f t="shared" si="7"/>
        <v/>
      </c>
      <c r="BD24" s="10"/>
      <c r="BE24" s="10"/>
      <c r="BF24" s="14" t="str">
        <f>IF($B24&lt;&gt;"Nuevo","",IF(N(N24)=0,"",ROUND(MAX(0,MIN(10,MAX(0,IFERROR(N(N24)/MAX($N$4:$N$58),0)*10*[1]Parámetros!$B$5+IFERROR(N(AW24),0)*2*[1]Parámetros!$B$6+IFERROR(N(AC24),0)*2*[1]Parámetros!$B$7+IFERROR(INDEX([1]Parámetros!$B$37:$B$48,MATCH(D24,[1]Parámetros!$A$37:$A$48,0)),3)*2*[1]Parámetros!$B$8+IFERROR(N(AD24),0)*2*[1]Parámetros!$B$9+IFERROR(N(U24),0)*2.5*[1]Parámetros!$B$10+IFERROR(N(V24),0)*2.5*[1]Parámetros!$B$11+IF(Z24="Sí",10,0)*[1]Parámetros!$B$12)/[1]Parámetros!$B$14)-IFERROR(N(AZ24),0)*2*[1]Parámetros!$B$13),2)))</f>
        <v/>
      </c>
      <c r="BG24" s="14" t="str">
        <f>IF($B24&lt;&gt;"Nuevo","",IF(N(N24)=0,"",ROUND(MIN(10,MAX(0,IFERROR(N(N24)/MAX($N$4:$N$58),0)*10*[1]Parámetros!$B$5+IFERROR(N(AW24),0)*2*[1]Parámetros!$B$6+IFERROR(N(AC24),0)*2*[1]Parámetros!$B$7+IFERROR(INDEX([1]Parámetros!$B$37:$B$48,MATCH(D24,[1]Parámetros!$A$37:$A$48,0)),3)*2*[1]Parámetros!$B$8+IFERROR(N(AD24),0)*2*[1]Parámetros!$B$9+IFERROR(N(U24),0)*2.5*[1]Parámetros!$B$10+IFERROR(N(V24),0)*2.5*[1]Parámetros!$B$11+IF(Z24="Sí",10,0)*[1]Parámetros!$B$12)/[1]Parámetros!$B$14),2)))</f>
        <v/>
      </c>
      <c r="BH24" s="14" t="str">
        <f t="shared" si="8"/>
        <v/>
      </c>
      <c r="BI24" s="15" t="str">
        <f t="shared" si="9"/>
        <v/>
      </c>
      <c r="BJ24" s="15" t="str">
        <f t="shared" si="10"/>
        <v/>
      </c>
      <c r="BK24" s="10"/>
    </row>
    <row r="25" spans="1:63" ht="27.75" customHeight="1" x14ac:dyDescent="0.35">
      <c r="A25" s="17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 t="str">
        <f t="shared" si="0"/>
        <v/>
      </c>
      <c r="O25" s="19"/>
      <c r="P25" s="19"/>
      <c r="Q25" s="19"/>
      <c r="R25" s="19"/>
      <c r="S25" s="20" t="str">
        <f t="shared" si="1"/>
        <v/>
      </c>
      <c r="T25" s="20" t="str">
        <f t="shared" si="2"/>
        <v/>
      </c>
      <c r="U25" s="21" t="str">
        <f>IF($E25="","",IFERROR(ROUND((O25*[1]Parámetros!$B$29+P25*[1]Parámetros!$B$30+Q25*[1]Parámetros!$B$31+R25*[1]Parámetros!$B$32)/S25,2),""))</f>
        <v/>
      </c>
      <c r="V25" s="22" t="str">
        <f t="shared" si="3"/>
        <v/>
      </c>
      <c r="W25" s="17"/>
      <c r="X25" s="17"/>
      <c r="Y25" s="19"/>
      <c r="Z25" s="17"/>
      <c r="AA25" s="17"/>
      <c r="AB25" s="17"/>
      <c r="AC25" s="17"/>
      <c r="AD25" s="17"/>
      <c r="AE25" s="17"/>
      <c r="AF25" s="17"/>
      <c r="AG25" s="17"/>
      <c r="AH25" s="23"/>
      <c r="AI25" s="17"/>
      <c r="AJ25" s="17"/>
      <c r="AK25" s="17"/>
      <c r="AL25" s="17"/>
      <c r="AM25" s="20" t="str">
        <f t="shared" si="4"/>
        <v/>
      </c>
      <c r="AN25" s="17"/>
      <c r="AO25" s="20" t="str">
        <f t="shared" si="5"/>
        <v/>
      </c>
      <c r="AP25" s="18" t="str">
        <f t="shared" si="6"/>
        <v/>
      </c>
      <c r="AQ25" s="19"/>
      <c r="AR25" s="19"/>
      <c r="AS25" s="17"/>
      <c r="AT25" s="17"/>
      <c r="AU25" s="17"/>
      <c r="AV25" s="21" t="str">
        <f>IF($B25&lt;&gt;"En curso","",IF(COUNT(AK25:AL25)+COUNT(AN25)+COUNT(AQ25:AR25)=0,"",ROUND(IFERROR(N(AM25),0)*10*[1]Parámetros!$B$18+MAX(0,IFERROR(N(AO25),0))*10*[1]Parámetros!$B$19+MAX(0,1-IFERROR(N(AQ25),0)-IFERROR(N(AR25),0))*10*[1]Parámetros!$B$20+IFERROR(N(AS25),0)/4*10*[1]Parámetros!$B$21+IFERROR(N(AU25),0)/5*10*[1]Parámetros!$B$22,2)))</f>
        <v/>
      </c>
      <c r="AW25" s="17"/>
      <c r="AX25" s="17"/>
      <c r="AY25" s="17"/>
      <c r="AZ25" s="17"/>
      <c r="BA25" s="23"/>
      <c r="BB25" s="19"/>
      <c r="BC25" s="18" t="str">
        <f t="shared" si="7"/>
        <v/>
      </c>
      <c r="BD25" s="17"/>
      <c r="BE25" s="17"/>
      <c r="BF25" s="21" t="str">
        <f>IF($B25&lt;&gt;"Nuevo","",IF(N(N25)=0,"",ROUND(MAX(0,MIN(10,MAX(0,IFERROR(N(N25)/MAX($N$4:$N$58),0)*10*[1]Parámetros!$B$5+IFERROR(N(AW25),0)*2*[1]Parámetros!$B$6+IFERROR(N(AC25),0)*2*[1]Parámetros!$B$7+IFERROR(INDEX([1]Parámetros!$B$37:$B$48,MATCH(D25,[1]Parámetros!$A$37:$A$48,0)),3)*2*[1]Parámetros!$B$8+IFERROR(N(AD25),0)*2*[1]Parámetros!$B$9+IFERROR(N(U25),0)*2.5*[1]Parámetros!$B$10+IFERROR(N(V25),0)*2.5*[1]Parámetros!$B$11+IF(Z25="Sí",10,0)*[1]Parámetros!$B$12)/[1]Parámetros!$B$14)-IFERROR(N(AZ25),0)*2*[1]Parámetros!$B$13),2)))</f>
        <v/>
      </c>
      <c r="BG25" s="21" t="str">
        <f>IF($B25&lt;&gt;"Nuevo","",IF(N(N25)=0,"",ROUND(MIN(10,MAX(0,IFERROR(N(N25)/MAX($N$4:$N$58),0)*10*[1]Parámetros!$B$5+IFERROR(N(AW25),0)*2*[1]Parámetros!$B$6+IFERROR(N(AC25),0)*2*[1]Parámetros!$B$7+IFERROR(INDEX([1]Parámetros!$B$37:$B$48,MATCH(D25,[1]Parámetros!$A$37:$A$48,0)),3)*2*[1]Parámetros!$B$8+IFERROR(N(AD25),0)*2*[1]Parámetros!$B$9+IFERROR(N(U25),0)*2.5*[1]Parámetros!$B$10+IFERROR(N(V25),0)*2.5*[1]Parámetros!$B$11+IF(Z25="Sí",10,0)*[1]Parámetros!$B$12)/[1]Parámetros!$B$14),2)))</f>
        <v/>
      </c>
      <c r="BH25" s="21" t="str">
        <f t="shared" si="8"/>
        <v/>
      </c>
      <c r="BI25" s="22" t="str">
        <f t="shared" si="9"/>
        <v/>
      </c>
      <c r="BJ25" s="22" t="str">
        <f t="shared" si="10"/>
        <v/>
      </c>
      <c r="BK25" s="17"/>
    </row>
    <row r="26" spans="1:63" ht="27.75" customHeight="1" x14ac:dyDescent="0.35">
      <c r="A26" s="10">
        <v>23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 t="str">
        <f t="shared" si="0"/>
        <v/>
      </c>
      <c r="O26" s="12"/>
      <c r="P26" s="12"/>
      <c r="Q26" s="12"/>
      <c r="R26" s="12"/>
      <c r="S26" s="13" t="str">
        <f t="shared" si="1"/>
        <v/>
      </c>
      <c r="T26" s="13" t="str">
        <f t="shared" si="2"/>
        <v/>
      </c>
      <c r="U26" s="14" t="str">
        <f>IF($E26="","",IFERROR(ROUND((O26*[1]Parámetros!$B$29+P26*[1]Parámetros!$B$30+Q26*[1]Parámetros!$B$31+R26*[1]Parámetros!$B$32)/S26,2),""))</f>
        <v/>
      </c>
      <c r="V26" s="15" t="str">
        <f t="shared" si="3"/>
        <v/>
      </c>
      <c r="W26" s="10"/>
      <c r="X26" s="10"/>
      <c r="Y26" s="12"/>
      <c r="Z26" s="10"/>
      <c r="AA26" s="10"/>
      <c r="AB26" s="10"/>
      <c r="AC26" s="10"/>
      <c r="AD26" s="10"/>
      <c r="AE26" s="10"/>
      <c r="AF26" s="10"/>
      <c r="AG26" s="10"/>
      <c r="AH26" s="16"/>
      <c r="AI26" s="10"/>
      <c r="AJ26" s="10"/>
      <c r="AK26" s="10"/>
      <c r="AL26" s="10"/>
      <c r="AM26" s="13" t="str">
        <f t="shared" si="4"/>
        <v/>
      </c>
      <c r="AN26" s="10"/>
      <c r="AO26" s="13" t="str">
        <f t="shared" si="5"/>
        <v/>
      </c>
      <c r="AP26" s="11" t="str">
        <f t="shared" si="6"/>
        <v/>
      </c>
      <c r="AQ26" s="12"/>
      <c r="AR26" s="12"/>
      <c r="AS26" s="10"/>
      <c r="AT26" s="10"/>
      <c r="AU26" s="10"/>
      <c r="AV26" s="14" t="str">
        <f>IF($B26&lt;&gt;"En curso","",IF(COUNT(AK26:AL26)+COUNT(AN26)+COUNT(AQ26:AR26)=0,"",ROUND(IFERROR(N(AM26),0)*10*[1]Parámetros!$B$18+MAX(0,IFERROR(N(AO26),0))*10*[1]Parámetros!$B$19+MAX(0,1-IFERROR(N(AQ26),0)-IFERROR(N(AR26),0))*10*[1]Parámetros!$B$20+IFERROR(N(AS26),0)/4*10*[1]Parámetros!$B$21+IFERROR(N(AU26),0)/5*10*[1]Parámetros!$B$22,2)))</f>
        <v/>
      </c>
      <c r="AW26" s="10"/>
      <c r="AX26" s="10"/>
      <c r="AY26" s="10"/>
      <c r="AZ26" s="10"/>
      <c r="BA26" s="16"/>
      <c r="BB26" s="12"/>
      <c r="BC26" s="11" t="str">
        <f t="shared" si="7"/>
        <v/>
      </c>
      <c r="BD26" s="10"/>
      <c r="BE26" s="10"/>
      <c r="BF26" s="14" t="str">
        <f>IF($B26&lt;&gt;"Nuevo","",IF(N(N26)=0,"",ROUND(MAX(0,MIN(10,MAX(0,IFERROR(N(N26)/MAX($N$4:$N$58),0)*10*[1]Parámetros!$B$5+IFERROR(N(AW26),0)*2*[1]Parámetros!$B$6+IFERROR(N(AC26),0)*2*[1]Parámetros!$B$7+IFERROR(INDEX([1]Parámetros!$B$37:$B$48,MATCH(D26,[1]Parámetros!$A$37:$A$48,0)),3)*2*[1]Parámetros!$B$8+IFERROR(N(AD26),0)*2*[1]Parámetros!$B$9+IFERROR(N(U26),0)*2.5*[1]Parámetros!$B$10+IFERROR(N(V26),0)*2.5*[1]Parámetros!$B$11+IF(Z26="Sí",10,0)*[1]Parámetros!$B$12)/[1]Parámetros!$B$14)-IFERROR(N(AZ26),0)*2*[1]Parámetros!$B$13),2)))</f>
        <v/>
      </c>
      <c r="BG26" s="14" t="str">
        <f>IF($B26&lt;&gt;"Nuevo","",IF(N(N26)=0,"",ROUND(MIN(10,MAX(0,IFERROR(N(N26)/MAX($N$4:$N$58),0)*10*[1]Parámetros!$B$5+IFERROR(N(AW26),0)*2*[1]Parámetros!$B$6+IFERROR(N(AC26),0)*2*[1]Parámetros!$B$7+IFERROR(INDEX([1]Parámetros!$B$37:$B$48,MATCH(D26,[1]Parámetros!$A$37:$A$48,0)),3)*2*[1]Parámetros!$B$8+IFERROR(N(AD26),0)*2*[1]Parámetros!$B$9+IFERROR(N(U26),0)*2.5*[1]Parámetros!$B$10+IFERROR(N(V26),0)*2.5*[1]Parámetros!$B$11+IF(Z26="Sí",10,0)*[1]Parámetros!$B$12)/[1]Parámetros!$B$14),2)))</f>
        <v/>
      </c>
      <c r="BH26" s="14" t="str">
        <f t="shared" si="8"/>
        <v/>
      </c>
      <c r="BI26" s="15" t="str">
        <f t="shared" si="9"/>
        <v/>
      </c>
      <c r="BJ26" s="15" t="str">
        <f t="shared" si="10"/>
        <v/>
      </c>
      <c r="BK26" s="10"/>
    </row>
    <row r="27" spans="1:63" ht="27.75" customHeight="1" x14ac:dyDescent="0.35">
      <c r="A27" s="17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 t="str">
        <f t="shared" si="0"/>
        <v/>
      </c>
      <c r="O27" s="19"/>
      <c r="P27" s="19"/>
      <c r="Q27" s="19"/>
      <c r="R27" s="19"/>
      <c r="S27" s="20" t="str">
        <f t="shared" si="1"/>
        <v/>
      </c>
      <c r="T27" s="20" t="str">
        <f t="shared" si="2"/>
        <v/>
      </c>
      <c r="U27" s="21" t="str">
        <f>IF($E27="","",IFERROR(ROUND((O27*[1]Parámetros!$B$29+P27*[1]Parámetros!$B$30+Q27*[1]Parámetros!$B$31+R27*[1]Parámetros!$B$32)/S27,2),""))</f>
        <v/>
      </c>
      <c r="V27" s="22" t="str">
        <f t="shared" si="3"/>
        <v/>
      </c>
      <c r="W27" s="17"/>
      <c r="X27" s="17"/>
      <c r="Y27" s="19"/>
      <c r="Z27" s="17"/>
      <c r="AA27" s="17"/>
      <c r="AB27" s="17"/>
      <c r="AC27" s="17"/>
      <c r="AD27" s="17"/>
      <c r="AE27" s="17"/>
      <c r="AF27" s="17"/>
      <c r="AG27" s="17"/>
      <c r="AH27" s="23"/>
      <c r="AI27" s="17"/>
      <c r="AJ27" s="17"/>
      <c r="AK27" s="17"/>
      <c r="AL27" s="17"/>
      <c r="AM27" s="20" t="str">
        <f t="shared" si="4"/>
        <v/>
      </c>
      <c r="AN27" s="17"/>
      <c r="AO27" s="20" t="str">
        <f t="shared" si="5"/>
        <v/>
      </c>
      <c r="AP27" s="18" t="str">
        <f t="shared" si="6"/>
        <v/>
      </c>
      <c r="AQ27" s="19"/>
      <c r="AR27" s="19"/>
      <c r="AS27" s="17"/>
      <c r="AT27" s="17"/>
      <c r="AU27" s="17"/>
      <c r="AV27" s="21" t="str">
        <f>IF($B27&lt;&gt;"En curso","",IF(COUNT(AK27:AL27)+COUNT(AN27)+COUNT(AQ27:AR27)=0,"",ROUND(IFERROR(N(AM27),0)*10*[1]Parámetros!$B$18+MAX(0,IFERROR(N(AO27),0))*10*[1]Parámetros!$B$19+MAX(0,1-IFERROR(N(AQ27),0)-IFERROR(N(AR27),0))*10*[1]Parámetros!$B$20+IFERROR(N(AS27),0)/4*10*[1]Parámetros!$B$21+IFERROR(N(AU27),0)/5*10*[1]Parámetros!$B$22,2)))</f>
        <v/>
      </c>
      <c r="AW27" s="17"/>
      <c r="AX27" s="17"/>
      <c r="AY27" s="17"/>
      <c r="AZ27" s="17"/>
      <c r="BA27" s="23"/>
      <c r="BB27" s="19"/>
      <c r="BC27" s="18" t="str">
        <f t="shared" si="7"/>
        <v/>
      </c>
      <c r="BD27" s="17"/>
      <c r="BE27" s="17"/>
      <c r="BF27" s="21" t="str">
        <f>IF($B27&lt;&gt;"Nuevo","",IF(N(N27)=0,"",ROUND(MAX(0,MIN(10,MAX(0,IFERROR(N(N27)/MAX($N$4:$N$58),0)*10*[1]Parámetros!$B$5+IFERROR(N(AW27),0)*2*[1]Parámetros!$B$6+IFERROR(N(AC27),0)*2*[1]Parámetros!$B$7+IFERROR(INDEX([1]Parámetros!$B$37:$B$48,MATCH(D27,[1]Parámetros!$A$37:$A$48,0)),3)*2*[1]Parámetros!$B$8+IFERROR(N(AD27),0)*2*[1]Parámetros!$B$9+IFERROR(N(U27),0)*2.5*[1]Parámetros!$B$10+IFERROR(N(V27),0)*2.5*[1]Parámetros!$B$11+IF(Z27="Sí",10,0)*[1]Parámetros!$B$12)/[1]Parámetros!$B$14)-IFERROR(N(AZ27),0)*2*[1]Parámetros!$B$13),2)))</f>
        <v/>
      </c>
      <c r="BG27" s="21" t="str">
        <f>IF($B27&lt;&gt;"Nuevo","",IF(N(N27)=0,"",ROUND(MIN(10,MAX(0,IFERROR(N(N27)/MAX($N$4:$N$58),0)*10*[1]Parámetros!$B$5+IFERROR(N(AW27),0)*2*[1]Parámetros!$B$6+IFERROR(N(AC27),0)*2*[1]Parámetros!$B$7+IFERROR(INDEX([1]Parámetros!$B$37:$B$48,MATCH(D27,[1]Parámetros!$A$37:$A$48,0)),3)*2*[1]Parámetros!$B$8+IFERROR(N(AD27),0)*2*[1]Parámetros!$B$9+IFERROR(N(U27),0)*2.5*[1]Parámetros!$B$10+IFERROR(N(V27),0)*2.5*[1]Parámetros!$B$11+IF(Z27="Sí",10,0)*[1]Parámetros!$B$12)/[1]Parámetros!$B$14),2)))</f>
        <v/>
      </c>
      <c r="BH27" s="21" t="str">
        <f t="shared" si="8"/>
        <v/>
      </c>
      <c r="BI27" s="22" t="str">
        <f t="shared" si="9"/>
        <v/>
      </c>
      <c r="BJ27" s="22" t="str">
        <f t="shared" si="10"/>
        <v/>
      </c>
      <c r="BK27" s="17"/>
    </row>
    <row r="28" spans="1:63" ht="27.75" customHeight="1" x14ac:dyDescent="0.35">
      <c r="A28" s="10">
        <v>25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 t="str">
        <f t="shared" si="0"/>
        <v/>
      </c>
      <c r="O28" s="12"/>
      <c r="P28" s="12"/>
      <c r="Q28" s="12"/>
      <c r="R28" s="12"/>
      <c r="S28" s="13" t="str">
        <f t="shared" si="1"/>
        <v/>
      </c>
      <c r="T28" s="13" t="str">
        <f t="shared" si="2"/>
        <v/>
      </c>
      <c r="U28" s="14" t="str">
        <f>IF($E28="","",IFERROR(ROUND((O28*[1]Parámetros!$B$29+P28*[1]Parámetros!$B$30+Q28*[1]Parámetros!$B$31+R28*[1]Parámetros!$B$32)/S28,2),""))</f>
        <v/>
      </c>
      <c r="V28" s="15" t="str">
        <f t="shared" si="3"/>
        <v/>
      </c>
      <c r="W28" s="10"/>
      <c r="X28" s="10"/>
      <c r="Y28" s="12"/>
      <c r="Z28" s="10"/>
      <c r="AA28" s="10"/>
      <c r="AB28" s="10"/>
      <c r="AC28" s="10"/>
      <c r="AD28" s="10"/>
      <c r="AE28" s="10"/>
      <c r="AF28" s="10"/>
      <c r="AG28" s="10"/>
      <c r="AH28" s="16"/>
      <c r="AI28" s="10"/>
      <c r="AJ28" s="10"/>
      <c r="AK28" s="10"/>
      <c r="AL28" s="10"/>
      <c r="AM28" s="13" t="str">
        <f t="shared" si="4"/>
        <v/>
      </c>
      <c r="AN28" s="10"/>
      <c r="AO28" s="13" t="str">
        <f t="shared" si="5"/>
        <v/>
      </c>
      <c r="AP28" s="11" t="str">
        <f t="shared" si="6"/>
        <v/>
      </c>
      <c r="AQ28" s="12"/>
      <c r="AR28" s="12"/>
      <c r="AS28" s="10"/>
      <c r="AT28" s="10"/>
      <c r="AU28" s="10"/>
      <c r="AV28" s="14" t="str">
        <f>IF($B28&lt;&gt;"En curso","",IF(COUNT(AK28:AL28)+COUNT(AN28)+COUNT(AQ28:AR28)=0,"",ROUND(IFERROR(N(AM28),0)*10*[1]Parámetros!$B$18+MAX(0,IFERROR(N(AO28),0))*10*[1]Parámetros!$B$19+MAX(0,1-IFERROR(N(AQ28),0)-IFERROR(N(AR28),0))*10*[1]Parámetros!$B$20+IFERROR(N(AS28),0)/4*10*[1]Parámetros!$B$21+IFERROR(N(AU28),0)/5*10*[1]Parámetros!$B$22,2)))</f>
        <v/>
      </c>
      <c r="AW28" s="10"/>
      <c r="AX28" s="10"/>
      <c r="AY28" s="10"/>
      <c r="AZ28" s="10"/>
      <c r="BA28" s="16"/>
      <c r="BB28" s="12"/>
      <c r="BC28" s="11" t="str">
        <f t="shared" si="7"/>
        <v/>
      </c>
      <c r="BD28" s="10"/>
      <c r="BE28" s="10"/>
      <c r="BF28" s="14" t="str">
        <f>IF($B28&lt;&gt;"Nuevo","",IF(N(N28)=0,"",ROUND(MAX(0,MIN(10,MAX(0,IFERROR(N(N28)/MAX($N$4:$N$58),0)*10*[1]Parámetros!$B$5+IFERROR(N(AW28),0)*2*[1]Parámetros!$B$6+IFERROR(N(AC28),0)*2*[1]Parámetros!$B$7+IFERROR(INDEX([1]Parámetros!$B$37:$B$48,MATCH(D28,[1]Parámetros!$A$37:$A$48,0)),3)*2*[1]Parámetros!$B$8+IFERROR(N(AD28),0)*2*[1]Parámetros!$B$9+IFERROR(N(U28),0)*2.5*[1]Parámetros!$B$10+IFERROR(N(V28),0)*2.5*[1]Parámetros!$B$11+IF(Z28="Sí",10,0)*[1]Parámetros!$B$12)/[1]Parámetros!$B$14)-IFERROR(N(AZ28),0)*2*[1]Parámetros!$B$13),2)))</f>
        <v/>
      </c>
      <c r="BG28" s="14" t="str">
        <f>IF($B28&lt;&gt;"Nuevo","",IF(N(N28)=0,"",ROUND(MIN(10,MAX(0,IFERROR(N(N28)/MAX($N$4:$N$58),0)*10*[1]Parámetros!$B$5+IFERROR(N(AW28),0)*2*[1]Parámetros!$B$6+IFERROR(N(AC28),0)*2*[1]Parámetros!$B$7+IFERROR(INDEX([1]Parámetros!$B$37:$B$48,MATCH(D28,[1]Parámetros!$A$37:$A$48,0)),3)*2*[1]Parámetros!$B$8+IFERROR(N(AD28),0)*2*[1]Parámetros!$B$9+IFERROR(N(U28),0)*2.5*[1]Parámetros!$B$10+IFERROR(N(V28),0)*2.5*[1]Parámetros!$B$11+IF(Z28="Sí",10,0)*[1]Parámetros!$B$12)/[1]Parámetros!$B$14),2)))</f>
        <v/>
      </c>
      <c r="BH28" s="14" t="str">
        <f t="shared" si="8"/>
        <v/>
      </c>
      <c r="BI28" s="15" t="str">
        <f t="shared" si="9"/>
        <v/>
      </c>
      <c r="BJ28" s="15" t="str">
        <f t="shared" si="10"/>
        <v/>
      </c>
      <c r="BK28" s="10"/>
    </row>
    <row r="29" spans="1:63" ht="27.75" customHeight="1" x14ac:dyDescent="0.35">
      <c r="A29" s="17">
        <v>26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 t="str">
        <f t="shared" si="0"/>
        <v/>
      </c>
      <c r="O29" s="19"/>
      <c r="P29" s="19"/>
      <c r="Q29" s="19"/>
      <c r="R29" s="19"/>
      <c r="S29" s="20" t="str">
        <f t="shared" si="1"/>
        <v/>
      </c>
      <c r="T29" s="20" t="str">
        <f t="shared" si="2"/>
        <v/>
      </c>
      <c r="U29" s="21" t="str">
        <f>IF($E29="","",IFERROR(ROUND((O29*[1]Parámetros!$B$29+P29*[1]Parámetros!$B$30+Q29*[1]Parámetros!$B$31+R29*[1]Parámetros!$B$32)/S29,2),""))</f>
        <v/>
      </c>
      <c r="V29" s="22" t="str">
        <f t="shared" si="3"/>
        <v/>
      </c>
      <c r="W29" s="17"/>
      <c r="X29" s="17"/>
      <c r="Y29" s="19"/>
      <c r="Z29" s="17"/>
      <c r="AA29" s="17"/>
      <c r="AB29" s="17"/>
      <c r="AC29" s="17"/>
      <c r="AD29" s="17"/>
      <c r="AE29" s="17"/>
      <c r="AF29" s="17"/>
      <c r="AG29" s="17"/>
      <c r="AH29" s="23"/>
      <c r="AI29" s="17"/>
      <c r="AJ29" s="17"/>
      <c r="AK29" s="17"/>
      <c r="AL29" s="17"/>
      <c r="AM29" s="20" t="str">
        <f t="shared" si="4"/>
        <v/>
      </c>
      <c r="AN29" s="17"/>
      <c r="AO29" s="20" t="str">
        <f t="shared" si="5"/>
        <v/>
      </c>
      <c r="AP29" s="18" t="str">
        <f t="shared" si="6"/>
        <v/>
      </c>
      <c r="AQ29" s="19"/>
      <c r="AR29" s="19"/>
      <c r="AS29" s="17"/>
      <c r="AT29" s="17"/>
      <c r="AU29" s="17"/>
      <c r="AV29" s="21" t="str">
        <f>IF($B29&lt;&gt;"En curso","",IF(COUNT(AK29:AL29)+COUNT(AN29)+COUNT(AQ29:AR29)=0,"",ROUND(IFERROR(N(AM29),0)*10*[1]Parámetros!$B$18+MAX(0,IFERROR(N(AO29),0))*10*[1]Parámetros!$B$19+MAX(0,1-IFERROR(N(AQ29),0)-IFERROR(N(AR29),0))*10*[1]Parámetros!$B$20+IFERROR(N(AS29),0)/4*10*[1]Parámetros!$B$21+IFERROR(N(AU29),0)/5*10*[1]Parámetros!$B$22,2)))</f>
        <v/>
      </c>
      <c r="AW29" s="17"/>
      <c r="AX29" s="17"/>
      <c r="AY29" s="17"/>
      <c r="AZ29" s="17"/>
      <c r="BA29" s="23"/>
      <c r="BB29" s="19"/>
      <c r="BC29" s="18" t="str">
        <f t="shared" si="7"/>
        <v/>
      </c>
      <c r="BD29" s="17"/>
      <c r="BE29" s="17"/>
      <c r="BF29" s="21" t="str">
        <f>IF($B29&lt;&gt;"Nuevo","",IF(N(N29)=0,"",ROUND(MAX(0,MIN(10,MAX(0,IFERROR(N(N29)/MAX($N$4:$N$58),0)*10*[1]Parámetros!$B$5+IFERROR(N(AW29),0)*2*[1]Parámetros!$B$6+IFERROR(N(AC29),0)*2*[1]Parámetros!$B$7+IFERROR(INDEX([1]Parámetros!$B$37:$B$48,MATCH(D29,[1]Parámetros!$A$37:$A$48,0)),3)*2*[1]Parámetros!$B$8+IFERROR(N(AD29),0)*2*[1]Parámetros!$B$9+IFERROR(N(U29),0)*2.5*[1]Parámetros!$B$10+IFERROR(N(V29),0)*2.5*[1]Parámetros!$B$11+IF(Z29="Sí",10,0)*[1]Parámetros!$B$12)/[1]Parámetros!$B$14)-IFERROR(N(AZ29),0)*2*[1]Parámetros!$B$13),2)))</f>
        <v/>
      </c>
      <c r="BG29" s="21" t="str">
        <f>IF($B29&lt;&gt;"Nuevo","",IF(N(N29)=0,"",ROUND(MIN(10,MAX(0,IFERROR(N(N29)/MAX($N$4:$N$58),0)*10*[1]Parámetros!$B$5+IFERROR(N(AW29),0)*2*[1]Parámetros!$B$6+IFERROR(N(AC29),0)*2*[1]Parámetros!$B$7+IFERROR(INDEX([1]Parámetros!$B$37:$B$48,MATCH(D29,[1]Parámetros!$A$37:$A$48,0)),3)*2*[1]Parámetros!$B$8+IFERROR(N(AD29),0)*2*[1]Parámetros!$B$9+IFERROR(N(U29),0)*2.5*[1]Parámetros!$B$10+IFERROR(N(V29),0)*2.5*[1]Parámetros!$B$11+IF(Z29="Sí",10,0)*[1]Parámetros!$B$12)/[1]Parámetros!$B$14),2)))</f>
        <v/>
      </c>
      <c r="BH29" s="21" t="str">
        <f t="shared" si="8"/>
        <v/>
      </c>
      <c r="BI29" s="22" t="str">
        <f t="shared" si="9"/>
        <v/>
      </c>
      <c r="BJ29" s="22" t="str">
        <f t="shared" si="10"/>
        <v/>
      </c>
      <c r="BK29" s="17"/>
    </row>
    <row r="30" spans="1:63" ht="27.75" customHeight="1" x14ac:dyDescent="0.35">
      <c r="A30" s="10">
        <v>27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 t="str">
        <f t="shared" si="0"/>
        <v/>
      </c>
      <c r="O30" s="12"/>
      <c r="P30" s="12"/>
      <c r="Q30" s="12"/>
      <c r="R30" s="12"/>
      <c r="S30" s="13" t="str">
        <f t="shared" si="1"/>
        <v/>
      </c>
      <c r="T30" s="13" t="str">
        <f t="shared" si="2"/>
        <v/>
      </c>
      <c r="U30" s="14" t="str">
        <f>IF($E30="","",IFERROR(ROUND((O30*[1]Parámetros!$B$29+P30*[1]Parámetros!$B$30+Q30*[1]Parámetros!$B$31+R30*[1]Parámetros!$B$32)/S30,2),""))</f>
        <v/>
      </c>
      <c r="V30" s="15" t="str">
        <f t="shared" si="3"/>
        <v/>
      </c>
      <c r="W30" s="10"/>
      <c r="X30" s="10"/>
      <c r="Y30" s="12"/>
      <c r="Z30" s="10"/>
      <c r="AA30" s="10"/>
      <c r="AB30" s="10"/>
      <c r="AC30" s="10"/>
      <c r="AD30" s="10"/>
      <c r="AE30" s="10"/>
      <c r="AF30" s="10"/>
      <c r="AG30" s="10"/>
      <c r="AH30" s="16"/>
      <c r="AI30" s="10"/>
      <c r="AJ30" s="10"/>
      <c r="AK30" s="10"/>
      <c r="AL30" s="10"/>
      <c r="AM30" s="13" t="str">
        <f t="shared" si="4"/>
        <v/>
      </c>
      <c r="AN30" s="10"/>
      <c r="AO30" s="13" t="str">
        <f t="shared" si="5"/>
        <v/>
      </c>
      <c r="AP30" s="11" t="str">
        <f t="shared" si="6"/>
        <v/>
      </c>
      <c r="AQ30" s="12"/>
      <c r="AR30" s="12"/>
      <c r="AS30" s="10"/>
      <c r="AT30" s="10"/>
      <c r="AU30" s="10"/>
      <c r="AV30" s="14" t="str">
        <f>IF($B30&lt;&gt;"En curso","",IF(COUNT(AK30:AL30)+COUNT(AN30)+COUNT(AQ30:AR30)=0,"",ROUND(IFERROR(N(AM30),0)*10*[1]Parámetros!$B$18+MAX(0,IFERROR(N(AO30),0))*10*[1]Parámetros!$B$19+MAX(0,1-IFERROR(N(AQ30),0)-IFERROR(N(AR30),0))*10*[1]Parámetros!$B$20+IFERROR(N(AS30),0)/4*10*[1]Parámetros!$B$21+IFERROR(N(AU30),0)/5*10*[1]Parámetros!$B$22,2)))</f>
        <v/>
      </c>
      <c r="AW30" s="10"/>
      <c r="AX30" s="10"/>
      <c r="AY30" s="10"/>
      <c r="AZ30" s="10"/>
      <c r="BA30" s="16"/>
      <c r="BB30" s="12"/>
      <c r="BC30" s="11" t="str">
        <f t="shared" si="7"/>
        <v/>
      </c>
      <c r="BD30" s="10"/>
      <c r="BE30" s="10"/>
      <c r="BF30" s="14" t="str">
        <f>IF($B30&lt;&gt;"Nuevo","",IF(N(N30)=0,"",ROUND(MAX(0,MIN(10,MAX(0,IFERROR(N(N30)/MAX($N$4:$N$58),0)*10*[1]Parámetros!$B$5+IFERROR(N(AW30),0)*2*[1]Parámetros!$B$6+IFERROR(N(AC30),0)*2*[1]Parámetros!$B$7+IFERROR(INDEX([1]Parámetros!$B$37:$B$48,MATCH(D30,[1]Parámetros!$A$37:$A$48,0)),3)*2*[1]Parámetros!$B$8+IFERROR(N(AD30),0)*2*[1]Parámetros!$B$9+IFERROR(N(U30),0)*2.5*[1]Parámetros!$B$10+IFERROR(N(V30),0)*2.5*[1]Parámetros!$B$11+IF(Z30="Sí",10,0)*[1]Parámetros!$B$12)/[1]Parámetros!$B$14)-IFERROR(N(AZ30),0)*2*[1]Parámetros!$B$13),2)))</f>
        <v/>
      </c>
      <c r="BG30" s="14" t="str">
        <f>IF($B30&lt;&gt;"Nuevo","",IF(N(N30)=0,"",ROUND(MIN(10,MAX(0,IFERROR(N(N30)/MAX($N$4:$N$58),0)*10*[1]Parámetros!$B$5+IFERROR(N(AW30),0)*2*[1]Parámetros!$B$6+IFERROR(N(AC30),0)*2*[1]Parámetros!$B$7+IFERROR(INDEX([1]Parámetros!$B$37:$B$48,MATCH(D30,[1]Parámetros!$A$37:$A$48,0)),3)*2*[1]Parámetros!$B$8+IFERROR(N(AD30),0)*2*[1]Parámetros!$B$9+IFERROR(N(U30),0)*2.5*[1]Parámetros!$B$10+IFERROR(N(V30),0)*2.5*[1]Parámetros!$B$11+IF(Z30="Sí",10,0)*[1]Parámetros!$B$12)/[1]Parámetros!$B$14),2)))</f>
        <v/>
      </c>
      <c r="BH30" s="14" t="str">
        <f t="shared" si="8"/>
        <v/>
      </c>
      <c r="BI30" s="15" t="str">
        <f t="shared" si="9"/>
        <v/>
      </c>
      <c r="BJ30" s="15" t="str">
        <f t="shared" si="10"/>
        <v/>
      </c>
      <c r="BK30" s="10"/>
    </row>
    <row r="31" spans="1:63" ht="27.75" customHeight="1" x14ac:dyDescent="0.35">
      <c r="A31" s="17">
        <v>28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 t="str">
        <f t="shared" si="0"/>
        <v/>
      </c>
      <c r="O31" s="19"/>
      <c r="P31" s="19"/>
      <c r="Q31" s="19"/>
      <c r="R31" s="19"/>
      <c r="S31" s="20" t="str">
        <f t="shared" si="1"/>
        <v/>
      </c>
      <c r="T31" s="20" t="str">
        <f t="shared" si="2"/>
        <v/>
      </c>
      <c r="U31" s="21" t="str">
        <f>IF($E31="","",IFERROR(ROUND((O31*[1]Parámetros!$B$29+P31*[1]Parámetros!$B$30+Q31*[1]Parámetros!$B$31+R31*[1]Parámetros!$B$32)/S31,2),""))</f>
        <v/>
      </c>
      <c r="V31" s="22" t="str">
        <f t="shared" si="3"/>
        <v/>
      </c>
      <c r="W31" s="17"/>
      <c r="X31" s="17"/>
      <c r="Y31" s="19"/>
      <c r="Z31" s="17"/>
      <c r="AA31" s="17"/>
      <c r="AB31" s="17"/>
      <c r="AC31" s="17"/>
      <c r="AD31" s="17"/>
      <c r="AE31" s="17"/>
      <c r="AF31" s="17"/>
      <c r="AG31" s="17"/>
      <c r="AH31" s="23"/>
      <c r="AI31" s="17"/>
      <c r="AJ31" s="17"/>
      <c r="AK31" s="17"/>
      <c r="AL31" s="17"/>
      <c r="AM31" s="20" t="str">
        <f t="shared" si="4"/>
        <v/>
      </c>
      <c r="AN31" s="17"/>
      <c r="AO31" s="20" t="str">
        <f t="shared" si="5"/>
        <v/>
      </c>
      <c r="AP31" s="18" t="str">
        <f t="shared" si="6"/>
        <v/>
      </c>
      <c r="AQ31" s="19"/>
      <c r="AR31" s="19"/>
      <c r="AS31" s="17"/>
      <c r="AT31" s="17"/>
      <c r="AU31" s="17"/>
      <c r="AV31" s="21" t="str">
        <f>IF($B31&lt;&gt;"En curso","",IF(COUNT(AK31:AL31)+COUNT(AN31)+COUNT(AQ31:AR31)=0,"",ROUND(IFERROR(N(AM31),0)*10*[1]Parámetros!$B$18+MAX(0,IFERROR(N(AO31),0))*10*[1]Parámetros!$B$19+MAX(0,1-IFERROR(N(AQ31),0)-IFERROR(N(AR31),0))*10*[1]Parámetros!$B$20+IFERROR(N(AS31),0)/4*10*[1]Parámetros!$B$21+IFERROR(N(AU31),0)/5*10*[1]Parámetros!$B$22,2)))</f>
        <v/>
      </c>
      <c r="AW31" s="17"/>
      <c r="AX31" s="17"/>
      <c r="AY31" s="17"/>
      <c r="AZ31" s="17"/>
      <c r="BA31" s="23"/>
      <c r="BB31" s="19"/>
      <c r="BC31" s="18" t="str">
        <f t="shared" si="7"/>
        <v/>
      </c>
      <c r="BD31" s="17"/>
      <c r="BE31" s="17"/>
      <c r="BF31" s="21" t="str">
        <f>IF($B31&lt;&gt;"Nuevo","",IF(N(N31)=0,"",ROUND(MAX(0,MIN(10,MAX(0,IFERROR(N(N31)/MAX($N$4:$N$58),0)*10*[1]Parámetros!$B$5+IFERROR(N(AW31),0)*2*[1]Parámetros!$B$6+IFERROR(N(AC31),0)*2*[1]Parámetros!$B$7+IFERROR(INDEX([1]Parámetros!$B$37:$B$48,MATCH(D31,[1]Parámetros!$A$37:$A$48,0)),3)*2*[1]Parámetros!$B$8+IFERROR(N(AD31),0)*2*[1]Parámetros!$B$9+IFERROR(N(U31),0)*2.5*[1]Parámetros!$B$10+IFERROR(N(V31),0)*2.5*[1]Parámetros!$B$11+IF(Z31="Sí",10,0)*[1]Parámetros!$B$12)/[1]Parámetros!$B$14)-IFERROR(N(AZ31),0)*2*[1]Parámetros!$B$13),2)))</f>
        <v/>
      </c>
      <c r="BG31" s="21" t="str">
        <f>IF($B31&lt;&gt;"Nuevo","",IF(N(N31)=0,"",ROUND(MIN(10,MAX(0,IFERROR(N(N31)/MAX($N$4:$N$58),0)*10*[1]Parámetros!$B$5+IFERROR(N(AW31),0)*2*[1]Parámetros!$B$6+IFERROR(N(AC31),0)*2*[1]Parámetros!$B$7+IFERROR(INDEX([1]Parámetros!$B$37:$B$48,MATCH(D31,[1]Parámetros!$A$37:$A$48,0)),3)*2*[1]Parámetros!$B$8+IFERROR(N(AD31),0)*2*[1]Parámetros!$B$9+IFERROR(N(U31),0)*2.5*[1]Parámetros!$B$10+IFERROR(N(V31),0)*2.5*[1]Parámetros!$B$11+IF(Z31="Sí",10,0)*[1]Parámetros!$B$12)/[1]Parámetros!$B$14),2)))</f>
        <v/>
      </c>
      <c r="BH31" s="21" t="str">
        <f t="shared" si="8"/>
        <v/>
      </c>
      <c r="BI31" s="22" t="str">
        <f t="shared" si="9"/>
        <v/>
      </c>
      <c r="BJ31" s="22" t="str">
        <f t="shared" si="10"/>
        <v/>
      </c>
      <c r="BK31" s="17"/>
    </row>
    <row r="32" spans="1:63" ht="27.75" customHeight="1" x14ac:dyDescent="0.35">
      <c r="A32" s="10">
        <v>29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 t="str">
        <f t="shared" si="0"/>
        <v/>
      </c>
      <c r="O32" s="12"/>
      <c r="P32" s="12"/>
      <c r="Q32" s="12"/>
      <c r="R32" s="12"/>
      <c r="S32" s="13" t="str">
        <f t="shared" si="1"/>
        <v/>
      </c>
      <c r="T32" s="13" t="str">
        <f t="shared" si="2"/>
        <v/>
      </c>
      <c r="U32" s="14" t="str">
        <f>IF($E32="","",IFERROR(ROUND((O32*[1]Parámetros!$B$29+P32*[1]Parámetros!$B$30+Q32*[1]Parámetros!$B$31+R32*[1]Parámetros!$B$32)/S32,2),""))</f>
        <v/>
      </c>
      <c r="V32" s="15" t="str">
        <f t="shared" si="3"/>
        <v/>
      </c>
      <c r="W32" s="10"/>
      <c r="X32" s="10"/>
      <c r="Y32" s="12"/>
      <c r="Z32" s="10"/>
      <c r="AA32" s="10"/>
      <c r="AB32" s="10"/>
      <c r="AC32" s="10"/>
      <c r="AD32" s="10"/>
      <c r="AE32" s="10"/>
      <c r="AF32" s="10"/>
      <c r="AG32" s="10"/>
      <c r="AH32" s="16"/>
      <c r="AI32" s="10"/>
      <c r="AJ32" s="10"/>
      <c r="AK32" s="10"/>
      <c r="AL32" s="10"/>
      <c r="AM32" s="13" t="str">
        <f t="shared" si="4"/>
        <v/>
      </c>
      <c r="AN32" s="10"/>
      <c r="AO32" s="13" t="str">
        <f t="shared" si="5"/>
        <v/>
      </c>
      <c r="AP32" s="11" t="str">
        <f t="shared" si="6"/>
        <v/>
      </c>
      <c r="AQ32" s="12"/>
      <c r="AR32" s="12"/>
      <c r="AS32" s="10"/>
      <c r="AT32" s="10"/>
      <c r="AU32" s="10"/>
      <c r="AV32" s="14" t="str">
        <f>IF($B32&lt;&gt;"En curso","",IF(COUNT(AK32:AL32)+COUNT(AN32)+COUNT(AQ32:AR32)=0,"",ROUND(IFERROR(N(AM32),0)*10*[1]Parámetros!$B$18+MAX(0,IFERROR(N(AO32),0))*10*[1]Parámetros!$B$19+MAX(0,1-IFERROR(N(AQ32),0)-IFERROR(N(AR32),0))*10*[1]Parámetros!$B$20+IFERROR(N(AS32),0)/4*10*[1]Parámetros!$B$21+IFERROR(N(AU32),0)/5*10*[1]Parámetros!$B$22,2)))</f>
        <v/>
      </c>
      <c r="AW32" s="10"/>
      <c r="AX32" s="10"/>
      <c r="AY32" s="10"/>
      <c r="AZ32" s="10"/>
      <c r="BA32" s="16"/>
      <c r="BB32" s="12"/>
      <c r="BC32" s="11" t="str">
        <f t="shared" si="7"/>
        <v/>
      </c>
      <c r="BD32" s="10"/>
      <c r="BE32" s="10"/>
      <c r="BF32" s="14" t="str">
        <f>IF($B32&lt;&gt;"Nuevo","",IF(N(N32)=0,"",ROUND(MAX(0,MIN(10,MAX(0,IFERROR(N(N32)/MAX($N$4:$N$58),0)*10*[1]Parámetros!$B$5+IFERROR(N(AW32),0)*2*[1]Parámetros!$B$6+IFERROR(N(AC32),0)*2*[1]Parámetros!$B$7+IFERROR(INDEX([1]Parámetros!$B$37:$B$48,MATCH(D32,[1]Parámetros!$A$37:$A$48,0)),3)*2*[1]Parámetros!$B$8+IFERROR(N(AD32),0)*2*[1]Parámetros!$B$9+IFERROR(N(U32),0)*2.5*[1]Parámetros!$B$10+IFERROR(N(V32),0)*2.5*[1]Parámetros!$B$11+IF(Z32="Sí",10,0)*[1]Parámetros!$B$12)/[1]Parámetros!$B$14)-IFERROR(N(AZ32),0)*2*[1]Parámetros!$B$13),2)))</f>
        <v/>
      </c>
      <c r="BG32" s="14" t="str">
        <f>IF($B32&lt;&gt;"Nuevo","",IF(N(N32)=0,"",ROUND(MIN(10,MAX(0,IFERROR(N(N32)/MAX($N$4:$N$58),0)*10*[1]Parámetros!$B$5+IFERROR(N(AW32),0)*2*[1]Parámetros!$B$6+IFERROR(N(AC32),0)*2*[1]Parámetros!$B$7+IFERROR(INDEX([1]Parámetros!$B$37:$B$48,MATCH(D32,[1]Parámetros!$A$37:$A$48,0)),3)*2*[1]Parámetros!$B$8+IFERROR(N(AD32),0)*2*[1]Parámetros!$B$9+IFERROR(N(U32),0)*2.5*[1]Parámetros!$B$10+IFERROR(N(V32),0)*2.5*[1]Parámetros!$B$11+IF(Z32="Sí",10,0)*[1]Parámetros!$B$12)/[1]Parámetros!$B$14),2)))</f>
        <v/>
      </c>
      <c r="BH32" s="14" t="str">
        <f t="shared" si="8"/>
        <v/>
      </c>
      <c r="BI32" s="15" t="str">
        <f t="shared" si="9"/>
        <v/>
      </c>
      <c r="BJ32" s="15" t="str">
        <f t="shared" si="10"/>
        <v/>
      </c>
      <c r="BK32" s="10"/>
    </row>
    <row r="33" spans="1:63" ht="27.75" customHeight="1" x14ac:dyDescent="0.35">
      <c r="A33" s="17">
        <v>30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 t="str">
        <f t="shared" si="0"/>
        <v/>
      </c>
      <c r="O33" s="19"/>
      <c r="P33" s="19"/>
      <c r="Q33" s="19"/>
      <c r="R33" s="19"/>
      <c r="S33" s="20" t="str">
        <f t="shared" si="1"/>
        <v/>
      </c>
      <c r="T33" s="20" t="str">
        <f t="shared" si="2"/>
        <v/>
      </c>
      <c r="U33" s="21" t="str">
        <f>IF($E33="","",IFERROR(ROUND((O33*[1]Parámetros!$B$29+P33*[1]Parámetros!$B$30+Q33*[1]Parámetros!$B$31+R33*[1]Parámetros!$B$32)/S33,2),""))</f>
        <v/>
      </c>
      <c r="V33" s="22" t="str">
        <f t="shared" si="3"/>
        <v/>
      </c>
      <c r="W33" s="17"/>
      <c r="X33" s="17"/>
      <c r="Y33" s="19"/>
      <c r="Z33" s="17"/>
      <c r="AA33" s="17"/>
      <c r="AB33" s="17"/>
      <c r="AC33" s="17"/>
      <c r="AD33" s="17"/>
      <c r="AE33" s="17"/>
      <c r="AF33" s="17"/>
      <c r="AG33" s="17"/>
      <c r="AH33" s="23"/>
      <c r="AI33" s="17"/>
      <c r="AJ33" s="17"/>
      <c r="AK33" s="17"/>
      <c r="AL33" s="17"/>
      <c r="AM33" s="20" t="str">
        <f t="shared" si="4"/>
        <v/>
      </c>
      <c r="AN33" s="17"/>
      <c r="AO33" s="20" t="str">
        <f t="shared" si="5"/>
        <v/>
      </c>
      <c r="AP33" s="18" t="str">
        <f t="shared" si="6"/>
        <v/>
      </c>
      <c r="AQ33" s="19"/>
      <c r="AR33" s="19"/>
      <c r="AS33" s="17"/>
      <c r="AT33" s="17"/>
      <c r="AU33" s="17"/>
      <c r="AV33" s="21" t="str">
        <f>IF($B33&lt;&gt;"En curso","",IF(COUNT(AK33:AL33)+COUNT(AN33)+COUNT(AQ33:AR33)=0,"",ROUND(IFERROR(N(AM33),0)*10*[1]Parámetros!$B$18+MAX(0,IFERROR(N(AO33),0))*10*[1]Parámetros!$B$19+MAX(0,1-IFERROR(N(AQ33),0)-IFERROR(N(AR33),0))*10*[1]Parámetros!$B$20+IFERROR(N(AS33),0)/4*10*[1]Parámetros!$B$21+IFERROR(N(AU33),0)/5*10*[1]Parámetros!$B$22,2)))</f>
        <v/>
      </c>
      <c r="AW33" s="17"/>
      <c r="AX33" s="17"/>
      <c r="AY33" s="17"/>
      <c r="AZ33" s="17"/>
      <c r="BA33" s="23"/>
      <c r="BB33" s="19"/>
      <c r="BC33" s="18" t="str">
        <f t="shared" si="7"/>
        <v/>
      </c>
      <c r="BD33" s="17"/>
      <c r="BE33" s="17"/>
      <c r="BF33" s="21" t="str">
        <f>IF($B33&lt;&gt;"Nuevo","",IF(N(N33)=0,"",ROUND(MAX(0,MIN(10,MAX(0,IFERROR(N(N33)/MAX($N$4:$N$58),0)*10*[1]Parámetros!$B$5+IFERROR(N(AW33),0)*2*[1]Parámetros!$B$6+IFERROR(N(AC33),0)*2*[1]Parámetros!$B$7+IFERROR(INDEX([1]Parámetros!$B$37:$B$48,MATCH(D33,[1]Parámetros!$A$37:$A$48,0)),3)*2*[1]Parámetros!$B$8+IFERROR(N(AD33),0)*2*[1]Parámetros!$B$9+IFERROR(N(U33),0)*2.5*[1]Parámetros!$B$10+IFERROR(N(V33),0)*2.5*[1]Parámetros!$B$11+IF(Z33="Sí",10,0)*[1]Parámetros!$B$12)/[1]Parámetros!$B$14)-IFERROR(N(AZ33),0)*2*[1]Parámetros!$B$13),2)))</f>
        <v/>
      </c>
      <c r="BG33" s="21" t="str">
        <f>IF($B33&lt;&gt;"Nuevo","",IF(N(N33)=0,"",ROUND(MIN(10,MAX(0,IFERROR(N(N33)/MAX($N$4:$N$58),0)*10*[1]Parámetros!$B$5+IFERROR(N(AW33),0)*2*[1]Parámetros!$B$6+IFERROR(N(AC33),0)*2*[1]Parámetros!$B$7+IFERROR(INDEX([1]Parámetros!$B$37:$B$48,MATCH(D33,[1]Parámetros!$A$37:$A$48,0)),3)*2*[1]Parámetros!$B$8+IFERROR(N(AD33),0)*2*[1]Parámetros!$B$9+IFERROR(N(U33),0)*2.5*[1]Parámetros!$B$10+IFERROR(N(V33),0)*2.5*[1]Parámetros!$B$11+IF(Z33="Sí",10,0)*[1]Parámetros!$B$12)/[1]Parámetros!$B$14),2)))</f>
        <v/>
      </c>
      <c r="BH33" s="21" t="str">
        <f t="shared" si="8"/>
        <v/>
      </c>
      <c r="BI33" s="22" t="str">
        <f t="shared" si="9"/>
        <v/>
      </c>
      <c r="BJ33" s="22" t="str">
        <f t="shared" si="10"/>
        <v/>
      </c>
      <c r="BK33" s="17"/>
    </row>
    <row r="34" spans="1:63" ht="27.75" customHeight="1" x14ac:dyDescent="0.35">
      <c r="A34" s="10">
        <v>31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 t="str">
        <f t="shared" si="0"/>
        <v/>
      </c>
      <c r="O34" s="12"/>
      <c r="P34" s="12"/>
      <c r="Q34" s="12"/>
      <c r="R34" s="12"/>
      <c r="S34" s="13" t="str">
        <f t="shared" si="1"/>
        <v/>
      </c>
      <c r="T34" s="13" t="str">
        <f t="shared" si="2"/>
        <v/>
      </c>
      <c r="U34" s="14" t="str">
        <f>IF($E34="","",IFERROR(ROUND((O34*[1]Parámetros!$B$29+P34*[1]Parámetros!$B$30+Q34*[1]Parámetros!$B$31+R34*[1]Parámetros!$B$32)/S34,2),""))</f>
        <v/>
      </c>
      <c r="V34" s="15" t="str">
        <f t="shared" si="3"/>
        <v/>
      </c>
      <c r="W34" s="10"/>
      <c r="X34" s="10"/>
      <c r="Y34" s="12"/>
      <c r="Z34" s="10"/>
      <c r="AA34" s="10"/>
      <c r="AB34" s="10"/>
      <c r="AC34" s="10"/>
      <c r="AD34" s="10"/>
      <c r="AE34" s="10"/>
      <c r="AF34" s="10"/>
      <c r="AG34" s="10"/>
      <c r="AH34" s="16"/>
      <c r="AI34" s="10"/>
      <c r="AJ34" s="10"/>
      <c r="AK34" s="10"/>
      <c r="AL34" s="10"/>
      <c r="AM34" s="13" t="str">
        <f t="shared" si="4"/>
        <v/>
      </c>
      <c r="AN34" s="10"/>
      <c r="AO34" s="13" t="str">
        <f t="shared" si="5"/>
        <v/>
      </c>
      <c r="AP34" s="11" t="str">
        <f t="shared" si="6"/>
        <v/>
      </c>
      <c r="AQ34" s="12"/>
      <c r="AR34" s="12"/>
      <c r="AS34" s="10"/>
      <c r="AT34" s="10"/>
      <c r="AU34" s="10"/>
      <c r="AV34" s="14" t="str">
        <f>IF($B34&lt;&gt;"En curso","",IF(COUNT(AK34:AL34)+COUNT(AN34)+COUNT(AQ34:AR34)=0,"",ROUND(IFERROR(N(AM34),0)*10*[1]Parámetros!$B$18+MAX(0,IFERROR(N(AO34),0))*10*[1]Parámetros!$B$19+MAX(0,1-IFERROR(N(AQ34),0)-IFERROR(N(AR34),0))*10*[1]Parámetros!$B$20+IFERROR(N(AS34),0)/4*10*[1]Parámetros!$B$21+IFERROR(N(AU34),0)/5*10*[1]Parámetros!$B$22,2)))</f>
        <v/>
      </c>
      <c r="AW34" s="10"/>
      <c r="AX34" s="10"/>
      <c r="AY34" s="10"/>
      <c r="AZ34" s="10"/>
      <c r="BA34" s="16"/>
      <c r="BB34" s="12"/>
      <c r="BC34" s="11" t="str">
        <f t="shared" si="7"/>
        <v/>
      </c>
      <c r="BD34" s="10"/>
      <c r="BE34" s="10"/>
      <c r="BF34" s="14" t="str">
        <f>IF($B34&lt;&gt;"Nuevo","",IF(N(N34)=0,"",ROUND(MAX(0,MIN(10,MAX(0,IFERROR(N(N34)/MAX($N$4:$N$58),0)*10*[1]Parámetros!$B$5+IFERROR(N(AW34),0)*2*[1]Parámetros!$B$6+IFERROR(N(AC34),0)*2*[1]Parámetros!$B$7+IFERROR(INDEX([1]Parámetros!$B$37:$B$48,MATCH(D34,[1]Parámetros!$A$37:$A$48,0)),3)*2*[1]Parámetros!$B$8+IFERROR(N(AD34),0)*2*[1]Parámetros!$B$9+IFERROR(N(U34),0)*2.5*[1]Parámetros!$B$10+IFERROR(N(V34),0)*2.5*[1]Parámetros!$B$11+IF(Z34="Sí",10,0)*[1]Parámetros!$B$12)/[1]Parámetros!$B$14)-IFERROR(N(AZ34),0)*2*[1]Parámetros!$B$13),2)))</f>
        <v/>
      </c>
      <c r="BG34" s="14" t="str">
        <f>IF($B34&lt;&gt;"Nuevo","",IF(N(N34)=0,"",ROUND(MIN(10,MAX(0,IFERROR(N(N34)/MAX($N$4:$N$58),0)*10*[1]Parámetros!$B$5+IFERROR(N(AW34),0)*2*[1]Parámetros!$B$6+IFERROR(N(AC34),0)*2*[1]Parámetros!$B$7+IFERROR(INDEX([1]Parámetros!$B$37:$B$48,MATCH(D34,[1]Parámetros!$A$37:$A$48,0)),3)*2*[1]Parámetros!$B$8+IFERROR(N(AD34),0)*2*[1]Parámetros!$B$9+IFERROR(N(U34),0)*2.5*[1]Parámetros!$B$10+IFERROR(N(V34),0)*2.5*[1]Parámetros!$B$11+IF(Z34="Sí",10,0)*[1]Parámetros!$B$12)/[1]Parámetros!$B$14),2)))</f>
        <v/>
      </c>
      <c r="BH34" s="14" t="str">
        <f t="shared" si="8"/>
        <v/>
      </c>
      <c r="BI34" s="15" t="str">
        <f t="shared" si="9"/>
        <v/>
      </c>
      <c r="BJ34" s="15" t="str">
        <f t="shared" si="10"/>
        <v/>
      </c>
      <c r="BK34" s="10"/>
    </row>
    <row r="35" spans="1:63" ht="27.75" customHeight="1" x14ac:dyDescent="0.35">
      <c r="A35" s="17">
        <v>32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 t="str">
        <f t="shared" si="0"/>
        <v/>
      </c>
      <c r="O35" s="19"/>
      <c r="P35" s="19"/>
      <c r="Q35" s="19"/>
      <c r="R35" s="19"/>
      <c r="S35" s="20" t="str">
        <f t="shared" si="1"/>
        <v/>
      </c>
      <c r="T35" s="20" t="str">
        <f t="shared" si="2"/>
        <v/>
      </c>
      <c r="U35" s="21" t="str">
        <f>IF($E35="","",IFERROR(ROUND((O35*[1]Parámetros!$B$29+P35*[1]Parámetros!$B$30+Q35*[1]Parámetros!$B$31+R35*[1]Parámetros!$B$32)/S35,2),""))</f>
        <v/>
      </c>
      <c r="V35" s="22" t="str">
        <f t="shared" si="3"/>
        <v/>
      </c>
      <c r="W35" s="17"/>
      <c r="X35" s="17"/>
      <c r="Y35" s="19"/>
      <c r="Z35" s="17"/>
      <c r="AA35" s="17"/>
      <c r="AB35" s="17"/>
      <c r="AC35" s="17"/>
      <c r="AD35" s="17"/>
      <c r="AE35" s="17"/>
      <c r="AF35" s="17"/>
      <c r="AG35" s="17"/>
      <c r="AH35" s="23"/>
      <c r="AI35" s="17"/>
      <c r="AJ35" s="17"/>
      <c r="AK35" s="17"/>
      <c r="AL35" s="17"/>
      <c r="AM35" s="20" t="str">
        <f t="shared" si="4"/>
        <v/>
      </c>
      <c r="AN35" s="17"/>
      <c r="AO35" s="20" t="str">
        <f t="shared" si="5"/>
        <v/>
      </c>
      <c r="AP35" s="18" t="str">
        <f t="shared" si="6"/>
        <v/>
      </c>
      <c r="AQ35" s="19"/>
      <c r="AR35" s="19"/>
      <c r="AS35" s="17"/>
      <c r="AT35" s="17"/>
      <c r="AU35" s="17"/>
      <c r="AV35" s="21" t="str">
        <f>IF($B35&lt;&gt;"En curso","",IF(COUNT(AK35:AL35)+COUNT(AN35)+COUNT(AQ35:AR35)=0,"",ROUND(IFERROR(N(AM35),0)*10*[1]Parámetros!$B$18+MAX(0,IFERROR(N(AO35),0))*10*[1]Parámetros!$B$19+MAX(0,1-IFERROR(N(AQ35),0)-IFERROR(N(AR35),0))*10*[1]Parámetros!$B$20+IFERROR(N(AS35),0)/4*10*[1]Parámetros!$B$21+IFERROR(N(AU35),0)/5*10*[1]Parámetros!$B$22,2)))</f>
        <v/>
      </c>
      <c r="AW35" s="17"/>
      <c r="AX35" s="17"/>
      <c r="AY35" s="17"/>
      <c r="AZ35" s="17"/>
      <c r="BA35" s="23"/>
      <c r="BB35" s="19"/>
      <c r="BC35" s="18" t="str">
        <f t="shared" si="7"/>
        <v/>
      </c>
      <c r="BD35" s="17"/>
      <c r="BE35" s="17"/>
      <c r="BF35" s="21" t="str">
        <f>IF($B35&lt;&gt;"Nuevo","",IF(N(N35)=0,"",ROUND(MAX(0,MIN(10,MAX(0,IFERROR(N(N35)/MAX($N$4:$N$58),0)*10*[1]Parámetros!$B$5+IFERROR(N(AW35),0)*2*[1]Parámetros!$B$6+IFERROR(N(AC35),0)*2*[1]Parámetros!$B$7+IFERROR(INDEX([1]Parámetros!$B$37:$B$48,MATCH(D35,[1]Parámetros!$A$37:$A$48,0)),3)*2*[1]Parámetros!$B$8+IFERROR(N(AD35),0)*2*[1]Parámetros!$B$9+IFERROR(N(U35),0)*2.5*[1]Parámetros!$B$10+IFERROR(N(V35),0)*2.5*[1]Parámetros!$B$11+IF(Z35="Sí",10,0)*[1]Parámetros!$B$12)/[1]Parámetros!$B$14)-IFERROR(N(AZ35),0)*2*[1]Parámetros!$B$13),2)))</f>
        <v/>
      </c>
      <c r="BG35" s="21" t="str">
        <f>IF($B35&lt;&gt;"Nuevo","",IF(N(N35)=0,"",ROUND(MIN(10,MAX(0,IFERROR(N(N35)/MAX($N$4:$N$58),0)*10*[1]Parámetros!$B$5+IFERROR(N(AW35),0)*2*[1]Parámetros!$B$6+IFERROR(N(AC35),0)*2*[1]Parámetros!$B$7+IFERROR(INDEX([1]Parámetros!$B$37:$B$48,MATCH(D35,[1]Parámetros!$A$37:$A$48,0)),3)*2*[1]Parámetros!$B$8+IFERROR(N(AD35),0)*2*[1]Parámetros!$B$9+IFERROR(N(U35),0)*2.5*[1]Parámetros!$B$10+IFERROR(N(V35),0)*2.5*[1]Parámetros!$B$11+IF(Z35="Sí",10,0)*[1]Parámetros!$B$12)/[1]Parámetros!$B$14),2)))</f>
        <v/>
      </c>
      <c r="BH35" s="21" t="str">
        <f t="shared" si="8"/>
        <v/>
      </c>
      <c r="BI35" s="22" t="str">
        <f t="shared" si="9"/>
        <v/>
      </c>
      <c r="BJ35" s="22" t="str">
        <f t="shared" si="10"/>
        <v/>
      </c>
      <c r="BK35" s="17"/>
    </row>
    <row r="36" spans="1:63" ht="27.75" customHeight="1" x14ac:dyDescent="0.35">
      <c r="A36" s="10">
        <v>33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 t="str">
        <f t="shared" si="0"/>
        <v/>
      </c>
      <c r="O36" s="12"/>
      <c r="P36" s="12"/>
      <c r="Q36" s="12"/>
      <c r="R36" s="12"/>
      <c r="S36" s="13" t="str">
        <f t="shared" si="1"/>
        <v/>
      </c>
      <c r="T36" s="13" t="str">
        <f t="shared" si="2"/>
        <v/>
      </c>
      <c r="U36" s="14" t="str">
        <f>IF($E36="","",IFERROR(ROUND((O36*[1]Parámetros!$B$29+P36*[1]Parámetros!$B$30+Q36*[1]Parámetros!$B$31+R36*[1]Parámetros!$B$32)/S36,2),""))</f>
        <v/>
      </c>
      <c r="V36" s="15" t="str">
        <f t="shared" si="3"/>
        <v/>
      </c>
      <c r="W36" s="10"/>
      <c r="X36" s="10"/>
      <c r="Y36" s="12"/>
      <c r="Z36" s="10"/>
      <c r="AA36" s="10"/>
      <c r="AB36" s="10"/>
      <c r="AC36" s="10"/>
      <c r="AD36" s="10"/>
      <c r="AE36" s="10"/>
      <c r="AF36" s="10"/>
      <c r="AG36" s="10"/>
      <c r="AH36" s="16"/>
      <c r="AI36" s="10"/>
      <c r="AJ36" s="10"/>
      <c r="AK36" s="10"/>
      <c r="AL36" s="10"/>
      <c r="AM36" s="13" t="str">
        <f t="shared" si="4"/>
        <v/>
      </c>
      <c r="AN36" s="10"/>
      <c r="AO36" s="13" t="str">
        <f t="shared" si="5"/>
        <v/>
      </c>
      <c r="AP36" s="11" t="str">
        <f t="shared" si="6"/>
        <v/>
      </c>
      <c r="AQ36" s="12"/>
      <c r="AR36" s="12"/>
      <c r="AS36" s="10"/>
      <c r="AT36" s="10"/>
      <c r="AU36" s="10"/>
      <c r="AV36" s="14" t="str">
        <f>IF($B36&lt;&gt;"En curso","",IF(COUNT(AK36:AL36)+COUNT(AN36)+COUNT(AQ36:AR36)=0,"",ROUND(IFERROR(N(AM36),0)*10*[1]Parámetros!$B$18+MAX(0,IFERROR(N(AO36),0))*10*[1]Parámetros!$B$19+MAX(0,1-IFERROR(N(AQ36),0)-IFERROR(N(AR36),0))*10*[1]Parámetros!$B$20+IFERROR(N(AS36),0)/4*10*[1]Parámetros!$B$21+IFERROR(N(AU36),0)/5*10*[1]Parámetros!$B$22,2)))</f>
        <v/>
      </c>
      <c r="AW36" s="10"/>
      <c r="AX36" s="10"/>
      <c r="AY36" s="10"/>
      <c r="AZ36" s="10"/>
      <c r="BA36" s="16"/>
      <c r="BB36" s="12"/>
      <c r="BC36" s="11" t="str">
        <f t="shared" si="7"/>
        <v/>
      </c>
      <c r="BD36" s="10"/>
      <c r="BE36" s="10"/>
      <c r="BF36" s="14" t="str">
        <f>IF($B36&lt;&gt;"Nuevo","",IF(N(N36)=0,"",ROUND(MAX(0,MIN(10,MAX(0,IFERROR(N(N36)/MAX($N$4:$N$58),0)*10*[1]Parámetros!$B$5+IFERROR(N(AW36),0)*2*[1]Parámetros!$B$6+IFERROR(N(AC36),0)*2*[1]Parámetros!$B$7+IFERROR(INDEX([1]Parámetros!$B$37:$B$48,MATCH(D36,[1]Parámetros!$A$37:$A$48,0)),3)*2*[1]Parámetros!$B$8+IFERROR(N(AD36),0)*2*[1]Parámetros!$B$9+IFERROR(N(U36),0)*2.5*[1]Parámetros!$B$10+IFERROR(N(V36),0)*2.5*[1]Parámetros!$B$11+IF(Z36="Sí",10,0)*[1]Parámetros!$B$12)/[1]Parámetros!$B$14)-IFERROR(N(AZ36),0)*2*[1]Parámetros!$B$13),2)))</f>
        <v/>
      </c>
      <c r="BG36" s="14" t="str">
        <f>IF($B36&lt;&gt;"Nuevo","",IF(N(N36)=0,"",ROUND(MIN(10,MAX(0,IFERROR(N(N36)/MAX($N$4:$N$58),0)*10*[1]Parámetros!$B$5+IFERROR(N(AW36),0)*2*[1]Parámetros!$B$6+IFERROR(N(AC36),0)*2*[1]Parámetros!$B$7+IFERROR(INDEX([1]Parámetros!$B$37:$B$48,MATCH(D36,[1]Parámetros!$A$37:$A$48,0)),3)*2*[1]Parámetros!$B$8+IFERROR(N(AD36),0)*2*[1]Parámetros!$B$9+IFERROR(N(U36),0)*2.5*[1]Parámetros!$B$10+IFERROR(N(V36),0)*2.5*[1]Parámetros!$B$11+IF(Z36="Sí",10,0)*[1]Parámetros!$B$12)/[1]Parámetros!$B$14),2)))</f>
        <v/>
      </c>
      <c r="BH36" s="14" t="str">
        <f t="shared" si="8"/>
        <v/>
      </c>
      <c r="BI36" s="15" t="str">
        <f t="shared" si="9"/>
        <v/>
      </c>
      <c r="BJ36" s="15" t="str">
        <f t="shared" si="10"/>
        <v/>
      </c>
      <c r="BK36" s="10"/>
    </row>
    <row r="37" spans="1:63" ht="27.75" customHeight="1" x14ac:dyDescent="0.35">
      <c r="A37" s="17">
        <v>34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 t="str">
        <f t="shared" si="0"/>
        <v/>
      </c>
      <c r="O37" s="19"/>
      <c r="P37" s="19"/>
      <c r="Q37" s="19"/>
      <c r="R37" s="19"/>
      <c r="S37" s="20" t="str">
        <f t="shared" si="1"/>
        <v/>
      </c>
      <c r="T37" s="20" t="str">
        <f t="shared" si="2"/>
        <v/>
      </c>
      <c r="U37" s="21" t="str">
        <f>IF($E37="","",IFERROR(ROUND((O37*[1]Parámetros!$B$29+P37*[1]Parámetros!$B$30+Q37*[1]Parámetros!$B$31+R37*[1]Parámetros!$B$32)/S37,2),""))</f>
        <v/>
      </c>
      <c r="V37" s="22" t="str">
        <f t="shared" si="3"/>
        <v/>
      </c>
      <c r="W37" s="17"/>
      <c r="X37" s="17"/>
      <c r="Y37" s="19"/>
      <c r="Z37" s="17"/>
      <c r="AA37" s="17"/>
      <c r="AB37" s="17"/>
      <c r="AC37" s="17"/>
      <c r="AD37" s="17"/>
      <c r="AE37" s="17"/>
      <c r="AF37" s="17"/>
      <c r="AG37" s="17"/>
      <c r="AH37" s="23"/>
      <c r="AI37" s="17"/>
      <c r="AJ37" s="17"/>
      <c r="AK37" s="17"/>
      <c r="AL37" s="17"/>
      <c r="AM37" s="20" t="str">
        <f t="shared" si="4"/>
        <v/>
      </c>
      <c r="AN37" s="17"/>
      <c r="AO37" s="20" t="str">
        <f t="shared" si="5"/>
        <v/>
      </c>
      <c r="AP37" s="18" t="str">
        <f t="shared" si="6"/>
        <v/>
      </c>
      <c r="AQ37" s="19"/>
      <c r="AR37" s="19"/>
      <c r="AS37" s="17"/>
      <c r="AT37" s="17"/>
      <c r="AU37" s="17"/>
      <c r="AV37" s="21" t="str">
        <f>IF($B37&lt;&gt;"En curso","",IF(COUNT(AK37:AL37)+COUNT(AN37)+COUNT(AQ37:AR37)=0,"",ROUND(IFERROR(N(AM37),0)*10*[1]Parámetros!$B$18+MAX(0,IFERROR(N(AO37),0))*10*[1]Parámetros!$B$19+MAX(0,1-IFERROR(N(AQ37),0)-IFERROR(N(AR37),0))*10*[1]Parámetros!$B$20+IFERROR(N(AS37),0)/4*10*[1]Parámetros!$B$21+IFERROR(N(AU37),0)/5*10*[1]Parámetros!$B$22,2)))</f>
        <v/>
      </c>
      <c r="AW37" s="17"/>
      <c r="AX37" s="17"/>
      <c r="AY37" s="17"/>
      <c r="AZ37" s="17"/>
      <c r="BA37" s="23"/>
      <c r="BB37" s="19"/>
      <c r="BC37" s="18" t="str">
        <f t="shared" si="7"/>
        <v/>
      </c>
      <c r="BD37" s="17"/>
      <c r="BE37" s="17"/>
      <c r="BF37" s="21" t="str">
        <f>IF($B37&lt;&gt;"Nuevo","",IF(N(N37)=0,"",ROUND(MAX(0,MIN(10,MAX(0,IFERROR(N(N37)/MAX($N$4:$N$58),0)*10*[1]Parámetros!$B$5+IFERROR(N(AW37),0)*2*[1]Parámetros!$B$6+IFERROR(N(AC37),0)*2*[1]Parámetros!$B$7+IFERROR(INDEX([1]Parámetros!$B$37:$B$48,MATCH(D37,[1]Parámetros!$A$37:$A$48,0)),3)*2*[1]Parámetros!$B$8+IFERROR(N(AD37),0)*2*[1]Parámetros!$B$9+IFERROR(N(U37),0)*2.5*[1]Parámetros!$B$10+IFERROR(N(V37),0)*2.5*[1]Parámetros!$B$11+IF(Z37="Sí",10,0)*[1]Parámetros!$B$12)/[1]Parámetros!$B$14)-IFERROR(N(AZ37),0)*2*[1]Parámetros!$B$13),2)))</f>
        <v/>
      </c>
      <c r="BG37" s="21" t="str">
        <f>IF($B37&lt;&gt;"Nuevo","",IF(N(N37)=0,"",ROUND(MIN(10,MAX(0,IFERROR(N(N37)/MAX($N$4:$N$58),0)*10*[1]Parámetros!$B$5+IFERROR(N(AW37),0)*2*[1]Parámetros!$B$6+IFERROR(N(AC37),0)*2*[1]Parámetros!$B$7+IFERROR(INDEX([1]Parámetros!$B$37:$B$48,MATCH(D37,[1]Parámetros!$A$37:$A$48,0)),3)*2*[1]Parámetros!$B$8+IFERROR(N(AD37),0)*2*[1]Parámetros!$B$9+IFERROR(N(U37),0)*2.5*[1]Parámetros!$B$10+IFERROR(N(V37),0)*2.5*[1]Parámetros!$B$11+IF(Z37="Sí",10,0)*[1]Parámetros!$B$12)/[1]Parámetros!$B$14),2)))</f>
        <v/>
      </c>
      <c r="BH37" s="21" t="str">
        <f t="shared" si="8"/>
        <v/>
      </c>
      <c r="BI37" s="22" t="str">
        <f t="shared" si="9"/>
        <v/>
      </c>
      <c r="BJ37" s="22" t="str">
        <f t="shared" si="10"/>
        <v/>
      </c>
      <c r="BK37" s="17"/>
    </row>
    <row r="38" spans="1:63" ht="27.75" customHeight="1" x14ac:dyDescent="0.35">
      <c r="A38" s="10">
        <v>35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 t="str">
        <f t="shared" si="0"/>
        <v/>
      </c>
      <c r="O38" s="12"/>
      <c r="P38" s="12"/>
      <c r="Q38" s="12"/>
      <c r="R38" s="12"/>
      <c r="S38" s="13" t="str">
        <f t="shared" si="1"/>
        <v/>
      </c>
      <c r="T38" s="13" t="str">
        <f t="shared" si="2"/>
        <v/>
      </c>
      <c r="U38" s="14" t="str">
        <f>IF($E38="","",IFERROR(ROUND((O38*[1]Parámetros!$B$29+P38*[1]Parámetros!$B$30+Q38*[1]Parámetros!$B$31+R38*[1]Parámetros!$B$32)/S38,2),""))</f>
        <v/>
      </c>
      <c r="V38" s="15" t="str">
        <f t="shared" si="3"/>
        <v/>
      </c>
      <c r="W38" s="10"/>
      <c r="X38" s="10"/>
      <c r="Y38" s="12"/>
      <c r="Z38" s="10"/>
      <c r="AA38" s="10"/>
      <c r="AB38" s="10"/>
      <c r="AC38" s="10"/>
      <c r="AD38" s="10"/>
      <c r="AE38" s="10"/>
      <c r="AF38" s="10"/>
      <c r="AG38" s="10"/>
      <c r="AH38" s="16"/>
      <c r="AI38" s="10"/>
      <c r="AJ38" s="10"/>
      <c r="AK38" s="10"/>
      <c r="AL38" s="10"/>
      <c r="AM38" s="13" t="str">
        <f t="shared" si="4"/>
        <v/>
      </c>
      <c r="AN38" s="10"/>
      <c r="AO38" s="13" t="str">
        <f t="shared" si="5"/>
        <v/>
      </c>
      <c r="AP38" s="11" t="str">
        <f t="shared" si="6"/>
        <v/>
      </c>
      <c r="AQ38" s="12"/>
      <c r="AR38" s="12"/>
      <c r="AS38" s="10"/>
      <c r="AT38" s="10"/>
      <c r="AU38" s="10"/>
      <c r="AV38" s="14" t="str">
        <f>IF($B38&lt;&gt;"En curso","",IF(COUNT(AK38:AL38)+COUNT(AN38)+COUNT(AQ38:AR38)=0,"",ROUND(IFERROR(N(AM38),0)*10*[1]Parámetros!$B$18+MAX(0,IFERROR(N(AO38),0))*10*[1]Parámetros!$B$19+MAX(0,1-IFERROR(N(AQ38),0)-IFERROR(N(AR38),0))*10*[1]Parámetros!$B$20+IFERROR(N(AS38),0)/4*10*[1]Parámetros!$B$21+IFERROR(N(AU38),0)/5*10*[1]Parámetros!$B$22,2)))</f>
        <v/>
      </c>
      <c r="AW38" s="10"/>
      <c r="AX38" s="10"/>
      <c r="AY38" s="10"/>
      <c r="AZ38" s="10"/>
      <c r="BA38" s="16"/>
      <c r="BB38" s="12"/>
      <c r="BC38" s="11" t="str">
        <f t="shared" si="7"/>
        <v/>
      </c>
      <c r="BD38" s="10"/>
      <c r="BE38" s="10"/>
      <c r="BF38" s="14" t="str">
        <f>IF($B38&lt;&gt;"Nuevo","",IF(N(N38)=0,"",ROUND(MAX(0,MIN(10,MAX(0,IFERROR(N(N38)/MAX($N$4:$N$58),0)*10*[1]Parámetros!$B$5+IFERROR(N(AW38),0)*2*[1]Parámetros!$B$6+IFERROR(N(AC38),0)*2*[1]Parámetros!$B$7+IFERROR(INDEX([1]Parámetros!$B$37:$B$48,MATCH(D38,[1]Parámetros!$A$37:$A$48,0)),3)*2*[1]Parámetros!$B$8+IFERROR(N(AD38),0)*2*[1]Parámetros!$B$9+IFERROR(N(U38),0)*2.5*[1]Parámetros!$B$10+IFERROR(N(V38),0)*2.5*[1]Parámetros!$B$11+IF(Z38="Sí",10,0)*[1]Parámetros!$B$12)/[1]Parámetros!$B$14)-IFERROR(N(AZ38),0)*2*[1]Parámetros!$B$13),2)))</f>
        <v/>
      </c>
      <c r="BG38" s="14" t="str">
        <f>IF($B38&lt;&gt;"Nuevo","",IF(N(N38)=0,"",ROUND(MIN(10,MAX(0,IFERROR(N(N38)/MAX($N$4:$N$58),0)*10*[1]Parámetros!$B$5+IFERROR(N(AW38),0)*2*[1]Parámetros!$B$6+IFERROR(N(AC38),0)*2*[1]Parámetros!$B$7+IFERROR(INDEX([1]Parámetros!$B$37:$B$48,MATCH(D38,[1]Parámetros!$A$37:$A$48,0)),3)*2*[1]Parámetros!$B$8+IFERROR(N(AD38),0)*2*[1]Parámetros!$B$9+IFERROR(N(U38),0)*2.5*[1]Parámetros!$B$10+IFERROR(N(V38),0)*2.5*[1]Parámetros!$B$11+IF(Z38="Sí",10,0)*[1]Parámetros!$B$12)/[1]Parámetros!$B$14),2)))</f>
        <v/>
      </c>
      <c r="BH38" s="14" t="str">
        <f t="shared" si="8"/>
        <v/>
      </c>
      <c r="BI38" s="15" t="str">
        <f t="shared" si="9"/>
        <v/>
      </c>
      <c r="BJ38" s="15" t="str">
        <f t="shared" si="10"/>
        <v/>
      </c>
      <c r="BK38" s="10"/>
    </row>
    <row r="39" spans="1:63" ht="27.75" customHeight="1" x14ac:dyDescent="0.35">
      <c r="A39" s="17">
        <v>36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 t="str">
        <f t="shared" si="0"/>
        <v/>
      </c>
      <c r="O39" s="19"/>
      <c r="P39" s="19"/>
      <c r="Q39" s="19"/>
      <c r="R39" s="19"/>
      <c r="S39" s="20" t="str">
        <f t="shared" si="1"/>
        <v/>
      </c>
      <c r="T39" s="20" t="str">
        <f t="shared" si="2"/>
        <v/>
      </c>
      <c r="U39" s="21" t="str">
        <f>IF($E39="","",IFERROR(ROUND((O39*[1]Parámetros!$B$29+P39*[1]Parámetros!$B$30+Q39*[1]Parámetros!$B$31+R39*[1]Parámetros!$B$32)/S39,2),""))</f>
        <v/>
      </c>
      <c r="V39" s="22" t="str">
        <f t="shared" si="3"/>
        <v/>
      </c>
      <c r="W39" s="17"/>
      <c r="X39" s="17"/>
      <c r="Y39" s="19"/>
      <c r="Z39" s="17"/>
      <c r="AA39" s="17"/>
      <c r="AB39" s="17"/>
      <c r="AC39" s="17"/>
      <c r="AD39" s="17"/>
      <c r="AE39" s="17"/>
      <c r="AF39" s="17"/>
      <c r="AG39" s="17"/>
      <c r="AH39" s="23"/>
      <c r="AI39" s="17"/>
      <c r="AJ39" s="17"/>
      <c r="AK39" s="17"/>
      <c r="AL39" s="17"/>
      <c r="AM39" s="20" t="str">
        <f t="shared" si="4"/>
        <v/>
      </c>
      <c r="AN39" s="17"/>
      <c r="AO39" s="20" t="str">
        <f t="shared" si="5"/>
        <v/>
      </c>
      <c r="AP39" s="18" t="str">
        <f t="shared" si="6"/>
        <v/>
      </c>
      <c r="AQ39" s="19"/>
      <c r="AR39" s="19"/>
      <c r="AS39" s="17"/>
      <c r="AT39" s="17"/>
      <c r="AU39" s="17"/>
      <c r="AV39" s="21" t="str">
        <f>IF($B39&lt;&gt;"En curso","",IF(COUNT(AK39:AL39)+COUNT(AN39)+COUNT(AQ39:AR39)=0,"",ROUND(IFERROR(N(AM39),0)*10*[1]Parámetros!$B$18+MAX(0,IFERROR(N(AO39),0))*10*[1]Parámetros!$B$19+MAX(0,1-IFERROR(N(AQ39),0)-IFERROR(N(AR39),0))*10*[1]Parámetros!$B$20+IFERROR(N(AS39),0)/4*10*[1]Parámetros!$B$21+IFERROR(N(AU39),0)/5*10*[1]Parámetros!$B$22,2)))</f>
        <v/>
      </c>
      <c r="AW39" s="17"/>
      <c r="AX39" s="17"/>
      <c r="AY39" s="17"/>
      <c r="AZ39" s="17"/>
      <c r="BA39" s="23"/>
      <c r="BB39" s="19"/>
      <c r="BC39" s="18" t="str">
        <f t="shared" si="7"/>
        <v/>
      </c>
      <c r="BD39" s="17"/>
      <c r="BE39" s="17"/>
      <c r="BF39" s="21" t="str">
        <f>IF($B39&lt;&gt;"Nuevo","",IF(N(N39)=0,"",ROUND(MAX(0,MIN(10,MAX(0,IFERROR(N(N39)/MAX($N$4:$N$58),0)*10*[1]Parámetros!$B$5+IFERROR(N(AW39),0)*2*[1]Parámetros!$B$6+IFERROR(N(AC39),0)*2*[1]Parámetros!$B$7+IFERROR(INDEX([1]Parámetros!$B$37:$B$48,MATCH(D39,[1]Parámetros!$A$37:$A$48,0)),3)*2*[1]Parámetros!$B$8+IFERROR(N(AD39),0)*2*[1]Parámetros!$B$9+IFERROR(N(U39),0)*2.5*[1]Parámetros!$B$10+IFERROR(N(V39),0)*2.5*[1]Parámetros!$B$11+IF(Z39="Sí",10,0)*[1]Parámetros!$B$12)/[1]Parámetros!$B$14)-IFERROR(N(AZ39),0)*2*[1]Parámetros!$B$13),2)))</f>
        <v/>
      </c>
      <c r="BG39" s="21" t="str">
        <f>IF($B39&lt;&gt;"Nuevo","",IF(N(N39)=0,"",ROUND(MIN(10,MAX(0,IFERROR(N(N39)/MAX($N$4:$N$58),0)*10*[1]Parámetros!$B$5+IFERROR(N(AW39),0)*2*[1]Parámetros!$B$6+IFERROR(N(AC39),0)*2*[1]Parámetros!$B$7+IFERROR(INDEX([1]Parámetros!$B$37:$B$48,MATCH(D39,[1]Parámetros!$A$37:$A$48,0)),3)*2*[1]Parámetros!$B$8+IFERROR(N(AD39),0)*2*[1]Parámetros!$B$9+IFERROR(N(U39),0)*2.5*[1]Parámetros!$B$10+IFERROR(N(V39),0)*2.5*[1]Parámetros!$B$11+IF(Z39="Sí",10,0)*[1]Parámetros!$B$12)/[1]Parámetros!$B$14),2)))</f>
        <v/>
      </c>
      <c r="BH39" s="21" t="str">
        <f t="shared" si="8"/>
        <v/>
      </c>
      <c r="BI39" s="22" t="str">
        <f t="shared" si="9"/>
        <v/>
      </c>
      <c r="BJ39" s="22" t="str">
        <f t="shared" si="10"/>
        <v/>
      </c>
      <c r="BK39" s="17"/>
    </row>
    <row r="40" spans="1:63" ht="27.75" customHeight="1" x14ac:dyDescent="0.35">
      <c r="A40" s="10">
        <v>37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 t="str">
        <f t="shared" si="0"/>
        <v/>
      </c>
      <c r="O40" s="12"/>
      <c r="P40" s="12"/>
      <c r="Q40" s="12"/>
      <c r="R40" s="12"/>
      <c r="S40" s="13" t="str">
        <f t="shared" si="1"/>
        <v/>
      </c>
      <c r="T40" s="13" t="str">
        <f t="shared" si="2"/>
        <v/>
      </c>
      <c r="U40" s="14" t="str">
        <f>IF($E40="","",IFERROR(ROUND((O40*[1]Parámetros!$B$29+P40*[1]Parámetros!$B$30+Q40*[1]Parámetros!$B$31+R40*[1]Parámetros!$B$32)/S40,2),""))</f>
        <v/>
      </c>
      <c r="V40" s="15" t="str">
        <f t="shared" si="3"/>
        <v/>
      </c>
      <c r="W40" s="10"/>
      <c r="X40" s="10"/>
      <c r="Y40" s="12"/>
      <c r="Z40" s="10"/>
      <c r="AA40" s="10"/>
      <c r="AB40" s="10"/>
      <c r="AC40" s="10"/>
      <c r="AD40" s="10"/>
      <c r="AE40" s="10"/>
      <c r="AF40" s="10"/>
      <c r="AG40" s="10"/>
      <c r="AH40" s="16"/>
      <c r="AI40" s="10"/>
      <c r="AJ40" s="10"/>
      <c r="AK40" s="10"/>
      <c r="AL40" s="10"/>
      <c r="AM40" s="13" t="str">
        <f t="shared" si="4"/>
        <v/>
      </c>
      <c r="AN40" s="10"/>
      <c r="AO40" s="13" t="str">
        <f t="shared" si="5"/>
        <v/>
      </c>
      <c r="AP40" s="11" t="str">
        <f t="shared" si="6"/>
        <v/>
      </c>
      <c r="AQ40" s="12"/>
      <c r="AR40" s="12"/>
      <c r="AS40" s="10"/>
      <c r="AT40" s="10"/>
      <c r="AU40" s="10"/>
      <c r="AV40" s="14" t="str">
        <f>IF($B40&lt;&gt;"En curso","",IF(COUNT(AK40:AL40)+COUNT(AN40)+COUNT(AQ40:AR40)=0,"",ROUND(IFERROR(N(AM40),0)*10*[1]Parámetros!$B$18+MAX(0,IFERROR(N(AO40),0))*10*[1]Parámetros!$B$19+MAX(0,1-IFERROR(N(AQ40),0)-IFERROR(N(AR40),0))*10*[1]Parámetros!$B$20+IFERROR(N(AS40),0)/4*10*[1]Parámetros!$B$21+IFERROR(N(AU40),0)/5*10*[1]Parámetros!$B$22,2)))</f>
        <v/>
      </c>
      <c r="AW40" s="10"/>
      <c r="AX40" s="10"/>
      <c r="AY40" s="10"/>
      <c r="AZ40" s="10"/>
      <c r="BA40" s="16"/>
      <c r="BB40" s="12"/>
      <c r="BC40" s="11" t="str">
        <f t="shared" si="7"/>
        <v/>
      </c>
      <c r="BD40" s="10"/>
      <c r="BE40" s="10"/>
      <c r="BF40" s="14" t="str">
        <f>IF($B40&lt;&gt;"Nuevo","",IF(N(N40)=0,"",ROUND(MAX(0,MIN(10,MAX(0,IFERROR(N(N40)/MAX($N$4:$N$58),0)*10*[1]Parámetros!$B$5+IFERROR(N(AW40),0)*2*[1]Parámetros!$B$6+IFERROR(N(AC40),0)*2*[1]Parámetros!$B$7+IFERROR(INDEX([1]Parámetros!$B$37:$B$48,MATCH(D40,[1]Parámetros!$A$37:$A$48,0)),3)*2*[1]Parámetros!$B$8+IFERROR(N(AD40),0)*2*[1]Parámetros!$B$9+IFERROR(N(U40),0)*2.5*[1]Parámetros!$B$10+IFERROR(N(V40),0)*2.5*[1]Parámetros!$B$11+IF(Z40="Sí",10,0)*[1]Parámetros!$B$12)/[1]Parámetros!$B$14)-IFERROR(N(AZ40),0)*2*[1]Parámetros!$B$13),2)))</f>
        <v/>
      </c>
      <c r="BG40" s="14" t="str">
        <f>IF($B40&lt;&gt;"Nuevo","",IF(N(N40)=0,"",ROUND(MIN(10,MAX(0,IFERROR(N(N40)/MAX($N$4:$N$58),0)*10*[1]Parámetros!$B$5+IFERROR(N(AW40),0)*2*[1]Parámetros!$B$6+IFERROR(N(AC40),0)*2*[1]Parámetros!$B$7+IFERROR(INDEX([1]Parámetros!$B$37:$B$48,MATCH(D40,[1]Parámetros!$A$37:$A$48,0)),3)*2*[1]Parámetros!$B$8+IFERROR(N(AD40),0)*2*[1]Parámetros!$B$9+IFERROR(N(U40),0)*2.5*[1]Parámetros!$B$10+IFERROR(N(V40),0)*2.5*[1]Parámetros!$B$11+IF(Z40="Sí",10,0)*[1]Parámetros!$B$12)/[1]Parámetros!$B$14),2)))</f>
        <v/>
      </c>
      <c r="BH40" s="14" t="str">
        <f t="shared" si="8"/>
        <v/>
      </c>
      <c r="BI40" s="15" t="str">
        <f t="shared" si="9"/>
        <v/>
      </c>
      <c r="BJ40" s="15" t="str">
        <f t="shared" si="10"/>
        <v/>
      </c>
      <c r="BK40" s="10"/>
    </row>
    <row r="41" spans="1:63" ht="27.75" customHeight="1" x14ac:dyDescent="0.35">
      <c r="A41" s="17">
        <v>38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 t="str">
        <f t="shared" si="0"/>
        <v/>
      </c>
      <c r="O41" s="19"/>
      <c r="P41" s="19"/>
      <c r="Q41" s="19"/>
      <c r="R41" s="19"/>
      <c r="S41" s="20" t="str">
        <f t="shared" si="1"/>
        <v/>
      </c>
      <c r="T41" s="20" t="str">
        <f t="shared" si="2"/>
        <v/>
      </c>
      <c r="U41" s="21" t="str">
        <f>IF($E41="","",IFERROR(ROUND((O41*[1]Parámetros!$B$29+P41*[1]Parámetros!$B$30+Q41*[1]Parámetros!$B$31+R41*[1]Parámetros!$B$32)/S41,2),""))</f>
        <v/>
      </c>
      <c r="V41" s="22" t="str">
        <f t="shared" si="3"/>
        <v/>
      </c>
      <c r="W41" s="17"/>
      <c r="X41" s="17"/>
      <c r="Y41" s="19"/>
      <c r="Z41" s="17"/>
      <c r="AA41" s="17"/>
      <c r="AB41" s="17"/>
      <c r="AC41" s="17"/>
      <c r="AD41" s="17"/>
      <c r="AE41" s="17"/>
      <c r="AF41" s="17"/>
      <c r="AG41" s="17"/>
      <c r="AH41" s="23"/>
      <c r="AI41" s="17"/>
      <c r="AJ41" s="17"/>
      <c r="AK41" s="17"/>
      <c r="AL41" s="17"/>
      <c r="AM41" s="20" t="str">
        <f t="shared" si="4"/>
        <v/>
      </c>
      <c r="AN41" s="17"/>
      <c r="AO41" s="20" t="str">
        <f t="shared" si="5"/>
        <v/>
      </c>
      <c r="AP41" s="18" t="str">
        <f t="shared" si="6"/>
        <v/>
      </c>
      <c r="AQ41" s="19"/>
      <c r="AR41" s="19"/>
      <c r="AS41" s="17"/>
      <c r="AT41" s="17"/>
      <c r="AU41" s="17"/>
      <c r="AV41" s="21" t="str">
        <f>IF($B41&lt;&gt;"En curso","",IF(COUNT(AK41:AL41)+COUNT(AN41)+COUNT(AQ41:AR41)=0,"",ROUND(IFERROR(N(AM41),0)*10*[1]Parámetros!$B$18+MAX(0,IFERROR(N(AO41),0))*10*[1]Parámetros!$B$19+MAX(0,1-IFERROR(N(AQ41),0)-IFERROR(N(AR41),0))*10*[1]Parámetros!$B$20+IFERROR(N(AS41),0)/4*10*[1]Parámetros!$B$21+IFERROR(N(AU41),0)/5*10*[1]Parámetros!$B$22,2)))</f>
        <v/>
      </c>
      <c r="AW41" s="17"/>
      <c r="AX41" s="17"/>
      <c r="AY41" s="17"/>
      <c r="AZ41" s="17"/>
      <c r="BA41" s="23"/>
      <c r="BB41" s="19"/>
      <c r="BC41" s="18" t="str">
        <f t="shared" si="7"/>
        <v/>
      </c>
      <c r="BD41" s="17"/>
      <c r="BE41" s="17"/>
      <c r="BF41" s="21" t="str">
        <f>IF($B41&lt;&gt;"Nuevo","",IF(N(N41)=0,"",ROUND(MAX(0,MIN(10,MAX(0,IFERROR(N(N41)/MAX($N$4:$N$58),0)*10*[1]Parámetros!$B$5+IFERROR(N(AW41),0)*2*[1]Parámetros!$B$6+IFERROR(N(AC41),0)*2*[1]Parámetros!$B$7+IFERROR(INDEX([1]Parámetros!$B$37:$B$48,MATCH(D41,[1]Parámetros!$A$37:$A$48,0)),3)*2*[1]Parámetros!$B$8+IFERROR(N(AD41),0)*2*[1]Parámetros!$B$9+IFERROR(N(U41),0)*2.5*[1]Parámetros!$B$10+IFERROR(N(V41),0)*2.5*[1]Parámetros!$B$11+IF(Z41="Sí",10,0)*[1]Parámetros!$B$12)/[1]Parámetros!$B$14)-IFERROR(N(AZ41),0)*2*[1]Parámetros!$B$13),2)))</f>
        <v/>
      </c>
      <c r="BG41" s="21" t="str">
        <f>IF($B41&lt;&gt;"Nuevo","",IF(N(N41)=0,"",ROUND(MIN(10,MAX(0,IFERROR(N(N41)/MAX($N$4:$N$58),0)*10*[1]Parámetros!$B$5+IFERROR(N(AW41),0)*2*[1]Parámetros!$B$6+IFERROR(N(AC41),0)*2*[1]Parámetros!$B$7+IFERROR(INDEX([1]Parámetros!$B$37:$B$48,MATCH(D41,[1]Parámetros!$A$37:$A$48,0)),3)*2*[1]Parámetros!$B$8+IFERROR(N(AD41),0)*2*[1]Parámetros!$B$9+IFERROR(N(U41),0)*2.5*[1]Parámetros!$B$10+IFERROR(N(V41),0)*2.5*[1]Parámetros!$B$11+IF(Z41="Sí",10,0)*[1]Parámetros!$B$12)/[1]Parámetros!$B$14),2)))</f>
        <v/>
      </c>
      <c r="BH41" s="21" t="str">
        <f t="shared" si="8"/>
        <v/>
      </c>
      <c r="BI41" s="22" t="str">
        <f t="shared" si="9"/>
        <v/>
      </c>
      <c r="BJ41" s="22" t="str">
        <f t="shared" si="10"/>
        <v/>
      </c>
      <c r="BK41" s="17"/>
    </row>
    <row r="42" spans="1:63" ht="27.75" customHeight="1" x14ac:dyDescent="0.35">
      <c r="A42" s="10">
        <v>39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 t="str">
        <f t="shared" si="0"/>
        <v/>
      </c>
      <c r="O42" s="12"/>
      <c r="P42" s="12"/>
      <c r="Q42" s="12"/>
      <c r="R42" s="12"/>
      <c r="S42" s="13" t="str">
        <f t="shared" si="1"/>
        <v/>
      </c>
      <c r="T42" s="13" t="str">
        <f t="shared" si="2"/>
        <v/>
      </c>
      <c r="U42" s="14" t="str">
        <f>IF($E42="","",IFERROR(ROUND((O42*[1]Parámetros!$B$29+P42*[1]Parámetros!$B$30+Q42*[1]Parámetros!$B$31+R42*[1]Parámetros!$B$32)/S42,2),""))</f>
        <v/>
      </c>
      <c r="V42" s="15" t="str">
        <f t="shared" si="3"/>
        <v/>
      </c>
      <c r="W42" s="10"/>
      <c r="X42" s="10"/>
      <c r="Y42" s="12"/>
      <c r="Z42" s="10"/>
      <c r="AA42" s="10"/>
      <c r="AB42" s="10"/>
      <c r="AC42" s="10"/>
      <c r="AD42" s="10"/>
      <c r="AE42" s="10"/>
      <c r="AF42" s="10"/>
      <c r="AG42" s="10"/>
      <c r="AH42" s="16"/>
      <c r="AI42" s="10"/>
      <c r="AJ42" s="10"/>
      <c r="AK42" s="10"/>
      <c r="AL42" s="10"/>
      <c r="AM42" s="13" t="str">
        <f t="shared" si="4"/>
        <v/>
      </c>
      <c r="AN42" s="10"/>
      <c r="AO42" s="13" t="str">
        <f t="shared" si="5"/>
        <v/>
      </c>
      <c r="AP42" s="11" t="str">
        <f t="shared" si="6"/>
        <v/>
      </c>
      <c r="AQ42" s="12"/>
      <c r="AR42" s="12"/>
      <c r="AS42" s="10"/>
      <c r="AT42" s="10"/>
      <c r="AU42" s="10"/>
      <c r="AV42" s="14" t="str">
        <f>IF($B42&lt;&gt;"En curso","",IF(COUNT(AK42:AL42)+COUNT(AN42)+COUNT(AQ42:AR42)=0,"",ROUND(IFERROR(N(AM42),0)*10*[1]Parámetros!$B$18+MAX(0,IFERROR(N(AO42),0))*10*[1]Parámetros!$B$19+MAX(0,1-IFERROR(N(AQ42),0)-IFERROR(N(AR42),0))*10*[1]Parámetros!$B$20+IFERROR(N(AS42),0)/4*10*[1]Parámetros!$B$21+IFERROR(N(AU42),0)/5*10*[1]Parámetros!$B$22,2)))</f>
        <v/>
      </c>
      <c r="AW42" s="10"/>
      <c r="AX42" s="10"/>
      <c r="AY42" s="10"/>
      <c r="AZ42" s="10"/>
      <c r="BA42" s="16"/>
      <c r="BB42" s="12"/>
      <c r="BC42" s="11" t="str">
        <f t="shared" si="7"/>
        <v/>
      </c>
      <c r="BD42" s="10"/>
      <c r="BE42" s="10"/>
      <c r="BF42" s="14" t="str">
        <f>IF($B42&lt;&gt;"Nuevo","",IF(N(N42)=0,"",ROUND(MAX(0,MIN(10,MAX(0,IFERROR(N(N42)/MAX($N$4:$N$58),0)*10*[1]Parámetros!$B$5+IFERROR(N(AW42),0)*2*[1]Parámetros!$B$6+IFERROR(N(AC42),0)*2*[1]Parámetros!$B$7+IFERROR(INDEX([1]Parámetros!$B$37:$B$48,MATCH(D42,[1]Parámetros!$A$37:$A$48,0)),3)*2*[1]Parámetros!$B$8+IFERROR(N(AD42),0)*2*[1]Parámetros!$B$9+IFERROR(N(U42),0)*2.5*[1]Parámetros!$B$10+IFERROR(N(V42),0)*2.5*[1]Parámetros!$B$11+IF(Z42="Sí",10,0)*[1]Parámetros!$B$12)/[1]Parámetros!$B$14)-IFERROR(N(AZ42),0)*2*[1]Parámetros!$B$13),2)))</f>
        <v/>
      </c>
      <c r="BG42" s="14" t="str">
        <f>IF($B42&lt;&gt;"Nuevo","",IF(N(N42)=0,"",ROUND(MIN(10,MAX(0,IFERROR(N(N42)/MAX($N$4:$N$58),0)*10*[1]Parámetros!$B$5+IFERROR(N(AW42),0)*2*[1]Parámetros!$B$6+IFERROR(N(AC42),0)*2*[1]Parámetros!$B$7+IFERROR(INDEX([1]Parámetros!$B$37:$B$48,MATCH(D42,[1]Parámetros!$A$37:$A$48,0)),3)*2*[1]Parámetros!$B$8+IFERROR(N(AD42),0)*2*[1]Parámetros!$B$9+IFERROR(N(U42),0)*2.5*[1]Parámetros!$B$10+IFERROR(N(V42),0)*2.5*[1]Parámetros!$B$11+IF(Z42="Sí",10,0)*[1]Parámetros!$B$12)/[1]Parámetros!$B$14),2)))</f>
        <v/>
      </c>
      <c r="BH42" s="14" t="str">
        <f t="shared" si="8"/>
        <v/>
      </c>
      <c r="BI42" s="15" t="str">
        <f t="shared" si="9"/>
        <v/>
      </c>
      <c r="BJ42" s="15" t="str">
        <f t="shared" si="10"/>
        <v/>
      </c>
      <c r="BK42" s="10"/>
    </row>
    <row r="43" spans="1:63" ht="27.75" customHeight="1" x14ac:dyDescent="0.35">
      <c r="A43" s="17">
        <v>40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 t="str">
        <f t="shared" si="0"/>
        <v/>
      </c>
      <c r="O43" s="19"/>
      <c r="P43" s="19"/>
      <c r="Q43" s="19"/>
      <c r="R43" s="19"/>
      <c r="S43" s="20" t="str">
        <f t="shared" si="1"/>
        <v/>
      </c>
      <c r="T43" s="20" t="str">
        <f t="shared" si="2"/>
        <v/>
      </c>
      <c r="U43" s="21" t="str">
        <f>IF($E43="","",IFERROR(ROUND((O43*[1]Parámetros!$B$29+P43*[1]Parámetros!$B$30+Q43*[1]Parámetros!$B$31+R43*[1]Parámetros!$B$32)/S43,2),""))</f>
        <v/>
      </c>
      <c r="V43" s="22" t="str">
        <f t="shared" si="3"/>
        <v/>
      </c>
      <c r="W43" s="17"/>
      <c r="X43" s="17"/>
      <c r="Y43" s="19"/>
      <c r="Z43" s="17"/>
      <c r="AA43" s="17"/>
      <c r="AB43" s="17"/>
      <c r="AC43" s="17"/>
      <c r="AD43" s="17"/>
      <c r="AE43" s="17"/>
      <c r="AF43" s="17"/>
      <c r="AG43" s="17"/>
      <c r="AH43" s="23"/>
      <c r="AI43" s="17"/>
      <c r="AJ43" s="17"/>
      <c r="AK43" s="17"/>
      <c r="AL43" s="17"/>
      <c r="AM43" s="20" t="str">
        <f t="shared" si="4"/>
        <v/>
      </c>
      <c r="AN43" s="17"/>
      <c r="AO43" s="20" t="str">
        <f t="shared" si="5"/>
        <v/>
      </c>
      <c r="AP43" s="18" t="str">
        <f t="shared" si="6"/>
        <v/>
      </c>
      <c r="AQ43" s="19"/>
      <c r="AR43" s="19"/>
      <c r="AS43" s="17"/>
      <c r="AT43" s="17"/>
      <c r="AU43" s="17"/>
      <c r="AV43" s="21" t="str">
        <f>IF($B43&lt;&gt;"En curso","",IF(COUNT(AK43:AL43)+COUNT(AN43)+COUNT(AQ43:AR43)=0,"",ROUND(IFERROR(N(AM43),0)*10*[1]Parámetros!$B$18+MAX(0,IFERROR(N(AO43),0))*10*[1]Parámetros!$B$19+MAX(0,1-IFERROR(N(AQ43),0)-IFERROR(N(AR43),0))*10*[1]Parámetros!$B$20+IFERROR(N(AS43),0)/4*10*[1]Parámetros!$B$21+IFERROR(N(AU43),0)/5*10*[1]Parámetros!$B$22,2)))</f>
        <v/>
      </c>
      <c r="AW43" s="17"/>
      <c r="AX43" s="17"/>
      <c r="AY43" s="17"/>
      <c r="AZ43" s="17"/>
      <c r="BA43" s="23"/>
      <c r="BB43" s="19"/>
      <c r="BC43" s="18" t="str">
        <f t="shared" si="7"/>
        <v/>
      </c>
      <c r="BD43" s="17"/>
      <c r="BE43" s="17"/>
      <c r="BF43" s="21" t="str">
        <f>IF($B43&lt;&gt;"Nuevo","",IF(N(N43)=0,"",ROUND(MAX(0,MIN(10,MAX(0,IFERROR(N(N43)/MAX($N$4:$N$58),0)*10*[1]Parámetros!$B$5+IFERROR(N(AW43),0)*2*[1]Parámetros!$B$6+IFERROR(N(AC43),0)*2*[1]Parámetros!$B$7+IFERROR(INDEX([1]Parámetros!$B$37:$B$48,MATCH(D43,[1]Parámetros!$A$37:$A$48,0)),3)*2*[1]Parámetros!$B$8+IFERROR(N(AD43),0)*2*[1]Parámetros!$B$9+IFERROR(N(U43),0)*2.5*[1]Parámetros!$B$10+IFERROR(N(V43),0)*2.5*[1]Parámetros!$B$11+IF(Z43="Sí",10,0)*[1]Parámetros!$B$12)/[1]Parámetros!$B$14)-IFERROR(N(AZ43),0)*2*[1]Parámetros!$B$13),2)))</f>
        <v/>
      </c>
      <c r="BG43" s="21" t="str">
        <f>IF($B43&lt;&gt;"Nuevo","",IF(N(N43)=0,"",ROUND(MIN(10,MAX(0,IFERROR(N(N43)/MAX($N$4:$N$58),0)*10*[1]Parámetros!$B$5+IFERROR(N(AW43),0)*2*[1]Parámetros!$B$6+IFERROR(N(AC43),0)*2*[1]Parámetros!$B$7+IFERROR(INDEX([1]Parámetros!$B$37:$B$48,MATCH(D43,[1]Parámetros!$A$37:$A$48,0)),3)*2*[1]Parámetros!$B$8+IFERROR(N(AD43),0)*2*[1]Parámetros!$B$9+IFERROR(N(U43),0)*2.5*[1]Parámetros!$B$10+IFERROR(N(V43),0)*2.5*[1]Parámetros!$B$11+IF(Z43="Sí",10,0)*[1]Parámetros!$B$12)/[1]Parámetros!$B$14),2)))</f>
        <v/>
      </c>
      <c r="BH43" s="21" t="str">
        <f t="shared" si="8"/>
        <v/>
      </c>
      <c r="BI43" s="22" t="str">
        <f t="shared" si="9"/>
        <v/>
      </c>
      <c r="BJ43" s="22" t="str">
        <f t="shared" si="10"/>
        <v/>
      </c>
      <c r="BK43" s="17"/>
    </row>
    <row r="44" spans="1:63" ht="27.75" customHeight="1" x14ac:dyDescent="0.35">
      <c r="A44" s="10">
        <v>41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 t="str">
        <f t="shared" si="0"/>
        <v/>
      </c>
      <c r="O44" s="12"/>
      <c r="P44" s="12"/>
      <c r="Q44" s="12"/>
      <c r="R44" s="12"/>
      <c r="S44" s="13" t="str">
        <f t="shared" si="1"/>
        <v/>
      </c>
      <c r="T44" s="13" t="str">
        <f t="shared" si="2"/>
        <v/>
      </c>
      <c r="U44" s="14" t="str">
        <f>IF($E44="","",IFERROR(ROUND((O44*[1]Parámetros!$B$29+P44*[1]Parámetros!$B$30+Q44*[1]Parámetros!$B$31+R44*[1]Parámetros!$B$32)/S44,2),""))</f>
        <v/>
      </c>
      <c r="V44" s="15" t="str">
        <f t="shared" si="3"/>
        <v/>
      </c>
      <c r="W44" s="10"/>
      <c r="X44" s="10"/>
      <c r="Y44" s="12"/>
      <c r="Z44" s="10"/>
      <c r="AA44" s="10"/>
      <c r="AB44" s="10"/>
      <c r="AC44" s="10"/>
      <c r="AD44" s="10"/>
      <c r="AE44" s="10"/>
      <c r="AF44" s="10"/>
      <c r="AG44" s="10"/>
      <c r="AH44" s="16"/>
      <c r="AI44" s="10"/>
      <c r="AJ44" s="10"/>
      <c r="AK44" s="10"/>
      <c r="AL44" s="10"/>
      <c r="AM44" s="13" t="str">
        <f t="shared" si="4"/>
        <v/>
      </c>
      <c r="AN44" s="10"/>
      <c r="AO44" s="13" t="str">
        <f t="shared" si="5"/>
        <v/>
      </c>
      <c r="AP44" s="11" t="str">
        <f t="shared" si="6"/>
        <v/>
      </c>
      <c r="AQ44" s="12"/>
      <c r="AR44" s="12"/>
      <c r="AS44" s="10"/>
      <c r="AT44" s="10"/>
      <c r="AU44" s="10"/>
      <c r="AV44" s="14" t="str">
        <f>IF($B44&lt;&gt;"En curso","",IF(COUNT(AK44:AL44)+COUNT(AN44)+COUNT(AQ44:AR44)=0,"",ROUND(IFERROR(N(AM44),0)*10*[1]Parámetros!$B$18+MAX(0,IFERROR(N(AO44),0))*10*[1]Parámetros!$B$19+MAX(0,1-IFERROR(N(AQ44),0)-IFERROR(N(AR44),0))*10*[1]Parámetros!$B$20+IFERROR(N(AS44),0)/4*10*[1]Parámetros!$B$21+IFERROR(N(AU44),0)/5*10*[1]Parámetros!$B$22,2)))</f>
        <v/>
      </c>
      <c r="AW44" s="10"/>
      <c r="AX44" s="10"/>
      <c r="AY44" s="10"/>
      <c r="AZ44" s="10"/>
      <c r="BA44" s="16"/>
      <c r="BB44" s="12"/>
      <c r="BC44" s="11" t="str">
        <f t="shared" si="7"/>
        <v/>
      </c>
      <c r="BD44" s="10"/>
      <c r="BE44" s="10"/>
      <c r="BF44" s="14" t="str">
        <f>IF($B44&lt;&gt;"Nuevo","",IF(N(N44)=0,"",ROUND(MAX(0,MIN(10,MAX(0,IFERROR(N(N44)/MAX($N$4:$N$58),0)*10*[1]Parámetros!$B$5+IFERROR(N(AW44),0)*2*[1]Parámetros!$B$6+IFERROR(N(AC44),0)*2*[1]Parámetros!$B$7+IFERROR(INDEX([1]Parámetros!$B$37:$B$48,MATCH(D44,[1]Parámetros!$A$37:$A$48,0)),3)*2*[1]Parámetros!$B$8+IFERROR(N(AD44),0)*2*[1]Parámetros!$B$9+IFERROR(N(U44),0)*2.5*[1]Parámetros!$B$10+IFERROR(N(V44),0)*2.5*[1]Parámetros!$B$11+IF(Z44="Sí",10,0)*[1]Parámetros!$B$12)/[1]Parámetros!$B$14)-IFERROR(N(AZ44),0)*2*[1]Parámetros!$B$13),2)))</f>
        <v/>
      </c>
      <c r="BG44" s="14" t="str">
        <f>IF($B44&lt;&gt;"Nuevo","",IF(N(N44)=0,"",ROUND(MIN(10,MAX(0,IFERROR(N(N44)/MAX($N$4:$N$58),0)*10*[1]Parámetros!$B$5+IFERROR(N(AW44),0)*2*[1]Parámetros!$B$6+IFERROR(N(AC44),0)*2*[1]Parámetros!$B$7+IFERROR(INDEX([1]Parámetros!$B$37:$B$48,MATCH(D44,[1]Parámetros!$A$37:$A$48,0)),3)*2*[1]Parámetros!$B$8+IFERROR(N(AD44),0)*2*[1]Parámetros!$B$9+IFERROR(N(U44),0)*2.5*[1]Parámetros!$B$10+IFERROR(N(V44),0)*2.5*[1]Parámetros!$B$11+IF(Z44="Sí",10,0)*[1]Parámetros!$B$12)/[1]Parámetros!$B$14),2)))</f>
        <v/>
      </c>
      <c r="BH44" s="14" t="str">
        <f t="shared" si="8"/>
        <v/>
      </c>
      <c r="BI44" s="15" t="str">
        <f t="shared" si="9"/>
        <v/>
      </c>
      <c r="BJ44" s="15" t="str">
        <f t="shared" si="10"/>
        <v/>
      </c>
      <c r="BK44" s="10"/>
    </row>
    <row r="45" spans="1:63" ht="27.75" customHeight="1" x14ac:dyDescent="0.35">
      <c r="A45" s="17">
        <v>42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 t="str">
        <f t="shared" si="0"/>
        <v/>
      </c>
      <c r="O45" s="19"/>
      <c r="P45" s="19"/>
      <c r="Q45" s="19"/>
      <c r="R45" s="19"/>
      <c r="S45" s="20" t="str">
        <f t="shared" si="1"/>
        <v/>
      </c>
      <c r="T45" s="20" t="str">
        <f t="shared" si="2"/>
        <v/>
      </c>
      <c r="U45" s="21" t="str">
        <f>IF($E45="","",IFERROR(ROUND((O45*[1]Parámetros!$B$29+P45*[1]Parámetros!$B$30+Q45*[1]Parámetros!$B$31+R45*[1]Parámetros!$B$32)/S45,2),""))</f>
        <v/>
      </c>
      <c r="V45" s="22" t="str">
        <f t="shared" si="3"/>
        <v/>
      </c>
      <c r="W45" s="17"/>
      <c r="X45" s="17"/>
      <c r="Y45" s="19"/>
      <c r="Z45" s="17"/>
      <c r="AA45" s="17"/>
      <c r="AB45" s="17"/>
      <c r="AC45" s="17"/>
      <c r="AD45" s="17"/>
      <c r="AE45" s="17"/>
      <c r="AF45" s="17"/>
      <c r="AG45" s="17"/>
      <c r="AH45" s="23"/>
      <c r="AI45" s="17"/>
      <c r="AJ45" s="17"/>
      <c r="AK45" s="17"/>
      <c r="AL45" s="17"/>
      <c r="AM45" s="20" t="str">
        <f t="shared" si="4"/>
        <v/>
      </c>
      <c r="AN45" s="17"/>
      <c r="AO45" s="20" t="str">
        <f t="shared" si="5"/>
        <v/>
      </c>
      <c r="AP45" s="18" t="str">
        <f t="shared" si="6"/>
        <v/>
      </c>
      <c r="AQ45" s="19"/>
      <c r="AR45" s="19"/>
      <c r="AS45" s="17"/>
      <c r="AT45" s="17"/>
      <c r="AU45" s="17"/>
      <c r="AV45" s="21" t="str">
        <f>IF($B45&lt;&gt;"En curso","",IF(COUNT(AK45:AL45)+COUNT(AN45)+COUNT(AQ45:AR45)=0,"",ROUND(IFERROR(N(AM45),0)*10*[1]Parámetros!$B$18+MAX(0,IFERROR(N(AO45),0))*10*[1]Parámetros!$B$19+MAX(0,1-IFERROR(N(AQ45),0)-IFERROR(N(AR45),0))*10*[1]Parámetros!$B$20+IFERROR(N(AS45),0)/4*10*[1]Parámetros!$B$21+IFERROR(N(AU45),0)/5*10*[1]Parámetros!$B$22,2)))</f>
        <v/>
      </c>
      <c r="AW45" s="17"/>
      <c r="AX45" s="17"/>
      <c r="AY45" s="17"/>
      <c r="AZ45" s="17"/>
      <c r="BA45" s="23"/>
      <c r="BB45" s="19"/>
      <c r="BC45" s="18" t="str">
        <f t="shared" si="7"/>
        <v/>
      </c>
      <c r="BD45" s="17"/>
      <c r="BE45" s="17"/>
      <c r="BF45" s="21" t="str">
        <f>IF($B45&lt;&gt;"Nuevo","",IF(N(N45)=0,"",ROUND(MAX(0,MIN(10,MAX(0,IFERROR(N(N45)/MAX($N$4:$N$58),0)*10*[1]Parámetros!$B$5+IFERROR(N(AW45),0)*2*[1]Parámetros!$B$6+IFERROR(N(AC45),0)*2*[1]Parámetros!$B$7+IFERROR(INDEX([1]Parámetros!$B$37:$B$48,MATCH(D45,[1]Parámetros!$A$37:$A$48,0)),3)*2*[1]Parámetros!$B$8+IFERROR(N(AD45),0)*2*[1]Parámetros!$B$9+IFERROR(N(U45),0)*2.5*[1]Parámetros!$B$10+IFERROR(N(V45),0)*2.5*[1]Parámetros!$B$11+IF(Z45="Sí",10,0)*[1]Parámetros!$B$12)/[1]Parámetros!$B$14)-IFERROR(N(AZ45),0)*2*[1]Parámetros!$B$13),2)))</f>
        <v/>
      </c>
      <c r="BG45" s="21" t="str">
        <f>IF($B45&lt;&gt;"Nuevo","",IF(N(N45)=0,"",ROUND(MIN(10,MAX(0,IFERROR(N(N45)/MAX($N$4:$N$58),0)*10*[1]Parámetros!$B$5+IFERROR(N(AW45),0)*2*[1]Parámetros!$B$6+IFERROR(N(AC45),0)*2*[1]Parámetros!$B$7+IFERROR(INDEX([1]Parámetros!$B$37:$B$48,MATCH(D45,[1]Parámetros!$A$37:$A$48,0)),3)*2*[1]Parámetros!$B$8+IFERROR(N(AD45),0)*2*[1]Parámetros!$B$9+IFERROR(N(U45),0)*2.5*[1]Parámetros!$B$10+IFERROR(N(V45),0)*2.5*[1]Parámetros!$B$11+IF(Z45="Sí",10,0)*[1]Parámetros!$B$12)/[1]Parámetros!$B$14),2)))</f>
        <v/>
      </c>
      <c r="BH45" s="21" t="str">
        <f t="shared" si="8"/>
        <v/>
      </c>
      <c r="BI45" s="22" t="str">
        <f t="shared" si="9"/>
        <v/>
      </c>
      <c r="BJ45" s="22" t="str">
        <f t="shared" si="10"/>
        <v/>
      </c>
      <c r="BK45" s="17"/>
    </row>
    <row r="46" spans="1:63" ht="27.75" customHeight="1" x14ac:dyDescent="0.35">
      <c r="A46" s="10">
        <v>43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 t="str">
        <f t="shared" si="0"/>
        <v/>
      </c>
      <c r="O46" s="12"/>
      <c r="P46" s="12"/>
      <c r="Q46" s="12"/>
      <c r="R46" s="12"/>
      <c r="S46" s="13" t="str">
        <f t="shared" si="1"/>
        <v/>
      </c>
      <c r="T46" s="13" t="str">
        <f t="shared" si="2"/>
        <v/>
      </c>
      <c r="U46" s="14" t="str">
        <f>IF($E46="","",IFERROR(ROUND((O46*[1]Parámetros!$B$29+P46*[1]Parámetros!$B$30+Q46*[1]Parámetros!$B$31+R46*[1]Parámetros!$B$32)/S46,2),""))</f>
        <v/>
      </c>
      <c r="V46" s="15" t="str">
        <f t="shared" si="3"/>
        <v/>
      </c>
      <c r="W46" s="10"/>
      <c r="X46" s="10"/>
      <c r="Y46" s="12"/>
      <c r="Z46" s="10"/>
      <c r="AA46" s="10"/>
      <c r="AB46" s="10"/>
      <c r="AC46" s="10"/>
      <c r="AD46" s="10"/>
      <c r="AE46" s="10"/>
      <c r="AF46" s="10"/>
      <c r="AG46" s="10"/>
      <c r="AH46" s="16"/>
      <c r="AI46" s="10"/>
      <c r="AJ46" s="10"/>
      <c r="AK46" s="10"/>
      <c r="AL46" s="10"/>
      <c r="AM46" s="13" t="str">
        <f t="shared" si="4"/>
        <v/>
      </c>
      <c r="AN46" s="10"/>
      <c r="AO46" s="13" t="str">
        <f t="shared" si="5"/>
        <v/>
      </c>
      <c r="AP46" s="11" t="str">
        <f t="shared" si="6"/>
        <v/>
      </c>
      <c r="AQ46" s="12"/>
      <c r="AR46" s="12"/>
      <c r="AS46" s="10"/>
      <c r="AT46" s="10"/>
      <c r="AU46" s="10"/>
      <c r="AV46" s="14" t="str">
        <f>IF($B46&lt;&gt;"En curso","",IF(COUNT(AK46:AL46)+COUNT(AN46)+COUNT(AQ46:AR46)=0,"",ROUND(IFERROR(N(AM46),0)*10*[1]Parámetros!$B$18+MAX(0,IFERROR(N(AO46),0))*10*[1]Parámetros!$B$19+MAX(0,1-IFERROR(N(AQ46),0)-IFERROR(N(AR46),0))*10*[1]Parámetros!$B$20+IFERROR(N(AS46),0)/4*10*[1]Parámetros!$B$21+IFERROR(N(AU46),0)/5*10*[1]Parámetros!$B$22,2)))</f>
        <v/>
      </c>
      <c r="AW46" s="10"/>
      <c r="AX46" s="10"/>
      <c r="AY46" s="10"/>
      <c r="AZ46" s="10"/>
      <c r="BA46" s="16"/>
      <c r="BB46" s="12"/>
      <c r="BC46" s="11" t="str">
        <f t="shared" si="7"/>
        <v/>
      </c>
      <c r="BD46" s="10"/>
      <c r="BE46" s="10"/>
      <c r="BF46" s="14" t="str">
        <f>IF($B46&lt;&gt;"Nuevo","",IF(N(N46)=0,"",ROUND(MAX(0,MIN(10,MAX(0,IFERROR(N(N46)/MAX($N$4:$N$58),0)*10*[1]Parámetros!$B$5+IFERROR(N(AW46),0)*2*[1]Parámetros!$B$6+IFERROR(N(AC46),0)*2*[1]Parámetros!$B$7+IFERROR(INDEX([1]Parámetros!$B$37:$B$48,MATCH(D46,[1]Parámetros!$A$37:$A$48,0)),3)*2*[1]Parámetros!$B$8+IFERROR(N(AD46),0)*2*[1]Parámetros!$B$9+IFERROR(N(U46),0)*2.5*[1]Parámetros!$B$10+IFERROR(N(V46),0)*2.5*[1]Parámetros!$B$11+IF(Z46="Sí",10,0)*[1]Parámetros!$B$12)/[1]Parámetros!$B$14)-IFERROR(N(AZ46),0)*2*[1]Parámetros!$B$13),2)))</f>
        <v/>
      </c>
      <c r="BG46" s="14" t="str">
        <f>IF($B46&lt;&gt;"Nuevo","",IF(N(N46)=0,"",ROUND(MIN(10,MAX(0,IFERROR(N(N46)/MAX($N$4:$N$58),0)*10*[1]Parámetros!$B$5+IFERROR(N(AW46),0)*2*[1]Parámetros!$B$6+IFERROR(N(AC46),0)*2*[1]Parámetros!$B$7+IFERROR(INDEX([1]Parámetros!$B$37:$B$48,MATCH(D46,[1]Parámetros!$A$37:$A$48,0)),3)*2*[1]Parámetros!$B$8+IFERROR(N(AD46),0)*2*[1]Parámetros!$B$9+IFERROR(N(U46),0)*2.5*[1]Parámetros!$B$10+IFERROR(N(V46),0)*2.5*[1]Parámetros!$B$11+IF(Z46="Sí",10,0)*[1]Parámetros!$B$12)/[1]Parámetros!$B$14),2)))</f>
        <v/>
      </c>
      <c r="BH46" s="14" t="str">
        <f t="shared" si="8"/>
        <v/>
      </c>
      <c r="BI46" s="15" t="str">
        <f t="shared" si="9"/>
        <v/>
      </c>
      <c r="BJ46" s="15" t="str">
        <f t="shared" si="10"/>
        <v/>
      </c>
      <c r="BK46" s="10"/>
    </row>
    <row r="47" spans="1:63" ht="27.75" customHeight="1" x14ac:dyDescent="0.35">
      <c r="A47" s="17">
        <v>44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 t="str">
        <f t="shared" si="0"/>
        <v/>
      </c>
      <c r="O47" s="19"/>
      <c r="P47" s="19"/>
      <c r="Q47" s="19"/>
      <c r="R47" s="19"/>
      <c r="S47" s="20" t="str">
        <f t="shared" si="1"/>
        <v/>
      </c>
      <c r="T47" s="20" t="str">
        <f t="shared" si="2"/>
        <v/>
      </c>
      <c r="U47" s="21" t="str">
        <f>IF($E47="","",IFERROR(ROUND((O47*[1]Parámetros!$B$29+P47*[1]Parámetros!$B$30+Q47*[1]Parámetros!$B$31+R47*[1]Parámetros!$B$32)/S47,2),""))</f>
        <v/>
      </c>
      <c r="V47" s="22" t="str">
        <f t="shared" si="3"/>
        <v/>
      </c>
      <c r="W47" s="17"/>
      <c r="X47" s="17"/>
      <c r="Y47" s="19"/>
      <c r="Z47" s="17"/>
      <c r="AA47" s="17"/>
      <c r="AB47" s="17"/>
      <c r="AC47" s="17"/>
      <c r="AD47" s="17"/>
      <c r="AE47" s="17"/>
      <c r="AF47" s="17"/>
      <c r="AG47" s="17"/>
      <c r="AH47" s="23"/>
      <c r="AI47" s="17"/>
      <c r="AJ47" s="17"/>
      <c r="AK47" s="17"/>
      <c r="AL47" s="17"/>
      <c r="AM47" s="20" t="str">
        <f t="shared" si="4"/>
        <v/>
      </c>
      <c r="AN47" s="17"/>
      <c r="AO47" s="20" t="str">
        <f t="shared" si="5"/>
        <v/>
      </c>
      <c r="AP47" s="18" t="str">
        <f t="shared" si="6"/>
        <v/>
      </c>
      <c r="AQ47" s="19"/>
      <c r="AR47" s="19"/>
      <c r="AS47" s="17"/>
      <c r="AT47" s="17"/>
      <c r="AU47" s="17"/>
      <c r="AV47" s="21" t="str">
        <f>IF($B47&lt;&gt;"En curso","",IF(COUNT(AK47:AL47)+COUNT(AN47)+COUNT(AQ47:AR47)=0,"",ROUND(IFERROR(N(AM47),0)*10*[1]Parámetros!$B$18+MAX(0,IFERROR(N(AO47),0))*10*[1]Parámetros!$B$19+MAX(0,1-IFERROR(N(AQ47),0)-IFERROR(N(AR47),0))*10*[1]Parámetros!$B$20+IFERROR(N(AS47),0)/4*10*[1]Parámetros!$B$21+IFERROR(N(AU47),0)/5*10*[1]Parámetros!$B$22,2)))</f>
        <v/>
      </c>
      <c r="AW47" s="17"/>
      <c r="AX47" s="17"/>
      <c r="AY47" s="17"/>
      <c r="AZ47" s="17"/>
      <c r="BA47" s="23"/>
      <c r="BB47" s="19"/>
      <c r="BC47" s="18" t="str">
        <f t="shared" si="7"/>
        <v/>
      </c>
      <c r="BD47" s="17"/>
      <c r="BE47" s="17"/>
      <c r="BF47" s="21" t="str">
        <f>IF($B47&lt;&gt;"Nuevo","",IF(N(N47)=0,"",ROUND(MAX(0,MIN(10,MAX(0,IFERROR(N(N47)/MAX($N$4:$N$58),0)*10*[1]Parámetros!$B$5+IFERROR(N(AW47),0)*2*[1]Parámetros!$B$6+IFERROR(N(AC47),0)*2*[1]Parámetros!$B$7+IFERROR(INDEX([1]Parámetros!$B$37:$B$48,MATCH(D47,[1]Parámetros!$A$37:$A$48,0)),3)*2*[1]Parámetros!$B$8+IFERROR(N(AD47),0)*2*[1]Parámetros!$B$9+IFERROR(N(U47),0)*2.5*[1]Parámetros!$B$10+IFERROR(N(V47),0)*2.5*[1]Parámetros!$B$11+IF(Z47="Sí",10,0)*[1]Parámetros!$B$12)/[1]Parámetros!$B$14)-IFERROR(N(AZ47),0)*2*[1]Parámetros!$B$13),2)))</f>
        <v/>
      </c>
      <c r="BG47" s="21" t="str">
        <f>IF($B47&lt;&gt;"Nuevo","",IF(N(N47)=0,"",ROUND(MIN(10,MAX(0,IFERROR(N(N47)/MAX($N$4:$N$58),0)*10*[1]Parámetros!$B$5+IFERROR(N(AW47),0)*2*[1]Parámetros!$B$6+IFERROR(N(AC47),0)*2*[1]Parámetros!$B$7+IFERROR(INDEX([1]Parámetros!$B$37:$B$48,MATCH(D47,[1]Parámetros!$A$37:$A$48,0)),3)*2*[1]Parámetros!$B$8+IFERROR(N(AD47),0)*2*[1]Parámetros!$B$9+IFERROR(N(U47),0)*2.5*[1]Parámetros!$B$10+IFERROR(N(V47),0)*2.5*[1]Parámetros!$B$11+IF(Z47="Sí",10,0)*[1]Parámetros!$B$12)/[1]Parámetros!$B$14),2)))</f>
        <v/>
      </c>
      <c r="BH47" s="21" t="str">
        <f t="shared" si="8"/>
        <v/>
      </c>
      <c r="BI47" s="22" t="str">
        <f t="shared" si="9"/>
        <v/>
      </c>
      <c r="BJ47" s="22" t="str">
        <f t="shared" si="10"/>
        <v/>
      </c>
      <c r="BK47" s="17"/>
    </row>
    <row r="48" spans="1:63" ht="27.75" customHeight="1" x14ac:dyDescent="0.35">
      <c r="A48" s="10">
        <v>45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 t="str">
        <f t="shared" si="0"/>
        <v/>
      </c>
      <c r="O48" s="12"/>
      <c r="P48" s="12"/>
      <c r="Q48" s="12"/>
      <c r="R48" s="12"/>
      <c r="S48" s="13" t="str">
        <f t="shared" si="1"/>
        <v/>
      </c>
      <c r="T48" s="13" t="str">
        <f t="shared" si="2"/>
        <v/>
      </c>
      <c r="U48" s="14" t="str">
        <f>IF($E48="","",IFERROR(ROUND((O48*[1]Parámetros!$B$29+P48*[1]Parámetros!$B$30+Q48*[1]Parámetros!$B$31+R48*[1]Parámetros!$B$32)/S48,2),""))</f>
        <v/>
      </c>
      <c r="V48" s="15" t="str">
        <f t="shared" si="3"/>
        <v/>
      </c>
      <c r="W48" s="10"/>
      <c r="X48" s="10"/>
      <c r="Y48" s="12"/>
      <c r="Z48" s="10"/>
      <c r="AA48" s="10"/>
      <c r="AB48" s="10"/>
      <c r="AC48" s="10"/>
      <c r="AD48" s="10"/>
      <c r="AE48" s="10"/>
      <c r="AF48" s="10"/>
      <c r="AG48" s="10"/>
      <c r="AH48" s="16"/>
      <c r="AI48" s="10"/>
      <c r="AJ48" s="10"/>
      <c r="AK48" s="10"/>
      <c r="AL48" s="10"/>
      <c r="AM48" s="13" t="str">
        <f t="shared" si="4"/>
        <v/>
      </c>
      <c r="AN48" s="10"/>
      <c r="AO48" s="13" t="str">
        <f t="shared" si="5"/>
        <v/>
      </c>
      <c r="AP48" s="11" t="str">
        <f t="shared" si="6"/>
        <v/>
      </c>
      <c r="AQ48" s="12"/>
      <c r="AR48" s="12"/>
      <c r="AS48" s="10"/>
      <c r="AT48" s="10"/>
      <c r="AU48" s="10"/>
      <c r="AV48" s="14" t="str">
        <f>IF($B48&lt;&gt;"En curso","",IF(COUNT(AK48:AL48)+COUNT(AN48)+COUNT(AQ48:AR48)=0,"",ROUND(IFERROR(N(AM48),0)*10*[1]Parámetros!$B$18+MAX(0,IFERROR(N(AO48),0))*10*[1]Parámetros!$B$19+MAX(0,1-IFERROR(N(AQ48),0)-IFERROR(N(AR48),0))*10*[1]Parámetros!$B$20+IFERROR(N(AS48),0)/4*10*[1]Parámetros!$B$21+IFERROR(N(AU48),0)/5*10*[1]Parámetros!$B$22,2)))</f>
        <v/>
      </c>
      <c r="AW48" s="10"/>
      <c r="AX48" s="10"/>
      <c r="AY48" s="10"/>
      <c r="AZ48" s="10"/>
      <c r="BA48" s="16"/>
      <c r="BB48" s="12"/>
      <c r="BC48" s="11" t="str">
        <f t="shared" si="7"/>
        <v/>
      </c>
      <c r="BD48" s="10"/>
      <c r="BE48" s="10"/>
      <c r="BF48" s="14" t="str">
        <f>IF($B48&lt;&gt;"Nuevo","",IF(N(N48)=0,"",ROUND(MAX(0,MIN(10,MAX(0,IFERROR(N(N48)/MAX($N$4:$N$58),0)*10*[1]Parámetros!$B$5+IFERROR(N(AW48),0)*2*[1]Parámetros!$B$6+IFERROR(N(AC48),0)*2*[1]Parámetros!$B$7+IFERROR(INDEX([1]Parámetros!$B$37:$B$48,MATCH(D48,[1]Parámetros!$A$37:$A$48,0)),3)*2*[1]Parámetros!$B$8+IFERROR(N(AD48),0)*2*[1]Parámetros!$B$9+IFERROR(N(U48),0)*2.5*[1]Parámetros!$B$10+IFERROR(N(V48),0)*2.5*[1]Parámetros!$B$11+IF(Z48="Sí",10,0)*[1]Parámetros!$B$12)/[1]Parámetros!$B$14)-IFERROR(N(AZ48),0)*2*[1]Parámetros!$B$13),2)))</f>
        <v/>
      </c>
      <c r="BG48" s="14" t="str">
        <f>IF($B48&lt;&gt;"Nuevo","",IF(N(N48)=0,"",ROUND(MIN(10,MAX(0,IFERROR(N(N48)/MAX($N$4:$N$58),0)*10*[1]Parámetros!$B$5+IFERROR(N(AW48),0)*2*[1]Parámetros!$B$6+IFERROR(N(AC48),0)*2*[1]Parámetros!$B$7+IFERROR(INDEX([1]Parámetros!$B$37:$B$48,MATCH(D48,[1]Parámetros!$A$37:$A$48,0)),3)*2*[1]Parámetros!$B$8+IFERROR(N(AD48),0)*2*[1]Parámetros!$B$9+IFERROR(N(U48),0)*2.5*[1]Parámetros!$B$10+IFERROR(N(V48),0)*2.5*[1]Parámetros!$B$11+IF(Z48="Sí",10,0)*[1]Parámetros!$B$12)/[1]Parámetros!$B$14),2)))</f>
        <v/>
      </c>
      <c r="BH48" s="14" t="str">
        <f t="shared" si="8"/>
        <v/>
      </c>
      <c r="BI48" s="15" t="str">
        <f t="shared" si="9"/>
        <v/>
      </c>
      <c r="BJ48" s="15" t="str">
        <f t="shared" si="10"/>
        <v/>
      </c>
      <c r="BK48" s="10"/>
    </row>
    <row r="49" spans="1:63" ht="27.75" customHeight="1" x14ac:dyDescent="0.35">
      <c r="A49" s="17">
        <v>46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 t="str">
        <f t="shared" si="0"/>
        <v/>
      </c>
      <c r="O49" s="19"/>
      <c r="P49" s="19"/>
      <c r="Q49" s="19"/>
      <c r="R49" s="19"/>
      <c r="S49" s="20" t="str">
        <f t="shared" si="1"/>
        <v/>
      </c>
      <c r="T49" s="20" t="str">
        <f t="shared" si="2"/>
        <v/>
      </c>
      <c r="U49" s="21" t="str">
        <f>IF($E49="","",IFERROR(ROUND((O49*[1]Parámetros!$B$29+P49*[1]Parámetros!$B$30+Q49*[1]Parámetros!$B$31+R49*[1]Parámetros!$B$32)/S49,2),""))</f>
        <v/>
      </c>
      <c r="V49" s="22" t="str">
        <f t="shared" si="3"/>
        <v/>
      </c>
      <c r="W49" s="17"/>
      <c r="X49" s="17"/>
      <c r="Y49" s="19"/>
      <c r="Z49" s="17"/>
      <c r="AA49" s="17"/>
      <c r="AB49" s="17"/>
      <c r="AC49" s="17"/>
      <c r="AD49" s="17"/>
      <c r="AE49" s="17"/>
      <c r="AF49" s="17"/>
      <c r="AG49" s="17"/>
      <c r="AH49" s="23"/>
      <c r="AI49" s="17"/>
      <c r="AJ49" s="17"/>
      <c r="AK49" s="17"/>
      <c r="AL49" s="17"/>
      <c r="AM49" s="20" t="str">
        <f t="shared" si="4"/>
        <v/>
      </c>
      <c r="AN49" s="17"/>
      <c r="AO49" s="20" t="str">
        <f t="shared" si="5"/>
        <v/>
      </c>
      <c r="AP49" s="18" t="str">
        <f t="shared" si="6"/>
        <v/>
      </c>
      <c r="AQ49" s="19"/>
      <c r="AR49" s="19"/>
      <c r="AS49" s="17"/>
      <c r="AT49" s="17"/>
      <c r="AU49" s="17"/>
      <c r="AV49" s="21" t="str">
        <f>IF($B49&lt;&gt;"En curso","",IF(COUNT(AK49:AL49)+COUNT(AN49)+COUNT(AQ49:AR49)=0,"",ROUND(IFERROR(N(AM49),0)*10*[1]Parámetros!$B$18+MAX(0,IFERROR(N(AO49),0))*10*[1]Parámetros!$B$19+MAX(0,1-IFERROR(N(AQ49),0)-IFERROR(N(AR49),0))*10*[1]Parámetros!$B$20+IFERROR(N(AS49),0)/4*10*[1]Parámetros!$B$21+IFERROR(N(AU49),0)/5*10*[1]Parámetros!$B$22,2)))</f>
        <v/>
      </c>
      <c r="AW49" s="17"/>
      <c r="AX49" s="17"/>
      <c r="AY49" s="17"/>
      <c r="AZ49" s="17"/>
      <c r="BA49" s="23"/>
      <c r="BB49" s="19"/>
      <c r="BC49" s="18" t="str">
        <f t="shared" si="7"/>
        <v/>
      </c>
      <c r="BD49" s="17"/>
      <c r="BE49" s="17"/>
      <c r="BF49" s="21" t="str">
        <f>IF($B49&lt;&gt;"Nuevo","",IF(N(N49)=0,"",ROUND(MAX(0,MIN(10,MAX(0,IFERROR(N(N49)/MAX($N$4:$N$58),0)*10*[1]Parámetros!$B$5+IFERROR(N(AW49),0)*2*[1]Parámetros!$B$6+IFERROR(N(AC49),0)*2*[1]Parámetros!$B$7+IFERROR(INDEX([1]Parámetros!$B$37:$B$48,MATCH(D49,[1]Parámetros!$A$37:$A$48,0)),3)*2*[1]Parámetros!$B$8+IFERROR(N(AD49),0)*2*[1]Parámetros!$B$9+IFERROR(N(U49),0)*2.5*[1]Parámetros!$B$10+IFERROR(N(V49),0)*2.5*[1]Parámetros!$B$11+IF(Z49="Sí",10,0)*[1]Parámetros!$B$12)/[1]Parámetros!$B$14)-IFERROR(N(AZ49),0)*2*[1]Parámetros!$B$13),2)))</f>
        <v/>
      </c>
      <c r="BG49" s="21" t="str">
        <f>IF($B49&lt;&gt;"Nuevo","",IF(N(N49)=0,"",ROUND(MIN(10,MAX(0,IFERROR(N(N49)/MAX($N$4:$N$58),0)*10*[1]Parámetros!$B$5+IFERROR(N(AW49),0)*2*[1]Parámetros!$B$6+IFERROR(N(AC49),0)*2*[1]Parámetros!$B$7+IFERROR(INDEX([1]Parámetros!$B$37:$B$48,MATCH(D49,[1]Parámetros!$A$37:$A$48,0)),3)*2*[1]Parámetros!$B$8+IFERROR(N(AD49),0)*2*[1]Parámetros!$B$9+IFERROR(N(U49),0)*2.5*[1]Parámetros!$B$10+IFERROR(N(V49),0)*2.5*[1]Parámetros!$B$11+IF(Z49="Sí",10,0)*[1]Parámetros!$B$12)/[1]Parámetros!$B$14),2)))</f>
        <v/>
      </c>
      <c r="BH49" s="21" t="str">
        <f t="shared" si="8"/>
        <v/>
      </c>
      <c r="BI49" s="22" t="str">
        <f t="shared" si="9"/>
        <v/>
      </c>
      <c r="BJ49" s="22" t="str">
        <f t="shared" si="10"/>
        <v/>
      </c>
      <c r="BK49" s="17"/>
    </row>
    <row r="50" spans="1:63" ht="27.75" customHeight="1" x14ac:dyDescent="0.35">
      <c r="A50" s="10">
        <v>47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 t="str">
        <f t="shared" si="0"/>
        <v/>
      </c>
      <c r="O50" s="12"/>
      <c r="P50" s="12"/>
      <c r="Q50" s="12"/>
      <c r="R50" s="12"/>
      <c r="S50" s="13" t="str">
        <f t="shared" si="1"/>
        <v/>
      </c>
      <c r="T50" s="13" t="str">
        <f t="shared" si="2"/>
        <v/>
      </c>
      <c r="U50" s="14" t="str">
        <f>IF($E50="","",IFERROR(ROUND((O50*[1]Parámetros!$B$29+P50*[1]Parámetros!$B$30+Q50*[1]Parámetros!$B$31+R50*[1]Parámetros!$B$32)/S50,2),""))</f>
        <v/>
      </c>
      <c r="V50" s="15" t="str">
        <f t="shared" si="3"/>
        <v/>
      </c>
      <c r="W50" s="10"/>
      <c r="X50" s="10"/>
      <c r="Y50" s="12"/>
      <c r="Z50" s="10"/>
      <c r="AA50" s="10"/>
      <c r="AB50" s="10"/>
      <c r="AC50" s="10"/>
      <c r="AD50" s="10"/>
      <c r="AE50" s="10"/>
      <c r="AF50" s="10"/>
      <c r="AG50" s="10"/>
      <c r="AH50" s="16"/>
      <c r="AI50" s="10"/>
      <c r="AJ50" s="10"/>
      <c r="AK50" s="10"/>
      <c r="AL50" s="10"/>
      <c r="AM50" s="13" t="str">
        <f t="shared" si="4"/>
        <v/>
      </c>
      <c r="AN50" s="10"/>
      <c r="AO50" s="13" t="str">
        <f t="shared" si="5"/>
        <v/>
      </c>
      <c r="AP50" s="11" t="str">
        <f t="shared" si="6"/>
        <v/>
      </c>
      <c r="AQ50" s="12"/>
      <c r="AR50" s="12"/>
      <c r="AS50" s="10"/>
      <c r="AT50" s="10"/>
      <c r="AU50" s="10"/>
      <c r="AV50" s="14" t="str">
        <f>IF($B50&lt;&gt;"En curso","",IF(COUNT(AK50:AL50)+COUNT(AN50)+COUNT(AQ50:AR50)=0,"",ROUND(IFERROR(N(AM50),0)*10*[1]Parámetros!$B$18+MAX(0,IFERROR(N(AO50),0))*10*[1]Parámetros!$B$19+MAX(0,1-IFERROR(N(AQ50),0)-IFERROR(N(AR50),0))*10*[1]Parámetros!$B$20+IFERROR(N(AS50),0)/4*10*[1]Parámetros!$B$21+IFERROR(N(AU50),0)/5*10*[1]Parámetros!$B$22,2)))</f>
        <v/>
      </c>
      <c r="AW50" s="10"/>
      <c r="AX50" s="10"/>
      <c r="AY50" s="10"/>
      <c r="AZ50" s="10"/>
      <c r="BA50" s="16"/>
      <c r="BB50" s="12"/>
      <c r="BC50" s="11" t="str">
        <f t="shared" si="7"/>
        <v/>
      </c>
      <c r="BD50" s="10"/>
      <c r="BE50" s="10"/>
      <c r="BF50" s="14" t="str">
        <f>IF($B50&lt;&gt;"Nuevo","",IF(N(N50)=0,"",ROUND(MAX(0,MIN(10,MAX(0,IFERROR(N(N50)/MAX($N$4:$N$58),0)*10*[1]Parámetros!$B$5+IFERROR(N(AW50),0)*2*[1]Parámetros!$B$6+IFERROR(N(AC50),0)*2*[1]Parámetros!$B$7+IFERROR(INDEX([1]Parámetros!$B$37:$B$48,MATCH(D50,[1]Parámetros!$A$37:$A$48,0)),3)*2*[1]Parámetros!$B$8+IFERROR(N(AD50),0)*2*[1]Parámetros!$B$9+IFERROR(N(U50),0)*2.5*[1]Parámetros!$B$10+IFERROR(N(V50),0)*2.5*[1]Parámetros!$B$11+IF(Z50="Sí",10,0)*[1]Parámetros!$B$12)/[1]Parámetros!$B$14)-IFERROR(N(AZ50),0)*2*[1]Parámetros!$B$13),2)))</f>
        <v/>
      </c>
      <c r="BG50" s="14" t="str">
        <f>IF($B50&lt;&gt;"Nuevo","",IF(N(N50)=0,"",ROUND(MIN(10,MAX(0,IFERROR(N(N50)/MAX($N$4:$N$58),0)*10*[1]Parámetros!$B$5+IFERROR(N(AW50),0)*2*[1]Parámetros!$B$6+IFERROR(N(AC50),0)*2*[1]Parámetros!$B$7+IFERROR(INDEX([1]Parámetros!$B$37:$B$48,MATCH(D50,[1]Parámetros!$A$37:$A$48,0)),3)*2*[1]Parámetros!$B$8+IFERROR(N(AD50),0)*2*[1]Parámetros!$B$9+IFERROR(N(U50),0)*2.5*[1]Parámetros!$B$10+IFERROR(N(V50),0)*2.5*[1]Parámetros!$B$11+IF(Z50="Sí",10,0)*[1]Parámetros!$B$12)/[1]Parámetros!$B$14),2)))</f>
        <v/>
      </c>
      <c r="BH50" s="14" t="str">
        <f t="shared" si="8"/>
        <v/>
      </c>
      <c r="BI50" s="15" t="str">
        <f t="shared" si="9"/>
        <v/>
      </c>
      <c r="BJ50" s="15" t="str">
        <f t="shared" si="10"/>
        <v/>
      </c>
      <c r="BK50" s="10"/>
    </row>
    <row r="51" spans="1:63" ht="27.75" customHeight="1" x14ac:dyDescent="0.35">
      <c r="A51" s="17">
        <v>48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 t="str">
        <f t="shared" si="0"/>
        <v/>
      </c>
      <c r="O51" s="19"/>
      <c r="P51" s="19"/>
      <c r="Q51" s="19"/>
      <c r="R51" s="19"/>
      <c r="S51" s="20" t="str">
        <f t="shared" si="1"/>
        <v/>
      </c>
      <c r="T51" s="20" t="str">
        <f t="shared" si="2"/>
        <v/>
      </c>
      <c r="U51" s="21" t="str">
        <f>IF($E51="","",IFERROR(ROUND((O51*[1]Parámetros!$B$29+P51*[1]Parámetros!$B$30+Q51*[1]Parámetros!$B$31+R51*[1]Parámetros!$B$32)/S51,2),""))</f>
        <v/>
      </c>
      <c r="V51" s="22" t="str">
        <f t="shared" si="3"/>
        <v/>
      </c>
      <c r="W51" s="17"/>
      <c r="X51" s="17"/>
      <c r="Y51" s="19"/>
      <c r="Z51" s="17"/>
      <c r="AA51" s="17"/>
      <c r="AB51" s="17"/>
      <c r="AC51" s="17"/>
      <c r="AD51" s="17"/>
      <c r="AE51" s="17"/>
      <c r="AF51" s="17"/>
      <c r="AG51" s="17"/>
      <c r="AH51" s="23"/>
      <c r="AI51" s="17"/>
      <c r="AJ51" s="17"/>
      <c r="AK51" s="17"/>
      <c r="AL51" s="17"/>
      <c r="AM51" s="20" t="str">
        <f t="shared" si="4"/>
        <v/>
      </c>
      <c r="AN51" s="17"/>
      <c r="AO51" s="20" t="str">
        <f t="shared" si="5"/>
        <v/>
      </c>
      <c r="AP51" s="18" t="str">
        <f t="shared" si="6"/>
        <v/>
      </c>
      <c r="AQ51" s="19"/>
      <c r="AR51" s="19"/>
      <c r="AS51" s="17"/>
      <c r="AT51" s="17"/>
      <c r="AU51" s="17"/>
      <c r="AV51" s="21" t="str">
        <f>IF($B51&lt;&gt;"En curso","",IF(COUNT(AK51:AL51)+COUNT(AN51)+COUNT(AQ51:AR51)=0,"",ROUND(IFERROR(N(AM51),0)*10*[1]Parámetros!$B$18+MAX(0,IFERROR(N(AO51),0))*10*[1]Parámetros!$B$19+MAX(0,1-IFERROR(N(AQ51),0)-IFERROR(N(AR51),0))*10*[1]Parámetros!$B$20+IFERROR(N(AS51),0)/4*10*[1]Parámetros!$B$21+IFERROR(N(AU51),0)/5*10*[1]Parámetros!$B$22,2)))</f>
        <v/>
      </c>
      <c r="AW51" s="17"/>
      <c r="AX51" s="17"/>
      <c r="AY51" s="17"/>
      <c r="AZ51" s="17"/>
      <c r="BA51" s="23"/>
      <c r="BB51" s="19"/>
      <c r="BC51" s="18" t="str">
        <f t="shared" si="7"/>
        <v/>
      </c>
      <c r="BD51" s="17"/>
      <c r="BE51" s="17"/>
      <c r="BF51" s="21" t="str">
        <f>IF($B51&lt;&gt;"Nuevo","",IF(N(N51)=0,"",ROUND(MAX(0,MIN(10,MAX(0,IFERROR(N(N51)/MAX($N$4:$N$58),0)*10*[1]Parámetros!$B$5+IFERROR(N(AW51),0)*2*[1]Parámetros!$B$6+IFERROR(N(AC51),0)*2*[1]Parámetros!$B$7+IFERROR(INDEX([1]Parámetros!$B$37:$B$48,MATCH(D51,[1]Parámetros!$A$37:$A$48,0)),3)*2*[1]Parámetros!$B$8+IFERROR(N(AD51),0)*2*[1]Parámetros!$B$9+IFERROR(N(U51),0)*2.5*[1]Parámetros!$B$10+IFERROR(N(V51),0)*2.5*[1]Parámetros!$B$11+IF(Z51="Sí",10,0)*[1]Parámetros!$B$12)/[1]Parámetros!$B$14)-IFERROR(N(AZ51),0)*2*[1]Parámetros!$B$13),2)))</f>
        <v/>
      </c>
      <c r="BG51" s="21" t="str">
        <f>IF($B51&lt;&gt;"Nuevo","",IF(N(N51)=0,"",ROUND(MIN(10,MAX(0,IFERROR(N(N51)/MAX($N$4:$N$58),0)*10*[1]Parámetros!$B$5+IFERROR(N(AW51),0)*2*[1]Parámetros!$B$6+IFERROR(N(AC51),0)*2*[1]Parámetros!$B$7+IFERROR(INDEX([1]Parámetros!$B$37:$B$48,MATCH(D51,[1]Parámetros!$A$37:$A$48,0)),3)*2*[1]Parámetros!$B$8+IFERROR(N(AD51),0)*2*[1]Parámetros!$B$9+IFERROR(N(U51),0)*2.5*[1]Parámetros!$B$10+IFERROR(N(V51),0)*2.5*[1]Parámetros!$B$11+IF(Z51="Sí",10,0)*[1]Parámetros!$B$12)/[1]Parámetros!$B$14),2)))</f>
        <v/>
      </c>
      <c r="BH51" s="21" t="str">
        <f t="shared" si="8"/>
        <v/>
      </c>
      <c r="BI51" s="22" t="str">
        <f t="shared" si="9"/>
        <v/>
      </c>
      <c r="BJ51" s="22" t="str">
        <f t="shared" si="10"/>
        <v/>
      </c>
      <c r="BK51" s="17"/>
    </row>
    <row r="52" spans="1:63" ht="27.75" customHeight="1" x14ac:dyDescent="0.35">
      <c r="A52" s="10">
        <v>49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 t="str">
        <f t="shared" si="0"/>
        <v/>
      </c>
      <c r="O52" s="12"/>
      <c r="P52" s="12"/>
      <c r="Q52" s="12"/>
      <c r="R52" s="12"/>
      <c r="S52" s="13" t="str">
        <f t="shared" si="1"/>
        <v/>
      </c>
      <c r="T52" s="13" t="str">
        <f t="shared" si="2"/>
        <v/>
      </c>
      <c r="U52" s="14" t="str">
        <f>IF($E52="","",IFERROR(ROUND((O52*[1]Parámetros!$B$29+P52*[1]Parámetros!$B$30+Q52*[1]Parámetros!$B$31+R52*[1]Parámetros!$B$32)/S52,2),""))</f>
        <v/>
      </c>
      <c r="V52" s="15" t="str">
        <f t="shared" si="3"/>
        <v/>
      </c>
      <c r="W52" s="10"/>
      <c r="X52" s="10"/>
      <c r="Y52" s="12"/>
      <c r="Z52" s="10"/>
      <c r="AA52" s="10"/>
      <c r="AB52" s="10"/>
      <c r="AC52" s="10"/>
      <c r="AD52" s="10"/>
      <c r="AE52" s="10"/>
      <c r="AF52" s="10"/>
      <c r="AG52" s="10"/>
      <c r="AH52" s="16"/>
      <c r="AI52" s="10"/>
      <c r="AJ52" s="10"/>
      <c r="AK52" s="10"/>
      <c r="AL52" s="10"/>
      <c r="AM52" s="13" t="str">
        <f t="shared" si="4"/>
        <v/>
      </c>
      <c r="AN52" s="10"/>
      <c r="AO52" s="13" t="str">
        <f t="shared" si="5"/>
        <v/>
      </c>
      <c r="AP52" s="11" t="str">
        <f t="shared" si="6"/>
        <v/>
      </c>
      <c r="AQ52" s="12"/>
      <c r="AR52" s="12"/>
      <c r="AS52" s="10"/>
      <c r="AT52" s="10"/>
      <c r="AU52" s="10"/>
      <c r="AV52" s="14" t="str">
        <f>IF($B52&lt;&gt;"En curso","",IF(COUNT(AK52:AL52)+COUNT(AN52)+COUNT(AQ52:AR52)=0,"",ROUND(IFERROR(N(AM52),0)*10*[1]Parámetros!$B$18+MAX(0,IFERROR(N(AO52),0))*10*[1]Parámetros!$B$19+MAX(0,1-IFERROR(N(AQ52),0)-IFERROR(N(AR52),0))*10*[1]Parámetros!$B$20+IFERROR(N(AS52),0)/4*10*[1]Parámetros!$B$21+IFERROR(N(AU52),0)/5*10*[1]Parámetros!$B$22,2)))</f>
        <v/>
      </c>
      <c r="AW52" s="10"/>
      <c r="AX52" s="10"/>
      <c r="AY52" s="10"/>
      <c r="AZ52" s="10"/>
      <c r="BA52" s="16"/>
      <c r="BB52" s="12"/>
      <c r="BC52" s="11" t="str">
        <f t="shared" si="7"/>
        <v/>
      </c>
      <c r="BD52" s="10"/>
      <c r="BE52" s="10"/>
      <c r="BF52" s="14" t="str">
        <f>IF($B52&lt;&gt;"Nuevo","",IF(N(N52)=0,"",ROUND(MAX(0,MIN(10,MAX(0,IFERROR(N(N52)/MAX($N$4:$N$58),0)*10*[1]Parámetros!$B$5+IFERROR(N(AW52),0)*2*[1]Parámetros!$B$6+IFERROR(N(AC52),0)*2*[1]Parámetros!$B$7+IFERROR(INDEX([1]Parámetros!$B$37:$B$48,MATCH(D52,[1]Parámetros!$A$37:$A$48,0)),3)*2*[1]Parámetros!$B$8+IFERROR(N(AD52),0)*2*[1]Parámetros!$B$9+IFERROR(N(U52),0)*2.5*[1]Parámetros!$B$10+IFERROR(N(V52),0)*2.5*[1]Parámetros!$B$11+IF(Z52="Sí",10,0)*[1]Parámetros!$B$12)/[1]Parámetros!$B$14)-IFERROR(N(AZ52),0)*2*[1]Parámetros!$B$13),2)))</f>
        <v/>
      </c>
      <c r="BG52" s="14" t="str">
        <f>IF($B52&lt;&gt;"Nuevo","",IF(N(N52)=0,"",ROUND(MIN(10,MAX(0,IFERROR(N(N52)/MAX($N$4:$N$58),0)*10*[1]Parámetros!$B$5+IFERROR(N(AW52),0)*2*[1]Parámetros!$B$6+IFERROR(N(AC52),0)*2*[1]Parámetros!$B$7+IFERROR(INDEX([1]Parámetros!$B$37:$B$48,MATCH(D52,[1]Parámetros!$A$37:$A$48,0)),3)*2*[1]Parámetros!$B$8+IFERROR(N(AD52),0)*2*[1]Parámetros!$B$9+IFERROR(N(U52),0)*2.5*[1]Parámetros!$B$10+IFERROR(N(V52),0)*2.5*[1]Parámetros!$B$11+IF(Z52="Sí",10,0)*[1]Parámetros!$B$12)/[1]Parámetros!$B$14),2)))</f>
        <v/>
      </c>
      <c r="BH52" s="14" t="str">
        <f t="shared" si="8"/>
        <v/>
      </c>
      <c r="BI52" s="15" t="str">
        <f t="shared" si="9"/>
        <v/>
      </c>
      <c r="BJ52" s="15" t="str">
        <f t="shared" si="10"/>
        <v/>
      </c>
      <c r="BK52" s="10"/>
    </row>
    <row r="53" spans="1:63" ht="27.75" customHeight="1" x14ac:dyDescent="0.35">
      <c r="A53" s="17">
        <v>50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 t="str">
        <f t="shared" si="0"/>
        <v/>
      </c>
      <c r="O53" s="19"/>
      <c r="P53" s="19"/>
      <c r="Q53" s="19"/>
      <c r="R53" s="19"/>
      <c r="S53" s="20" t="str">
        <f t="shared" si="1"/>
        <v/>
      </c>
      <c r="T53" s="20" t="str">
        <f t="shared" si="2"/>
        <v/>
      </c>
      <c r="U53" s="21" t="str">
        <f>IF($E53="","",IFERROR(ROUND((O53*[1]Parámetros!$B$29+P53*[1]Parámetros!$B$30+Q53*[1]Parámetros!$B$31+R53*[1]Parámetros!$B$32)/S53,2),""))</f>
        <v/>
      </c>
      <c r="V53" s="22" t="str">
        <f t="shared" si="3"/>
        <v/>
      </c>
      <c r="W53" s="17"/>
      <c r="X53" s="17"/>
      <c r="Y53" s="19"/>
      <c r="Z53" s="17"/>
      <c r="AA53" s="17"/>
      <c r="AB53" s="17"/>
      <c r="AC53" s="17"/>
      <c r="AD53" s="17"/>
      <c r="AE53" s="17"/>
      <c r="AF53" s="17"/>
      <c r="AG53" s="17"/>
      <c r="AH53" s="23"/>
      <c r="AI53" s="17"/>
      <c r="AJ53" s="17"/>
      <c r="AK53" s="17"/>
      <c r="AL53" s="17"/>
      <c r="AM53" s="20" t="str">
        <f t="shared" si="4"/>
        <v/>
      </c>
      <c r="AN53" s="17"/>
      <c r="AO53" s="20" t="str">
        <f t="shared" si="5"/>
        <v/>
      </c>
      <c r="AP53" s="18" t="str">
        <f t="shared" si="6"/>
        <v/>
      </c>
      <c r="AQ53" s="19"/>
      <c r="AR53" s="19"/>
      <c r="AS53" s="17"/>
      <c r="AT53" s="17"/>
      <c r="AU53" s="17"/>
      <c r="AV53" s="21" t="str">
        <f>IF($B53&lt;&gt;"En curso","",IF(COUNT(AK53:AL53)+COUNT(AN53)+COUNT(AQ53:AR53)=0,"",ROUND(IFERROR(N(AM53),0)*10*[1]Parámetros!$B$18+MAX(0,IFERROR(N(AO53),0))*10*[1]Parámetros!$B$19+MAX(0,1-IFERROR(N(AQ53),0)-IFERROR(N(AR53),0))*10*[1]Parámetros!$B$20+IFERROR(N(AS53),0)/4*10*[1]Parámetros!$B$21+IFERROR(N(AU53),0)/5*10*[1]Parámetros!$B$22,2)))</f>
        <v/>
      </c>
      <c r="AW53" s="17"/>
      <c r="AX53" s="17"/>
      <c r="AY53" s="17"/>
      <c r="AZ53" s="17"/>
      <c r="BA53" s="23"/>
      <c r="BB53" s="19"/>
      <c r="BC53" s="18" t="str">
        <f t="shared" si="7"/>
        <v/>
      </c>
      <c r="BD53" s="17"/>
      <c r="BE53" s="17"/>
      <c r="BF53" s="21" t="str">
        <f>IF($B53&lt;&gt;"Nuevo","",IF(N(N53)=0,"",ROUND(MAX(0,MIN(10,MAX(0,IFERROR(N(N53)/MAX($N$4:$N$58),0)*10*[1]Parámetros!$B$5+IFERROR(N(AW53),0)*2*[1]Parámetros!$B$6+IFERROR(N(AC53),0)*2*[1]Parámetros!$B$7+IFERROR(INDEX([1]Parámetros!$B$37:$B$48,MATCH(D53,[1]Parámetros!$A$37:$A$48,0)),3)*2*[1]Parámetros!$B$8+IFERROR(N(AD53),0)*2*[1]Parámetros!$B$9+IFERROR(N(U53),0)*2.5*[1]Parámetros!$B$10+IFERROR(N(V53),0)*2.5*[1]Parámetros!$B$11+IF(Z53="Sí",10,0)*[1]Parámetros!$B$12)/[1]Parámetros!$B$14)-IFERROR(N(AZ53),0)*2*[1]Parámetros!$B$13),2)))</f>
        <v/>
      </c>
      <c r="BG53" s="21" t="str">
        <f>IF($B53&lt;&gt;"Nuevo","",IF(N(N53)=0,"",ROUND(MIN(10,MAX(0,IFERROR(N(N53)/MAX($N$4:$N$58),0)*10*[1]Parámetros!$B$5+IFERROR(N(AW53),0)*2*[1]Parámetros!$B$6+IFERROR(N(AC53),0)*2*[1]Parámetros!$B$7+IFERROR(INDEX([1]Parámetros!$B$37:$B$48,MATCH(D53,[1]Parámetros!$A$37:$A$48,0)),3)*2*[1]Parámetros!$B$8+IFERROR(N(AD53),0)*2*[1]Parámetros!$B$9+IFERROR(N(U53),0)*2.5*[1]Parámetros!$B$10+IFERROR(N(V53),0)*2.5*[1]Parámetros!$B$11+IF(Z53="Sí",10,0)*[1]Parámetros!$B$12)/[1]Parámetros!$B$14),2)))</f>
        <v/>
      </c>
      <c r="BH53" s="21" t="str">
        <f t="shared" si="8"/>
        <v/>
      </c>
      <c r="BI53" s="22" t="str">
        <f t="shared" si="9"/>
        <v/>
      </c>
      <c r="BJ53" s="22" t="str">
        <f t="shared" si="10"/>
        <v/>
      </c>
      <c r="BK53" s="17"/>
    </row>
    <row r="54" spans="1:63" ht="27.75" customHeight="1" x14ac:dyDescent="0.35">
      <c r="A54" s="10">
        <v>51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 t="str">
        <f t="shared" si="0"/>
        <v/>
      </c>
      <c r="O54" s="12"/>
      <c r="P54" s="12"/>
      <c r="Q54" s="12"/>
      <c r="R54" s="12"/>
      <c r="S54" s="13" t="str">
        <f t="shared" si="1"/>
        <v/>
      </c>
      <c r="T54" s="13" t="str">
        <f t="shared" si="2"/>
        <v/>
      </c>
      <c r="U54" s="14" t="str">
        <f>IF($E54="","",IFERROR(ROUND((O54*[1]Parámetros!$B$29+P54*[1]Parámetros!$B$30+Q54*[1]Parámetros!$B$31+R54*[1]Parámetros!$B$32)/S54,2),""))</f>
        <v/>
      </c>
      <c r="V54" s="15" t="str">
        <f t="shared" si="3"/>
        <v/>
      </c>
      <c r="W54" s="10"/>
      <c r="X54" s="10"/>
      <c r="Y54" s="12"/>
      <c r="Z54" s="10"/>
      <c r="AA54" s="10"/>
      <c r="AB54" s="10"/>
      <c r="AC54" s="10"/>
      <c r="AD54" s="10"/>
      <c r="AE54" s="10"/>
      <c r="AF54" s="10"/>
      <c r="AG54" s="10"/>
      <c r="AH54" s="16"/>
      <c r="AI54" s="10"/>
      <c r="AJ54" s="10"/>
      <c r="AK54" s="10"/>
      <c r="AL54" s="10"/>
      <c r="AM54" s="13" t="str">
        <f t="shared" si="4"/>
        <v/>
      </c>
      <c r="AN54" s="10"/>
      <c r="AO54" s="13" t="str">
        <f t="shared" si="5"/>
        <v/>
      </c>
      <c r="AP54" s="11" t="str">
        <f t="shared" si="6"/>
        <v/>
      </c>
      <c r="AQ54" s="12"/>
      <c r="AR54" s="12"/>
      <c r="AS54" s="10"/>
      <c r="AT54" s="10"/>
      <c r="AU54" s="10"/>
      <c r="AV54" s="14" t="str">
        <f>IF($B54&lt;&gt;"En curso","",IF(COUNT(AK54:AL54)+COUNT(AN54)+COUNT(AQ54:AR54)=0,"",ROUND(IFERROR(N(AM54),0)*10*[1]Parámetros!$B$18+MAX(0,IFERROR(N(AO54),0))*10*[1]Parámetros!$B$19+MAX(0,1-IFERROR(N(AQ54),0)-IFERROR(N(AR54),0))*10*[1]Parámetros!$B$20+IFERROR(N(AS54),0)/4*10*[1]Parámetros!$B$21+IFERROR(N(AU54),0)/5*10*[1]Parámetros!$B$22,2)))</f>
        <v/>
      </c>
      <c r="AW54" s="10"/>
      <c r="AX54" s="10"/>
      <c r="AY54" s="10"/>
      <c r="AZ54" s="10"/>
      <c r="BA54" s="16"/>
      <c r="BB54" s="12"/>
      <c r="BC54" s="11" t="str">
        <f t="shared" si="7"/>
        <v/>
      </c>
      <c r="BD54" s="10"/>
      <c r="BE54" s="10"/>
      <c r="BF54" s="14" t="str">
        <f>IF($B54&lt;&gt;"Nuevo","",IF(N(N54)=0,"",ROUND(MAX(0,MIN(10,MAX(0,IFERROR(N(N54)/MAX($N$4:$N$58),0)*10*[1]Parámetros!$B$5+IFERROR(N(AW54),0)*2*[1]Parámetros!$B$6+IFERROR(N(AC54),0)*2*[1]Parámetros!$B$7+IFERROR(INDEX([1]Parámetros!$B$37:$B$48,MATCH(D54,[1]Parámetros!$A$37:$A$48,0)),3)*2*[1]Parámetros!$B$8+IFERROR(N(AD54),0)*2*[1]Parámetros!$B$9+IFERROR(N(U54),0)*2.5*[1]Parámetros!$B$10+IFERROR(N(V54),0)*2.5*[1]Parámetros!$B$11+IF(Z54="Sí",10,0)*[1]Parámetros!$B$12)/[1]Parámetros!$B$14)-IFERROR(N(AZ54),0)*2*[1]Parámetros!$B$13),2)))</f>
        <v/>
      </c>
      <c r="BG54" s="14" t="str">
        <f>IF($B54&lt;&gt;"Nuevo","",IF(N(N54)=0,"",ROUND(MIN(10,MAX(0,IFERROR(N(N54)/MAX($N$4:$N$58),0)*10*[1]Parámetros!$B$5+IFERROR(N(AW54),0)*2*[1]Parámetros!$B$6+IFERROR(N(AC54),0)*2*[1]Parámetros!$B$7+IFERROR(INDEX([1]Parámetros!$B$37:$B$48,MATCH(D54,[1]Parámetros!$A$37:$A$48,0)),3)*2*[1]Parámetros!$B$8+IFERROR(N(AD54),0)*2*[1]Parámetros!$B$9+IFERROR(N(U54),0)*2.5*[1]Parámetros!$B$10+IFERROR(N(V54),0)*2.5*[1]Parámetros!$B$11+IF(Z54="Sí",10,0)*[1]Parámetros!$B$12)/[1]Parámetros!$B$14),2)))</f>
        <v/>
      </c>
      <c r="BH54" s="14" t="str">
        <f t="shared" si="8"/>
        <v/>
      </c>
      <c r="BI54" s="15" t="str">
        <f t="shared" si="9"/>
        <v/>
      </c>
      <c r="BJ54" s="15" t="str">
        <f t="shared" si="10"/>
        <v/>
      </c>
      <c r="BK54" s="10"/>
    </row>
    <row r="55" spans="1:63" ht="27.75" customHeight="1" x14ac:dyDescent="0.35">
      <c r="A55" s="17">
        <v>52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 t="str">
        <f t="shared" si="0"/>
        <v/>
      </c>
      <c r="O55" s="19"/>
      <c r="P55" s="19"/>
      <c r="Q55" s="19"/>
      <c r="R55" s="19"/>
      <c r="S55" s="20" t="str">
        <f t="shared" si="1"/>
        <v/>
      </c>
      <c r="T55" s="20" t="str">
        <f t="shared" si="2"/>
        <v/>
      </c>
      <c r="U55" s="21" t="str">
        <f>IF($E55="","",IFERROR(ROUND((O55*[1]Parámetros!$B$29+P55*[1]Parámetros!$B$30+Q55*[1]Parámetros!$B$31+R55*[1]Parámetros!$B$32)/S55,2),""))</f>
        <v/>
      </c>
      <c r="V55" s="22" t="str">
        <f t="shared" si="3"/>
        <v/>
      </c>
      <c r="W55" s="17"/>
      <c r="X55" s="17"/>
      <c r="Y55" s="19"/>
      <c r="Z55" s="17"/>
      <c r="AA55" s="17"/>
      <c r="AB55" s="17"/>
      <c r="AC55" s="17"/>
      <c r="AD55" s="17"/>
      <c r="AE55" s="17"/>
      <c r="AF55" s="17"/>
      <c r="AG55" s="17"/>
      <c r="AH55" s="23"/>
      <c r="AI55" s="17"/>
      <c r="AJ55" s="17"/>
      <c r="AK55" s="17"/>
      <c r="AL55" s="17"/>
      <c r="AM55" s="20" t="str">
        <f t="shared" si="4"/>
        <v/>
      </c>
      <c r="AN55" s="17"/>
      <c r="AO55" s="20" t="str">
        <f t="shared" si="5"/>
        <v/>
      </c>
      <c r="AP55" s="18" t="str">
        <f t="shared" si="6"/>
        <v/>
      </c>
      <c r="AQ55" s="19"/>
      <c r="AR55" s="19"/>
      <c r="AS55" s="17"/>
      <c r="AT55" s="17"/>
      <c r="AU55" s="17"/>
      <c r="AV55" s="21" t="str">
        <f>IF($B55&lt;&gt;"En curso","",IF(COUNT(AK55:AL55)+COUNT(AN55)+COUNT(AQ55:AR55)=0,"",ROUND(IFERROR(N(AM55),0)*10*[1]Parámetros!$B$18+MAX(0,IFERROR(N(AO55),0))*10*[1]Parámetros!$B$19+MAX(0,1-IFERROR(N(AQ55),0)-IFERROR(N(AR55),0))*10*[1]Parámetros!$B$20+IFERROR(N(AS55),0)/4*10*[1]Parámetros!$B$21+IFERROR(N(AU55),0)/5*10*[1]Parámetros!$B$22,2)))</f>
        <v/>
      </c>
      <c r="AW55" s="17"/>
      <c r="AX55" s="17"/>
      <c r="AY55" s="17"/>
      <c r="AZ55" s="17"/>
      <c r="BA55" s="23"/>
      <c r="BB55" s="19"/>
      <c r="BC55" s="18" t="str">
        <f t="shared" si="7"/>
        <v/>
      </c>
      <c r="BD55" s="17"/>
      <c r="BE55" s="17"/>
      <c r="BF55" s="21" t="str">
        <f>IF($B55&lt;&gt;"Nuevo","",IF(N(N55)=0,"",ROUND(MAX(0,MIN(10,MAX(0,IFERROR(N(N55)/MAX($N$4:$N$58),0)*10*[1]Parámetros!$B$5+IFERROR(N(AW55),0)*2*[1]Parámetros!$B$6+IFERROR(N(AC55),0)*2*[1]Parámetros!$B$7+IFERROR(INDEX([1]Parámetros!$B$37:$B$48,MATCH(D55,[1]Parámetros!$A$37:$A$48,0)),3)*2*[1]Parámetros!$B$8+IFERROR(N(AD55),0)*2*[1]Parámetros!$B$9+IFERROR(N(U55),0)*2.5*[1]Parámetros!$B$10+IFERROR(N(V55),0)*2.5*[1]Parámetros!$B$11+IF(Z55="Sí",10,0)*[1]Parámetros!$B$12)/[1]Parámetros!$B$14)-IFERROR(N(AZ55),0)*2*[1]Parámetros!$B$13),2)))</f>
        <v/>
      </c>
      <c r="BG55" s="21" t="str">
        <f>IF($B55&lt;&gt;"Nuevo","",IF(N(N55)=0,"",ROUND(MIN(10,MAX(0,IFERROR(N(N55)/MAX($N$4:$N$58),0)*10*[1]Parámetros!$B$5+IFERROR(N(AW55),0)*2*[1]Parámetros!$B$6+IFERROR(N(AC55),0)*2*[1]Parámetros!$B$7+IFERROR(INDEX([1]Parámetros!$B$37:$B$48,MATCH(D55,[1]Parámetros!$A$37:$A$48,0)),3)*2*[1]Parámetros!$B$8+IFERROR(N(AD55),0)*2*[1]Parámetros!$B$9+IFERROR(N(U55),0)*2.5*[1]Parámetros!$B$10+IFERROR(N(V55),0)*2.5*[1]Parámetros!$B$11+IF(Z55="Sí",10,0)*[1]Parámetros!$B$12)/[1]Parámetros!$B$14),2)))</f>
        <v/>
      </c>
      <c r="BH55" s="21" t="str">
        <f t="shared" si="8"/>
        <v/>
      </c>
      <c r="BI55" s="22" t="str">
        <f t="shared" si="9"/>
        <v/>
      </c>
      <c r="BJ55" s="22" t="str">
        <f t="shared" si="10"/>
        <v/>
      </c>
      <c r="BK55" s="17"/>
    </row>
    <row r="56" spans="1:63" ht="27.75" customHeight="1" x14ac:dyDescent="0.35">
      <c r="A56" s="10">
        <v>53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 t="str">
        <f t="shared" si="0"/>
        <v/>
      </c>
      <c r="O56" s="12"/>
      <c r="P56" s="12"/>
      <c r="Q56" s="12"/>
      <c r="R56" s="12"/>
      <c r="S56" s="13" t="str">
        <f t="shared" si="1"/>
        <v/>
      </c>
      <c r="T56" s="13" t="str">
        <f t="shared" si="2"/>
        <v/>
      </c>
      <c r="U56" s="14" t="str">
        <f>IF($E56="","",IFERROR(ROUND((O56*[1]Parámetros!$B$29+P56*[1]Parámetros!$B$30+Q56*[1]Parámetros!$B$31+R56*[1]Parámetros!$B$32)/S56,2),""))</f>
        <v/>
      </c>
      <c r="V56" s="15" t="str">
        <f t="shared" si="3"/>
        <v/>
      </c>
      <c r="W56" s="10"/>
      <c r="X56" s="10"/>
      <c r="Y56" s="12"/>
      <c r="Z56" s="10"/>
      <c r="AA56" s="10"/>
      <c r="AB56" s="10"/>
      <c r="AC56" s="10"/>
      <c r="AD56" s="10"/>
      <c r="AE56" s="10"/>
      <c r="AF56" s="10"/>
      <c r="AG56" s="10"/>
      <c r="AH56" s="16"/>
      <c r="AI56" s="10"/>
      <c r="AJ56" s="10"/>
      <c r="AK56" s="10"/>
      <c r="AL56" s="10"/>
      <c r="AM56" s="13" t="str">
        <f t="shared" si="4"/>
        <v/>
      </c>
      <c r="AN56" s="10"/>
      <c r="AO56" s="13" t="str">
        <f t="shared" si="5"/>
        <v/>
      </c>
      <c r="AP56" s="11" t="str">
        <f t="shared" si="6"/>
        <v/>
      </c>
      <c r="AQ56" s="12"/>
      <c r="AR56" s="12"/>
      <c r="AS56" s="10"/>
      <c r="AT56" s="10"/>
      <c r="AU56" s="10"/>
      <c r="AV56" s="14" t="str">
        <f>IF($B56&lt;&gt;"En curso","",IF(COUNT(AK56:AL56)+COUNT(AN56)+COUNT(AQ56:AR56)=0,"",ROUND(IFERROR(N(AM56),0)*10*[1]Parámetros!$B$18+MAX(0,IFERROR(N(AO56),0))*10*[1]Parámetros!$B$19+MAX(0,1-IFERROR(N(AQ56),0)-IFERROR(N(AR56),0))*10*[1]Parámetros!$B$20+IFERROR(N(AS56),0)/4*10*[1]Parámetros!$B$21+IFERROR(N(AU56),0)/5*10*[1]Parámetros!$B$22,2)))</f>
        <v/>
      </c>
      <c r="AW56" s="10"/>
      <c r="AX56" s="10"/>
      <c r="AY56" s="10"/>
      <c r="AZ56" s="10"/>
      <c r="BA56" s="16"/>
      <c r="BB56" s="12"/>
      <c r="BC56" s="11" t="str">
        <f t="shared" si="7"/>
        <v/>
      </c>
      <c r="BD56" s="10"/>
      <c r="BE56" s="10"/>
      <c r="BF56" s="14" t="str">
        <f>IF($B56&lt;&gt;"Nuevo","",IF(N(N56)=0,"",ROUND(MAX(0,MIN(10,MAX(0,IFERROR(N(N56)/MAX($N$4:$N$58),0)*10*[1]Parámetros!$B$5+IFERROR(N(AW56),0)*2*[1]Parámetros!$B$6+IFERROR(N(AC56),0)*2*[1]Parámetros!$B$7+IFERROR(INDEX([1]Parámetros!$B$37:$B$48,MATCH(D56,[1]Parámetros!$A$37:$A$48,0)),3)*2*[1]Parámetros!$B$8+IFERROR(N(AD56),0)*2*[1]Parámetros!$B$9+IFERROR(N(U56),0)*2.5*[1]Parámetros!$B$10+IFERROR(N(V56),0)*2.5*[1]Parámetros!$B$11+IF(Z56="Sí",10,0)*[1]Parámetros!$B$12)/[1]Parámetros!$B$14)-IFERROR(N(AZ56),0)*2*[1]Parámetros!$B$13),2)))</f>
        <v/>
      </c>
      <c r="BG56" s="14" t="str">
        <f>IF($B56&lt;&gt;"Nuevo","",IF(N(N56)=0,"",ROUND(MIN(10,MAX(0,IFERROR(N(N56)/MAX($N$4:$N$58),0)*10*[1]Parámetros!$B$5+IFERROR(N(AW56),0)*2*[1]Parámetros!$B$6+IFERROR(N(AC56),0)*2*[1]Parámetros!$B$7+IFERROR(INDEX([1]Parámetros!$B$37:$B$48,MATCH(D56,[1]Parámetros!$A$37:$A$48,0)),3)*2*[1]Parámetros!$B$8+IFERROR(N(AD56),0)*2*[1]Parámetros!$B$9+IFERROR(N(U56),0)*2.5*[1]Parámetros!$B$10+IFERROR(N(V56),0)*2.5*[1]Parámetros!$B$11+IF(Z56="Sí",10,0)*[1]Parámetros!$B$12)/[1]Parámetros!$B$14),2)))</f>
        <v/>
      </c>
      <c r="BH56" s="14" t="str">
        <f t="shared" si="8"/>
        <v/>
      </c>
      <c r="BI56" s="15" t="str">
        <f t="shared" si="9"/>
        <v/>
      </c>
      <c r="BJ56" s="15" t="str">
        <f t="shared" si="10"/>
        <v/>
      </c>
      <c r="BK56" s="10"/>
    </row>
    <row r="57" spans="1:63" ht="27.75" customHeight="1" x14ac:dyDescent="0.35">
      <c r="A57" s="17">
        <v>54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 t="str">
        <f t="shared" si="0"/>
        <v/>
      </c>
      <c r="O57" s="19"/>
      <c r="P57" s="19"/>
      <c r="Q57" s="19"/>
      <c r="R57" s="19"/>
      <c r="S57" s="20" t="str">
        <f t="shared" si="1"/>
        <v/>
      </c>
      <c r="T57" s="20" t="str">
        <f t="shared" si="2"/>
        <v/>
      </c>
      <c r="U57" s="21" t="str">
        <f>IF($E57="","",IFERROR(ROUND((O57*[1]Parámetros!$B$29+P57*[1]Parámetros!$B$30+Q57*[1]Parámetros!$B$31+R57*[1]Parámetros!$B$32)/S57,2),""))</f>
        <v/>
      </c>
      <c r="V57" s="22" t="str">
        <f t="shared" si="3"/>
        <v/>
      </c>
      <c r="W57" s="17"/>
      <c r="X57" s="17"/>
      <c r="Y57" s="19"/>
      <c r="Z57" s="17"/>
      <c r="AA57" s="17"/>
      <c r="AB57" s="17"/>
      <c r="AC57" s="17"/>
      <c r="AD57" s="17"/>
      <c r="AE57" s="17"/>
      <c r="AF57" s="17"/>
      <c r="AG57" s="17"/>
      <c r="AH57" s="23"/>
      <c r="AI57" s="17"/>
      <c r="AJ57" s="17"/>
      <c r="AK57" s="17"/>
      <c r="AL57" s="17"/>
      <c r="AM57" s="20" t="str">
        <f t="shared" si="4"/>
        <v/>
      </c>
      <c r="AN57" s="17"/>
      <c r="AO57" s="20" t="str">
        <f t="shared" si="5"/>
        <v/>
      </c>
      <c r="AP57" s="18" t="str">
        <f t="shared" si="6"/>
        <v/>
      </c>
      <c r="AQ57" s="19"/>
      <c r="AR57" s="19"/>
      <c r="AS57" s="17"/>
      <c r="AT57" s="17"/>
      <c r="AU57" s="17"/>
      <c r="AV57" s="21" t="str">
        <f>IF($B57&lt;&gt;"En curso","",IF(COUNT(AK57:AL57)+COUNT(AN57)+COUNT(AQ57:AR57)=0,"",ROUND(IFERROR(N(AM57),0)*10*[1]Parámetros!$B$18+MAX(0,IFERROR(N(AO57),0))*10*[1]Parámetros!$B$19+MAX(0,1-IFERROR(N(AQ57),0)-IFERROR(N(AR57),0))*10*[1]Parámetros!$B$20+IFERROR(N(AS57),0)/4*10*[1]Parámetros!$B$21+IFERROR(N(AU57),0)/5*10*[1]Parámetros!$B$22,2)))</f>
        <v/>
      </c>
      <c r="AW57" s="17"/>
      <c r="AX57" s="17"/>
      <c r="AY57" s="17"/>
      <c r="AZ57" s="17"/>
      <c r="BA57" s="23"/>
      <c r="BB57" s="19"/>
      <c r="BC57" s="18" t="str">
        <f t="shared" si="7"/>
        <v/>
      </c>
      <c r="BD57" s="17"/>
      <c r="BE57" s="17"/>
      <c r="BF57" s="21" t="str">
        <f>IF($B57&lt;&gt;"Nuevo","",IF(N(N57)=0,"",ROUND(MAX(0,MIN(10,MAX(0,IFERROR(N(N57)/MAX($N$4:$N$58),0)*10*[1]Parámetros!$B$5+IFERROR(N(AW57),0)*2*[1]Parámetros!$B$6+IFERROR(N(AC57),0)*2*[1]Parámetros!$B$7+IFERROR(INDEX([1]Parámetros!$B$37:$B$48,MATCH(D57,[1]Parámetros!$A$37:$A$48,0)),3)*2*[1]Parámetros!$B$8+IFERROR(N(AD57),0)*2*[1]Parámetros!$B$9+IFERROR(N(U57),0)*2.5*[1]Parámetros!$B$10+IFERROR(N(V57),0)*2.5*[1]Parámetros!$B$11+IF(Z57="Sí",10,0)*[1]Parámetros!$B$12)/[1]Parámetros!$B$14)-IFERROR(N(AZ57),0)*2*[1]Parámetros!$B$13),2)))</f>
        <v/>
      </c>
      <c r="BG57" s="21" t="str">
        <f>IF($B57&lt;&gt;"Nuevo","",IF(N(N57)=0,"",ROUND(MIN(10,MAX(0,IFERROR(N(N57)/MAX($N$4:$N$58),0)*10*[1]Parámetros!$B$5+IFERROR(N(AW57),0)*2*[1]Parámetros!$B$6+IFERROR(N(AC57),0)*2*[1]Parámetros!$B$7+IFERROR(INDEX([1]Parámetros!$B$37:$B$48,MATCH(D57,[1]Parámetros!$A$37:$A$48,0)),3)*2*[1]Parámetros!$B$8+IFERROR(N(AD57),0)*2*[1]Parámetros!$B$9+IFERROR(N(U57),0)*2.5*[1]Parámetros!$B$10+IFERROR(N(V57),0)*2.5*[1]Parámetros!$B$11+IF(Z57="Sí",10,0)*[1]Parámetros!$B$12)/[1]Parámetros!$B$14),2)))</f>
        <v/>
      </c>
      <c r="BH57" s="21" t="str">
        <f t="shared" si="8"/>
        <v/>
      </c>
      <c r="BI57" s="22" t="str">
        <f t="shared" si="9"/>
        <v/>
      </c>
      <c r="BJ57" s="22" t="str">
        <f t="shared" si="10"/>
        <v/>
      </c>
      <c r="BK57" s="17"/>
    </row>
    <row r="58" spans="1:63" ht="27.75" customHeight="1" x14ac:dyDescent="0.35">
      <c r="A58" s="10">
        <v>55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 t="str">
        <f t="shared" si="0"/>
        <v/>
      </c>
      <c r="O58" s="12"/>
      <c r="P58" s="12"/>
      <c r="Q58" s="12"/>
      <c r="R58" s="12"/>
      <c r="S58" s="13" t="str">
        <f t="shared" si="1"/>
        <v/>
      </c>
      <c r="T58" s="13" t="str">
        <f t="shared" si="2"/>
        <v/>
      </c>
      <c r="U58" s="14" t="str">
        <f>IF($E58="","",IFERROR(ROUND((O58*[1]Parámetros!$B$29+P58*[1]Parámetros!$B$30+Q58*[1]Parámetros!$B$31+R58*[1]Parámetros!$B$32)/S58,2),""))</f>
        <v/>
      </c>
      <c r="V58" s="15" t="str">
        <f t="shared" si="3"/>
        <v/>
      </c>
      <c r="W58" s="10"/>
      <c r="X58" s="10"/>
      <c r="Y58" s="12"/>
      <c r="Z58" s="10"/>
      <c r="AA58" s="10"/>
      <c r="AB58" s="10"/>
      <c r="AC58" s="10"/>
      <c r="AD58" s="10"/>
      <c r="AE58" s="10"/>
      <c r="AF58" s="10"/>
      <c r="AG58" s="10"/>
      <c r="AH58" s="16"/>
      <c r="AI58" s="10"/>
      <c r="AJ58" s="10"/>
      <c r="AK58" s="10"/>
      <c r="AL58" s="10"/>
      <c r="AM58" s="13" t="str">
        <f t="shared" si="4"/>
        <v/>
      </c>
      <c r="AN58" s="10"/>
      <c r="AO58" s="13" t="str">
        <f t="shared" si="5"/>
        <v/>
      </c>
      <c r="AP58" s="11" t="str">
        <f t="shared" si="6"/>
        <v/>
      </c>
      <c r="AQ58" s="12"/>
      <c r="AR58" s="12"/>
      <c r="AS58" s="10"/>
      <c r="AT58" s="10"/>
      <c r="AU58" s="10"/>
      <c r="AV58" s="14" t="str">
        <f>IF($B58&lt;&gt;"En curso","",IF(COUNT(AK58:AL58)+COUNT(AN58)+COUNT(AQ58:AR58)=0,"",ROUND(IFERROR(N(AM58),0)*10*[1]Parámetros!$B$18+MAX(0,IFERROR(N(AO58),0))*10*[1]Parámetros!$B$19+MAX(0,1-IFERROR(N(AQ58),0)-IFERROR(N(AR58),0))*10*[1]Parámetros!$B$20+IFERROR(N(AS58),0)/4*10*[1]Parámetros!$B$21+IFERROR(N(AU58),0)/5*10*[1]Parámetros!$B$22,2)))</f>
        <v/>
      </c>
      <c r="AW58" s="10"/>
      <c r="AX58" s="10"/>
      <c r="AY58" s="10"/>
      <c r="AZ58" s="10"/>
      <c r="BA58" s="16"/>
      <c r="BB58" s="12"/>
      <c r="BC58" s="11" t="str">
        <f t="shared" si="7"/>
        <v/>
      </c>
      <c r="BD58" s="10"/>
      <c r="BE58" s="10"/>
      <c r="BF58" s="14" t="str">
        <f>IF($B58&lt;&gt;"Nuevo","",IF(N(N58)=0,"",ROUND(MAX(0,MIN(10,MAX(0,IFERROR(N(N58)/MAX($N$4:$N$58),0)*10*[1]Parámetros!$B$5+IFERROR(N(AW58),0)*2*[1]Parámetros!$B$6+IFERROR(N(AC58),0)*2*[1]Parámetros!$B$7+IFERROR(INDEX([1]Parámetros!$B$37:$B$48,MATCH(D58,[1]Parámetros!$A$37:$A$48,0)),3)*2*[1]Parámetros!$B$8+IFERROR(N(AD58),0)*2*[1]Parámetros!$B$9+IFERROR(N(U58),0)*2.5*[1]Parámetros!$B$10+IFERROR(N(V58),0)*2.5*[1]Parámetros!$B$11+IF(Z58="Sí",10,0)*[1]Parámetros!$B$12)/[1]Parámetros!$B$14)-IFERROR(N(AZ58),0)*2*[1]Parámetros!$B$13),2)))</f>
        <v/>
      </c>
      <c r="BG58" s="14" t="str">
        <f>IF($B58&lt;&gt;"Nuevo","",IF(N(N58)=0,"",ROUND(MIN(10,MAX(0,IFERROR(N(N58)/MAX($N$4:$N$58),0)*10*[1]Parámetros!$B$5+IFERROR(N(AW58),0)*2*[1]Parámetros!$B$6+IFERROR(N(AC58),0)*2*[1]Parámetros!$B$7+IFERROR(INDEX([1]Parámetros!$B$37:$B$48,MATCH(D58,[1]Parámetros!$A$37:$A$48,0)),3)*2*[1]Parámetros!$B$8+IFERROR(N(AD58),0)*2*[1]Parámetros!$B$9+IFERROR(N(U58),0)*2.5*[1]Parámetros!$B$10+IFERROR(N(V58),0)*2.5*[1]Parámetros!$B$11+IF(Z58="Sí",10,0)*[1]Parámetros!$B$12)/[1]Parámetros!$B$14),2)))</f>
        <v/>
      </c>
      <c r="BH58" s="14" t="str">
        <f t="shared" si="8"/>
        <v/>
      </c>
      <c r="BI58" s="15" t="str">
        <f t="shared" si="9"/>
        <v/>
      </c>
      <c r="BJ58" s="15" t="str">
        <f t="shared" si="10"/>
        <v/>
      </c>
      <c r="BK58" s="10"/>
    </row>
  </sheetData>
  <mergeCells count="5">
    <mergeCell ref="A2:H2"/>
    <mergeCell ref="I2:AE2"/>
    <mergeCell ref="AF2:AV2"/>
    <mergeCell ref="AW2:BF2"/>
    <mergeCell ref="BG2:BK2"/>
  </mergeCells>
  <dataValidations count="14">
    <dataValidation type="whole" allowBlank="1" sqref="AS4:AS58" xr:uid="{8BEB96B1-32DE-4ECF-90D6-F4B8791A9DEA}">
      <formula1>1</formula1>
      <formula2>4</formula2>
    </dataValidation>
    <dataValidation type="whole" allowBlank="1" sqref="AE4:AE58" xr:uid="{94ED57D7-0BB0-4E74-811C-18A25392579D}">
      <formula1>0</formula1>
      <formula2>4</formula2>
    </dataValidation>
    <dataValidation type="whole" allowBlank="1" sqref="AC4:AD58 AZ4:AZ58 AW4:AW58 AU4:AU58" xr:uid="{C9BA4797-469E-4424-90AD-46DFD39FFF0D}">
      <formula1>1</formula1>
      <formula2>5</formula2>
    </dataValidation>
    <dataValidation type="list" allowBlank="1" showErrorMessage="1" sqref="BD4:BD58" xr:uid="{361894FD-F727-4820-AEFF-EBBEB429C0E1}">
      <formula1>"Sí,No,Parcial"</formula1>
      <formula2>0</formula2>
    </dataValidation>
    <dataValidation type="list" allowBlank="1" showErrorMessage="1" sqref="AY4:AY58" xr:uid="{F6EA06B2-0A5F-44F0-83C0-478085DB8C9F}">
      <formula1>"Python,Python + Agentes de IA,Copilot,Copilot Studio,Otro"</formula1>
      <formula2>0</formula2>
    </dataValidation>
    <dataValidation type="list" allowBlank="1" showErrorMessage="1" sqref="AX4:AX58" xr:uid="{2CA0CFEF-D167-4F8C-93E8-FB25070EFCB0}">
      <formula1>"Workflow,Agente,Workflow + Agente"</formula1>
      <formula2>0</formula2>
    </dataValidation>
    <dataValidation type="list" allowBlank="1" showErrorMessage="1" sqref="AT4:AT58" xr:uid="{05572532-5CD8-4DF0-BDB6-B2BA9795750E}">
      <formula1>"Independiente,Requiere apoyo puntual,Requiere asistencia de IT en cada corrida"</formula1>
      <formula2>0</formula2>
    </dataValidation>
    <dataValidation type="list" allowBlank="1" showErrorMessage="1" sqref="AG4:AG58" xr:uid="{0971E478-C843-4190-9DA0-27606F292620}">
      <formula1>"Notebook del usuario,Servidor,Nube,Híbrido"</formula1>
      <formula2>0</formula2>
    </dataValidation>
    <dataValidation type="list" allowBlank="1" sqref="AA4:AA58" xr:uid="{EE8CE5C6-3AD6-411E-8417-49D46E2CBF73}">
      <formula1>"Redacción de textos o informes,Carga en ARCA u otros portales,Compilación entre Excel y otras herramientas,Búsqueda de información,Cálculo o procesamiento,Revisión y control,Comunicación y seguimiento,Otros"</formula1>
      <formula2>0</formula2>
    </dataValidation>
    <dataValidation type="list" allowBlank="1" showErrorMessage="1" sqref="Z4:Z58" xr:uid="{726FD602-6EAA-4231-92BA-D890DDB171F5}">
      <formula1>"Sí,No"</formula1>
      <formula2>0</formula2>
    </dataValidation>
    <dataValidation type="list" allowBlank="1" showErrorMessage="1" sqref="I4:I58" xr:uid="{10D4FEEF-8652-4940-B3FC-439B2F4D400C}">
      <formula1>"Diaria,Semanal,Quincenal,Mensual,Bimestral,Trimestral,Semestral,Anual,Ad-hoc"</formula1>
      <formula2>0</formula2>
    </dataValidation>
    <dataValidation type="list" allowBlank="1" showErrorMessage="1" sqref="H4:H58" xr:uid="{2C18D5DB-5DF7-42F4-B1B0-AA8F8E7AF22B}">
      <formula1>"Interno,Cliente,Ambos"</formula1>
      <formula2>0</formula2>
    </dataValidation>
    <dataValidation type="list" allowBlank="1" showErrorMessage="1" sqref="C4:C58" xr:uid="{6FD7E792-7D16-4D3D-98C9-8B928C13AE8F}">
      <formula1>"General,De área"</formula1>
      <formula2>0</formula2>
    </dataValidation>
    <dataValidation type="list" allowBlank="1" showErrorMessage="1" sqref="B4:B58" xr:uid="{C2E7005A-86C8-48FD-98D3-13CD3AE013A3}">
      <formula1>"En curso,Nuevo"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Nogues, Gonzalo</dc:creator>
  <cp:lastModifiedBy>Nogues, Gonzalo</cp:lastModifiedBy>
  <dcterms:created xsi:type="dcterms:W3CDTF">2026-08-24T17:02:45Z</dcterms:created>
  <dcterms:modified xsi:type="dcterms:W3CDTF">2026-08-24T17:03:17Z</dcterms:modified>
</cp:coreProperties>
</file>