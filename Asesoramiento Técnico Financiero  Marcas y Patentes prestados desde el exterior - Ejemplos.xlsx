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fvassallo\Documents\clientes\tecnología\Templates\Asesoramiento técnico\"/>
    </mc:Choice>
  </mc:AlternateContent>
  <xr:revisionPtr revIDLastSave="0" documentId="8_{14D173ED-E868-4E68-942B-014899C89FE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SESORAMIENTO TECNICO" sheetId="2" r:id="rId1"/>
    <sheet name="MARCAS" sheetId="1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1" l="1"/>
  <c r="D54" i="1"/>
  <c r="D50" i="1"/>
  <c r="D36" i="1"/>
  <c r="D21" i="1"/>
  <c r="D51" i="1" s="1"/>
  <c r="D23" i="1" l="1"/>
  <c r="D25" i="1" s="1"/>
  <c r="D47" i="1"/>
  <c r="D40" i="1"/>
  <c r="E25" i="2" l="1"/>
  <c r="E30" i="2" s="1"/>
  <c r="E71" i="2"/>
  <c r="E67" i="2"/>
  <c r="E65" i="2"/>
  <c r="E63" i="2"/>
  <c r="E16" i="2"/>
  <c r="E20" i="2" s="1"/>
  <c r="E45" i="2" l="1"/>
  <c r="E39" i="2"/>
  <c r="E43" i="2" s="1"/>
  <c r="E80" i="2" s="1"/>
  <c r="E47" i="2"/>
  <c r="E73" i="2" s="1"/>
  <c r="E75" i="2" s="1"/>
  <c r="E82" i="2" l="1"/>
  <c r="E84" i="2" s="1"/>
  <c r="D42" i="1" l="1"/>
  <c r="D55" i="1" l="1"/>
  <c r="D57" i="1" s="1"/>
  <c r="D59" i="1" s="1"/>
</calcChain>
</file>

<file path=xl/sharedStrings.xml><?xml version="1.0" encoding="utf-8"?>
<sst xmlns="http://schemas.openxmlformats.org/spreadsheetml/2006/main" count="150" uniqueCount="115">
  <si>
    <t>Evolución contable del pasivo por uso de marca</t>
  </si>
  <si>
    <t>Concepto</t>
  </si>
  <si>
    <t>Ref</t>
  </si>
  <si>
    <t>Importe</t>
  </si>
  <si>
    <t>Saldo al inicio</t>
  </si>
  <si>
    <t>GAN LY</t>
  </si>
  <si>
    <t>Uso de marca devengada en el ejercicio</t>
  </si>
  <si>
    <t>GAN - 25 | 1</t>
  </si>
  <si>
    <t>(B)</t>
  </si>
  <si>
    <t>D°C° devengada en el ejercicio</t>
  </si>
  <si>
    <t>GAN - 25 | 5</t>
  </si>
  <si>
    <t xml:space="preserve">(C) </t>
  </si>
  <si>
    <t>Pagos durante el ejercicio- Regalías</t>
  </si>
  <si>
    <t>GAN - 25 | 2</t>
  </si>
  <si>
    <t>I</t>
  </si>
  <si>
    <t>Pagos durante el ejercicio (Deducidos el año pasado, posterior a cierre 2024 y antes de DDJJ)</t>
  </si>
  <si>
    <t>Pagos durante el ejercicio - D°C°</t>
  </si>
  <si>
    <t>Saldo s/ evolución</t>
  </si>
  <si>
    <t>Saldo al cierre</t>
  </si>
  <si>
    <t>Dif.</t>
  </si>
  <si>
    <t>Pagos posteriores al cierre, antes del vto. - Regalías</t>
  </si>
  <si>
    <t>(D)</t>
  </si>
  <si>
    <t>Pagos posteriores al cierre, antes del vto. - D°C°</t>
  </si>
  <si>
    <t>Comprobación del ajuste</t>
  </si>
  <si>
    <t xml:space="preserve">Uso de marca devengada </t>
  </si>
  <si>
    <t>(C)</t>
  </si>
  <si>
    <t>Brasil - Pasivo por Uso de marca</t>
  </si>
  <si>
    <t>SI</t>
  </si>
  <si>
    <t>SF</t>
  </si>
  <si>
    <t>GAN</t>
  </si>
  <si>
    <t>Tope de la deducción (20%)</t>
  </si>
  <si>
    <t>(E)</t>
  </si>
  <si>
    <t>Resultado impositivo</t>
  </si>
  <si>
    <t>Gasto contable devengado durante el período por uso de marca. Constituye el punto de partida para el análisis de su deducibilidad fiscal.</t>
  </si>
  <si>
    <t>Pagos efectuados a la vinculada durante el período por obligaciones vinculadas al uso de marca.</t>
  </si>
  <si>
    <t xml:space="preserve">Porción de los pagos del ejercicio correspondiente a pasivos originados en ejercicios anteriores. </t>
  </si>
  <si>
    <t>Se expone separadamente para evitar su consideración dentro del análisis del gasto devengado en el período actual.</t>
  </si>
  <si>
    <t>Pasivo pendiente de cancelación al cierre obtenido a partir de la conciliación entre saldo inicial, devengamientos y pagos.</t>
  </si>
  <si>
    <t>Cancelaciones efectuadas luego del cierre pero antes del vencimiento para la presentación de la declaración jurada. Estos pagos resultan relevantes para determinar la deducción fiscal admitida.</t>
  </si>
  <si>
    <t>Importes pagados - Regalías</t>
  </si>
  <si>
    <t>Sum I</t>
  </si>
  <si>
    <t>II</t>
  </si>
  <si>
    <t>Porcentaje para el cálculo del tope deducible</t>
  </si>
  <si>
    <t>III</t>
  </si>
  <si>
    <t>Tope deducible - Regalías</t>
  </si>
  <si>
    <t>II * III</t>
  </si>
  <si>
    <t>IV</t>
  </si>
  <si>
    <t>Marca no deducible</t>
  </si>
  <si>
    <t>II - IV</t>
  </si>
  <si>
    <t>1. Evolución contable de deudas por Asesoramiento Técnico Financiero</t>
  </si>
  <si>
    <t>CONCEPTO</t>
  </si>
  <si>
    <t>REF.</t>
  </si>
  <si>
    <t>IMPORTE</t>
  </si>
  <si>
    <t>Pasivo al inicio por Asistencia Técnica</t>
  </si>
  <si>
    <r>
      <t xml:space="preserve">IGJ </t>
    </r>
    <r>
      <rPr>
        <b/>
        <sz val="9"/>
        <color indexed="12"/>
        <rFont val="Arial"/>
        <family val="2"/>
      </rPr>
      <t>Ly</t>
    </r>
  </si>
  <si>
    <t>Asistencia Técnica devengada en el ejercicio</t>
  </si>
  <si>
    <t>IGJ / BS</t>
  </si>
  <si>
    <t>[1]</t>
  </si>
  <si>
    <t>Pagos por Asistencia Técnica</t>
  </si>
  <si>
    <t>GAN-16/1</t>
  </si>
  <si>
    <t>Saldo según evolución</t>
  </si>
  <si>
    <t>Pasivo al cierre por Asistencia Técnica</t>
  </si>
  <si>
    <t>Diferencia a analizar</t>
  </si>
  <si>
    <t>Base de cálculo para la determinación del tope deducible</t>
  </si>
  <si>
    <t>BS / IGJ / PPC</t>
  </si>
  <si>
    <t>Porcentaje para la determinación del tope deducible</t>
  </si>
  <si>
    <t xml:space="preserve"> </t>
  </si>
  <si>
    <t>Tope deducible por Asesoramiento Técnico Financiero</t>
  </si>
  <si>
    <t>I * II</t>
  </si>
  <si>
    <t>Importes pagados/devengados por Asesoramiento Técnico-Financiero</t>
  </si>
  <si>
    <t>Pagos no deducibles</t>
  </si>
  <si>
    <t>IV - III</t>
  </si>
  <si>
    <t>GAN (+)</t>
  </si>
  <si>
    <t>Pagos efectuados:</t>
  </si>
  <si>
    <t>Pagos efectuados durante el ejercicio</t>
  </si>
  <si>
    <t>Pagos efectuados con posterioridad al cierre y antes</t>
  </si>
  <si>
    <t>del vto. de la DDJJ del período bajo análisis</t>
  </si>
  <si>
    <t>Total pagos</t>
  </si>
  <si>
    <t>Determinación del Resultado Impositivo:</t>
  </si>
  <si>
    <t>Resultado del Ejercicio (Contable)</t>
  </si>
  <si>
    <t>Pagos efectuados antes del vto. de la DDJJ</t>
  </si>
  <si>
    <t>Resultado Impositivo</t>
  </si>
  <si>
    <t>Comprobación Resultado Impositivo:</t>
  </si>
  <si>
    <t>Diferencia</t>
  </si>
  <si>
    <t>REF</t>
  </si>
  <si>
    <t>Pasivo por Asistencia Tecnica</t>
  </si>
  <si>
    <t>Pagos no deducibles s/ Art. 228 DR de la LIG</t>
  </si>
  <si>
    <t>Pagos deducibles s/ cálculo tope Art. 228</t>
  </si>
  <si>
    <t>Consignar el porcentaje del 80% previsto en el Art. 229 del DR de la LIG</t>
  </si>
  <si>
    <t>EJEMPLO PRACTICO DE ASESORAMIENTO TECNICO PRESTADOS DESDE EL EXTERIOR</t>
  </si>
  <si>
    <t>EJEMPLO PRACTICO DE MARCAS</t>
  </si>
  <si>
    <t>Ligar con BS e IGJ del ejercicio anterior</t>
  </si>
  <si>
    <t>Ligar con BS e IGJ del ejercicio. Considerar eventuales diferencias de cambio devengadas.</t>
  </si>
  <si>
    <t>Ligar con información suministrada por la Sociedad o analizar del mayor de la cuenta patrimonial.</t>
  </si>
  <si>
    <t>Ligar con BS e IGJ del ejercicio</t>
  </si>
  <si>
    <t>[2]</t>
  </si>
  <si>
    <t>2. Cálculo del tope deducible por Asesoramiento Técnico-Financiero (Art. 228 del DR)</t>
  </si>
  <si>
    <r>
      <t xml:space="preserve">I </t>
    </r>
    <r>
      <rPr>
        <b/>
        <sz val="10"/>
        <color rgb="FFFF0000"/>
        <rFont val="Arial"/>
        <family val="2"/>
      </rPr>
      <t>[A]</t>
    </r>
  </si>
  <si>
    <r>
      <t xml:space="preserve">II </t>
    </r>
    <r>
      <rPr>
        <b/>
        <sz val="9"/>
        <color rgb="FFFF0000"/>
        <rFont val="Arial"/>
        <family val="2"/>
      </rPr>
      <t>[B]</t>
    </r>
  </si>
  <si>
    <t>Consignar los importes pagados / devengados durante el ejercicio en concepto de Asesoramiento Técnico Financiero realizado desde el exterior. Ver criterio con Gerente.</t>
  </si>
  <si>
    <t>La diferencia en exceso sobre el tope determinado no resultará deducible en la determinación del Impuesto a las Ganancias</t>
  </si>
  <si>
    <t>Se deberán consignar los siguientes porcentajes:</t>
  </si>
  <si>
    <t>a) 3% en caso de calcularse el tope deducible sobre las ventas o ingresos que se tomen como base contractual para la retribución del asesoramiento;</t>
  </si>
  <si>
    <t>b) 5% en caso de calcularse el tope deducible sobre el monto de la inversión efectivamente realizada con motivo del asesoramiento.</t>
  </si>
  <si>
    <t>[B]</t>
  </si>
  <si>
    <t>Consignar: a) las ventas o ingresos que se tomen como base contractual para la retribución del asesoramiento; o b) el monto de la inversión efectivamente realizada con motivo del asesoramiento. Los montos que sean consignados como base de cálculo para el tope deducible deberán ser informados por la Compañía y deberán ligarse con el BS o el IGJ del ejercicio.</t>
  </si>
  <si>
    <t>Para el ejemplo se consideró que el tope se aplica sobre los importes efectivamente abonados y no sobre los devengados. Consultar con el Gerente el criterio a seguir.</t>
  </si>
  <si>
    <t>[A]</t>
  </si>
  <si>
    <t>Control</t>
  </si>
  <si>
    <t>Pagos efectuados antes del vto. de la DDJJ LY</t>
  </si>
  <si>
    <t>SyS</t>
  </si>
  <si>
    <t>Pagos posteriores al cierre (antes del vto) - DDJJ LY</t>
  </si>
  <si>
    <t>Pagos posteriores al cierre (antes del vto) - DDJJ PY</t>
  </si>
  <si>
    <t xml:space="preserve">Determinación del importe no deducible: sobre el total de regalías pagadas y/o consideradas a los efectos fiscales se aplica el porcentaje de deducción admitido por la normativa (80%). </t>
  </si>
  <si>
    <t>El importe resultante constituye la porción deducible, mientras que el 20% restante corresponde al gasto no deducible por aplicación del límite legal.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</si>
</sst>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 * #,##0.00_ ;_ * \-#,##0.00_ ;_ * &quot;-&quot;??_ ;_ @_ 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name val="Aptos Narrow"/>
      <family val="2"/>
    </font>
    <font>
      <b/>
      <sz val="11"/>
      <color rgb="FFFF0000"/>
      <name val="Aptos Narrow"/>
      <family val="2"/>
    </font>
    <font>
      <b/>
      <sz val="11"/>
      <color rgb="FF0070C0"/>
      <name val="Aptos Narrow"/>
      <family val="2"/>
    </font>
    <font>
      <sz val="11"/>
      <color theme="1"/>
      <name val="Aptos Narrow"/>
      <family val="2"/>
    </font>
    <font>
      <i/>
      <sz val="11"/>
      <name val="Aptos Narrow"/>
      <family val="2"/>
    </font>
    <font>
      <sz val="11"/>
      <name val="Aptos Narrow"/>
      <family val="2"/>
    </font>
    <font>
      <b/>
      <sz val="18"/>
      <color theme="1"/>
      <name val="Calibri"/>
      <family val="2"/>
      <scheme val="minor"/>
    </font>
    <font>
      <b/>
      <i/>
      <u/>
      <sz val="11"/>
      <color rgb="FF000000"/>
      <name val="Aptos Narrow"/>
      <family val="2"/>
    </font>
    <font>
      <b/>
      <sz val="11"/>
      <color rgb="FF0000FF"/>
      <name val="Aptos Narrow"/>
      <family val="2"/>
    </font>
    <font>
      <b/>
      <sz val="11"/>
      <color theme="1"/>
      <name val="Segoe UI"/>
      <family val="2"/>
    </font>
    <font>
      <b/>
      <sz val="11"/>
      <color theme="1"/>
      <name val="Calibri"/>
      <family val="2"/>
      <scheme val="minor"/>
    </font>
    <font>
      <b/>
      <u/>
      <sz val="9"/>
      <name val="Arial"/>
      <family val="2"/>
    </font>
    <font>
      <sz val="9"/>
      <name val="Arial"/>
      <family val="2"/>
    </font>
    <font>
      <b/>
      <u/>
      <sz val="12"/>
      <name val="Arial"/>
      <family val="2"/>
    </font>
    <font>
      <sz val="10"/>
      <name val="Arial"/>
    </font>
    <font>
      <b/>
      <sz val="9"/>
      <name val="Arial"/>
      <family val="2"/>
    </font>
    <font>
      <b/>
      <sz val="9"/>
      <color indexed="10"/>
      <name val="Arial"/>
      <family val="2"/>
    </font>
    <font>
      <b/>
      <sz val="9"/>
      <color indexed="12"/>
      <name val="Arial"/>
      <family val="2"/>
    </font>
    <font>
      <sz val="9"/>
      <color indexed="12"/>
      <name val="Arial"/>
      <family val="2"/>
    </font>
    <font>
      <b/>
      <sz val="10"/>
      <color theme="1"/>
      <name val="Segoe UI"/>
      <family val="2"/>
    </font>
    <font>
      <b/>
      <sz val="10"/>
      <color indexed="12"/>
      <name val="Arial"/>
      <family val="2"/>
    </font>
    <font>
      <b/>
      <sz val="10"/>
      <color rgb="FFFF0000"/>
      <name val="Arial"/>
      <family val="2"/>
    </font>
    <font>
      <b/>
      <sz val="9"/>
      <color rgb="FFFF0000"/>
      <name val="Arial"/>
      <family val="2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0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9" fillId="0" borderId="0"/>
    <xf numFmtId="165" fontId="19" fillId="0" borderId="0" applyFont="0" applyFill="0" applyBorder="0" applyAlignment="0" applyProtection="0"/>
  </cellStyleXfs>
  <cellXfs count="76">
    <xf numFmtId="0" fontId="0" fillId="0" borderId="0" xfId="0"/>
    <xf numFmtId="43" fontId="0" fillId="0" borderId="0" xfId="1" applyFont="1"/>
    <xf numFmtId="0" fontId="3" fillId="0" borderId="0" xfId="0" applyFont="1"/>
    <xf numFmtId="0" fontId="4" fillId="0" borderId="0" xfId="0" applyFont="1"/>
    <xf numFmtId="43" fontId="4" fillId="0" borderId="0" xfId="0" applyNumberFormat="1" applyFont="1"/>
    <xf numFmtId="0" fontId="5" fillId="0" borderId="1" xfId="2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164" fontId="4" fillId="0" borderId="0" xfId="1" applyNumberFormat="1" applyFont="1" applyFill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left" wrapText="1"/>
    </xf>
    <xf numFmtId="164" fontId="8" fillId="0" borderId="0" xfId="1" applyNumberFormat="1" applyFont="1" applyFill="1" applyBorder="1"/>
    <xf numFmtId="0" fontId="8" fillId="0" borderId="0" xfId="0" applyFont="1"/>
    <xf numFmtId="0" fontId="4" fillId="0" borderId="2" xfId="0" applyFont="1" applyBorder="1"/>
    <xf numFmtId="0" fontId="6" fillId="0" borderId="2" xfId="0" applyFont="1" applyBorder="1" applyAlignment="1">
      <alignment horizontal="center"/>
    </xf>
    <xf numFmtId="164" fontId="4" fillId="0" borderId="2" xfId="1" applyNumberFormat="1" applyFont="1" applyFill="1" applyBorder="1"/>
    <xf numFmtId="0" fontId="9" fillId="0" borderId="0" xfId="0" applyFont="1"/>
    <xf numFmtId="164" fontId="10" fillId="0" borderId="0" xfId="1" applyNumberFormat="1" applyFont="1" applyFill="1" applyBorder="1"/>
    <xf numFmtId="0" fontId="11" fillId="0" borderId="0" xfId="0" applyFont="1"/>
    <xf numFmtId="0" fontId="12" fillId="0" borderId="0" xfId="0" applyFont="1"/>
    <xf numFmtId="0" fontId="13" fillId="0" borderId="0" xfId="3" applyFont="1" applyAlignment="1">
      <alignment horizontal="center"/>
    </xf>
    <xf numFmtId="0" fontId="14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165" fontId="4" fillId="0" borderId="0" xfId="0" applyNumberFormat="1" applyFont="1"/>
    <xf numFmtId="9" fontId="4" fillId="0" borderId="0" xfId="0" applyNumberFormat="1" applyFont="1"/>
    <xf numFmtId="0" fontId="7" fillId="0" borderId="2" xfId="0" applyFont="1" applyBorder="1" applyAlignment="1">
      <alignment horizontal="center"/>
    </xf>
    <xf numFmtId="43" fontId="4" fillId="0" borderId="2" xfId="1" applyFont="1" applyFill="1" applyBorder="1"/>
    <xf numFmtId="0" fontId="16" fillId="2" borderId="0" xfId="4" applyFont="1" applyFill="1"/>
    <xf numFmtId="0" fontId="17" fillId="2" borderId="0" xfId="4" applyFont="1" applyFill="1" applyAlignment="1">
      <alignment horizontal="center"/>
    </xf>
    <xf numFmtId="0" fontId="17" fillId="2" borderId="0" xfId="4" applyFont="1" applyFill="1"/>
    <xf numFmtId="0" fontId="18" fillId="2" borderId="0" xfId="4" applyFont="1" applyFill="1"/>
    <xf numFmtId="0" fontId="20" fillId="2" borderId="1" xfId="5" applyFont="1" applyFill="1" applyBorder="1" applyAlignment="1">
      <alignment horizontal="center"/>
    </xf>
    <xf numFmtId="0" fontId="17" fillId="2" borderId="1" xfId="5" applyFont="1" applyFill="1" applyBorder="1" applyAlignment="1">
      <alignment horizontal="center"/>
    </xf>
    <xf numFmtId="165" fontId="20" fillId="2" borderId="1" xfId="6" applyFont="1" applyFill="1" applyBorder="1" applyAlignment="1">
      <alignment horizontal="center"/>
    </xf>
    <xf numFmtId="0" fontId="17" fillId="2" borderId="0" xfId="5" applyFont="1" applyFill="1"/>
    <xf numFmtId="0" fontId="17" fillId="2" borderId="0" xfId="5" applyFont="1" applyFill="1" applyAlignment="1">
      <alignment horizontal="center"/>
    </xf>
    <xf numFmtId="165" fontId="17" fillId="2" borderId="0" xfId="6" applyFont="1" applyFill="1"/>
    <xf numFmtId="0" fontId="21" fillId="2" borderId="0" xfId="5" applyFont="1" applyFill="1" applyAlignment="1">
      <alignment horizontal="center"/>
    </xf>
    <xf numFmtId="43" fontId="17" fillId="2" borderId="0" xfId="1" applyFont="1" applyFill="1"/>
    <xf numFmtId="0" fontId="20" fillId="2" borderId="0" xfId="5" applyFont="1" applyFill="1" applyAlignment="1">
      <alignment horizontal="center"/>
    </xf>
    <xf numFmtId="0" fontId="20" fillId="2" borderId="3" xfId="5" applyFont="1" applyFill="1" applyBorder="1"/>
    <xf numFmtId="0" fontId="20" fillId="2" borderId="4" xfId="5" applyFont="1" applyFill="1" applyBorder="1" applyAlignment="1">
      <alignment horizontal="center"/>
    </xf>
    <xf numFmtId="0" fontId="22" fillId="2" borderId="4" xfId="5" applyFont="1" applyFill="1" applyBorder="1" applyAlignment="1">
      <alignment horizontal="center"/>
    </xf>
    <xf numFmtId="43" fontId="20" fillId="2" borderId="5" xfId="1" applyFont="1" applyFill="1" applyBorder="1" applyAlignment="1">
      <alignment vertical="center"/>
    </xf>
    <xf numFmtId="165" fontId="17" fillId="2" borderId="0" xfId="6" applyFont="1" applyFill="1" applyBorder="1"/>
    <xf numFmtId="165" fontId="20" fillId="2" borderId="0" xfId="5" applyNumberFormat="1" applyFont="1" applyFill="1"/>
    <xf numFmtId="0" fontId="20" fillId="2" borderId="0" xfId="4" applyFont="1" applyFill="1"/>
    <xf numFmtId="165" fontId="20" fillId="2" borderId="0" xfId="6" applyFont="1" applyFill="1" applyBorder="1" applyAlignment="1">
      <alignment horizontal="center"/>
    </xf>
    <xf numFmtId="165" fontId="20" fillId="2" borderId="0" xfId="6" applyFont="1" applyFill="1" applyBorder="1" applyAlignment="1">
      <alignment horizontal="center" wrapText="1"/>
    </xf>
    <xf numFmtId="0" fontId="22" fillId="2" borderId="0" xfId="4" applyFont="1" applyFill="1"/>
    <xf numFmtId="0" fontId="23" fillId="2" borderId="0" xfId="4" applyFont="1" applyFill="1"/>
    <xf numFmtId="4" fontId="17" fillId="2" borderId="0" xfId="5" applyNumberFormat="1" applyFont="1" applyFill="1" applyAlignment="1">
      <alignment vertical="center"/>
    </xf>
    <xf numFmtId="165" fontId="23" fillId="2" borderId="0" xfId="6" applyFont="1" applyFill="1" applyBorder="1"/>
    <xf numFmtId="165" fontId="17" fillId="2" borderId="0" xfId="5" applyNumberFormat="1" applyFont="1" applyFill="1"/>
    <xf numFmtId="165" fontId="20" fillId="2" borderId="5" xfId="5" applyNumberFormat="1" applyFont="1" applyFill="1" applyBorder="1"/>
    <xf numFmtId="0" fontId="21" fillId="2" borderId="0" xfId="4" applyFont="1" applyFill="1"/>
    <xf numFmtId="4" fontId="20" fillId="3" borderId="0" xfId="5" applyNumberFormat="1" applyFont="1" applyFill="1" applyAlignment="1">
      <alignment vertical="center"/>
    </xf>
    <xf numFmtId="3" fontId="17" fillId="2" borderId="0" xfId="4" applyNumberFormat="1" applyFont="1" applyFill="1"/>
    <xf numFmtId="0" fontId="17" fillId="2" borderId="2" xfId="4" applyFont="1" applyFill="1" applyBorder="1"/>
    <xf numFmtId="3" fontId="17" fillId="2" borderId="2" xfId="4" applyNumberFormat="1" applyFont="1" applyFill="1" applyBorder="1"/>
    <xf numFmtId="0" fontId="20" fillId="2" borderId="6" xfId="4" applyFont="1" applyFill="1" applyBorder="1" applyAlignment="1">
      <alignment horizontal="center"/>
    </xf>
    <xf numFmtId="0" fontId="20" fillId="2" borderId="0" xfId="4" applyFont="1" applyFill="1" applyAlignment="1">
      <alignment horizontal="center"/>
    </xf>
    <xf numFmtId="0" fontId="20" fillId="2" borderId="2" xfId="4" applyFont="1" applyFill="1" applyBorder="1"/>
    <xf numFmtId="0" fontId="20" fillId="2" borderId="6" xfId="4" applyFont="1" applyFill="1" applyBorder="1"/>
    <xf numFmtId="0" fontId="15" fillId="0" borderId="0" xfId="0" applyFont="1"/>
    <xf numFmtId="0" fontId="24" fillId="0" borderId="0" xfId="0" applyFont="1" applyAlignment="1">
      <alignment vertical="center"/>
    </xf>
    <xf numFmtId="43" fontId="17" fillId="2" borderId="2" xfId="1" applyFont="1" applyFill="1" applyBorder="1"/>
    <xf numFmtId="43" fontId="20" fillId="2" borderId="2" xfId="1" applyFont="1" applyFill="1" applyBorder="1"/>
    <xf numFmtId="0" fontId="25" fillId="2" borderId="0" xfId="4" applyFont="1" applyFill="1"/>
    <xf numFmtId="0" fontId="28" fillId="0" borderId="0" xfId="0" applyFont="1"/>
    <xf numFmtId="0" fontId="28" fillId="0" borderId="0" xfId="0" applyFont="1" applyAlignment="1">
      <alignment horizontal="left" vertical="top"/>
    </xf>
    <xf numFmtId="0" fontId="20" fillId="2" borderId="0" xfId="5" applyFont="1" applyFill="1"/>
    <xf numFmtId="0" fontId="29" fillId="0" borderId="0" xfId="0" applyFont="1" applyAlignment="1">
      <alignment horizontal="right"/>
    </xf>
    <xf numFmtId="0" fontId="20" fillId="2" borderId="0" xfId="5" applyFont="1" applyFill="1" applyAlignment="1">
      <alignment horizontal="center"/>
    </xf>
    <xf numFmtId="0" fontId="17" fillId="2" borderId="0" xfId="4" applyFont="1" applyFill="1" applyAlignment="1">
      <alignment horizontal="left" vertical="top" wrapText="1"/>
    </xf>
  </cellXfs>
  <cellStyles count="7">
    <cellStyle name="Comma" xfId="1" builtinId="3"/>
    <cellStyle name="Comma_Provisión GCIAS Y GMP 2003" xfId="6" xr:uid="{9BA2D88D-49DD-453F-9F6B-4702540E56F7}"/>
    <cellStyle name="Diseño 2 2 3" xfId="2" xr:uid="{B1B27D4F-ECFD-4271-84BB-26368ADF9F22}"/>
    <cellStyle name="Normal" xfId="0" builtinId="0"/>
    <cellStyle name="Normal_Cómputos definitivos IG e IGMP 2010. 2" xfId="3" xr:uid="{8C09C554-1937-4E13-A9F5-4C1623E38547}"/>
    <cellStyle name="Normal_Provisión GCIAS Y GMP 2003" xfId="5" xr:uid="{18907482-60B3-4657-AAFE-2177BF4EB97C}"/>
    <cellStyle name="Normal_SHEET" xfId="4" xr:uid="{DAF3107B-052B-4D95-B2AA-1B86495511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426357</xdr:colOff>
      <xdr:row>9</xdr:row>
      <xdr:rowOff>127000</xdr:rowOff>
    </xdr:from>
    <xdr:to>
      <xdr:col>6</xdr:col>
      <xdr:colOff>547505</xdr:colOff>
      <xdr:row>9</xdr:row>
      <xdr:rowOff>127000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14146A7D-08D5-42DA-96F6-229FF6975366}"/>
            </a:ext>
          </a:extLst>
        </xdr:cNvPr>
        <xdr:cNvCxnSpPr/>
      </xdr:nvCxnSpPr>
      <xdr:spPr>
        <a:xfrm>
          <a:off x="5442857" y="1787071"/>
          <a:ext cx="728934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462643</xdr:colOff>
      <xdr:row>11</xdr:row>
      <xdr:rowOff>108857</xdr:rowOff>
    </xdr:from>
    <xdr:to>
      <xdr:col>6</xdr:col>
      <xdr:colOff>583791</xdr:colOff>
      <xdr:row>11</xdr:row>
      <xdr:rowOff>108857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1210466-9784-49DA-B054-EC150AB1B92B}"/>
            </a:ext>
          </a:extLst>
        </xdr:cNvPr>
        <xdr:cNvCxnSpPr/>
      </xdr:nvCxnSpPr>
      <xdr:spPr>
        <a:xfrm>
          <a:off x="5606143" y="2168071"/>
          <a:ext cx="728934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460829</xdr:colOff>
      <xdr:row>13</xdr:row>
      <xdr:rowOff>70757</xdr:rowOff>
    </xdr:from>
    <xdr:to>
      <xdr:col>6</xdr:col>
      <xdr:colOff>581977</xdr:colOff>
      <xdr:row>13</xdr:row>
      <xdr:rowOff>70757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1A7DD91-1856-4D2A-BC20-1DC45ECB6656}"/>
            </a:ext>
          </a:extLst>
        </xdr:cNvPr>
        <xdr:cNvCxnSpPr/>
      </xdr:nvCxnSpPr>
      <xdr:spPr>
        <a:xfrm>
          <a:off x="5604329" y="2529114"/>
          <a:ext cx="728934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449943</xdr:colOff>
      <xdr:row>17</xdr:row>
      <xdr:rowOff>96157</xdr:rowOff>
    </xdr:from>
    <xdr:to>
      <xdr:col>6</xdr:col>
      <xdr:colOff>571091</xdr:colOff>
      <xdr:row>17</xdr:row>
      <xdr:rowOff>96157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56FF4F7-4B25-4549-8D81-315376E04CF6}"/>
            </a:ext>
          </a:extLst>
        </xdr:cNvPr>
        <xdr:cNvCxnSpPr/>
      </xdr:nvCxnSpPr>
      <xdr:spPr>
        <a:xfrm>
          <a:off x="5593443" y="3352800"/>
          <a:ext cx="728934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453572</xdr:colOff>
      <xdr:row>44</xdr:row>
      <xdr:rowOff>99785</xdr:rowOff>
    </xdr:from>
    <xdr:to>
      <xdr:col>6</xdr:col>
      <xdr:colOff>574720</xdr:colOff>
      <xdr:row>44</xdr:row>
      <xdr:rowOff>99785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A79AED75-DE59-4C88-9A7F-8280C500A47A}"/>
            </a:ext>
          </a:extLst>
        </xdr:cNvPr>
        <xdr:cNvCxnSpPr/>
      </xdr:nvCxnSpPr>
      <xdr:spPr>
        <a:xfrm>
          <a:off x="5470072" y="8381999"/>
          <a:ext cx="728934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435429</xdr:colOff>
      <xdr:row>46</xdr:row>
      <xdr:rowOff>99786</xdr:rowOff>
    </xdr:from>
    <xdr:to>
      <xdr:col>6</xdr:col>
      <xdr:colOff>556577</xdr:colOff>
      <xdr:row>46</xdr:row>
      <xdr:rowOff>99786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9F11365B-08E9-458F-BA70-0BAAF05A0139}"/>
            </a:ext>
          </a:extLst>
        </xdr:cNvPr>
        <xdr:cNvCxnSpPr/>
      </xdr:nvCxnSpPr>
      <xdr:spPr>
        <a:xfrm>
          <a:off x="5451929" y="8744857"/>
          <a:ext cx="728934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276532</xdr:colOff>
      <xdr:row>10</xdr:row>
      <xdr:rowOff>92177</xdr:rowOff>
    </xdr:from>
    <xdr:to>
      <xdr:col>5</xdr:col>
      <xdr:colOff>542823</xdr:colOff>
      <xdr:row>10</xdr:row>
      <xdr:rowOff>92177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780A4B6-09B9-A9A4-1DD8-ED4EAEE17037}"/>
            </a:ext>
          </a:extLst>
        </xdr:cNvPr>
        <xdr:cNvCxnSpPr/>
      </xdr:nvCxnSpPr>
      <xdr:spPr>
        <a:xfrm>
          <a:off x="5653548" y="2058629"/>
          <a:ext cx="727178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276533</xdr:colOff>
      <xdr:row>14</xdr:row>
      <xdr:rowOff>102419</xdr:rowOff>
    </xdr:from>
    <xdr:to>
      <xdr:col>5</xdr:col>
      <xdr:colOff>542824</xdr:colOff>
      <xdr:row>14</xdr:row>
      <xdr:rowOff>102419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28D4D21B-94DA-442D-872A-F387EDBA76E9}"/>
            </a:ext>
          </a:extLst>
        </xdr:cNvPr>
        <xdr:cNvCxnSpPr/>
      </xdr:nvCxnSpPr>
      <xdr:spPr>
        <a:xfrm>
          <a:off x="5653549" y="2826774"/>
          <a:ext cx="727178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275304</xdr:colOff>
      <xdr:row>16</xdr:row>
      <xdr:rowOff>193368</xdr:rowOff>
    </xdr:from>
    <xdr:to>
      <xdr:col>5</xdr:col>
      <xdr:colOff>541595</xdr:colOff>
      <xdr:row>16</xdr:row>
      <xdr:rowOff>193368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93BCC46-1012-4E61-A338-C7D61354B3DB}"/>
            </a:ext>
          </a:extLst>
        </xdr:cNvPr>
        <xdr:cNvCxnSpPr/>
      </xdr:nvCxnSpPr>
      <xdr:spPr>
        <a:xfrm>
          <a:off x="5652320" y="3306916"/>
          <a:ext cx="727178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263834</xdr:colOff>
      <xdr:row>20</xdr:row>
      <xdr:rowOff>110203</xdr:rowOff>
    </xdr:from>
    <xdr:to>
      <xdr:col>5</xdr:col>
      <xdr:colOff>530125</xdr:colOff>
      <xdr:row>20</xdr:row>
      <xdr:rowOff>110203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A43472F-F1C7-4876-BD4B-F9F8414255DC}"/>
            </a:ext>
          </a:extLst>
        </xdr:cNvPr>
        <xdr:cNvCxnSpPr/>
      </xdr:nvCxnSpPr>
      <xdr:spPr>
        <a:xfrm>
          <a:off x="5640850" y="4186493"/>
          <a:ext cx="727178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276533</xdr:colOff>
      <xdr:row>28</xdr:row>
      <xdr:rowOff>112662</xdr:rowOff>
    </xdr:from>
    <xdr:to>
      <xdr:col>5</xdr:col>
      <xdr:colOff>542824</xdr:colOff>
      <xdr:row>28</xdr:row>
      <xdr:rowOff>112662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E0F6CBAF-94A2-4865-80B1-66DA5CFC90CC}"/>
            </a:ext>
          </a:extLst>
        </xdr:cNvPr>
        <xdr:cNvCxnSpPr/>
      </xdr:nvCxnSpPr>
      <xdr:spPr>
        <a:xfrm>
          <a:off x="5653549" y="7773630"/>
          <a:ext cx="727178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256050</xdr:colOff>
      <xdr:row>41</xdr:row>
      <xdr:rowOff>102420</xdr:rowOff>
    </xdr:from>
    <xdr:to>
      <xdr:col>5</xdr:col>
      <xdr:colOff>580571</xdr:colOff>
      <xdr:row>41</xdr:row>
      <xdr:rowOff>108857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5A10E5CC-91F6-4627-9080-4056DC4F27F0}"/>
            </a:ext>
          </a:extLst>
        </xdr:cNvPr>
        <xdr:cNvCxnSpPr/>
      </xdr:nvCxnSpPr>
      <xdr:spPr>
        <a:xfrm>
          <a:off x="5753336" y="10425706"/>
          <a:ext cx="787164" cy="643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184355</xdr:colOff>
      <xdr:row>37</xdr:row>
      <xdr:rowOff>117929</xdr:rowOff>
    </xdr:from>
    <xdr:to>
      <xdr:col>5</xdr:col>
      <xdr:colOff>562428</xdr:colOff>
      <xdr:row>37</xdr:row>
      <xdr:rowOff>122904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79441DAB-B19F-42EE-91F0-AC1229F4BC04}"/>
            </a:ext>
          </a:extLst>
        </xdr:cNvPr>
        <xdr:cNvCxnSpPr/>
      </xdr:nvCxnSpPr>
      <xdr:spPr>
        <a:xfrm flipV="1">
          <a:off x="5681641" y="9642929"/>
          <a:ext cx="840716" cy="497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299358</xdr:colOff>
      <xdr:row>8</xdr:row>
      <xdr:rowOff>99786</xdr:rowOff>
    </xdr:from>
    <xdr:to>
      <xdr:col>5</xdr:col>
      <xdr:colOff>565649</xdr:colOff>
      <xdr:row>8</xdr:row>
      <xdr:rowOff>99786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C0E9E195-18A0-4DB1-A5EC-13EF8D05A501}"/>
            </a:ext>
          </a:extLst>
        </xdr:cNvPr>
        <xdr:cNvCxnSpPr/>
      </xdr:nvCxnSpPr>
      <xdr:spPr>
        <a:xfrm>
          <a:off x="5796644" y="1560286"/>
          <a:ext cx="728934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92D09-F487-4D07-ABBD-96C495C6EB28}">
  <dimension ref="A3:L91"/>
  <sheetViews>
    <sheetView showGridLines="0" tabSelected="1" zoomScale="104" workbookViewId="0">
      <selection activeCell="E65" sqref="E65:E73"/>
    </sheetView>
  </sheetViews>
  <sheetFormatPr defaultRowHeight="14.5" x14ac:dyDescent="0.35"/>
  <cols>
    <col min="1" max="1" width="6.90625" customWidth="1"/>
    <col min="2" max="2" width="35.453125" customWidth="1"/>
    <col min="5" max="5" width="12.08984375" customWidth="1"/>
  </cols>
  <sheetData>
    <row r="3" spans="2:11" x14ac:dyDescent="0.35">
      <c r="B3" s="65" t="s">
        <v>89</v>
      </c>
    </row>
    <row r="6" spans="2:11" x14ac:dyDescent="0.35">
      <c r="B6" s="28" t="s">
        <v>49</v>
      </c>
      <c r="C6" s="29"/>
      <c r="D6" s="30"/>
      <c r="E6" s="30"/>
      <c r="F6" s="30"/>
      <c r="G6" s="30"/>
      <c r="H6" s="30"/>
      <c r="I6" s="30"/>
      <c r="J6" s="30"/>
      <c r="K6" s="30"/>
    </row>
    <row r="7" spans="2:11" ht="15.5" x14ac:dyDescent="0.35">
      <c r="B7" s="31"/>
      <c r="C7" s="29"/>
      <c r="D7" s="30"/>
      <c r="E7" s="30"/>
      <c r="F7" s="30"/>
      <c r="G7" s="30"/>
      <c r="H7" s="30"/>
      <c r="I7" s="30"/>
      <c r="J7" s="30"/>
      <c r="K7" s="30"/>
    </row>
    <row r="8" spans="2:11" ht="15" thickBot="1" x14ac:dyDescent="0.4">
      <c r="B8" s="32" t="s">
        <v>50</v>
      </c>
      <c r="C8" s="33"/>
      <c r="D8" s="32" t="s">
        <v>51</v>
      </c>
      <c r="E8" s="34" t="s">
        <v>52</v>
      </c>
      <c r="F8" s="30"/>
      <c r="G8" s="30"/>
      <c r="H8" s="30"/>
      <c r="I8" s="30"/>
      <c r="J8" s="30"/>
      <c r="K8" s="30"/>
    </row>
    <row r="9" spans="2:11" x14ac:dyDescent="0.35">
      <c r="B9" s="35"/>
      <c r="C9" s="36"/>
      <c r="D9" s="35"/>
      <c r="E9" s="37"/>
      <c r="F9" s="30"/>
      <c r="G9" s="30"/>
      <c r="H9" s="30"/>
      <c r="I9" s="30"/>
      <c r="J9" s="30"/>
      <c r="K9" s="30"/>
    </row>
    <row r="10" spans="2:11" ht="16" x14ac:dyDescent="0.35">
      <c r="B10" s="35" t="s">
        <v>53</v>
      </c>
      <c r="C10" s="36"/>
      <c r="D10" s="38" t="s">
        <v>54</v>
      </c>
      <c r="E10" s="39">
        <v>0</v>
      </c>
      <c r="F10" s="30"/>
      <c r="G10" s="30"/>
      <c r="H10" s="66" t="s">
        <v>91</v>
      </c>
      <c r="I10" s="30"/>
      <c r="J10" s="30"/>
      <c r="K10" s="30"/>
    </row>
    <row r="11" spans="2:11" ht="16" x14ac:dyDescent="0.35">
      <c r="B11" s="30"/>
      <c r="C11" s="40"/>
      <c r="D11" s="38"/>
      <c r="E11" s="39"/>
      <c r="F11" s="30"/>
      <c r="G11" s="30"/>
      <c r="H11" s="66"/>
      <c r="I11" s="30"/>
      <c r="J11" s="30"/>
      <c r="K11" s="30"/>
    </row>
    <row r="12" spans="2:11" ht="16" x14ac:dyDescent="0.35">
      <c r="B12" s="30" t="s">
        <v>55</v>
      </c>
      <c r="C12" s="30"/>
      <c r="D12" s="38" t="s">
        <v>56</v>
      </c>
      <c r="E12" s="39">
        <v>20000</v>
      </c>
      <c r="F12" s="38" t="s">
        <v>57</v>
      </c>
      <c r="G12" s="30"/>
      <c r="H12" s="66" t="s">
        <v>92</v>
      </c>
      <c r="I12" s="30"/>
      <c r="J12" s="30"/>
      <c r="K12" s="30"/>
    </row>
    <row r="13" spans="2:11" ht="16" x14ac:dyDescent="0.35">
      <c r="B13" s="30"/>
      <c r="C13" s="30"/>
      <c r="D13" s="38"/>
      <c r="E13" s="39"/>
      <c r="F13" s="30"/>
      <c r="G13" s="30"/>
      <c r="H13" s="66"/>
      <c r="I13" s="30"/>
      <c r="J13" s="30"/>
      <c r="K13" s="30"/>
    </row>
    <row r="14" spans="2:11" ht="16" x14ac:dyDescent="0.35">
      <c r="B14" s="30" t="s">
        <v>58</v>
      </c>
      <c r="C14" s="30"/>
      <c r="D14" s="38" t="s">
        <v>59</v>
      </c>
      <c r="E14" s="39">
        <v>-15000</v>
      </c>
      <c r="F14" s="38" t="s">
        <v>95</v>
      </c>
      <c r="G14" s="30"/>
      <c r="H14" s="66" t="s">
        <v>93</v>
      </c>
      <c r="I14" s="30"/>
      <c r="J14" s="30"/>
      <c r="K14" s="30"/>
    </row>
    <row r="15" spans="2:11" ht="16" x14ac:dyDescent="0.35">
      <c r="B15" s="35"/>
      <c r="C15" s="40"/>
      <c r="D15" s="40"/>
      <c r="F15" s="30"/>
      <c r="G15" s="30"/>
      <c r="H15" s="66"/>
      <c r="I15" s="30"/>
      <c r="J15" s="30"/>
      <c r="K15" s="30"/>
    </row>
    <row r="16" spans="2:11" ht="16" x14ac:dyDescent="0.35">
      <c r="B16" s="41" t="s">
        <v>60</v>
      </c>
      <c r="C16" s="42"/>
      <c r="D16" s="43"/>
      <c r="E16" s="44">
        <f>SUM(E10:E14)</f>
        <v>5000</v>
      </c>
      <c r="F16" s="30"/>
      <c r="G16" s="30"/>
      <c r="H16" s="66"/>
      <c r="I16" s="30"/>
      <c r="J16" s="30"/>
      <c r="K16" s="30"/>
    </row>
    <row r="17" spans="2:11" ht="16" x14ac:dyDescent="0.35">
      <c r="B17" s="30"/>
      <c r="C17" s="30"/>
      <c r="D17" s="30"/>
      <c r="E17" s="39"/>
      <c r="F17" s="30"/>
      <c r="G17" s="30"/>
      <c r="H17" s="66"/>
      <c r="I17" s="30"/>
      <c r="J17" s="30"/>
      <c r="K17" s="30"/>
    </row>
    <row r="18" spans="2:11" ht="16" x14ac:dyDescent="0.35">
      <c r="B18" s="30" t="s">
        <v>61</v>
      </c>
      <c r="C18" s="30"/>
      <c r="D18" s="38" t="s">
        <v>56</v>
      </c>
      <c r="E18" s="39">
        <v>5000</v>
      </c>
      <c r="F18" s="30"/>
      <c r="G18" s="30"/>
      <c r="H18" s="66" t="s">
        <v>94</v>
      </c>
      <c r="I18" s="30"/>
      <c r="J18" s="30"/>
      <c r="K18" s="30"/>
    </row>
    <row r="19" spans="2:11" ht="16" x14ac:dyDescent="0.35">
      <c r="B19" s="30"/>
      <c r="C19" s="30"/>
      <c r="D19" s="30"/>
      <c r="E19" s="39"/>
      <c r="F19" s="30"/>
      <c r="G19" s="30"/>
      <c r="H19" s="66"/>
      <c r="I19" s="30"/>
      <c r="J19" s="30"/>
      <c r="K19" s="30"/>
    </row>
    <row r="20" spans="2:11" ht="16" x14ac:dyDescent="0.35">
      <c r="B20" s="41" t="s">
        <v>62</v>
      </c>
      <c r="C20" s="42"/>
      <c r="D20" s="43"/>
      <c r="E20" s="44">
        <f>+E16-E18</f>
        <v>0</v>
      </c>
      <c r="F20" s="30"/>
      <c r="G20" s="30"/>
      <c r="H20" s="66"/>
      <c r="I20" s="30"/>
      <c r="J20" s="30"/>
      <c r="K20" s="30"/>
    </row>
    <row r="21" spans="2:11" ht="15.5" x14ac:dyDescent="0.35">
      <c r="B21" s="31"/>
      <c r="C21" s="29"/>
      <c r="D21" s="30"/>
      <c r="E21" s="30"/>
      <c r="F21" s="30"/>
      <c r="G21" s="30"/>
      <c r="H21" s="30"/>
      <c r="I21" s="30"/>
      <c r="J21" s="30"/>
      <c r="K21" s="30"/>
    </row>
    <row r="22" spans="2:11" ht="15.5" x14ac:dyDescent="0.35">
      <c r="B22" s="31"/>
      <c r="C22" s="29"/>
      <c r="D22" s="30"/>
      <c r="E22" s="30"/>
      <c r="F22" s="30"/>
      <c r="G22" s="30"/>
      <c r="H22" s="30"/>
      <c r="I22" s="30"/>
      <c r="J22" s="30"/>
      <c r="K22" s="30"/>
    </row>
    <row r="23" spans="2:11" x14ac:dyDescent="0.35">
      <c r="B23" s="28" t="s">
        <v>73</v>
      </c>
      <c r="C23" s="30"/>
      <c r="D23" s="30"/>
      <c r="E23" s="58"/>
      <c r="F23" s="30"/>
      <c r="G23" s="30"/>
      <c r="H23" s="30"/>
      <c r="I23" s="30"/>
      <c r="J23" s="30"/>
      <c r="K23" s="30"/>
    </row>
    <row r="24" spans="2:11" x14ac:dyDescent="0.35">
      <c r="B24" s="30"/>
      <c r="C24" s="30"/>
      <c r="D24" s="30"/>
      <c r="E24" s="58"/>
      <c r="F24" s="30"/>
      <c r="G24" s="30"/>
      <c r="H24" s="30"/>
      <c r="I24" s="30"/>
      <c r="J24" s="30"/>
      <c r="K24" s="30"/>
    </row>
    <row r="25" spans="2:11" x14ac:dyDescent="0.35">
      <c r="B25" s="30" t="s">
        <v>74</v>
      </c>
      <c r="C25" s="30"/>
      <c r="D25" s="30"/>
      <c r="E25" s="58">
        <f>+E14</f>
        <v>-15000</v>
      </c>
      <c r="F25" s="38" t="s">
        <v>95</v>
      </c>
      <c r="G25" s="30"/>
      <c r="H25" s="30"/>
      <c r="I25" s="30"/>
      <c r="J25" s="30"/>
      <c r="K25" s="30"/>
    </row>
    <row r="26" spans="2:11" x14ac:dyDescent="0.35">
      <c r="B26" s="30"/>
      <c r="C26" s="30"/>
      <c r="D26" s="30"/>
      <c r="E26" s="58"/>
      <c r="F26" s="30"/>
      <c r="G26" s="30"/>
      <c r="H26" s="30"/>
      <c r="I26" s="30"/>
      <c r="J26" s="30"/>
      <c r="K26" s="30"/>
    </row>
    <row r="27" spans="2:11" x14ac:dyDescent="0.35">
      <c r="B27" s="30" t="s">
        <v>75</v>
      </c>
      <c r="C27" s="30"/>
      <c r="D27" s="30"/>
      <c r="E27" s="58"/>
      <c r="F27" s="30"/>
      <c r="G27" s="30"/>
      <c r="H27" s="30"/>
      <c r="I27" s="30"/>
      <c r="J27" s="30"/>
      <c r="K27" s="30"/>
    </row>
    <row r="28" spans="2:11" x14ac:dyDescent="0.35">
      <c r="B28" s="30" t="s">
        <v>76</v>
      </c>
      <c r="C28" s="30"/>
      <c r="D28" s="30"/>
      <c r="E28" s="58">
        <v>-5000</v>
      </c>
      <c r="F28" s="30"/>
      <c r="G28" s="30"/>
      <c r="H28" s="30"/>
      <c r="I28" s="30"/>
      <c r="J28" s="30"/>
      <c r="K28" s="30"/>
    </row>
    <row r="29" spans="2:11" x14ac:dyDescent="0.35">
      <c r="B29" s="30"/>
      <c r="C29" s="30"/>
      <c r="D29" s="30"/>
      <c r="E29" s="58"/>
      <c r="F29" s="30"/>
      <c r="G29" s="30"/>
      <c r="H29" s="30"/>
      <c r="I29" s="30"/>
      <c r="J29" s="30"/>
      <c r="K29" s="30"/>
    </row>
    <row r="30" spans="2:11" ht="15" thickBot="1" x14ac:dyDescent="0.4">
      <c r="B30" s="59" t="s">
        <v>77</v>
      </c>
      <c r="C30" s="59"/>
      <c r="D30" s="59"/>
      <c r="E30" s="60">
        <f>SUM(E25:E29)</f>
        <v>-20000</v>
      </c>
      <c r="F30" s="30"/>
      <c r="G30" s="30"/>
      <c r="H30" s="30"/>
      <c r="I30" s="30"/>
      <c r="J30" s="30"/>
      <c r="K30" s="30"/>
    </row>
    <row r="31" spans="2:11" ht="16" thickTop="1" x14ac:dyDescent="0.35">
      <c r="B31" s="31"/>
      <c r="C31" s="29"/>
      <c r="D31" s="30"/>
      <c r="E31" s="30"/>
      <c r="F31" s="30"/>
      <c r="G31" s="30"/>
      <c r="H31" s="30"/>
      <c r="I31" s="30"/>
      <c r="J31" s="30"/>
      <c r="K31" s="30"/>
    </row>
    <row r="32" spans="2:11" x14ac:dyDescent="0.35">
      <c r="B32" s="30"/>
      <c r="C32" s="29"/>
      <c r="D32" s="30"/>
      <c r="E32" s="30"/>
      <c r="F32" s="30"/>
      <c r="G32" s="30"/>
      <c r="H32" s="30"/>
      <c r="I32" s="30"/>
      <c r="J32" s="30"/>
      <c r="K32" s="30"/>
    </row>
    <row r="33" spans="2:11" x14ac:dyDescent="0.35">
      <c r="B33" s="35"/>
      <c r="C33" s="36"/>
      <c r="D33" s="35"/>
      <c r="E33" s="37"/>
      <c r="F33" s="45"/>
      <c r="G33" s="37"/>
      <c r="H33" s="74"/>
      <c r="I33" s="74"/>
      <c r="J33" s="74"/>
      <c r="K33" s="74"/>
    </row>
    <row r="34" spans="2:11" x14ac:dyDescent="0.35">
      <c r="B34" s="28" t="s">
        <v>96</v>
      </c>
      <c r="C34" s="30"/>
      <c r="D34" s="30"/>
      <c r="E34" s="30"/>
      <c r="F34" s="30"/>
      <c r="G34" s="30"/>
      <c r="H34" s="40"/>
      <c r="I34" s="40"/>
      <c r="J34" s="40"/>
      <c r="K34" s="40"/>
    </row>
    <row r="35" spans="2:11" x14ac:dyDescent="0.35">
      <c r="B35" s="30"/>
      <c r="C35" s="30"/>
      <c r="D35" s="30"/>
      <c r="E35" s="30"/>
      <c r="F35" s="30"/>
      <c r="G35" s="30"/>
      <c r="H35" s="35"/>
      <c r="I35" s="35"/>
      <c r="J35" s="35"/>
      <c r="K35" s="35"/>
    </row>
    <row r="36" spans="2:11" x14ac:dyDescent="0.35">
      <c r="B36" s="30"/>
      <c r="C36" s="30"/>
      <c r="D36" s="30"/>
      <c r="E36" s="30"/>
      <c r="F36" s="30"/>
      <c r="G36" s="30"/>
      <c r="H36" s="46"/>
      <c r="I36" s="46"/>
      <c r="J36" s="46"/>
      <c r="K36" s="47"/>
    </row>
    <row r="37" spans="2:11" ht="15" thickBot="1" x14ac:dyDescent="0.4">
      <c r="B37" s="32" t="s">
        <v>50</v>
      </c>
      <c r="C37" s="33"/>
      <c r="D37" s="32" t="s">
        <v>51</v>
      </c>
      <c r="E37" s="34" t="s">
        <v>52</v>
      </c>
      <c r="F37" s="48"/>
      <c r="G37" s="49"/>
      <c r="H37" s="30"/>
      <c r="I37" s="30"/>
      <c r="J37" s="30"/>
      <c r="K37" s="30"/>
    </row>
    <row r="38" spans="2:11" x14ac:dyDescent="0.35">
      <c r="B38" s="35"/>
      <c r="C38" s="36"/>
      <c r="D38" s="35"/>
      <c r="E38" s="37"/>
      <c r="F38" s="45"/>
      <c r="G38" s="45"/>
      <c r="H38" s="35"/>
      <c r="I38" s="35"/>
      <c r="J38" s="35"/>
      <c r="K38" s="35"/>
    </row>
    <row r="39" spans="2:11" x14ac:dyDescent="0.35">
      <c r="B39" s="35" t="s">
        <v>63</v>
      </c>
      <c r="C39" s="36"/>
      <c r="D39" s="38" t="s">
        <v>64</v>
      </c>
      <c r="E39" s="58">
        <f>E30</f>
        <v>-20000</v>
      </c>
      <c r="F39" s="69" t="s">
        <v>97</v>
      </c>
      <c r="G39" s="30"/>
      <c r="H39" s="35"/>
      <c r="I39" s="35"/>
      <c r="J39" s="35"/>
      <c r="K39" s="35"/>
    </row>
    <row r="40" spans="2:11" x14ac:dyDescent="0.35">
      <c r="B40" s="30"/>
      <c r="C40" s="40"/>
      <c r="D40" s="30"/>
      <c r="E40" s="30"/>
      <c r="F40" s="51"/>
      <c r="G40" s="30"/>
      <c r="H40" s="35"/>
      <c r="I40" s="35"/>
      <c r="J40" s="35"/>
      <c r="K40" s="35"/>
    </row>
    <row r="41" spans="2:11" x14ac:dyDescent="0.35">
      <c r="B41" s="35" t="s">
        <v>65</v>
      </c>
      <c r="C41" s="40"/>
      <c r="D41" s="40"/>
      <c r="E41" s="37">
        <v>0.05</v>
      </c>
      <c r="F41" s="50" t="s">
        <v>98</v>
      </c>
      <c r="G41" s="37"/>
      <c r="H41" s="35"/>
      <c r="I41" s="35"/>
      <c r="J41" s="35"/>
      <c r="K41" s="35" t="s">
        <v>66</v>
      </c>
    </row>
    <row r="42" spans="2:11" x14ac:dyDescent="0.35">
      <c r="B42" s="35"/>
      <c r="C42" s="40"/>
      <c r="D42" s="40"/>
      <c r="E42" s="37"/>
      <c r="F42" s="47"/>
      <c r="G42" s="37"/>
      <c r="H42" s="30"/>
      <c r="I42" s="30"/>
      <c r="J42" s="30"/>
      <c r="K42" s="35"/>
    </row>
    <row r="43" spans="2:11" x14ac:dyDescent="0.35">
      <c r="B43" s="41" t="s">
        <v>67</v>
      </c>
      <c r="C43" s="42"/>
      <c r="D43" s="43" t="s">
        <v>68</v>
      </c>
      <c r="E43" s="44">
        <f>E39*E41</f>
        <v>-1000</v>
      </c>
      <c r="F43" s="50" t="s">
        <v>43</v>
      </c>
      <c r="G43" s="37"/>
      <c r="H43" s="30"/>
      <c r="I43" s="30"/>
      <c r="J43" s="30"/>
      <c r="K43" s="35"/>
    </row>
    <row r="44" spans="2:11" x14ac:dyDescent="0.35">
      <c r="B44" s="35"/>
      <c r="C44" s="40"/>
      <c r="D44" s="40"/>
      <c r="E44" s="52"/>
      <c r="F44" s="53"/>
      <c r="G44" s="37"/>
      <c r="H44" s="30"/>
      <c r="I44" s="30"/>
      <c r="J44" s="30"/>
      <c r="K44" s="35"/>
    </row>
    <row r="45" spans="2:11" x14ac:dyDescent="0.35">
      <c r="B45" s="35" t="s">
        <v>69</v>
      </c>
      <c r="C45" s="40"/>
      <c r="D45" s="38" t="s">
        <v>57</v>
      </c>
      <c r="E45" s="37">
        <f>+E30</f>
        <v>-20000</v>
      </c>
      <c r="F45" s="50" t="s">
        <v>46</v>
      </c>
      <c r="G45" s="52"/>
      <c r="H45" s="72" t="s">
        <v>99</v>
      </c>
      <c r="I45" s="35"/>
      <c r="J45" s="35"/>
      <c r="K45" s="35"/>
    </row>
    <row r="46" spans="2:11" x14ac:dyDescent="0.35">
      <c r="B46" s="35"/>
      <c r="C46" s="40"/>
      <c r="D46" s="40"/>
      <c r="E46" s="54"/>
      <c r="F46" s="47"/>
      <c r="G46" s="52"/>
      <c r="H46" s="35"/>
      <c r="I46" s="35"/>
      <c r="J46" s="35"/>
      <c r="K46" s="35"/>
    </row>
    <row r="47" spans="2:11" x14ac:dyDescent="0.35">
      <c r="B47" s="41" t="s">
        <v>70</v>
      </c>
      <c r="C47" s="42"/>
      <c r="D47" s="43" t="s">
        <v>71</v>
      </c>
      <c r="E47" s="55">
        <f>+E43-E45</f>
        <v>19000</v>
      </c>
      <c r="F47" s="56" t="s">
        <v>72</v>
      </c>
      <c r="G47" s="52"/>
      <c r="H47" s="57" t="s">
        <v>100</v>
      </c>
      <c r="I47" s="57"/>
      <c r="J47" s="57"/>
      <c r="K47" s="35"/>
    </row>
    <row r="48" spans="2:11" x14ac:dyDescent="0.35">
      <c r="B48" s="30"/>
      <c r="C48" s="30"/>
      <c r="D48" s="30"/>
      <c r="E48" s="30"/>
      <c r="F48" s="47"/>
      <c r="G48" s="52"/>
      <c r="H48" s="35"/>
      <c r="I48" s="35"/>
      <c r="J48" s="35"/>
      <c r="K48" s="35"/>
    </row>
    <row r="49" spans="1:12" x14ac:dyDescent="0.35">
      <c r="B49" s="30"/>
      <c r="C49" s="30"/>
      <c r="D49" s="30"/>
      <c r="E49" s="30"/>
      <c r="F49" s="45"/>
      <c r="G49" s="37"/>
      <c r="H49" s="35"/>
      <c r="I49" s="35"/>
      <c r="J49" s="35"/>
      <c r="K49" s="35"/>
    </row>
    <row r="50" spans="1:12" x14ac:dyDescent="0.35">
      <c r="B50" s="30"/>
      <c r="C50" s="30"/>
      <c r="D50" s="30"/>
      <c r="E50" s="30"/>
      <c r="F50" s="47"/>
      <c r="G50" s="54"/>
      <c r="H50" s="35"/>
      <c r="I50" s="35"/>
      <c r="J50" s="35"/>
      <c r="K50" s="35"/>
    </row>
    <row r="51" spans="1:12" ht="36" customHeight="1" x14ac:dyDescent="0.35">
      <c r="A51" s="71" t="s">
        <v>107</v>
      </c>
      <c r="B51" s="75" t="s">
        <v>105</v>
      </c>
      <c r="C51" s="75"/>
      <c r="D51" s="75"/>
      <c r="E51" s="75"/>
      <c r="F51" s="75"/>
      <c r="G51" s="75"/>
      <c r="H51" s="75"/>
      <c r="I51" s="75"/>
      <c r="J51" s="75"/>
      <c r="K51" s="75"/>
      <c r="L51" s="75"/>
    </row>
    <row r="52" spans="1:12" x14ac:dyDescent="0.35">
      <c r="B52" s="30" t="s">
        <v>106</v>
      </c>
      <c r="C52" s="30"/>
      <c r="D52" s="30"/>
      <c r="E52" s="30"/>
      <c r="F52" s="47"/>
      <c r="G52" s="52"/>
      <c r="H52" s="35"/>
      <c r="I52" s="35"/>
      <c r="J52" s="35"/>
      <c r="K52" s="35"/>
    </row>
    <row r="53" spans="1:12" x14ac:dyDescent="0.35">
      <c r="B53" s="35"/>
      <c r="C53" s="36"/>
      <c r="D53" s="36"/>
      <c r="E53" s="37"/>
      <c r="F53" s="45"/>
      <c r="G53" s="37"/>
      <c r="H53" s="35"/>
      <c r="I53" s="35"/>
      <c r="J53" s="35"/>
      <c r="K53" s="35"/>
    </row>
    <row r="54" spans="1:12" x14ac:dyDescent="0.35">
      <c r="A54" s="70" t="s">
        <v>104</v>
      </c>
      <c r="B54" s="35" t="s">
        <v>101</v>
      </c>
      <c r="C54" s="40"/>
      <c r="D54" s="40"/>
      <c r="E54" s="37"/>
      <c r="F54" s="47"/>
      <c r="G54" s="37"/>
      <c r="H54" s="35"/>
      <c r="I54" s="35"/>
      <c r="J54" s="35"/>
      <c r="K54" s="35"/>
    </row>
    <row r="55" spans="1:12" x14ac:dyDescent="0.35">
      <c r="B55" s="35" t="s">
        <v>102</v>
      </c>
      <c r="C55" s="40"/>
      <c r="D55" s="40"/>
      <c r="E55" s="37"/>
      <c r="F55" s="47"/>
      <c r="G55" s="37"/>
      <c r="H55" s="35"/>
      <c r="I55" s="35"/>
      <c r="J55" s="35"/>
      <c r="K55" s="35"/>
    </row>
    <row r="56" spans="1:12" x14ac:dyDescent="0.35">
      <c r="B56" s="35" t="s">
        <v>103</v>
      </c>
      <c r="C56" s="40"/>
      <c r="D56" s="40"/>
      <c r="E56" s="37"/>
      <c r="F56" s="47"/>
      <c r="G56" s="37"/>
      <c r="H56" s="35"/>
      <c r="I56" s="35"/>
      <c r="J56" s="35"/>
      <c r="K56" s="35"/>
    </row>
    <row r="57" spans="1:12" x14ac:dyDescent="0.35">
      <c r="B57" s="35"/>
      <c r="C57" s="40"/>
      <c r="D57" s="40"/>
      <c r="E57" s="37"/>
      <c r="F57" s="47"/>
      <c r="G57" s="37"/>
      <c r="H57" s="35"/>
      <c r="I57" s="35"/>
      <c r="J57" s="35"/>
      <c r="K57" s="35"/>
    </row>
    <row r="58" spans="1:12" x14ac:dyDescent="0.35">
      <c r="B58" s="35"/>
      <c r="C58" s="40"/>
      <c r="D58" s="40"/>
      <c r="E58" s="37"/>
      <c r="F58" s="47"/>
      <c r="G58" s="37"/>
      <c r="H58" s="35"/>
      <c r="I58" s="35"/>
      <c r="J58" s="35"/>
      <c r="K58" s="35"/>
    </row>
    <row r="59" spans="1:12" x14ac:dyDescent="0.35">
      <c r="B59" s="28" t="s">
        <v>78</v>
      </c>
      <c r="C59" s="30"/>
      <c r="D59" s="30"/>
      <c r="E59" s="30"/>
      <c r="F59" s="30"/>
      <c r="G59" s="30"/>
      <c r="H59" s="35"/>
      <c r="I59" s="35"/>
      <c r="J59" s="35"/>
      <c r="K59" s="35"/>
    </row>
    <row r="60" spans="1:12" x14ac:dyDescent="0.35">
      <c r="B60" s="30"/>
      <c r="C60" s="30"/>
      <c r="D60" s="30"/>
      <c r="E60" s="30"/>
      <c r="F60" s="30"/>
      <c r="G60" s="30"/>
      <c r="H60" s="35"/>
      <c r="I60" s="35"/>
      <c r="J60" s="35"/>
      <c r="K60" s="35"/>
    </row>
    <row r="61" spans="1:12" x14ac:dyDescent="0.35">
      <c r="B61" s="64" t="s">
        <v>50</v>
      </c>
      <c r="C61" s="64"/>
      <c r="D61" s="64" t="s">
        <v>84</v>
      </c>
      <c r="E61" s="61" t="s">
        <v>52</v>
      </c>
      <c r="F61" s="35"/>
      <c r="G61" s="35"/>
      <c r="H61" s="35"/>
      <c r="I61" s="35"/>
      <c r="J61" s="35"/>
      <c r="K61" s="35"/>
    </row>
    <row r="62" spans="1:12" x14ac:dyDescent="0.35">
      <c r="B62" s="30"/>
      <c r="C62" s="30"/>
      <c r="D62" s="30"/>
      <c r="E62" s="30"/>
      <c r="F62" s="35"/>
      <c r="G62" s="35"/>
      <c r="H62" s="35"/>
      <c r="I62" s="35"/>
      <c r="J62" s="35"/>
      <c r="K62" s="35"/>
    </row>
    <row r="63" spans="1:12" x14ac:dyDescent="0.35">
      <c r="B63" s="30" t="s">
        <v>79</v>
      </c>
      <c r="C63" s="30"/>
      <c r="D63" s="30"/>
      <c r="E63" s="39">
        <f>-E12</f>
        <v>-20000</v>
      </c>
      <c r="F63" s="35"/>
      <c r="G63" s="35"/>
      <c r="H63" s="35"/>
      <c r="I63" s="35"/>
      <c r="J63" s="35"/>
      <c r="K63" s="35"/>
    </row>
    <row r="64" spans="1:12" x14ac:dyDescent="0.35">
      <c r="B64" s="30"/>
      <c r="C64" s="30"/>
      <c r="D64" s="30"/>
      <c r="E64" s="39"/>
      <c r="F64" s="35"/>
      <c r="G64" s="35"/>
      <c r="H64" s="35"/>
      <c r="I64" s="35"/>
      <c r="J64" s="35"/>
      <c r="K64" s="35"/>
    </row>
    <row r="65" spans="2:11" x14ac:dyDescent="0.35">
      <c r="B65" s="30" t="s">
        <v>85</v>
      </c>
      <c r="C65" s="30"/>
      <c r="D65" s="62" t="s">
        <v>27</v>
      </c>
      <c r="E65" s="39">
        <f>+E10</f>
        <v>0</v>
      </c>
      <c r="F65" s="35"/>
      <c r="G65" s="35"/>
      <c r="H65" s="35"/>
      <c r="I65" s="35"/>
      <c r="J65" s="35"/>
      <c r="K65" s="35"/>
    </row>
    <row r="66" spans="2:11" x14ac:dyDescent="0.35">
      <c r="B66" s="30"/>
      <c r="C66" s="30"/>
      <c r="D66" s="62"/>
      <c r="E66" s="39"/>
      <c r="F66" s="35"/>
      <c r="G66" s="35"/>
      <c r="H66" s="35"/>
      <c r="I66" s="35"/>
      <c r="J66" s="35"/>
      <c r="K66" s="35"/>
    </row>
    <row r="67" spans="2:11" x14ac:dyDescent="0.35">
      <c r="B67" s="30" t="s">
        <v>85</v>
      </c>
      <c r="C67" s="30"/>
      <c r="D67" s="62" t="s">
        <v>28</v>
      </c>
      <c r="E67" s="39">
        <f>+E18</f>
        <v>5000</v>
      </c>
      <c r="F67" s="35"/>
      <c r="G67" s="35"/>
      <c r="H67" s="35"/>
      <c r="I67" s="35"/>
      <c r="J67" s="35"/>
      <c r="K67" s="35"/>
    </row>
    <row r="68" spans="2:11" x14ac:dyDescent="0.35">
      <c r="B68" s="30"/>
      <c r="C68" s="30"/>
      <c r="D68" s="62"/>
      <c r="E68" s="39"/>
      <c r="F68" s="35"/>
      <c r="G68" s="35"/>
      <c r="H68" s="35"/>
      <c r="I68" s="35"/>
      <c r="J68" s="35"/>
      <c r="K68" s="35"/>
    </row>
    <row r="69" spans="2:11" x14ac:dyDescent="0.35">
      <c r="B69" s="30" t="s">
        <v>109</v>
      </c>
      <c r="C69" s="30"/>
      <c r="D69" s="62" t="s">
        <v>27</v>
      </c>
      <c r="E69" s="39">
        <v>0</v>
      </c>
      <c r="F69" s="35"/>
      <c r="G69" s="35"/>
      <c r="H69" s="35"/>
      <c r="I69" s="35"/>
      <c r="J69" s="35"/>
      <c r="K69" s="35"/>
    </row>
    <row r="70" spans="2:11" x14ac:dyDescent="0.35">
      <c r="B70" s="30"/>
      <c r="C70" s="30"/>
      <c r="D70" s="62"/>
      <c r="E70" s="39"/>
      <c r="F70" s="35"/>
      <c r="G70" s="35"/>
      <c r="H70" s="35"/>
      <c r="I70" s="35"/>
      <c r="J70" s="35"/>
      <c r="K70" s="35"/>
    </row>
    <row r="71" spans="2:11" x14ac:dyDescent="0.35">
      <c r="B71" s="30" t="s">
        <v>80</v>
      </c>
      <c r="C71" s="30"/>
      <c r="D71" s="62" t="s">
        <v>28</v>
      </c>
      <c r="E71" s="39">
        <f>+E28</f>
        <v>-5000</v>
      </c>
      <c r="F71" s="35"/>
      <c r="G71" s="35"/>
      <c r="H71" s="35"/>
      <c r="I71" s="35"/>
      <c r="J71" s="35"/>
      <c r="K71" s="35"/>
    </row>
    <row r="72" spans="2:11" x14ac:dyDescent="0.35">
      <c r="B72" s="30"/>
      <c r="C72" s="30"/>
      <c r="D72" s="30"/>
      <c r="E72" s="39"/>
      <c r="F72" s="35"/>
      <c r="G72" s="35"/>
      <c r="H72" s="35"/>
      <c r="I72" s="35"/>
      <c r="J72" s="35"/>
      <c r="K72" s="35"/>
    </row>
    <row r="73" spans="2:11" x14ac:dyDescent="0.35">
      <c r="B73" s="30" t="s">
        <v>86</v>
      </c>
      <c r="C73" s="30"/>
      <c r="D73" s="30"/>
      <c r="E73" s="39">
        <f>+E47</f>
        <v>19000</v>
      </c>
      <c r="F73" s="35"/>
      <c r="G73" s="35"/>
      <c r="H73" s="35"/>
      <c r="I73" s="35"/>
      <c r="J73" s="35"/>
      <c r="K73" s="35"/>
    </row>
    <row r="74" spans="2:11" x14ac:dyDescent="0.35">
      <c r="B74" s="30"/>
      <c r="C74" s="30"/>
      <c r="D74" s="30"/>
      <c r="E74" s="39"/>
      <c r="F74" s="35"/>
      <c r="G74" s="35"/>
      <c r="H74" s="35"/>
      <c r="I74" s="35"/>
      <c r="J74" s="35"/>
      <c r="K74" s="35"/>
    </row>
    <row r="75" spans="2:11" ht="15" thickBot="1" x14ac:dyDescent="0.4">
      <c r="B75" s="63" t="s">
        <v>81</v>
      </c>
      <c r="C75" s="59"/>
      <c r="D75" s="59"/>
      <c r="E75" s="67">
        <f>SUM(E63:E74)</f>
        <v>-1000</v>
      </c>
      <c r="F75" s="35"/>
      <c r="G75" s="35"/>
      <c r="H75" s="35"/>
      <c r="I75" s="35"/>
      <c r="J75" s="35"/>
      <c r="K75" s="35"/>
    </row>
    <row r="76" spans="2:11" ht="15" thickTop="1" x14ac:dyDescent="0.35">
      <c r="B76" s="30"/>
      <c r="C76" s="30"/>
      <c r="D76" s="30"/>
      <c r="E76" s="39"/>
      <c r="F76" s="35"/>
      <c r="G76" s="35"/>
      <c r="H76" s="35"/>
      <c r="I76" s="35"/>
      <c r="J76" s="35"/>
      <c r="K76" s="35"/>
    </row>
    <row r="77" spans="2:11" x14ac:dyDescent="0.35">
      <c r="B77" s="30"/>
      <c r="C77" s="30"/>
      <c r="D77" s="30"/>
      <c r="E77" s="39"/>
      <c r="F77" s="35"/>
      <c r="G77" s="35"/>
      <c r="H77" s="35"/>
      <c r="I77" s="35"/>
      <c r="J77" s="35"/>
      <c r="K77" s="35"/>
    </row>
    <row r="78" spans="2:11" x14ac:dyDescent="0.35">
      <c r="B78" s="28" t="s">
        <v>82</v>
      </c>
      <c r="C78" s="30"/>
      <c r="D78" s="30"/>
      <c r="E78" s="39"/>
      <c r="F78" s="35"/>
      <c r="G78" s="35"/>
      <c r="H78" s="35"/>
      <c r="I78" s="35"/>
      <c r="J78" s="35"/>
      <c r="K78" s="35"/>
    </row>
    <row r="79" spans="2:11" x14ac:dyDescent="0.35">
      <c r="B79" s="30"/>
      <c r="C79" s="30"/>
      <c r="D79" s="30"/>
      <c r="E79" s="39"/>
      <c r="F79" s="35"/>
      <c r="G79" s="35"/>
      <c r="H79" s="35"/>
      <c r="I79" s="35"/>
      <c r="J79" s="35"/>
      <c r="K79" s="35"/>
    </row>
    <row r="80" spans="2:11" x14ac:dyDescent="0.35">
      <c r="B80" s="30" t="s">
        <v>87</v>
      </c>
      <c r="C80" s="30"/>
      <c r="D80" s="30"/>
      <c r="E80" s="39">
        <f>+E43</f>
        <v>-1000</v>
      </c>
      <c r="F80" s="35"/>
      <c r="G80" s="35"/>
      <c r="H80" s="35"/>
      <c r="I80" s="35"/>
      <c r="J80" s="35"/>
      <c r="K80" s="35"/>
    </row>
    <row r="81" spans="2:11" x14ac:dyDescent="0.35">
      <c r="B81" s="30"/>
      <c r="C81" s="30"/>
      <c r="D81" s="30"/>
      <c r="E81" s="39"/>
      <c r="F81" s="35"/>
      <c r="G81" s="35"/>
      <c r="H81" s="35"/>
      <c r="I81" s="35"/>
      <c r="J81" s="35"/>
      <c r="K81" s="35"/>
    </row>
    <row r="82" spans="2:11" x14ac:dyDescent="0.35">
      <c r="B82" s="30" t="s">
        <v>81</v>
      </c>
      <c r="C82" s="30"/>
      <c r="D82" s="30"/>
      <c r="E82" s="39">
        <f>E75</f>
        <v>-1000</v>
      </c>
      <c r="F82" s="35"/>
      <c r="G82" s="35"/>
      <c r="H82" s="35"/>
      <c r="I82" s="35"/>
      <c r="J82" s="35"/>
      <c r="K82" s="35"/>
    </row>
    <row r="83" spans="2:11" x14ac:dyDescent="0.35">
      <c r="B83" s="30"/>
      <c r="C83" s="30"/>
      <c r="D83" s="30"/>
      <c r="E83" s="39"/>
      <c r="F83" s="35"/>
      <c r="G83" s="35"/>
      <c r="H83" s="35"/>
      <c r="I83" s="35"/>
      <c r="J83" s="35"/>
      <c r="K83" s="35"/>
    </row>
    <row r="84" spans="2:11" ht="15" thickBot="1" x14ac:dyDescent="0.4">
      <c r="B84" s="63" t="s">
        <v>83</v>
      </c>
      <c r="C84" s="63"/>
      <c r="D84" s="63"/>
      <c r="E84" s="68">
        <f>E80-E82</f>
        <v>0</v>
      </c>
      <c r="F84" s="35"/>
      <c r="G84" s="35"/>
      <c r="H84" s="35"/>
      <c r="I84" s="35"/>
      <c r="J84" s="35"/>
      <c r="K84" s="35"/>
    </row>
    <row r="85" spans="2:11" ht="15" thickTop="1" x14ac:dyDescent="0.35">
      <c r="B85" s="35"/>
      <c r="C85" s="40"/>
      <c r="D85" s="40"/>
      <c r="E85" s="37"/>
      <c r="F85" s="35"/>
      <c r="G85" s="35"/>
      <c r="H85" s="35"/>
      <c r="I85" s="35"/>
      <c r="J85" s="35"/>
      <c r="K85" s="35"/>
    </row>
    <row r="86" spans="2:11" x14ac:dyDescent="0.35">
      <c r="B86" s="35"/>
      <c r="C86" s="40"/>
      <c r="D86" s="40"/>
      <c r="E86" s="37"/>
      <c r="F86" s="35"/>
      <c r="G86" s="35"/>
      <c r="H86" s="35"/>
      <c r="I86" s="35"/>
      <c r="J86" s="35"/>
      <c r="K86" s="35"/>
    </row>
    <row r="87" spans="2:11" x14ac:dyDescent="0.35">
      <c r="B87" s="35"/>
      <c r="C87" s="40"/>
      <c r="D87" s="40"/>
      <c r="E87" s="37"/>
      <c r="F87" s="35"/>
      <c r="G87" s="35"/>
      <c r="H87" s="35"/>
      <c r="I87" s="35"/>
      <c r="J87" s="35"/>
      <c r="K87" s="35"/>
    </row>
    <row r="88" spans="2:11" x14ac:dyDescent="0.35">
      <c r="B88" s="35"/>
      <c r="C88" s="40"/>
      <c r="D88" s="40"/>
      <c r="E88" s="37"/>
      <c r="F88" s="47"/>
      <c r="G88" s="37"/>
      <c r="H88" s="35"/>
      <c r="I88" s="35"/>
      <c r="J88" s="35"/>
      <c r="K88" s="35"/>
    </row>
    <row r="89" spans="2:11" x14ac:dyDescent="0.35">
      <c r="B89" s="35"/>
      <c r="C89" s="40"/>
      <c r="D89" s="40"/>
      <c r="E89" s="37"/>
      <c r="F89" s="47"/>
      <c r="G89" s="37"/>
      <c r="H89" s="35"/>
      <c r="I89" s="35"/>
      <c r="J89" s="35"/>
      <c r="K89" s="35"/>
    </row>
    <row r="90" spans="2:11" x14ac:dyDescent="0.35">
      <c r="B90" s="35"/>
      <c r="C90" s="40"/>
      <c r="D90" s="40"/>
      <c r="E90" s="37"/>
      <c r="F90" s="47"/>
      <c r="G90" s="37"/>
      <c r="H90" s="35"/>
      <c r="I90" s="35"/>
      <c r="J90" s="35"/>
      <c r="K90" s="35"/>
    </row>
    <row r="91" spans="2:11" x14ac:dyDescent="0.35">
      <c r="B91" s="35"/>
      <c r="C91" s="40"/>
      <c r="D91" s="40"/>
      <c r="E91" s="37"/>
      <c r="F91" s="47"/>
      <c r="G91" s="37"/>
      <c r="H91" s="35"/>
      <c r="I91" s="35"/>
      <c r="J91" s="35"/>
      <c r="K91" s="35"/>
    </row>
  </sheetData>
  <mergeCells count="2">
    <mergeCell ref="H33:K33"/>
    <mergeCell ref="B51:L5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63"/>
  <sheetViews>
    <sheetView showGridLines="0" zoomScale="91" zoomScaleNormal="70" workbookViewId="0">
      <selection activeCell="G44" sqref="G44"/>
    </sheetView>
  </sheetViews>
  <sheetFormatPr defaultRowHeight="14.5" x14ac:dyDescent="0.35"/>
  <cols>
    <col min="2" max="2" width="60.54296875" bestFit="1" customWidth="1"/>
    <col min="3" max="3" width="10.90625" bestFit="1" customWidth="1"/>
    <col min="4" max="4" width="19" style="1" bestFit="1" customWidth="1"/>
    <col min="5" max="5" width="6.6328125" customWidth="1"/>
    <col min="7" max="7" width="57.26953125" customWidth="1"/>
  </cols>
  <sheetData>
    <row r="2" spans="2:7" x14ac:dyDescent="0.35">
      <c r="B2" s="65" t="s">
        <v>90</v>
      </c>
    </row>
    <row r="4" spans="2:7" x14ac:dyDescent="0.35">
      <c r="B4" s="2" t="s">
        <v>0</v>
      </c>
      <c r="C4" s="3"/>
      <c r="D4" s="3"/>
      <c r="E4" s="4"/>
    </row>
    <row r="5" spans="2:7" x14ac:dyDescent="0.35">
      <c r="B5" s="3"/>
      <c r="C5" s="3"/>
      <c r="D5" s="3"/>
      <c r="E5" s="4"/>
    </row>
    <row r="6" spans="2:7" x14ac:dyDescent="0.35">
      <c r="B6" s="3"/>
      <c r="C6" s="3"/>
      <c r="D6" s="3"/>
      <c r="E6" s="3"/>
    </row>
    <row r="7" spans="2:7" ht="15" thickBot="1" x14ac:dyDescent="0.4">
      <c r="B7" s="5" t="s">
        <v>1</v>
      </c>
      <c r="C7" s="5" t="s">
        <v>2</v>
      </c>
      <c r="D7" s="5" t="s">
        <v>3</v>
      </c>
      <c r="E7" s="3"/>
    </row>
    <row r="8" spans="2:7" x14ac:dyDescent="0.35">
      <c r="B8" s="3"/>
      <c r="C8" s="3"/>
      <c r="D8" s="3"/>
      <c r="E8" s="3"/>
    </row>
    <row r="9" spans="2:7" ht="16" x14ac:dyDescent="0.35">
      <c r="B9" s="3" t="s">
        <v>4</v>
      </c>
      <c r="C9" s="6" t="s">
        <v>5</v>
      </c>
      <c r="D9" s="7">
        <v>-7342979559.989933</v>
      </c>
      <c r="E9" s="3"/>
      <c r="F9" s="30"/>
      <c r="G9" s="66" t="s">
        <v>91</v>
      </c>
    </row>
    <row r="10" spans="2:7" x14ac:dyDescent="0.35">
      <c r="B10" s="3"/>
      <c r="C10" s="3"/>
      <c r="D10" s="7"/>
      <c r="E10" s="3"/>
    </row>
    <row r="11" spans="2:7" ht="16.5" x14ac:dyDescent="0.35">
      <c r="B11" s="3" t="s">
        <v>6</v>
      </c>
      <c r="C11" s="8" t="s">
        <v>7</v>
      </c>
      <c r="D11" s="7">
        <v>-54605973208</v>
      </c>
      <c r="E11" s="9" t="s">
        <v>8</v>
      </c>
      <c r="G11" s="22" t="s">
        <v>33</v>
      </c>
    </row>
    <row r="12" spans="2:7" x14ac:dyDescent="0.35">
      <c r="B12" s="3"/>
      <c r="C12" s="8"/>
      <c r="D12" s="7"/>
      <c r="E12" s="3"/>
    </row>
    <row r="13" spans="2:7" x14ac:dyDescent="0.35">
      <c r="B13" s="3" t="s">
        <v>9</v>
      </c>
      <c r="C13" s="8" t="s">
        <v>10</v>
      </c>
      <c r="D13" s="7">
        <v>1.0011434555053711E-2</v>
      </c>
      <c r="E13" s="9" t="s">
        <v>11</v>
      </c>
    </row>
    <row r="14" spans="2:7" x14ac:dyDescent="0.35">
      <c r="B14" s="3"/>
      <c r="C14" s="8"/>
      <c r="D14" s="7"/>
      <c r="E14" s="3"/>
    </row>
    <row r="15" spans="2:7" ht="16.5" x14ac:dyDescent="0.35">
      <c r="B15" s="3" t="s">
        <v>12</v>
      </c>
      <c r="C15" s="8" t="s">
        <v>13</v>
      </c>
      <c r="D15" s="7">
        <v>58121958255</v>
      </c>
      <c r="E15" s="10" t="s">
        <v>14</v>
      </c>
      <c r="G15" s="22" t="s">
        <v>34</v>
      </c>
    </row>
    <row r="16" spans="2:7" x14ac:dyDescent="0.35">
      <c r="B16" s="3"/>
      <c r="C16" s="8"/>
      <c r="D16" s="7"/>
      <c r="E16" s="3"/>
    </row>
    <row r="17" spans="2:7" ht="31" customHeight="1" x14ac:dyDescent="0.35">
      <c r="B17" s="11" t="s">
        <v>15</v>
      </c>
      <c r="C17" s="8" t="s">
        <v>13</v>
      </c>
      <c r="D17" s="12">
        <v>3000000</v>
      </c>
      <c r="E17" s="10" t="s">
        <v>14</v>
      </c>
      <c r="G17" s="22" t="s">
        <v>35</v>
      </c>
    </row>
    <row r="18" spans="2:7" ht="16.5" x14ac:dyDescent="0.35">
      <c r="B18" s="13"/>
      <c r="C18" s="8"/>
      <c r="D18" s="12"/>
      <c r="E18" s="10"/>
      <c r="G18" s="22" t="s">
        <v>36</v>
      </c>
    </row>
    <row r="19" spans="2:7" x14ac:dyDescent="0.35">
      <c r="B19" s="3" t="s">
        <v>16</v>
      </c>
      <c r="C19" s="8" t="s">
        <v>13</v>
      </c>
      <c r="D19" s="7">
        <v>0</v>
      </c>
      <c r="E19" s="3"/>
    </row>
    <row r="20" spans="2:7" x14ac:dyDescent="0.35">
      <c r="B20" s="3"/>
      <c r="C20" s="8"/>
      <c r="D20" s="7"/>
      <c r="E20" s="3"/>
    </row>
    <row r="21" spans="2:7" ht="17" thickBot="1" x14ac:dyDescent="0.4">
      <c r="B21" s="14" t="s">
        <v>17</v>
      </c>
      <c r="C21" s="15"/>
      <c r="D21" s="16">
        <f>+SUM(D8:D20)</f>
        <v>-3823994512.9799194</v>
      </c>
      <c r="E21" s="3"/>
      <c r="G21" s="22" t="s">
        <v>37</v>
      </c>
    </row>
    <row r="22" spans="2:7" ht="15" thickTop="1" x14ac:dyDescent="0.35">
      <c r="B22" s="3"/>
      <c r="C22" s="8"/>
      <c r="D22" s="7"/>
      <c r="E22" s="3"/>
    </row>
    <row r="23" spans="2:7" x14ac:dyDescent="0.35">
      <c r="B23" s="3" t="s">
        <v>18</v>
      </c>
      <c r="C23" s="8" t="s">
        <v>110</v>
      </c>
      <c r="D23" s="7">
        <f>+D21</f>
        <v>-3823994512.9799194</v>
      </c>
      <c r="E23" s="17"/>
    </row>
    <row r="24" spans="2:7" x14ac:dyDescent="0.35">
      <c r="B24" s="3"/>
      <c r="C24" s="8"/>
      <c r="D24" s="7"/>
      <c r="E24" s="3"/>
    </row>
    <row r="25" spans="2:7" x14ac:dyDescent="0.35">
      <c r="B25" s="3" t="s">
        <v>19</v>
      </c>
      <c r="C25" s="8"/>
      <c r="D25" s="7">
        <f>+D21-D23</f>
        <v>0</v>
      </c>
      <c r="E25" s="3"/>
    </row>
    <row r="29" spans="2:7" ht="16.5" x14ac:dyDescent="0.35">
      <c r="B29" s="2" t="s">
        <v>20</v>
      </c>
      <c r="C29" s="8" t="s">
        <v>13</v>
      </c>
      <c r="D29" s="18">
        <v>3500000</v>
      </c>
      <c r="E29" s="10" t="s">
        <v>14</v>
      </c>
      <c r="G29" s="22" t="s">
        <v>38</v>
      </c>
    </row>
    <row r="30" spans="2:7" x14ac:dyDescent="0.35">
      <c r="B30" s="3"/>
      <c r="C30" s="3"/>
      <c r="D30" s="7"/>
      <c r="E30" s="9" t="s">
        <v>21</v>
      </c>
    </row>
    <row r="31" spans="2:7" x14ac:dyDescent="0.35">
      <c r="B31" s="2" t="s">
        <v>22</v>
      </c>
      <c r="C31" s="8" t="s">
        <v>13</v>
      </c>
      <c r="D31" s="18">
        <v>0</v>
      </c>
      <c r="E31" s="9" t="s">
        <v>21</v>
      </c>
    </row>
    <row r="34" spans="2:7" ht="15" thickBot="1" x14ac:dyDescent="0.4">
      <c r="B34" s="5" t="s">
        <v>1</v>
      </c>
      <c r="C34" s="5" t="s">
        <v>2</v>
      </c>
      <c r="D34" s="5" t="s">
        <v>3</v>
      </c>
      <c r="E34" s="3"/>
    </row>
    <row r="35" spans="2:7" x14ac:dyDescent="0.35">
      <c r="B35" s="3"/>
      <c r="C35" s="3"/>
      <c r="D35" s="3"/>
      <c r="E35" s="3"/>
    </row>
    <row r="36" spans="2:7" x14ac:dyDescent="0.35">
      <c r="B36" s="3" t="s">
        <v>39</v>
      </c>
      <c r="C36" s="23" t="s">
        <v>40</v>
      </c>
      <c r="D36" s="24">
        <f>+D15+D29</f>
        <v>58125458255</v>
      </c>
      <c r="E36" s="10" t="s">
        <v>41</v>
      </c>
    </row>
    <row r="37" spans="2:7" x14ac:dyDescent="0.35">
      <c r="B37" s="3"/>
      <c r="C37" s="3"/>
      <c r="D37" s="3"/>
      <c r="E37" s="3"/>
    </row>
    <row r="38" spans="2:7" ht="16.5" x14ac:dyDescent="0.35">
      <c r="B38" s="3" t="s">
        <v>42</v>
      </c>
      <c r="C38" s="3"/>
      <c r="D38" s="25">
        <v>0.8</v>
      </c>
      <c r="E38" s="10" t="s">
        <v>43</v>
      </c>
      <c r="G38" s="22" t="s">
        <v>88</v>
      </c>
    </row>
    <row r="39" spans="2:7" x14ac:dyDescent="0.35">
      <c r="B39" s="3"/>
      <c r="C39" s="3"/>
      <c r="D39" s="3"/>
      <c r="E39" s="3"/>
    </row>
    <row r="40" spans="2:7" ht="17" thickBot="1" x14ac:dyDescent="0.4">
      <c r="B40" s="14" t="s">
        <v>44</v>
      </c>
      <c r="C40" s="26" t="s">
        <v>45</v>
      </c>
      <c r="D40" s="27">
        <f>+D36*D38</f>
        <v>46500366604</v>
      </c>
      <c r="E40" s="10" t="s">
        <v>46</v>
      </c>
      <c r="G40" s="22"/>
    </row>
    <row r="41" spans="2:7" ht="15" thickTop="1" x14ac:dyDescent="0.35">
      <c r="B41" s="3"/>
      <c r="C41" s="3"/>
      <c r="D41" s="3"/>
      <c r="E41" s="3"/>
    </row>
    <row r="42" spans="2:7" ht="16.5" x14ac:dyDescent="0.35">
      <c r="B42" s="3" t="s">
        <v>47</v>
      </c>
      <c r="C42" s="23" t="s">
        <v>48</v>
      </c>
      <c r="D42" s="24">
        <f>+D36-D40</f>
        <v>11625091651</v>
      </c>
      <c r="E42" s="9" t="s">
        <v>31</v>
      </c>
      <c r="G42" s="22" t="s">
        <v>113</v>
      </c>
    </row>
    <row r="43" spans="2:7" ht="16.5" x14ac:dyDescent="0.35">
      <c r="G43" s="22" t="s">
        <v>114</v>
      </c>
    </row>
    <row r="44" spans="2:7" ht="16.5" x14ac:dyDescent="0.35">
      <c r="G44" s="22"/>
    </row>
    <row r="45" spans="2:7" x14ac:dyDescent="0.35">
      <c r="B45" s="20" t="s">
        <v>23</v>
      </c>
      <c r="C45" s="3"/>
      <c r="D45" s="3"/>
      <c r="E45" s="3"/>
    </row>
    <row r="46" spans="2:7" x14ac:dyDescent="0.35">
      <c r="B46" s="3"/>
      <c r="C46" s="3"/>
      <c r="D46" s="7"/>
      <c r="E46" s="3"/>
    </row>
    <row r="47" spans="2:7" x14ac:dyDescent="0.35">
      <c r="B47" s="3" t="s">
        <v>24</v>
      </c>
      <c r="C47" s="8" t="s">
        <v>8</v>
      </c>
      <c r="D47" s="7">
        <f>+D11</f>
        <v>-54605973208</v>
      </c>
      <c r="E47" s="3"/>
    </row>
    <row r="48" spans="2:7" x14ac:dyDescent="0.35">
      <c r="B48" s="3" t="s">
        <v>9</v>
      </c>
      <c r="C48" s="8" t="s">
        <v>25</v>
      </c>
      <c r="D48" s="7">
        <v>1.0011434555053711E-2</v>
      </c>
      <c r="E48" s="3"/>
    </row>
    <row r="49" spans="2:5" x14ac:dyDescent="0.35">
      <c r="B49" s="3"/>
      <c r="C49" s="3"/>
      <c r="D49" s="7"/>
      <c r="E49" s="3"/>
    </row>
    <row r="50" spans="2:5" x14ac:dyDescent="0.35">
      <c r="B50" s="3" t="s">
        <v>26</v>
      </c>
      <c r="C50" s="21" t="s">
        <v>27</v>
      </c>
      <c r="D50" s="7">
        <f>+D9</f>
        <v>-7342979559.989933</v>
      </c>
      <c r="E50" s="3"/>
    </row>
    <row r="51" spans="2:5" x14ac:dyDescent="0.35">
      <c r="B51" s="3" t="s">
        <v>26</v>
      </c>
      <c r="C51" s="21" t="s">
        <v>28</v>
      </c>
      <c r="D51" s="7">
        <f>-D21</f>
        <v>3823994512.9799194</v>
      </c>
      <c r="E51" s="9" t="s">
        <v>29</v>
      </c>
    </row>
    <row r="52" spans="2:5" x14ac:dyDescent="0.35">
      <c r="B52" s="3"/>
      <c r="C52" s="21"/>
      <c r="D52" s="7" t="s">
        <v>66</v>
      </c>
      <c r="E52" s="9"/>
    </row>
    <row r="53" spans="2:5" x14ac:dyDescent="0.35">
      <c r="B53" s="3" t="s">
        <v>111</v>
      </c>
      <c r="C53" s="21"/>
      <c r="D53" s="7">
        <f>+D17</f>
        <v>3000000</v>
      </c>
      <c r="E53" s="9"/>
    </row>
    <row r="54" spans="2:5" x14ac:dyDescent="0.35">
      <c r="B54" s="3" t="s">
        <v>112</v>
      </c>
      <c r="C54" s="8" t="s">
        <v>21</v>
      </c>
      <c r="D54" s="18">
        <f>-D29</f>
        <v>-3500000</v>
      </c>
      <c r="E54" s="9" t="s">
        <v>29</v>
      </c>
    </row>
    <row r="55" spans="2:5" x14ac:dyDescent="0.35">
      <c r="B55" s="3" t="s">
        <v>30</v>
      </c>
      <c r="C55" s="8" t="s">
        <v>31</v>
      </c>
      <c r="D55" s="7">
        <f>+D42</f>
        <v>11625091651</v>
      </c>
      <c r="E55" s="9" t="s">
        <v>29</v>
      </c>
    </row>
    <row r="56" spans="2:5" x14ac:dyDescent="0.35">
      <c r="B56" s="3"/>
      <c r="C56" s="3"/>
      <c r="D56" s="7"/>
      <c r="E56" s="3"/>
    </row>
    <row r="57" spans="2:5" ht="15" thickBot="1" x14ac:dyDescent="0.4">
      <c r="B57" s="14" t="s">
        <v>32</v>
      </c>
      <c r="C57" s="14"/>
      <c r="D57" s="27">
        <f>+SUM(D47:D55)</f>
        <v>-46500366604</v>
      </c>
      <c r="E57" s="3"/>
    </row>
    <row r="58" spans="2:5" ht="15" thickTop="1" x14ac:dyDescent="0.35"/>
    <row r="59" spans="2:5" x14ac:dyDescent="0.35">
      <c r="C59" s="73" t="s">
        <v>108</v>
      </c>
      <c r="D59" s="1">
        <f>+D40+D57</f>
        <v>0</v>
      </c>
    </row>
    <row r="63" spans="2:5" ht="23.5" x14ac:dyDescent="0.55000000000000004">
      <c r="B63" s="19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ASESORAMIENTO TECNICO</vt:lpstr>
      <vt:lpstr>MARCAS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Chambi, Damian</dc:creator>
  <cp:lastModifiedBy>Vassallo, Franco Lujan</cp:lastModifiedBy>
  <dcterms:created xsi:type="dcterms:W3CDTF">2015-06-05T18:17:20Z</dcterms:created>
  <dcterms:modified xsi:type="dcterms:W3CDTF">2026-07-23T17:53:00Z</dcterms:modified>
</cp:coreProperties>
</file>