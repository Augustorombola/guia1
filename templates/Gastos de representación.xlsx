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lobotrico\Documents\Template BT - Gs de Rep, Gs Auto y Bs Intangibles\"/>
    </mc:Choice>
  </mc:AlternateContent>
  <xr:revisionPtr revIDLastSave="0" documentId="13_ncr:1_{022583FA-D627-4E55-9437-70929C7FEDFE}" xr6:coauthVersionLast="47" xr6:coauthVersionMax="47" xr10:uidLastSave="{00000000-0000-0000-0000-000000000000}"/>
  <bookViews>
    <workbookView xWindow="-110" yWindow="-110" windowWidth="19420" windowHeight="11500" xr2:uid="{E62DD486-9F07-4A79-8605-2D5D4D7B8A8A}"/>
  </bookViews>
  <sheets>
    <sheet name="Ajuste" sheetId="3" r:id="rId1"/>
    <sheet name="Ejemplo" sheetId="2" r:id="rId2"/>
  </sheets>
  <definedNames>
    <definedName name="_xlnm.Print_Area" localSheetId="1">Ejemplo!$A$1:$L$31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6" i="2" l="1"/>
  <c r="G20" i="2"/>
  <c r="G18" i="2"/>
  <c r="E18" i="2"/>
  <c r="E22" i="2" s="1"/>
  <c r="E26" i="2"/>
  <c r="G22" i="2" l="1"/>
  <c r="E28" i="2"/>
</calcChain>
</file>

<file path=xl/sharedStrings.xml><?xml version="1.0" encoding="utf-8"?>
<sst xmlns="http://schemas.openxmlformats.org/spreadsheetml/2006/main" count="77" uniqueCount="47">
  <si>
    <t>Total remuneraciones pagadas en el ejercicio: $30.000.000</t>
  </si>
  <si>
    <t>Total gastos de representación contabilizados: $6.000.000</t>
  </si>
  <si>
    <t>CONCEPTO</t>
  </si>
  <si>
    <t>REF.</t>
  </si>
  <si>
    <t>IMPORTE</t>
  </si>
  <si>
    <t>Sueldos y salarios</t>
  </si>
  <si>
    <t>BS</t>
  </si>
  <si>
    <t>Total Retribuciones al personal</t>
  </si>
  <si>
    <t>I</t>
  </si>
  <si>
    <t>II</t>
  </si>
  <si>
    <t>Tope deducción gastos de representación</t>
  </si>
  <si>
    <t>I * II</t>
  </si>
  <si>
    <t>Total gastos de representación contabilizados</t>
  </si>
  <si>
    <t>Total gastos de representación</t>
  </si>
  <si>
    <t>Ajuste</t>
  </si>
  <si>
    <t>GAN  (+)</t>
  </si>
  <si>
    <t>Gastos de Representación</t>
  </si>
  <si>
    <t>Sueldos</t>
  </si>
  <si>
    <t>BS / IGJ</t>
  </si>
  <si>
    <t>SAC</t>
  </si>
  <si>
    <t>Beneficios Sociales</t>
  </si>
  <si>
    <t>Otros conceptos remunerativos</t>
  </si>
  <si>
    <t>III</t>
  </si>
  <si>
    <t>Gastos de Representación S/ BS</t>
  </si>
  <si>
    <t>IV</t>
  </si>
  <si>
    <t>Ajuste Gastos de Representación no Deducibles</t>
  </si>
  <si>
    <t>IV - III</t>
  </si>
  <si>
    <t>Ligar el importe de cada cuenta con el saldo que surge del balance de sumas y saldos.</t>
  </si>
  <si>
    <t>Ligar el importe con el saldo que surge del balance de sumas y saldos.</t>
  </si>
  <si>
    <t>Ajustar a ganancia el exceso de Gastos de Representación.</t>
  </si>
  <si>
    <t>[A]</t>
  </si>
  <si>
    <t>[B]</t>
  </si>
  <si>
    <t>[C]</t>
  </si>
  <si>
    <t>Tope S/ Art.  91 inciso h)</t>
  </si>
  <si>
    <t>GAN (+)</t>
  </si>
  <si>
    <t>CASO PRÁCTICO 1</t>
  </si>
  <si>
    <t>CASO PRÁCTICO 2</t>
  </si>
  <si>
    <t>Caso1</t>
  </si>
  <si>
    <t>Caso2</t>
  </si>
  <si>
    <t>Datos:</t>
  </si>
  <si>
    <t>Total remuneraciones pagadas en el ejercicio: $18.000.000</t>
  </si>
  <si>
    <t>Total gastos de representación contabilizados: $200.000</t>
  </si>
  <si>
    <t>Sin ajuste</t>
  </si>
  <si>
    <t>Remuneraciones a pagar</t>
  </si>
  <si>
    <t>Cargas sociales a pagar</t>
  </si>
  <si>
    <t>SI</t>
  </si>
  <si>
    <t>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</si>
</sst>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2"/>
      <color rgb="FFFF0000"/>
      <name val="Calibri"/>
      <family val="2"/>
    </font>
    <font>
      <b/>
      <sz val="12"/>
      <color rgb="FF0070C0"/>
      <name val="Calibri"/>
      <family val="2"/>
    </font>
    <font>
      <b/>
      <sz val="12"/>
      <color indexed="12"/>
      <name val="Calibri"/>
      <family val="2"/>
    </font>
    <font>
      <b/>
      <u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indexed="10"/>
      <name val="Calibri"/>
      <family val="2"/>
    </font>
    <font>
      <b/>
      <sz val="11"/>
      <color indexed="12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2" fillId="0" borderId="0"/>
  </cellStyleXfs>
  <cellXfs count="63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 applyProtection="1">
      <protection locked="0"/>
    </xf>
    <xf numFmtId="0" fontId="9" fillId="0" borderId="0" xfId="0" applyFont="1" applyAlignment="1" applyProtection="1">
      <alignment horizontal="center"/>
      <protection locked="0"/>
    </xf>
    <xf numFmtId="0" fontId="9" fillId="0" borderId="1" xfId="3" applyFont="1" applyBorder="1" applyAlignment="1">
      <alignment horizontal="righ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center"/>
    </xf>
    <xf numFmtId="165" fontId="9" fillId="0" borderId="1" xfId="4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43" fontId="6" fillId="0" borderId="0" xfId="1" applyFont="1" applyFill="1" applyAlignment="1">
      <alignment horizontal="center"/>
    </xf>
    <xf numFmtId="4" fontId="6" fillId="0" borderId="0" xfId="0" applyNumberFormat="1" applyFont="1"/>
    <xf numFmtId="0" fontId="9" fillId="0" borderId="2" xfId="3" applyFont="1" applyBorder="1"/>
    <xf numFmtId="0" fontId="8" fillId="0" borderId="2" xfId="5" applyFont="1" applyBorder="1"/>
    <xf numFmtId="165" fontId="9" fillId="0" borderId="2" xfId="5" applyNumberFormat="1" applyFont="1" applyBorder="1"/>
    <xf numFmtId="0" fontId="11" fillId="0" borderId="0" xfId="0" applyFont="1"/>
    <xf numFmtId="0" fontId="8" fillId="0" borderId="0" xfId="3" applyFont="1"/>
    <xf numFmtId="0" fontId="8" fillId="0" borderId="0" xfId="5" applyFont="1" applyAlignment="1">
      <alignment horizontal="center"/>
    </xf>
    <xf numFmtId="10" fontId="8" fillId="0" borderId="0" xfId="6" applyNumberFormat="1" applyFont="1" applyFill="1" applyBorder="1"/>
    <xf numFmtId="10" fontId="6" fillId="0" borderId="0" xfId="0" applyNumberFormat="1" applyFont="1"/>
    <xf numFmtId="0" fontId="9" fillId="0" borderId="2" xfId="3" applyFont="1" applyBorder="1" applyAlignment="1">
      <alignment horizontal="center"/>
    </xf>
    <xf numFmtId="0" fontId="12" fillId="0" borderId="2" xfId="7" applyFont="1" applyBorder="1" applyAlignment="1">
      <alignment horizontal="center"/>
    </xf>
    <xf numFmtId="165" fontId="9" fillId="0" borderId="2" xfId="3" applyNumberFormat="1" applyFont="1" applyBorder="1" applyAlignment="1">
      <alignment vertical="center"/>
    </xf>
    <xf numFmtId="43" fontId="6" fillId="0" borderId="0" xfId="1" applyFont="1" applyFill="1"/>
    <xf numFmtId="0" fontId="8" fillId="0" borderId="3" xfId="5" applyFont="1" applyBorder="1"/>
    <xf numFmtId="0" fontId="8" fillId="0" borderId="4" xfId="5" applyFont="1" applyBorder="1"/>
    <xf numFmtId="0" fontId="12" fillId="0" borderId="4" xfId="7" applyFont="1" applyBorder="1" applyAlignment="1">
      <alignment horizontal="center"/>
    </xf>
    <xf numFmtId="165" fontId="9" fillId="0" borderId="4" xfId="5" applyNumberFormat="1" applyFont="1" applyBorder="1"/>
    <xf numFmtId="165" fontId="9" fillId="0" borderId="5" xfId="5" applyNumberFormat="1" applyFont="1" applyBorder="1"/>
    <xf numFmtId="0" fontId="10" fillId="0" borderId="0" xfId="0" applyFont="1"/>
    <xf numFmtId="0" fontId="0" fillId="0" borderId="0" xfId="0" applyAlignment="1">
      <alignment horizontal="center"/>
    </xf>
    <xf numFmtId="0" fontId="13" fillId="2" borderId="0" xfId="7" applyFont="1" applyFill="1"/>
    <xf numFmtId="0" fontId="14" fillId="2" borderId="0" xfId="7" applyFont="1" applyFill="1" applyAlignment="1">
      <alignment horizontal="center"/>
    </xf>
    <xf numFmtId="0" fontId="14" fillId="2" borderId="0" xfId="7" applyFont="1" applyFill="1"/>
    <xf numFmtId="164" fontId="14" fillId="2" borderId="0" xfId="4" applyFont="1" applyFill="1" applyBorder="1"/>
    <xf numFmtId="0" fontId="13" fillId="2" borderId="0" xfId="3" applyFont="1" applyFill="1"/>
    <xf numFmtId="0" fontId="14" fillId="2" borderId="0" xfId="3" applyFont="1" applyFill="1" applyAlignment="1">
      <alignment horizontal="center"/>
    </xf>
    <xf numFmtId="0" fontId="14" fillId="2" borderId="0" xfId="3" applyFont="1" applyFill="1"/>
    <xf numFmtId="164" fontId="14" fillId="2" borderId="0" xfId="4" applyFont="1" applyFill="1"/>
    <xf numFmtId="0" fontId="15" fillId="2" borderId="1" xfId="3" applyFont="1" applyFill="1" applyBorder="1"/>
    <xf numFmtId="0" fontId="14" fillId="2" borderId="1" xfId="3" applyFont="1" applyFill="1" applyBorder="1" applyAlignment="1">
      <alignment horizontal="center"/>
    </xf>
    <xf numFmtId="0" fontId="15" fillId="2" borderId="1" xfId="3" applyFont="1" applyFill="1" applyBorder="1" applyAlignment="1">
      <alignment horizontal="center"/>
    </xf>
    <xf numFmtId="164" fontId="15" fillId="2" borderId="1" xfId="4" applyFont="1" applyFill="1" applyBorder="1" applyAlignment="1">
      <alignment horizontal="center"/>
    </xf>
    <xf numFmtId="0" fontId="16" fillId="2" borderId="0" xfId="3" applyFont="1" applyFill="1" applyAlignment="1">
      <alignment horizontal="center"/>
    </xf>
    <xf numFmtId="43" fontId="14" fillId="2" borderId="0" xfId="1" applyFont="1" applyFill="1"/>
    <xf numFmtId="164" fontId="15" fillId="2" borderId="0" xfId="4" applyFont="1" applyFill="1" applyBorder="1" applyAlignment="1">
      <alignment horizontal="center"/>
    </xf>
    <xf numFmtId="0" fontId="15" fillId="2" borderId="0" xfId="3" applyFont="1" applyFill="1" applyAlignment="1">
      <alignment horizontal="center"/>
    </xf>
    <xf numFmtId="0" fontId="15" fillId="2" borderId="0" xfId="7" applyFont="1" applyFill="1"/>
    <xf numFmtId="43" fontId="15" fillId="2" borderId="0" xfId="1" applyFont="1" applyFill="1" applyAlignment="1">
      <alignment horizontal="right"/>
    </xf>
    <xf numFmtId="0" fontId="15" fillId="2" borderId="6" xfId="3" applyFont="1" applyFill="1" applyBorder="1"/>
    <xf numFmtId="0" fontId="5" fillId="2" borderId="7" xfId="3" applyFont="1" applyFill="1" applyBorder="1" applyAlignment="1">
      <alignment horizontal="center"/>
    </xf>
    <xf numFmtId="0" fontId="15" fillId="2" borderId="7" xfId="3" applyFont="1" applyFill="1" applyBorder="1" applyAlignment="1">
      <alignment horizontal="center"/>
    </xf>
    <xf numFmtId="4" fontId="15" fillId="2" borderId="8" xfId="3" applyNumberFormat="1" applyFont="1" applyFill="1" applyBorder="1" applyAlignment="1">
      <alignment vertical="center"/>
    </xf>
    <xf numFmtId="0" fontId="17" fillId="2" borderId="0" xfId="7" applyFont="1" applyFill="1"/>
    <xf numFmtId="0" fontId="18" fillId="2" borderId="0" xfId="3" applyFont="1" applyFill="1"/>
    <xf numFmtId="10" fontId="14" fillId="2" borderId="0" xfId="2" applyNumberFormat="1" applyFont="1" applyFill="1"/>
    <xf numFmtId="0" fontId="17" fillId="2" borderId="7" xfId="7" applyFont="1" applyFill="1" applyBorder="1" applyAlignment="1">
      <alignment horizontal="center"/>
    </xf>
    <xf numFmtId="0" fontId="18" fillId="2" borderId="0" xfId="7" applyFont="1" applyFill="1"/>
    <xf numFmtId="0" fontId="5" fillId="2" borderId="0" xfId="3" applyFont="1" applyFill="1" applyAlignment="1">
      <alignment horizontal="center"/>
    </xf>
    <xf numFmtId="4" fontId="15" fillId="2" borderId="0" xfId="3" applyNumberFormat="1" applyFont="1" applyFill="1" applyAlignment="1">
      <alignment vertical="center"/>
    </xf>
    <xf numFmtId="0" fontId="16" fillId="2" borderId="0" xfId="3" applyFont="1" applyFill="1" applyAlignment="1">
      <alignment horizontal="right"/>
    </xf>
  </cellXfs>
  <cellStyles count="8">
    <cellStyle name="Comma" xfId="1" builtinId="3"/>
    <cellStyle name="Comma_Provisión GCIAS Y GMP 2003 2 2 2" xfId="4" xr:uid="{2EAC6721-D764-42DC-8199-44346CA4224B}"/>
    <cellStyle name="Normal" xfId="0" builtinId="0"/>
    <cellStyle name="Normal - Modelo1" xfId="5" xr:uid="{953D5966-FF8C-43BB-A054-01758C215B9B}"/>
    <cellStyle name="Normal_Provisión GCIAS Y GMP 2003 2" xfId="3" xr:uid="{411E3EF0-6F85-44B1-B77C-3B72AB2EB433}"/>
    <cellStyle name="Normal_SHEET 2 2" xfId="7" xr:uid="{ED3919BE-7A91-4AD3-89DE-F4F3C004F267}"/>
    <cellStyle name="Percent" xfId="2" builtinId="5"/>
    <cellStyle name="Percent 2" xfId="6" xr:uid="{502B330E-73E5-4599-BC4D-705B6677EF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3D445-2C78-4B30-B9DB-6EA04D3DC569}">
  <dimension ref="A1:G33"/>
  <sheetViews>
    <sheetView showGridLines="0" tabSelected="1" zoomScale="70" zoomScaleNormal="70" workbookViewId="0">
      <selection activeCell="O21" sqref="O21"/>
    </sheetView>
  </sheetViews>
  <sheetFormatPr defaultRowHeight="14.5" x14ac:dyDescent="0.35"/>
  <cols>
    <col min="1" max="1" width="4.81640625" customWidth="1"/>
    <col min="2" max="2" width="39.81640625" bestFit="1" customWidth="1"/>
    <col min="4" max="4" width="7.08984375" bestFit="1" customWidth="1"/>
    <col min="5" max="5" width="9.1796875" bestFit="1" customWidth="1"/>
    <col min="6" max="6" width="7.08984375" bestFit="1" customWidth="1"/>
    <col min="7" max="7" width="3.453125" bestFit="1" customWidth="1"/>
  </cols>
  <sheetData>
    <row r="1" spans="1:7" x14ac:dyDescent="0.35">
      <c r="A1" s="1"/>
      <c r="B1" s="1"/>
      <c r="C1" s="1"/>
      <c r="D1" s="1"/>
      <c r="E1" s="1"/>
      <c r="F1" s="1"/>
      <c r="G1" s="1"/>
    </row>
    <row r="2" spans="1:7" x14ac:dyDescent="0.35">
      <c r="A2" s="1"/>
      <c r="B2" s="33" t="s">
        <v>16</v>
      </c>
      <c r="C2" s="34"/>
      <c r="D2" s="35"/>
      <c r="E2" s="35"/>
      <c r="F2" s="35"/>
      <c r="G2" s="1"/>
    </row>
    <row r="3" spans="1:7" x14ac:dyDescent="0.35">
      <c r="A3" s="1"/>
      <c r="B3" s="35"/>
      <c r="C3" s="34"/>
      <c r="D3" s="35"/>
      <c r="E3" s="35"/>
      <c r="F3" s="36"/>
      <c r="G3" s="1"/>
    </row>
    <row r="4" spans="1:7" x14ac:dyDescent="0.35">
      <c r="A4" s="1"/>
      <c r="B4" s="37"/>
      <c r="C4" s="38"/>
      <c r="D4" s="39"/>
      <c r="E4" s="40"/>
      <c r="F4" s="35"/>
      <c r="G4" s="1"/>
    </row>
    <row r="5" spans="1:7" ht="15" thickBot="1" x14ac:dyDescent="0.4">
      <c r="A5" s="1"/>
      <c r="B5" s="41" t="s">
        <v>2</v>
      </c>
      <c r="C5" s="42"/>
      <c r="D5" s="43" t="s">
        <v>3</v>
      </c>
      <c r="E5" s="44" t="s">
        <v>4</v>
      </c>
      <c r="F5" s="35"/>
      <c r="G5" s="1"/>
    </row>
    <row r="6" spans="1:7" x14ac:dyDescent="0.35">
      <c r="A6" s="1"/>
      <c r="B6" s="39"/>
      <c r="C6" s="38"/>
      <c r="D6" s="39"/>
      <c r="E6" s="40"/>
      <c r="F6" s="36"/>
      <c r="G6" s="1"/>
    </row>
    <row r="7" spans="1:7" x14ac:dyDescent="0.35">
      <c r="A7" s="1"/>
      <c r="B7" s="39" t="s">
        <v>43</v>
      </c>
      <c r="C7" s="38" t="s">
        <v>45</v>
      </c>
      <c r="D7" s="45" t="s">
        <v>18</v>
      </c>
      <c r="E7" s="40">
        <v>0</v>
      </c>
      <c r="F7" s="36"/>
      <c r="G7" s="1"/>
    </row>
    <row r="8" spans="1:7" x14ac:dyDescent="0.35">
      <c r="A8" s="1"/>
      <c r="B8" s="39" t="s">
        <v>44</v>
      </c>
      <c r="C8" s="38" t="s">
        <v>45</v>
      </c>
      <c r="D8" s="45" t="s">
        <v>18</v>
      </c>
      <c r="E8" s="40">
        <v>0</v>
      </c>
      <c r="F8" s="36"/>
      <c r="G8" s="1"/>
    </row>
    <row r="9" spans="1:7" x14ac:dyDescent="0.35">
      <c r="A9" s="1"/>
      <c r="B9" s="39"/>
      <c r="C9" s="38"/>
      <c r="D9" s="39"/>
      <c r="E9" s="40"/>
      <c r="F9" s="36"/>
      <c r="G9" s="1"/>
    </row>
    <row r="10" spans="1:7" x14ac:dyDescent="0.35">
      <c r="A10" s="1"/>
      <c r="B10" s="39" t="s">
        <v>17</v>
      </c>
      <c r="C10" s="38"/>
      <c r="D10" s="45" t="s">
        <v>18</v>
      </c>
      <c r="E10" s="46">
        <v>0</v>
      </c>
      <c r="F10" s="47"/>
      <c r="G10" s="1"/>
    </row>
    <row r="11" spans="1:7" x14ac:dyDescent="0.35">
      <c r="A11" s="1"/>
      <c r="B11" s="35" t="s">
        <v>19</v>
      </c>
      <c r="C11" s="48"/>
      <c r="D11" s="45" t="s">
        <v>18</v>
      </c>
      <c r="E11" s="46">
        <v>0</v>
      </c>
      <c r="F11" s="36"/>
      <c r="G11" s="1"/>
    </row>
    <row r="12" spans="1:7" x14ac:dyDescent="0.35">
      <c r="A12" s="1"/>
      <c r="B12" s="39" t="s">
        <v>20</v>
      </c>
      <c r="C12" s="48"/>
      <c r="D12" s="45" t="s">
        <v>18</v>
      </c>
      <c r="E12" s="46">
        <v>0</v>
      </c>
      <c r="F12" s="49"/>
      <c r="G12" s="1"/>
    </row>
    <row r="13" spans="1:7" x14ac:dyDescent="0.35">
      <c r="A13" s="1"/>
      <c r="B13" s="39" t="s">
        <v>21</v>
      </c>
      <c r="C13" s="48"/>
      <c r="D13" s="45" t="s">
        <v>18</v>
      </c>
      <c r="E13" s="50">
        <v>0</v>
      </c>
      <c r="F13" s="49"/>
      <c r="G13" s="1"/>
    </row>
    <row r="14" spans="1:7" x14ac:dyDescent="0.35">
      <c r="A14" s="1"/>
      <c r="B14" s="39"/>
      <c r="C14" s="48"/>
      <c r="D14" s="45"/>
      <c r="E14" s="50"/>
      <c r="F14" s="49"/>
      <c r="G14" s="1"/>
    </row>
    <row r="15" spans="1:7" x14ac:dyDescent="0.35">
      <c r="A15" s="1"/>
      <c r="B15" s="39" t="s">
        <v>43</v>
      </c>
      <c r="C15" s="38" t="s">
        <v>46</v>
      </c>
      <c r="D15" s="45" t="s">
        <v>18</v>
      </c>
      <c r="E15" s="40">
        <v>0</v>
      </c>
      <c r="F15" s="49"/>
      <c r="G15" s="1"/>
    </row>
    <row r="16" spans="1:7" x14ac:dyDescent="0.35">
      <c r="A16" s="1"/>
      <c r="B16" s="39" t="s">
        <v>44</v>
      </c>
      <c r="C16" s="38" t="s">
        <v>46</v>
      </c>
      <c r="D16" s="45" t="s">
        <v>18</v>
      </c>
      <c r="E16" s="40">
        <v>0</v>
      </c>
      <c r="F16" s="49"/>
      <c r="G16" s="1"/>
    </row>
    <row r="17" spans="1:7" x14ac:dyDescent="0.35">
      <c r="A17" s="1"/>
      <c r="B17" s="39"/>
      <c r="C17" s="39"/>
      <c r="D17" s="39"/>
      <c r="E17" s="39"/>
      <c r="F17" s="49"/>
      <c r="G17" s="1"/>
    </row>
    <row r="18" spans="1:7" x14ac:dyDescent="0.35">
      <c r="A18" s="1"/>
      <c r="B18" s="51" t="s">
        <v>7</v>
      </c>
      <c r="C18" s="52" t="s">
        <v>30</v>
      </c>
      <c r="D18" s="53"/>
      <c r="E18" s="54">
        <v>0</v>
      </c>
      <c r="F18" s="55" t="s">
        <v>8</v>
      </c>
      <c r="G18" s="2"/>
    </row>
    <row r="19" spans="1:7" x14ac:dyDescent="0.35">
      <c r="A19" s="1"/>
      <c r="B19" s="39"/>
      <c r="C19" s="56"/>
      <c r="D19" s="39"/>
      <c r="E19" s="39"/>
      <c r="F19" s="55"/>
      <c r="G19" s="2"/>
    </row>
    <row r="20" spans="1:7" x14ac:dyDescent="0.35">
      <c r="A20" s="1"/>
      <c r="B20" s="39" t="s">
        <v>33</v>
      </c>
      <c r="C20" s="56"/>
      <c r="D20" s="39"/>
      <c r="E20" s="57">
        <v>1.4999999999999999E-2</v>
      </c>
      <c r="F20" s="55" t="s">
        <v>9</v>
      </c>
      <c r="G20" s="2"/>
    </row>
    <row r="21" spans="1:7" x14ac:dyDescent="0.35">
      <c r="A21" s="1"/>
      <c r="B21" s="39"/>
      <c r="C21" s="56"/>
      <c r="D21" s="39"/>
      <c r="E21" s="39"/>
      <c r="F21" s="49"/>
      <c r="G21" s="2"/>
    </row>
    <row r="22" spans="1:7" x14ac:dyDescent="0.35">
      <c r="A22" s="1"/>
      <c r="B22" s="51" t="s">
        <v>10</v>
      </c>
      <c r="C22" s="52"/>
      <c r="D22" s="58" t="s">
        <v>11</v>
      </c>
      <c r="E22" s="54">
        <v>0</v>
      </c>
      <c r="F22" s="55" t="s">
        <v>22</v>
      </c>
      <c r="G22" s="2"/>
    </row>
    <row r="23" spans="1:7" x14ac:dyDescent="0.35">
      <c r="A23" s="1"/>
      <c r="B23" s="35"/>
      <c r="C23" s="59"/>
      <c r="D23" s="35"/>
      <c r="E23" s="35"/>
      <c r="F23" s="36"/>
      <c r="G23" s="2"/>
    </row>
    <row r="24" spans="1:7" x14ac:dyDescent="0.35">
      <c r="A24" s="1"/>
      <c r="B24" s="35"/>
      <c r="C24" s="59"/>
      <c r="D24" s="35"/>
      <c r="E24" s="35"/>
      <c r="F24" s="49"/>
      <c r="G24" s="2"/>
    </row>
    <row r="25" spans="1:7" x14ac:dyDescent="0.35">
      <c r="A25" s="1"/>
      <c r="B25" s="39" t="s">
        <v>23</v>
      </c>
      <c r="C25" s="60" t="s">
        <v>31</v>
      </c>
      <c r="D25" s="45" t="s">
        <v>18</v>
      </c>
      <c r="E25" s="61">
        <v>0</v>
      </c>
      <c r="F25" s="55" t="s">
        <v>24</v>
      </c>
      <c r="G25" s="2"/>
    </row>
    <row r="26" spans="1:7" x14ac:dyDescent="0.35">
      <c r="A26" s="1"/>
      <c r="B26" s="35"/>
      <c r="C26" s="59"/>
      <c r="D26" s="35"/>
      <c r="E26" s="62"/>
      <c r="F26" s="49"/>
      <c r="G26" s="2"/>
    </row>
    <row r="27" spans="1:7" x14ac:dyDescent="0.35">
      <c r="A27" s="1"/>
      <c r="B27" s="51" t="s">
        <v>25</v>
      </c>
      <c r="C27" s="52" t="s">
        <v>32</v>
      </c>
      <c r="D27" s="58" t="s">
        <v>26</v>
      </c>
      <c r="E27" s="54">
        <v>0</v>
      </c>
      <c r="F27" s="45" t="s">
        <v>34</v>
      </c>
      <c r="G27" s="2"/>
    </row>
    <row r="28" spans="1:7" x14ac:dyDescent="0.35">
      <c r="A28" s="1"/>
      <c r="B28" s="39"/>
      <c r="C28" s="38"/>
      <c r="D28" s="39"/>
      <c r="E28" s="62"/>
      <c r="F28" s="35"/>
      <c r="G28" s="1"/>
    </row>
    <row r="29" spans="1:7" x14ac:dyDescent="0.35">
      <c r="A29" s="1"/>
      <c r="B29" s="1"/>
      <c r="C29" s="1"/>
      <c r="D29" s="1"/>
      <c r="E29" s="1"/>
      <c r="F29" s="1"/>
      <c r="G29" s="1"/>
    </row>
    <row r="30" spans="1:7" x14ac:dyDescent="0.35">
      <c r="A30" s="1"/>
      <c r="B30" s="1"/>
      <c r="C30" s="1"/>
      <c r="D30" s="1"/>
      <c r="E30" s="1"/>
      <c r="F30" s="1"/>
      <c r="G30" s="1"/>
    </row>
    <row r="31" spans="1:7" x14ac:dyDescent="0.35">
      <c r="A31" s="2" t="s">
        <v>30</v>
      </c>
      <c r="B31" s="1" t="s">
        <v>27</v>
      </c>
      <c r="C31" s="1"/>
      <c r="D31" s="1"/>
      <c r="E31" s="1"/>
      <c r="F31" s="1"/>
      <c r="G31" s="1"/>
    </row>
    <row r="32" spans="1:7" x14ac:dyDescent="0.35">
      <c r="A32" s="2" t="s">
        <v>31</v>
      </c>
      <c r="B32" s="1" t="s">
        <v>28</v>
      </c>
      <c r="C32" s="1"/>
      <c r="D32" s="1"/>
      <c r="E32" s="1"/>
      <c r="F32" s="1"/>
      <c r="G32" s="1"/>
    </row>
    <row r="33" spans="1:7" x14ac:dyDescent="0.35">
      <c r="A33" s="2" t="s">
        <v>32</v>
      </c>
      <c r="B33" s="1" t="s">
        <v>29</v>
      </c>
      <c r="C33" s="1"/>
      <c r="D33" s="1"/>
      <c r="E33" s="1"/>
      <c r="F33" s="1"/>
      <c r="G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11667-C04B-402C-8DA1-F02F4219A58B}">
  <dimension ref="A1:H29"/>
  <sheetViews>
    <sheetView showGridLines="0" view="pageBreakPreview" zoomScale="60" zoomScaleNormal="50" workbookViewId="0">
      <selection activeCell="B4" sqref="B4"/>
    </sheetView>
  </sheetViews>
  <sheetFormatPr defaultRowHeight="14.5" x14ac:dyDescent="0.35"/>
  <cols>
    <col min="3" max="3" width="40.08984375" bestFit="1" customWidth="1"/>
    <col min="5" max="5" width="18.08984375" bestFit="1" customWidth="1"/>
    <col min="6" max="6" width="4.453125" customWidth="1"/>
    <col min="7" max="8" width="16.90625" bestFit="1" customWidth="1"/>
  </cols>
  <sheetData>
    <row r="1" spans="1:8" ht="15.5" x14ac:dyDescent="0.35">
      <c r="A1" s="3"/>
      <c r="B1" s="3"/>
      <c r="C1" s="3"/>
      <c r="D1" s="3"/>
      <c r="E1" s="3"/>
      <c r="F1" s="3"/>
      <c r="G1" s="3"/>
      <c r="H1" s="3"/>
    </row>
    <row r="2" spans="1:8" ht="15.5" x14ac:dyDescent="0.35">
      <c r="A2" s="3"/>
      <c r="B2" s="4" t="s">
        <v>35</v>
      </c>
      <c r="C2" s="3"/>
      <c r="D2" s="3"/>
      <c r="E2" s="3"/>
      <c r="F2" s="3"/>
      <c r="G2" s="3"/>
      <c r="H2" s="3"/>
    </row>
    <row r="3" spans="1:8" ht="15.5" x14ac:dyDescent="0.35">
      <c r="A3" s="3"/>
      <c r="B3" s="3" t="s">
        <v>39</v>
      </c>
      <c r="C3" s="3"/>
      <c r="D3" s="3"/>
      <c r="E3" s="3"/>
      <c r="F3" s="3"/>
      <c r="G3" s="3"/>
      <c r="H3" s="3"/>
    </row>
    <row r="4" spans="1:8" ht="15.5" x14ac:dyDescent="0.35">
      <c r="A4" s="3"/>
      <c r="B4" s="3" t="s">
        <v>0</v>
      </c>
      <c r="C4" s="3"/>
      <c r="D4" s="3"/>
      <c r="E4" s="3"/>
      <c r="F4" s="3"/>
      <c r="G4" s="3"/>
      <c r="H4" s="3"/>
    </row>
    <row r="5" spans="1:8" ht="15.5" x14ac:dyDescent="0.35">
      <c r="A5" s="3"/>
      <c r="B5" s="3" t="s">
        <v>1</v>
      </c>
      <c r="C5" s="3"/>
      <c r="D5" s="3"/>
      <c r="E5" s="3"/>
      <c r="F5" s="3"/>
      <c r="G5" s="3"/>
      <c r="H5" s="3"/>
    </row>
    <row r="6" spans="1:8" ht="15.5" x14ac:dyDescent="0.35">
      <c r="A6" s="3"/>
      <c r="B6" s="3"/>
      <c r="C6" s="3"/>
      <c r="D6" s="3"/>
      <c r="E6" s="3"/>
      <c r="F6" s="3"/>
      <c r="G6" s="3"/>
      <c r="H6" s="3"/>
    </row>
    <row r="7" spans="1:8" ht="15.5" x14ac:dyDescent="0.35">
      <c r="A7" s="3"/>
      <c r="B7" s="4" t="s">
        <v>36</v>
      </c>
      <c r="C7" s="3"/>
      <c r="D7" s="3"/>
      <c r="E7" s="3"/>
      <c r="F7" s="3"/>
      <c r="G7" s="3"/>
      <c r="H7" s="3"/>
    </row>
    <row r="8" spans="1:8" ht="15.5" x14ac:dyDescent="0.35">
      <c r="A8" s="3"/>
      <c r="B8" s="3" t="s">
        <v>39</v>
      </c>
      <c r="C8" s="3"/>
      <c r="D8" s="3"/>
      <c r="E8" s="3"/>
      <c r="F8" s="3"/>
      <c r="G8" s="3"/>
      <c r="H8" s="3"/>
    </row>
    <row r="9" spans="1:8" ht="15.5" x14ac:dyDescent="0.35">
      <c r="A9" s="3"/>
      <c r="B9" s="3" t="s">
        <v>40</v>
      </c>
      <c r="C9" s="3"/>
      <c r="D9" s="3"/>
      <c r="E9" s="3"/>
      <c r="F9" s="3"/>
      <c r="G9" s="3"/>
      <c r="H9" s="3"/>
    </row>
    <row r="10" spans="1:8" ht="15.5" x14ac:dyDescent="0.35">
      <c r="A10" s="3"/>
      <c r="B10" s="3" t="s">
        <v>41</v>
      </c>
      <c r="C10" s="3"/>
      <c r="D10" s="3"/>
      <c r="E10" s="3"/>
      <c r="F10" s="3"/>
      <c r="G10" s="3"/>
      <c r="H10" s="3"/>
    </row>
    <row r="11" spans="1:8" ht="15.5" x14ac:dyDescent="0.35">
      <c r="A11" s="3"/>
      <c r="B11" s="3"/>
      <c r="C11" s="3"/>
      <c r="D11" s="3"/>
      <c r="E11" s="3"/>
      <c r="F11" s="3"/>
      <c r="G11" s="3"/>
      <c r="H11" s="3"/>
    </row>
    <row r="12" spans="1:8" ht="15.5" x14ac:dyDescent="0.35">
      <c r="A12" s="3"/>
      <c r="B12" s="3"/>
      <c r="C12" s="3"/>
      <c r="D12" s="3"/>
      <c r="E12" s="3"/>
      <c r="F12" s="3"/>
      <c r="G12" s="3"/>
      <c r="H12" s="3"/>
    </row>
    <row r="13" spans="1:8" ht="15.5" x14ac:dyDescent="0.35">
      <c r="A13" s="3"/>
      <c r="B13" s="5"/>
      <c r="C13" s="5"/>
      <c r="D13" s="5"/>
      <c r="E13" s="6" t="s">
        <v>37</v>
      </c>
      <c r="F13" s="6"/>
      <c r="G13" s="6" t="s">
        <v>38</v>
      </c>
      <c r="H13" s="3"/>
    </row>
    <row r="14" spans="1:8" ht="16" thickBot="1" x14ac:dyDescent="0.4">
      <c r="A14" s="3"/>
      <c r="B14" s="7"/>
      <c r="C14" s="8" t="s">
        <v>2</v>
      </c>
      <c r="D14" s="9" t="s">
        <v>3</v>
      </c>
      <c r="E14" s="10" t="s">
        <v>4</v>
      </c>
      <c r="F14" s="10"/>
      <c r="G14" s="10" t="s">
        <v>4</v>
      </c>
      <c r="H14" s="3"/>
    </row>
    <row r="15" spans="1:8" ht="15.5" x14ac:dyDescent="0.35">
      <c r="A15" s="3"/>
      <c r="B15" s="3"/>
      <c r="C15" s="3"/>
      <c r="D15" s="3"/>
      <c r="E15" s="3"/>
      <c r="F15" s="3"/>
      <c r="G15" s="3"/>
      <c r="H15" s="3"/>
    </row>
    <row r="16" spans="1:8" ht="15.5" x14ac:dyDescent="0.35">
      <c r="A16" s="3"/>
      <c r="B16" s="3" t="s">
        <v>5</v>
      </c>
      <c r="C16" s="3"/>
      <c r="D16" s="11" t="s">
        <v>6</v>
      </c>
      <c r="E16" s="12">
        <v>30000000</v>
      </c>
      <c r="F16" s="12"/>
      <c r="G16" s="13">
        <v>18000000</v>
      </c>
      <c r="H16" s="3"/>
    </row>
    <row r="17" spans="1:8" ht="15.5" x14ac:dyDescent="0.35">
      <c r="A17" s="3"/>
      <c r="B17" s="3"/>
      <c r="C17" s="3"/>
      <c r="D17" s="3"/>
      <c r="E17" s="3"/>
      <c r="F17" s="3"/>
      <c r="G17" s="3"/>
      <c r="H17" s="3"/>
    </row>
    <row r="18" spans="1:8" ht="16" thickBot="1" x14ac:dyDescent="0.4">
      <c r="A18" s="3"/>
      <c r="B18" s="14" t="s">
        <v>7</v>
      </c>
      <c r="C18" s="15"/>
      <c r="D18" s="15"/>
      <c r="E18" s="16">
        <f>SUM(E16:E17)</f>
        <v>30000000</v>
      </c>
      <c r="F18" s="16"/>
      <c r="G18" s="16">
        <f>SUM(G16:G17)</f>
        <v>18000000</v>
      </c>
      <c r="H18" s="17" t="s">
        <v>8</v>
      </c>
    </row>
    <row r="19" spans="1:8" ht="15.5" x14ac:dyDescent="0.35">
      <c r="A19" s="3"/>
      <c r="B19" s="3"/>
      <c r="C19" s="3"/>
      <c r="D19" s="3"/>
      <c r="E19" s="3"/>
      <c r="F19" s="3"/>
      <c r="G19" s="3"/>
      <c r="H19" s="17"/>
    </row>
    <row r="20" spans="1:8" ht="15.5" x14ac:dyDescent="0.35">
      <c r="A20" s="3"/>
      <c r="B20" s="3" t="s">
        <v>33</v>
      </c>
      <c r="C20" s="18"/>
      <c r="D20" s="19"/>
      <c r="E20" s="20">
        <v>1.4999999999999999E-2</v>
      </c>
      <c r="F20" s="20"/>
      <c r="G20" s="21">
        <f>E20</f>
        <v>1.4999999999999999E-2</v>
      </c>
      <c r="H20" s="17" t="s">
        <v>9</v>
      </c>
    </row>
    <row r="21" spans="1:8" ht="15.5" x14ac:dyDescent="0.35">
      <c r="A21" s="3"/>
      <c r="B21" s="3"/>
      <c r="C21" s="3"/>
      <c r="D21" s="3"/>
      <c r="E21" s="3"/>
      <c r="F21" s="3"/>
      <c r="G21" s="3"/>
      <c r="H21" s="17"/>
    </row>
    <row r="22" spans="1:8" ht="16" thickBot="1" x14ac:dyDescent="0.4">
      <c r="A22" s="3"/>
      <c r="B22" s="14" t="s">
        <v>10</v>
      </c>
      <c r="C22" s="22"/>
      <c r="D22" s="23" t="s">
        <v>11</v>
      </c>
      <c r="E22" s="24">
        <f>+E18*E20</f>
        <v>450000</v>
      </c>
      <c r="F22" s="24"/>
      <c r="G22" s="24">
        <f>+G18*G20</f>
        <v>270000</v>
      </c>
      <c r="H22" s="17" t="s">
        <v>22</v>
      </c>
    </row>
    <row r="23" spans="1:8" ht="15.5" x14ac:dyDescent="0.35">
      <c r="A23" s="3"/>
      <c r="B23" s="3"/>
      <c r="C23" s="3"/>
      <c r="D23" s="3"/>
      <c r="E23" s="3"/>
      <c r="F23" s="3"/>
      <c r="G23" s="3"/>
      <c r="H23" s="17"/>
    </row>
    <row r="24" spans="1:8" ht="15.5" x14ac:dyDescent="0.35">
      <c r="A24" s="3"/>
      <c r="B24" s="3" t="s">
        <v>12</v>
      </c>
      <c r="C24" s="3"/>
      <c r="D24" s="11" t="s">
        <v>6</v>
      </c>
      <c r="E24" s="25">
        <v>6000000</v>
      </c>
      <c r="F24" s="25"/>
      <c r="G24" s="13">
        <v>200000</v>
      </c>
      <c r="H24" s="17"/>
    </row>
    <row r="25" spans="1:8" ht="15.5" x14ac:dyDescent="0.35">
      <c r="A25" s="3"/>
      <c r="B25" s="3"/>
      <c r="C25" s="3"/>
      <c r="D25" s="3"/>
      <c r="E25" s="3"/>
      <c r="F25" s="3"/>
      <c r="G25" s="3"/>
      <c r="H25" s="17"/>
    </row>
    <row r="26" spans="1:8" ht="16" thickBot="1" x14ac:dyDescent="0.4">
      <c r="A26" s="3"/>
      <c r="B26" s="14" t="s">
        <v>13</v>
      </c>
      <c r="C26" s="15"/>
      <c r="D26" s="23"/>
      <c r="E26" s="16">
        <f>+E24</f>
        <v>6000000</v>
      </c>
      <c r="F26" s="16"/>
      <c r="G26" s="16">
        <f>+G24</f>
        <v>200000</v>
      </c>
      <c r="H26" s="17" t="s">
        <v>24</v>
      </c>
    </row>
    <row r="27" spans="1:8" ht="16" thickBot="1" x14ac:dyDescent="0.4">
      <c r="A27" s="3"/>
      <c r="B27" s="3"/>
      <c r="C27" s="3"/>
      <c r="D27" s="3"/>
      <c r="E27" s="3"/>
      <c r="F27" s="3"/>
      <c r="G27" s="3"/>
      <c r="H27" s="3"/>
    </row>
    <row r="28" spans="1:8" ht="16" thickBot="1" x14ac:dyDescent="0.4">
      <c r="A28" s="3"/>
      <c r="B28" s="26" t="s">
        <v>14</v>
      </c>
      <c r="C28" s="27"/>
      <c r="D28" s="28" t="s">
        <v>26</v>
      </c>
      <c r="E28" s="29">
        <f>+E26-E22</f>
        <v>5550000</v>
      </c>
      <c r="F28" s="29"/>
      <c r="G28" s="30">
        <v>0</v>
      </c>
      <c r="H28" s="31" t="s">
        <v>15</v>
      </c>
    </row>
    <row r="29" spans="1:8" x14ac:dyDescent="0.35">
      <c r="G29" s="32" t="s">
        <v>42</v>
      </c>
    </row>
  </sheetData>
  <pageMargins left="0.7" right="0.7" top="0.75" bottom="0.75" header="0.3" footer="0.3"/>
  <pageSetup scale="55" orientation="portrait"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Ajuste</vt:lpstr>
      <vt:lpstr>Ejemplo</vt:lpstr>
      <vt:lpstr>Ejemplo!Print_Area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Medina, Anabel Natalia</dc:creator>
  <cp:lastModifiedBy>Lobotrico, Juan</cp:lastModifiedBy>
  <cp:lastPrinted>2026-07-15T15:26:17Z</cp:lastPrinted>
  <dcterms:created xsi:type="dcterms:W3CDTF">2026-07-15T15:25:49Z</dcterms:created>
  <dcterms:modified xsi:type="dcterms:W3CDTF">2026-07-21T18:11:20Z</dcterms:modified>
</cp:coreProperties>
</file>