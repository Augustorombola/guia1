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ombola\Documents\PEYA\"/>
    </mc:Choice>
  </mc:AlternateContent>
  <xr:revisionPtr revIDLastSave="0" documentId="8_{C140D23B-36B6-473A-B425-DB18B5F88245}" xr6:coauthVersionLast="47" xr6:coauthVersionMax="47" xr10:uidLastSave="{00000000-0000-0000-0000-000000000000}"/>
  <bookViews>
    <workbookView xWindow="-110" yWindow="-110" windowWidth="19420" windowHeight="10300" xr2:uid="{7F71B3FB-DA1B-418B-8893-E93CA09D5721}"/>
  </bookViews>
  <sheets>
    <sheet name="Premisas" sheetId="1" r:id="rId1"/>
  </sheets>
  <externalReferences>
    <externalReference r:id="rId2"/>
  </externalReferences>
  <definedNames>
    <definedName name="_xlnm.Print_Area" localSheetId="0">Premisas!$A$1:$J$55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3" i="1" l="1"/>
  <c r="H50" i="1"/>
  <c r="G12" i="1"/>
  <c r="F12" i="1"/>
  <c r="E12" i="1"/>
  <c r="H12" i="1" l="1"/>
</calcChain>
</file>

<file path=xl/sharedStrings.xml><?xml version="1.0" encoding="utf-8"?>
<sst xmlns="http://schemas.openxmlformats.org/spreadsheetml/2006/main" count="42" uniqueCount="37">
  <si>
    <t xml:space="preserve">Pedidos Ya </t>
  </si>
  <si>
    <t>Valdaciones impositivas catalogos</t>
  </si>
  <si>
    <t>Consideraciones para propuesta de honorario</t>
  </si>
  <si>
    <t>1.</t>
  </si>
  <si>
    <t>Listado de productos sujetos a revisión</t>
  </si>
  <si>
    <t>Detalle de SKU LATAM puesto a disposición por parte de PEYA</t>
  </si>
  <si>
    <t xml:space="preserve">Corresponde al stock de productos sujeto a revisión a la fecha. </t>
  </si>
  <si>
    <t>ACTIVE</t>
  </si>
  <si>
    <t>DISCONTINUED</t>
  </si>
  <si>
    <t>SOOS</t>
  </si>
  <si>
    <t xml:space="preserve">TOTAL </t>
  </si>
  <si>
    <t>SKU</t>
  </si>
  <si>
    <t>[a]</t>
  </si>
  <si>
    <t>Stock keeping unit</t>
  </si>
  <si>
    <t>[b]</t>
  </si>
  <si>
    <t>Supplier out of stock</t>
  </si>
  <si>
    <t>2.</t>
  </si>
  <si>
    <t xml:space="preserve">Flow promedio esperado de nuevos productos sujetos a revisión por mes </t>
  </si>
  <si>
    <t xml:space="preserve">Según la información proporcionada por PEYA el flujo de nuevos productos promedio en base al H1 2026 es el siguiente: </t>
  </si>
  <si>
    <t xml:space="preserve">Flujo mensual promedio de altas: </t>
  </si>
  <si>
    <t>3.</t>
  </si>
  <si>
    <t>Tiempo estimado de revisión de la parametrización impositiva pre cargada</t>
  </si>
  <si>
    <t>Definiciones previas</t>
  </si>
  <si>
    <t>Cual es el entregable esperado:</t>
  </si>
  <si>
    <t>ü</t>
  </si>
  <si>
    <t>Archivo predeterminado con la estructura impositiva predefinada por la Sociedad y validada por DTT</t>
  </si>
  <si>
    <t>Respuesta vía mail o canal de información definido</t>
  </si>
  <si>
    <t>4.</t>
  </si>
  <si>
    <t>Optimización - Familia de productos</t>
  </si>
  <si>
    <t>SOLO DTT</t>
  </si>
  <si>
    <t xml:space="preserve">Se debería trabajar sobre el armado de subgrupos - grupos - familia de productos a los fines de optimizar la revisión. </t>
  </si>
  <si>
    <t xml:space="preserve">El EAN (european article number) asociado al SKU (identificación interna del producto) permitirá la agrupación por Familias de productos que faciliten la alerta sobre posibles alícuotas diferenciales a ser aplicadas. </t>
  </si>
  <si>
    <t xml:space="preserve">Posiblemente el nuevo SKU sujeto a revisión ya se encuentre en la base de datos de SKU revisados o bien esté vinculado a un EAN ya comercializado por la Sociedad. Ello permitirá dar un preanálisis de la razonabilidad de la precarga. </t>
  </si>
  <si>
    <t>5.</t>
  </si>
  <si>
    <t xml:space="preserve">Según la información proporcionada por PEYA los combos comeracializados a la fecha son los siguientes: </t>
  </si>
  <si>
    <t>Combos en stock</t>
  </si>
  <si>
    <t>El análisis de combos podrían resultar en una mayor complejidad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</si>
</sst>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i/>
      <u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i/>
      <sz val="11"/>
      <color theme="1"/>
      <name val="Calibri"/>
      <family val="2"/>
    </font>
    <font>
      <sz val="11"/>
      <color theme="1"/>
      <name val="Wingdings"/>
      <charset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theme="4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3" fillId="0" borderId="1" xfId="0" applyFont="1" applyBorder="1"/>
    <xf numFmtId="164" fontId="6" fillId="0" borderId="2" xfId="1" applyNumberFormat="1" applyFont="1" applyBorder="1"/>
    <xf numFmtId="164" fontId="3" fillId="0" borderId="2" xfId="1" applyNumberFormat="1" applyFont="1" applyBorder="1"/>
    <xf numFmtId="164" fontId="3" fillId="0" borderId="3" xfId="1" applyNumberFormat="1" applyFont="1" applyBorder="1"/>
    <xf numFmtId="0" fontId="7" fillId="0" borderId="0" xfId="0" applyFont="1" applyAlignment="1">
      <alignment horizontal="righ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2" xfId="0" applyFont="1" applyBorder="1"/>
    <xf numFmtId="1" fontId="6" fillId="0" borderId="3" xfId="0" applyNumberFormat="1" applyFont="1" applyBorder="1"/>
    <xf numFmtId="0" fontId="8" fillId="0" borderId="0" xfId="0" applyFont="1"/>
    <xf numFmtId="0" fontId="9" fillId="0" borderId="0" xfId="0" applyFont="1" applyAlignment="1">
      <alignment horizontal="right"/>
    </xf>
    <xf numFmtId="0" fontId="10" fillId="3" borderId="4" xfId="0" applyFont="1" applyFill="1" applyBorder="1"/>
    <xf numFmtId="0" fontId="3" fillId="0" borderId="0" xfId="0" applyFont="1" applyAlignment="1">
      <alignment horizontal="left" vertical="top" wrapText="1"/>
    </xf>
    <xf numFmtId="0" fontId="6" fillId="0" borderId="3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ombola\Documents\PEYA\SKU%20LATAM%20v24.7%20(1).xlsx" TargetMode="External"/><Relationship Id="rId1" Type="http://schemas.openxmlformats.org/officeDocument/2006/relationships/externalLinkPath" Target="SKU%20LATAM%20v24.7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misas"/>
      <sheetName val="Soporte sku latam"/>
      <sheetName val="Sheet1"/>
      <sheetName val="Soporte sku latam|1"/>
      <sheetName val="Altas H1"/>
      <sheetName val="combo"/>
    </sheetNames>
    <sheetDataSet>
      <sheetData sheetId="0"/>
      <sheetData sheetId="1"/>
      <sheetData sheetId="2"/>
      <sheetData sheetId="3">
        <row r="6">
          <cell r="G6" t="str">
            <v>Count of SKU_status</v>
          </cell>
        </row>
      </sheetData>
      <sheetData sheetId="4">
        <row r="23">
          <cell r="H23">
            <v>7127</v>
          </cell>
        </row>
      </sheetData>
      <sheetData sheetId="5">
        <row r="853">
          <cell r="C853" t="str">
            <v>Count of SKU_status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3C40-7C29-4E9B-B48E-37DD22236B55}">
  <dimension ref="A1:I52"/>
  <sheetViews>
    <sheetView showGridLines="0" tabSelected="1" view="pageBreakPreview" zoomScaleNormal="100" zoomScaleSheetLayoutView="100" workbookViewId="0">
      <selection activeCell="D40" sqref="D40:I43"/>
    </sheetView>
  </sheetViews>
  <sheetFormatPr defaultRowHeight="14.5" x14ac:dyDescent="0.35"/>
  <cols>
    <col min="1" max="3" width="3.7265625" style="2" customWidth="1"/>
    <col min="4" max="4" width="8.7265625" style="2"/>
    <col min="5" max="5" width="11.1796875" style="2" bestFit="1" customWidth="1"/>
    <col min="6" max="6" width="14" style="2" bestFit="1" customWidth="1"/>
    <col min="7" max="7" width="9.1796875" style="2" bestFit="1" customWidth="1"/>
    <col min="8" max="8" width="11.1796875" style="2" bestFit="1" customWidth="1"/>
    <col min="9" max="9" width="8.7265625" style="2"/>
    <col min="10" max="10" width="2.90625" style="2" customWidth="1"/>
    <col min="11" max="16384" width="8.7265625" style="2"/>
  </cols>
  <sheetData>
    <row r="1" spans="1:8" x14ac:dyDescent="0.35">
      <c r="A1" s="1" t="s">
        <v>0</v>
      </c>
    </row>
    <row r="2" spans="1:8" x14ac:dyDescent="0.35">
      <c r="A2" s="1" t="s">
        <v>1</v>
      </c>
    </row>
    <row r="4" spans="1:8" x14ac:dyDescent="0.35">
      <c r="B4" s="1" t="s">
        <v>2</v>
      </c>
    </row>
    <row r="5" spans="1:8" x14ac:dyDescent="0.35">
      <c r="B5" s="1"/>
    </row>
    <row r="6" spans="1:8" x14ac:dyDescent="0.35">
      <c r="C6" s="2" t="s">
        <v>3</v>
      </c>
      <c r="D6" s="3" t="s">
        <v>4</v>
      </c>
    </row>
    <row r="8" spans="1:8" x14ac:dyDescent="0.35">
      <c r="D8" s="2" t="s">
        <v>5</v>
      </c>
    </row>
    <row r="9" spans="1:8" x14ac:dyDescent="0.35">
      <c r="D9" s="2" t="s">
        <v>6</v>
      </c>
    </row>
    <row r="11" spans="1:8" ht="15" thickBot="1" x14ac:dyDescent="0.4">
      <c r="E11" s="4" t="s">
        <v>7</v>
      </c>
      <c r="F11" s="4" t="s">
        <v>8</v>
      </c>
      <c r="G11" s="4" t="s">
        <v>9</v>
      </c>
      <c r="H11" s="4" t="s">
        <v>10</v>
      </c>
    </row>
    <row r="12" spans="1:8" ht="15" thickBot="1" x14ac:dyDescent="0.4">
      <c r="D12" s="5" t="s">
        <v>11</v>
      </c>
      <c r="E12" s="6">
        <f>+GETPIVOTDATA("SKU_status",'[1]Soporte sku latam|1'!$G$6,"SKU_status","ACTIVE")</f>
        <v>137936</v>
      </c>
      <c r="F12" s="7">
        <f>+GETPIVOTDATA("SKU_status",'[1]Soporte sku latam|1'!$G$6,"SKU_status","DISCONTINUED")</f>
        <v>26989</v>
      </c>
      <c r="G12" s="7">
        <f>+GETPIVOTDATA("SKU_status",'[1]Soporte sku latam|1'!$G$6,"SKU_status","SUPPLIER_OUT_OF_STOCK")</f>
        <v>1117</v>
      </c>
      <c r="H12" s="8">
        <f>+SUM(E12:G12)</f>
        <v>166042</v>
      </c>
    </row>
    <row r="14" spans="1:8" x14ac:dyDescent="0.35">
      <c r="C14" s="9" t="s">
        <v>12</v>
      </c>
      <c r="D14" s="2" t="s">
        <v>13</v>
      </c>
    </row>
    <row r="15" spans="1:8" x14ac:dyDescent="0.35">
      <c r="C15" s="9" t="s">
        <v>14</v>
      </c>
      <c r="D15" s="2" t="s">
        <v>15</v>
      </c>
    </row>
    <row r="18" spans="3:9" x14ac:dyDescent="0.35">
      <c r="C18" s="2" t="s">
        <v>16</v>
      </c>
      <c r="D18" s="3" t="s">
        <v>17</v>
      </c>
    </row>
    <row r="20" spans="3:9" x14ac:dyDescent="0.35">
      <c r="D20" s="10" t="s">
        <v>18</v>
      </c>
      <c r="E20" s="10"/>
      <c r="F20" s="10"/>
      <c r="G20" s="10"/>
      <c r="H20" s="10"/>
      <c r="I20" s="10"/>
    </row>
    <row r="21" spans="3:9" x14ac:dyDescent="0.35">
      <c r="D21" s="10"/>
      <c r="E21" s="10"/>
      <c r="F21" s="10"/>
      <c r="G21" s="10"/>
      <c r="H21" s="10"/>
      <c r="I21" s="10"/>
    </row>
    <row r="22" spans="3:9" ht="15" thickBot="1" x14ac:dyDescent="0.4">
      <c r="D22" s="11"/>
      <c r="E22" s="11"/>
      <c r="F22" s="11"/>
      <c r="G22" s="11"/>
      <c r="H22" s="11"/>
      <c r="I22" s="11"/>
    </row>
    <row r="23" spans="3:9" ht="15" thickBot="1" x14ac:dyDescent="0.4">
      <c r="D23" s="5" t="s">
        <v>19</v>
      </c>
      <c r="E23" s="12"/>
      <c r="F23" s="12"/>
      <c r="G23" s="12"/>
      <c r="H23" s="13">
        <f>+'[1]Altas H1'!H23/6</f>
        <v>1187.8333333333333</v>
      </c>
    </row>
    <row r="25" spans="3:9" x14ac:dyDescent="0.35">
      <c r="C25" s="2" t="s">
        <v>20</v>
      </c>
      <c r="D25" s="3" t="s">
        <v>21</v>
      </c>
    </row>
    <row r="27" spans="3:9" x14ac:dyDescent="0.35">
      <c r="D27" s="14" t="s">
        <v>22</v>
      </c>
    </row>
    <row r="28" spans="3:9" x14ac:dyDescent="0.35">
      <c r="D28" s="2" t="s">
        <v>23</v>
      </c>
    </row>
    <row r="29" spans="3:9" x14ac:dyDescent="0.35">
      <c r="D29" s="15" t="s">
        <v>24</v>
      </c>
      <c r="E29" s="10" t="s">
        <v>25</v>
      </c>
      <c r="F29" s="10"/>
      <c r="G29" s="10"/>
      <c r="H29" s="10"/>
      <c r="I29" s="10"/>
    </row>
    <row r="30" spans="3:9" x14ac:dyDescent="0.35">
      <c r="E30" s="10"/>
      <c r="F30" s="10"/>
      <c r="G30" s="10"/>
      <c r="H30" s="10"/>
      <c r="I30" s="10"/>
    </row>
    <row r="31" spans="3:9" x14ac:dyDescent="0.35">
      <c r="D31" s="15" t="s">
        <v>24</v>
      </c>
      <c r="E31" s="2" t="s">
        <v>26</v>
      </c>
    </row>
    <row r="32" spans="3:9" ht="15" thickBot="1" x14ac:dyDescent="0.4"/>
    <row r="33" spans="3:9" ht="15" thickBot="1" x14ac:dyDescent="0.4">
      <c r="C33" s="2" t="s">
        <v>27</v>
      </c>
      <c r="D33" s="3" t="s">
        <v>28</v>
      </c>
      <c r="I33" s="16" t="s">
        <v>29</v>
      </c>
    </row>
    <row r="35" spans="3:9" x14ac:dyDescent="0.35">
      <c r="C35" s="15" t="s">
        <v>24</v>
      </c>
      <c r="D35" s="10" t="s">
        <v>30</v>
      </c>
      <c r="E35" s="10"/>
      <c r="F35" s="10"/>
      <c r="G35" s="10"/>
      <c r="H35" s="10"/>
      <c r="I35" s="10"/>
    </row>
    <row r="36" spans="3:9" x14ac:dyDescent="0.35">
      <c r="D36" s="10"/>
      <c r="E36" s="10"/>
      <c r="F36" s="10"/>
      <c r="G36" s="10"/>
      <c r="H36" s="10"/>
      <c r="I36" s="10"/>
    </row>
    <row r="37" spans="3:9" x14ac:dyDescent="0.35">
      <c r="C37" s="15" t="s">
        <v>24</v>
      </c>
      <c r="D37" s="17" t="s">
        <v>31</v>
      </c>
      <c r="E37" s="17"/>
      <c r="F37" s="17"/>
      <c r="G37" s="17"/>
      <c r="H37" s="17"/>
      <c r="I37" s="17"/>
    </row>
    <row r="38" spans="3:9" x14ac:dyDescent="0.35">
      <c r="D38" s="17"/>
      <c r="E38" s="17"/>
      <c r="F38" s="17"/>
      <c r="G38" s="17"/>
      <c r="H38" s="17"/>
      <c r="I38" s="17"/>
    </row>
    <row r="39" spans="3:9" x14ac:dyDescent="0.35">
      <c r="D39" s="17"/>
      <c r="E39" s="17"/>
      <c r="F39" s="17"/>
      <c r="G39" s="17"/>
      <c r="H39" s="17"/>
      <c r="I39" s="17"/>
    </row>
    <row r="40" spans="3:9" x14ac:dyDescent="0.35">
      <c r="C40" s="15" t="s">
        <v>24</v>
      </c>
      <c r="D40" s="17" t="s">
        <v>32</v>
      </c>
      <c r="E40" s="17"/>
      <c r="F40" s="17"/>
      <c r="G40" s="17"/>
      <c r="H40" s="17"/>
      <c r="I40" s="17"/>
    </row>
    <row r="41" spans="3:9" x14ac:dyDescent="0.35">
      <c r="D41" s="17"/>
      <c r="E41" s="17"/>
      <c r="F41" s="17"/>
      <c r="G41" s="17"/>
      <c r="H41" s="17"/>
      <c r="I41" s="17"/>
    </row>
    <row r="42" spans="3:9" x14ac:dyDescent="0.35">
      <c r="D42" s="17"/>
      <c r="E42" s="17"/>
      <c r="F42" s="17"/>
      <c r="G42" s="17"/>
      <c r="H42" s="17"/>
      <c r="I42" s="17"/>
    </row>
    <row r="43" spans="3:9" x14ac:dyDescent="0.35">
      <c r="D43" s="17"/>
      <c r="E43" s="17"/>
      <c r="F43" s="17"/>
      <c r="G43" s="17"/>
      <c r="H43" s="17"/>
      <c r="I43" s="17"/>
    </row>
    <row r="45" spans="3:9" x14ac:dyDescent="0.35">
      <c r="C45" s="2" t="s">
        <v>33</v>
      </c>
      <c r="D45" s="3" t="s">
        <v>28</v>
      </c>
    </row>
    <row r="47" spans="3:9" x14ac:dyDescent="0.35">
      <c r="D47" s="10" t="s">
        <v>34</v>
      </c>
      <c r="E47" s="10"/>
      <c r="F47" s="10"/>
      <c r="G47" s="10"/>
      <c r="H47" s="10"/>
      <c r="I47" s="10"/>
    </row>
    <row r="48" spans="3:9" x14ac:dyDescent="0.35">
      <c r="D48" s="10"/>
      <c r="E48" s="10"/>
      <c r="F48" s="10"/>
      <c r="G48" s="10"/>
      <c r="H48" s="10"/>
      <c r="I48" s="10"/>
    </row>
    <row r="49" spans="4:8" ht="15" thickBot="1" x14ac:dyDescent="0.4"/>
    <row r="50" spans="4:8" ht="15" thickBot="1" x14ac:dyDescent="0.4">
      <c r="D50" s="5" t="s">
        <v>35</v>
      </c>
      <c r="E50" s="12"/>
      <c r="F50" s="12"/>
      <c r="G50" s="12"/>
      <c r="H50" s="18">
        <f>+GETPIVOTDATA("SKU_status",[1]combo!$C$853,"SKU_status","ACTIVE")</f>
        <v>624</v>
      </c>
    </row>
    <row r="52" spans="4:8" x14ac:dyDescent="0.35">
      <c r="D52" s="2" t="s">
        <v>36</v>
      </c>
    </row>
  </sheetData>
  <mergeCells count="6">
    <mergeCell ref="D20:I21"/>
    <mergeCell ref="E29:I30"/>
    <mergeCell ref="D35:I36"/>
    <mergeCell ref="D37:I39"/>
    <mergeCell ref="D40:I43"/>
    <mergeCell ref="D47:I48"/>
  </mergeCells>
  <pageMargins left="0.7" right="0.7" top="0.75" bottom="0.75" header="0.3" footer="0.3"/>
  <pageSetup paperSize="9" scale="80"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Premisas</vt:lpstr>
      <vt:lpstr>Premisas!Print_Area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Rombola, Augusto</dc:creator>
  <cp:lastModifiedBy>Rombola, Augusto</cp:lastModifiedBy>
  <dcterms:created xsi:type="dcterms:W3CDTF">2026-08-26T15:36:30Z</dcterms:created>
  <dcterms:modified xsi:type="dcterms:W3CDTF">2026-08-26T15:36:42Z</dcterms:modified>
</cp:coreProperties>
</file>