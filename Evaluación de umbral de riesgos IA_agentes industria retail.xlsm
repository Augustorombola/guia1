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filterPrivacy="1" codeName="ThisWorkbook"/>
  <xr:revisionPtr revIDLastSave="0" documentId="13_ncr:1_{6008D48C-9CB9-4F4E-8058-6425E9DBFD80}" xr6:coauthVersionLast="47" xr6:coauthVersionMax="47" xr10:uidLastSave="{00000000-0000-0000-0000-000000000000}"/>
  <bookViews>
    <workbookView xWindow="-110" yWindow="-110" windowWidth="19420" windowHeight="11500" tabRatio="672" activeTab="1" xr2:uid="{00000000-000D-0000-FFFF-FFFF00000000}"/>
  </bookViews>
  <sheets>
    <sheet name="LEER PRIMERO" sheetId="4" r:id="rId1"/>
    <sheet name="Evaluación" sheetId="2" r:id="rId2"/>
  </sheets>
  <definedNames>
    <definedName name="_xlnm._FilterDatabase" localSheetId="1" hidden="1">Evaluación!$B$16:$E$21</definedName>
    <definedName name="AvailabilityRequirement">#REF!</definedName>
    <definedName name="ClientUsers">#REF!</definedName>
    <definedName name="CloudHosting">#REF!</definedName>
    <definedName name="CodingRequired">#REF!</definedName>
    <definedName name="ConfidentialData">#REF!</definedName>
    <definedName name="ConfidentialityRequirement">#REF!</definedName>
    <definedName name="DeloitteApprovedHosting">#REF!</definedName>
    <definedName name="DeloitteUsers">#REF!</definedName>
    <definedName name="ExternalVendorInvolved">#REF!</definedName>
    <definedName name="HighRiskConfidentialData">#REF!</definedName>
    <definedName name="HybridHosting">#REF!</definedName>
    <definedName name="IntegrityRequirement">#REF!</definedName>
    <definedName name="IsInternetFacing">#REF!</definedName>
    <definedName name="OtherUsers">#REF!</definedName>
    <definedName name="_xlnm.Print_Area" localSheetId="1">Evaluación!$B$2:$G$53</definedName>
    <definedName name="PublicUsers">#REF!</definedName>
    <definedName name="rng_FilterChkLst">#REF!</definedName>
    <definedName name="SolutionType">#REF!</definedName>
    <definedName name="TargetPlatform">#REF!</definedName>
    <definedName name="ThirdPartyUsers">#REF!</definedName>
  </definedNames>
  <calcPr calcId="191028"/>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9" i="2" l="1"/>
  <c r="F17" i="2" l="1"/>
  <c r="F18" i="2"/>
  <c r="F19" i="2"/>
  <c r="F20" i="2"/>
  <c r="F22" i="2"/>
  <c r="F23" i="2"/>
  <c r="F25" i="2"/>
  <c r="F26" i="2"/>
  <c r="F27" i="2"/>
  <c r="F28" i="2"/>
  <c r="F29" i="2"/>
  <c r="F30" i="2"/>
  <c r="F31" i="2"/>
  <c r="F32" i="2"/>
  <c r="F33" i="2"/>
  <c r="F34" i="2"/>
  <c r="F36" i="2"/>
  <c r="F37" i="2"/>
  <c r="F38" i="2"/>
  <c r="F39" i="2"/>
  <c r="F40" i="2"/>
  <c r="F41" i="2"/>
  <c r="F42" i="2"/>
  <c r="F43" i="2"/>
  <c r="F44" i="2"/>
  <c r="F45" i="2"/>
  <c r="F46" i="2"/>
  <c r="F47" i="2"/>
  <c r="F48" i="2"/>
  <c r="F50" i="2"/>
  <c r="F51" i="2"/>
  <c r="E52" i="2" l="1"/>
  <c r="E21" i="2"/>
  <c r="D12" i="2" l="1"/>
  <c r="F21" i="2"/>
  <c r="D11" i="2"/>
</calcChain>
</file>

<file path=xl/sharedStrings.xml><?xml version="1.0" encoding="utf-8"?>
<sst xmlns="http://schemas.openxmlformats.org/spreadsheetml/2006/main" count="98" uniqueCount="70">
  <si>
    <t>Version</t>
  </si>
  <si>
    <t>Y/N</t>
  </si>
  <si>
    <t>+</t>
  </si>
  <si>
    <t>Este documento es una referencia de ejemplo para una evaluación de umbral de riesgo basada en Excel para casos de uso de IA. La evaluación debe indicar la calificación del nivel de riesgo relativo "bajo / normal", "medio" y "alto" para que se puedan tomar los siguientes pasos correctos.</t>
  </si>
  <si>
    <t>Evaluación de umbral de riesgo</t>
  </si>
  <si>
    <t>Alcance del caso de uso</t>
  </si>
  <si>
    <r>
      <t xml:space="preserve">Un «caso de uso de IA» a efectos de la evaluación y el enfoque del caso de uso, es cualquier caso de uso que </t>
    </r>
    <r>
      <rPr>
        <b/>
        <sz val="10"/>
        <color rgb="FF000000"/>
        <rFont val="Open Sans"/>
        <family val="2"/>
      </rPr>
      <t>utilice tecnología de IA.</t>
    </r>
  </si>
  <si>
    <t>Cómo usar este documento de trabajo</t>
  </si>
  <si>
    <t>Acerca de este documento</t>
  </si>
  <si>
    <t>Ejemplo de referencia.</t>
  </si>
  <si>
    <t>Complete la hoja de trabajo lo más completamente posible. De forma predeterminada, todas las respuestas a las preguntas están en blanco o No. Al responder Sí en la columna D a cualquier pregunta, se actualiza el campo "Umbral de riesgo de IA propuesto" cerca de la parte superior de la hoja de cálculo. La evaluación debe incluir comentarios si son útiles para cualquier respuesta afirmativa.</t>
  </si>
  <si>
    <t>Fecha de evaluación</t>
  </si>
  <si>
    <t>Nombre del activo digital o proyecto</t>
  </si>
  <si>
    <t>Júpiter ID</t>
  </si>
  <si>
    <t>Breve descripción</t>
  </si>
  <si>
    <t>Acerca de la solución</t>
  </si>
  <si>
    <t>Riesgo IA propuesto</t>
  </si>
  <si>
    <t>¿Qué podría salir mal?</t>
  </si>
  <si>
    <r>
      <t xml:space="preserve">Ingrese cualquier comentario útil desde la perspectiva de las pistas de auditoría y/o la justificación si anulara el riesgo de IA propuesto.
</t>
    </r>
    <r>
      <rPr>
        <b/>
        <u/>
        <sz val="10"/>
        <color rgb="FF0070C0"/>
        <rFont val="Open Sans"/>
        <family val="2"/>
      </rPr>
      <t xml:space="preserve">Consideraciones clave de riesgo (alojamiento, adquisición de licencias, modelos utilizados, etc.):
</t>
    </r>
    <r>
      <rPr>
        <sz val="10"/>
        <color rgb="FF0070C0"/>
        <rFont val="Open Sans"/>
        <family val="2"/>
      </rPr>
      <t xml:space="preserve">-
</t>
    </r>
    <r>
      <rPr>
        <b/>
        <u/>
        <sz val="10"/>
        <color rgb="FF0070C0"/>
        <rFont val="Open Sans"/>
        <family val="2"/>
      </rPr>
      <t>Mitigaciones:</t>
    </r>
    <r>
      <rPr>
        <sz val="10"/>
        <color rgb="FF0070C0"/>
        <rFont val="Open Sans"/>
        <family val="2"/>
      </rPr>
      <t xml:space="preserve">
-
</t>
    </r>
    <r>
      <rPr>
        <b/>
        <u/>
        <sz val="10"/>
        <color rgb="FF0070C0"/>
        <rFont val="Open Sans"/>
        <family val="2"/>
      </rPr>
      <t xml:space="preserve">Recomendaciones:
</t>
    </r>
    <r>
      <rPr>
        <sz val="10"/>
        <color rgb="FF0070C0"/>
        <rFont val="Open Sans"/>
        <family val="2"/>
      </rPr>
      <t xml:space="preserve">-
</t>
    </r>
  </si>
  <si>
    <t>Sí/NO</t>
  </si>
  <si>
    <t>Comentarios</t>
  </si>
  <si>
    <t>IA Triaje - Preguntas de Riesgo Alto</t>
  </si>
  <si>
    <t>Puntuación total Riesgo Alto</t>
  </si>
  <si>
    <t>IA Triaje - Preguntas de Riesgo Medio</t>
  </si>
  <si>
    <t>¿Alguna de las siguientes preguntas aplica en relación con los datos que desea utilizar? (seleccione todas las que correspondan):</t>
  </si>
  <si>
    <t>¿Su caso de uso requiere que maneje, utilice y/o almacene datos confidenciales o personales del cliente (que no sean datos básicos de contacto o autenticación) dentro de un entorno de Deloitte o de terceros? (Tenga en cuenta que la respuesta es "no" si solo maneja datos del Cliente (incluidos los datos personales del Cliente) en un entorno del cliente o uno prescrito y aprovisionado por el cliente de acuerdo con sus instrucciones, licencias y controles técnicos)</t>
  </si>
  <si>
    <t>¿La aplicación/sistema de IA se integrará con otros sistemas que contengan datos personales, de clientes o de Deloitte?</t>
  </si>
  <si>
    <t>¿Están incluidos en el alcance de la aplicación los datos confidenciales de alto riesgo?</t>
  </si>
  <si>
    <t xml:space="preserve">¿El caso de uso prevé combinar datos obtenidos de múltiples clientes, compromisos, oportunidades, geografías u otras fuentes de datos de terceros? </t>
  </si>
  <si>
    <t>¿El caso de uso prevé la reutilización de datos para un propósito secundario?</t>
  </si>
  <si>
    <t>¿Hay datos de entrenamiento de alta calidad potencialmente insuficientes disponibles que sean representativos de la población en producción?</t>
  </si>
  <si>
    <t>¿El caso de uso utiliza datos disponibles públicamente obtenidos a través de web-scraping (independientemente del volumen de datos)?</t>
  </si>
  <si>
    <t>¿Alguna de las siguientes preguntas aplican? (seleccione todas las que correspondan):</t>
  </si>
  <si>
    <t>El sistema o caso de uso de IA incluye el uso de un "agente de IA" que planificará y tomará medidas de forma autónoma utilizando métodos no deterministas (si la respuesta a esto es afirmativa, responda la pregunta agrupada que se establece a continuación antes de continuar. Si no es así, minimice el grupo y continúe)</t>
  </si>
  <si>
    <t>El sistema de IA es una "sandbox" aislada</t>
  </si>
  <si>
    <t>¿El sistema de IA es una prueba de concepto (PoC)?</t>
  </si>
  <si>
    <t>El sistema de IA o sus resultados serán externos o públicos</t>
  </si>
  <si>
    <t xml:space="preserve">El caso de uso se dirige o se aplica a grupos vulnerables (por ejemplo, niños, discapacitados, ancianos)	</t>
  </si>
  <si>
    <t>La tecnología se utilizará o podría utilizarse con fines militares o políticos</t>
  </si>
  <si>
    <t>El cliente opera en una industria fuertemente regulada (por ejemplo: energía y servicios públicos, servicios financieros, salud y ciencias de la vida, alimentos y agricultura)</t>
  </si>
  <si>
    <t>Puntuación total Riesgo Medio</t>
  </si>
  <si>
    <r>
      <t xml:space="preserve">El sistema de IA </t>
    </r>
    <r>
      <rPr>
        <b/>
        <i/>
        <sz val="10"/>
        <color rgb="FF000000"/>
        <rFont val="Open Sans"/>
        <family val="2"/>
      </rPr>
      <t xml:space="preserve">no </t>
    </r>
    <r>
      <rPr>
        <i/>
        <sz val="10"/>
        <color rgb="FF000000"/>
        <rFont val="Open Sans"/>
        <family val="2"/>
      </rPr>
      <t>está conectado ni puede ejecutar acciones en otras aplicaciones donde el uso indebido representa un alto riesgo</t>
    </r>
  </si>
  <si>
    <t>Estamos entrenando o afinando un "Large Language Model" (LLM)</t>
  </si>
  <si>
    <t>El sistema o herramienta de IA aprenderá de los datos y/o de los prompts</t>
  </si>
  <si>
    <t>El sistema o herramienta de IA se utilizará fuera de S-LATAM</t>
  </si>
  <si>
    <r>
      <t xml:space="preserve">El sistema de IA generará o manipulará contenido de imágen, audio o video que constituya </t>
    </r>
    <r>
      <rPr>
        <i/>
        <sz val="10"/>
        <rFont val="Open Sans"/>
        <family val="2"/>
      </rPr>
      <t>una deep fake</t>
    </r>
    <r>
      <rPr>
        <i/>
        <sz val="10"/>
        <color theme="1"/>
        <rFont val="Open Sans"/>
        <family val="2"/>
      </rPr>
      <t>.</t>
    </r>
  </si>
  <si>
    <t>ID Sistema de riesgo (SARA/SARC/DRISK)</t>
  </si>
  <si>
    <t>Contactos</t>
  </si>
  <si>
    <t>Comentarios del Equipo de revisión de riesgos</t>
  </si>
  <si>
    <r>
      <t>¿Su caso de uso o sus resultados se relacionan con alguna de las siguientes actividades que están prohibidas (excepto algunas excepciones específicas*) en virtud de la Ley de IA de la Unión Europea (UE)?  
- Desplegar técnicas subliminales, manipuladoras o engañosas para distorsionar el comportamiento y perjudicar la toma de decisiones informadas, causando un daño significativo explotando las vulnerabilidades relacionadas con la edad, la discapacidad o las circunstancias socioeconómicas para distorsionar el comportamiento, causando un daño significativo.
- Puntuación social (es decir, evaluar o clasificar individuos o grupos en función del comportamiento social o los rasgos personales).
- Evaluar el riesgo de que una persona cometa delitos penales basándose únicamente en perfiles o rasgos de personalidad.
- Compilar o expandir bases de datos de reconocimiento facial median</t>
    </r>
    <r>
      <rPr>
        <sz val="10"/>
        <rFont val="Open Sans"/>
        <family val="2"/>
      </rPr>
      <t xml:space="preserve">te el raspado (scraping) </t>
    </r>
    <r>
      <rPr>
        <sz val="10"/>
        <color theme="1"/>
        <rFont val="Open Sans"/>
        <family val="2"/>
      </rPr>
      <t xml:space="preserve">no dirigido de imágenes faciales de Internet o imágenes de CCTV.
- Inferir emociones en lugares de trabajo o instituciones educativas.
- Sistemas de categorización biométrica que infieren atributos sensibles (por ejemplo, raza, opiniones políticas, afiliación sindical, creencias religiosas o filosóficas, vida sexual u orientación sexual).
- Identificación biométrica remota (RBI) "en tiempo real" en espacios de acceso público para la aplicación de la ley.
</t>
    </r>
    <r>
      <rPr>
        <b/>
        <sz val="10"/>
        <color theme="1"/>
        <rFont val="Open Sans"/>
        <family val="2"/>
      </rPr>
      <t>*Tenga en cuenta que no se espera que se autoricen casos de uso relacionados con actividades prohibidas.</t>
    </r>
  </si>
  <si>
    <r>
      <t xml:space="preserve">¿Su caso de uso o sus resultados se relacionan con alguno de los siguientes que están clasificados como de alto riesgo según la Ley de IA de la UE (excepto algunas excepciones específicas*)?
- Identificación o categorización biométrica (incluido el reconocimiento de emociones).
- Infraestructura crítica.
- Educación y formación profesional.
- Empleo, gestión de los trabajadores y acceso al trabajo por cuenta propia (incluidos los sistemas de IA en reclutamiento, por ej. para la selección, orientación y evaluación de candidatos, el seguimiento y la evaluación del desempeño de los trabajadores y la asignación de tareas en función de las características y el comportamiento).
- Acceso y disfrute de servicios privados esenciales y servicios y prestaciones públicos esenciales (incluidos los sistemas de IA para evaluar la elegibilidad para las prestaciones y servicios esenciales de asistencia pública (incluidos los servicios de atención sanitaria);  evaluar el crédito/solvencia; evaluar y clasificar las llamadas de emergencia y el triaje de atención médica de emergencia del paciente; y evaluaciones de riesgos y precios en seguros de vida o salud).
- Aplicación de la ley y administración de justicia y proceso democrático.
- Gestión de la migración, el asilo o el control de fronteras.
- Mecanismo de seguridad de un producto que ya está sujeto a la «legislación de armonización de la Unión Europea», tal como se detalla en el anexo I de la Ley de IA de la UE (es decir, productos sanitarios, maquinaria industrial, aviones, coches, vehículos, sistemas ferroviarios, motos acuáticas, juguetes, ascensores, equipos para su uso en atmósferas potencialmente explosivas, equipos radioeléctricos, instalaciones de transporte por cable, equipos de protección individual, quema de combustibles gaseosos, equipos marinos).
</t>
    </r>
    <r>
      <rPr>
        <b/>
        <sz val="10"/>
        <color theme="1"/>
        <rFont val="Open Sans"/>
        <family val="2"/>
      </rPr>
      <t xml:space="preserve">
* Para evitar dudas, incluso cuando considere que el caso de uso se encuentra dentro de una de las excepciones especificadas a la Ley, debe seleccionar 'sí'.</t>
    </r>
  </si>
  <si>
    <t>¿Existe la posibilidad de un escrutinio público significativo o interés en el caso de uso? Es decir, ¿podría el caso de uso potencialmente:
- Crear una cobertura mediática significativa de la participación y / o asociación de Deloitte;
- Involucrar a clientes, sectores o tipos de servicio, lo que podría ser perjudicial para la marca y la reputación de Deloitte por nuestro compromiso, asociación o percepción pública;
- Ser de gran interés para el público;
- Conducir a una investigación regulatoria de Deloitte y / o nuestro cliente (esto podría amplificarse en combinación con todos los puntos anteriores).</t>
  </si>
  <si>
    <t>¿Podría el funcionamiento del sistema de IA amenazar la seguridad, los medios de vida o los derechos de las personas / grupos de personas? 
Al responder a esta pregunta, también considere el impacto potencial en las personas derivado de las inexactitudes, errores, sesgos, fallas o mal uso en el funcionamiento del sistema de IA (o el uso de sus resultados).</t>
  </si>
  <si>
    <t>¿Incluye el alcance datos personales sensibles?</t>
  </si>
  <si>
    <r>
      <t xml:space="preserve">El sistema de IA </t>
    </r>
    <r>
      <rPr>
        <b/>
        <i/>
        <sz val="10"/>
        <color rgb="FF000000"/>
        <rFont val="Open Sans"/>
        <family val="2"/>
      </rPr>
      <t xml:space="preserve">no </t>
    </r>
    <r>
      <rPr>
        <i/>
        <sz val="10"/>
        <color rgb="FF000000"/>
        <rFont val="Open Sans"/>
        <family val="2"/>
      </rPr>
      <t>está conectado a ninguna solución en vivo/productiva</t>
    </r>
  </si>
  <si>
    <r>
      <t xml:space="preserve">El sistema de IA </t>
    </r>
    <r>
      <rPr>
        <b/>
        <i/>
        <sz val="10"/>
        <color rgb="FF000000"/>
        <rFont val="Open Sans"/>
        <family val="2"/>
      </rPr>
      <t>no</t>
    </r>
    <r>
      <rPr>
        <i/>
        <sz val="10"/>
        <color rgb="FF000000"/>
        <rFont val="Open Sans"/>
        <family val="2"/>
      </rPr>
      <t xml:space="preserve"> se está desarrollando para un caso de uso en el que sea importante una alta precisión y/o las consecuencias de los errores sean graves</t>
    </r>
  </si>
  <si>
    <r>
      <t xml:space="preserve">¿El caso de uso actual se relaciona ÚNICAMENTE con el desarrollo / construcción / operación de una prueba de concepto? Seleccione sí, si la PoC cumple TODAS las condiciones siguientes:
Para </t>
    </r>
    <r>
      <rPr>
        <b/>
        <sz val="10"/>
        <color theme="1"/>
        <rFont val="Open Sans"/>
        <family val="2"/>
      </rPr>
      <t xml:space="preserve">TODAS </t>
    </r>
    <r>
      <rPr>
        <sz val="10"/>
        <color theme="1"/>
        <rFont val="Open Sans"/>
        <family val="2"/>
      </rPr>
      <t xml:space="preserve">las PoC:
- La aplicación/sistema de IA tendrá un límite de tiempo y se retirará al final de la PoC.
- No habrá ningún elemento de la PoC, uso de la aplicación / sistema de IA o sus resultados para fines distintos al aprendizaje y la evaluación experimentales. Es decir, no habrá producción/uso en vivo ni dependencia del sistema de IA o sus resultados (aunque solo sea brevemente como parte de la prueba de concepto).
Además, para PoC realizadas dentro de entornos de Deloitte o que utilizan software/licencias aprovisionadas por Deloitte:  
- Se llevará a cabo en un entorno sandbox o utilizando una licencia SaaS.
- A los usuarios cliente no se les otorgará acceso al entorno.
- Sólo se utilizarán datos públicos, sintéticos o ficticios.
</t>
    </r>
    <r>
      <rPr>
        <sz val="10"/>
        <color rgb="FFFF0000"/>
        <rFont val="Open Sans"/>
        <family val="2"/>
      </rPr>
      <t>Si la respuesta es SÍ a toda la pregunta 7, deténgase aquí (es decir, las preguntas 8 y 9 no son obligatorias). Si la respuesta es NO, continúe con las preguntas 8 y 9.</t>
    </r>
  </si>
  <si>
    <t>Si la respuesta a la pregunta 7 fue "NO", ¿su caso de uso, se relaciona con alguno de los siguientes propósitos? 
- Utilizar la IA para desarrollar o mejorar la forma en que entregamos nuestros servicios a los clientes.
- Utilizar la IA en relación con compromisos de clientes existentes o nuevos.</t>
  </si>
  <si>
    <t>Si la respuesta a la pregunta 7 fue "NO", ¿se aplica alguna de las siguientes opciones a la aplicación/sistema/herramienta de IA en su caso de uso?
- Utilizaría una licencia proporcionada por Deloitte (es decir, no una licencia proporcionada por el cliente):
   - Pero la tecnología / plataforma no está en la lista actual de plataformas / herramientas de IA aprobadas por Deloitte S-LATAM; o
   - Está en la lista de las plataformas GenAI aprobadas actualmente por Deloitte S-LATAM; sin embargo, el modelo o la herramienta que se utilizará está en "versión preliminar" en lugar de "Disponible en general"; o
   - Está en la lista de las plataformas GenAI aprobadas actualmente por Deloitte S-LATAM; sin embargo, el uso anticipado está fuera de las barreras de seguridad publicadas para la plataforma / herramienta.</t>
  </si>
  <si>
    <t>7 de Octubre de de 2026</t>
  </si>
  <si>
    <t>Proyecto RPA de Bienes y productos en la industria de Retail a nivel S-Latam</t>
  </si>
  <si>
    <t>DRISK. Oportunidad ID: 218896</t>
  </si>
  <si>
    <t>¿Qué tecnología de IA se utilizará? Ej.: Respuesta: El proyecto consiste en una herramienta interna desarrollada en Python que utiliza modelos de IA generativa, a través de la API de Anthropic (Claude) u OpenAI (GPT)
¿Las licencias serán provistas por el cliente o por Deloitte? Respuesta: DELOITTE. 
Indique otra información relevante de la solución. Respuesta: N/A</t>
  </si>
  <si>
    <t>Indicar Solicitante/ Socio responsable / Gerente responsable: Socia: María Paula Moreira - Gerente: Franco Vassallo</t>
  </si>
  <si>
    <t xml:space="preserve">La herramienta se utilizará para clasificar los productos del catálogo del Cliente en su categoría fiscal y comparar la alícuota que corresponde según la normativa legal vigente con la alícuota declarada por el cliente. </t>
  </si>
  <si>
    <t>No</t>
  </si>
  <si>
    <t>Yes</t>
  </si>
  <si>
    <t>La IA propone la clasificación de cada producto. Se aprueba automáticamente cuando dos modelos distintos coinciden; los casos dudosos, sin resolver o con desacuerdo entre modelos se marcan para revisión humana. Excepción: en la fase 2, los productos identificados mediante búsqueda web con confianza alta o media se aprueban sin la segunda verificación; los de confianza baja pasan a revisión humana. Antes de aplicar cambios y antes de entregar resultados al cliente, el equipo revisa el reporte y puede rechazar cualquier cambio aprobado por la IA.</t>
  </si>
  <si>
    <t>TBC</t>
  </si>
  <si>
    <t>Pendiente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</si>
</sst>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0"/>
      <color theme="1"/>
      <name val="Arial"/>
      <family val="2"/>
    </font>
    <font>
      <sz val="11"/>
      <color theme="1"/>
      <name val="Arial"/>
      <family val="2"/>
      <scheme val="minor"/>
    </font>
    <font>
      <sz val="10"/>
      <color theme="1"/>
      <name val="Open Sans"/>
      <family val="2"/>
    </font>
    <font>
      <b/>
      <sz val="10"/>
      <color theme="1"/>
      <name val="Open Sans"/>
      <family val="2"/>
    </font>
    <font>
      <b/>
      <sz val="10"/>
      <color theme="0"/>
      <name val="Open Sans"/>
      <family val="2"/>
    </font>
    <font>
      <sz val="10"/>
      <color rgb="FF000000"/>
      <name val="Open Sans"/>
      <family val="2"/>
    </font>
    <font>
      <b/>
      <sz val="10"/>
      <color rgb="FF000000"/>
      <name val="Open Sans"/>
      <family val="2"/>
    </font>
    <font>
      <sz val="10"/>
      <color theme="0"/>
      <name val="Open Sans"/>
      <family val="2"/>
    </font>
    <font>
      <i/>
      <sz val="10"/>
      <name val="Open Sans"/>
      <family val="2"/>
    </font>
    <font>
      <i/>
      <sz val="10"/>
      <color rgb="FF000000"/>
      <name val="Open Sans"/>
      <family val="2"/>
    </font>
    <font>
      <i/>
      <sz val="10"/>
      <color theme="1"/>
      <name val="Open Sans"/>
      <family val="2"/>
    </font>
    <font>
      <b/>
      <i/>
      <sz val="10"/>
      <color rgb="FF000000"/>
      <name val="Open Sans"/>
      <family val="2"/>
    </font>
    <font>
      <sz val="10"/>
      <color rgb="FFFF0000"/>
      <name val="Open Sans"/>
      <family val="2"/>
    </font>
    <font>
      <b/>
      <sz val="12"/>
      <color theme="1"/>
      <name val="Open Sans"/>
      <family val="2"/>
    </font>
    <font>
      <sz val="12"/>
      <color theme="1"/>
      <name val="Open Sans"/>
      <family val="2"/>
    </font>
    <font>
      <b/>
      <sz val="12"/>
      <color theme="0"/>
      <name val="Open Sans"/>
      <family val="2"/>
    </font>
    <font>
      <sz val="12"/>
      <color theme="0"/>
      <name val="Open Sans"/>
      <family val="2"/>
    </font>
    <font>
      <sz val="10"/>
      <color rgb="FF0070C0"/>
      <name val="Open Sans"/>
      <family val="2"/>
    </font>
    <font>
      <b/>
      <u/>
      <sz val="10"/>
      <color rgb="FF0070C0"/>
      <name val="Open Sans"/>
      <family val="2"/>
    </font>
    <font>
      <b/>
      <sz val="16"/>
      <color rgb="FF007680"/>
      <name val="Open Sans"/>
      <family val="2"/>
    </font>
    <font>
      <sz val="10"/>
      <name val="Open Sans"/>
      <family val="2"/>
    </font>
    <font>
      <sz val="10"/>
      <color rgb="FF00B050"/>
      <name val="Open Sans"/>
      <family val="2"/>
    </font>
  </fonts>
  <fills count="10">
    <fill>
      <patternFill patternType="none"/>
    </fill>
    <fill>
      <patternFill patternType="gray125"/>
    </fill>
    <fill>
      <patternFill patternType="solid">
        <fgColor rgb="FFFFC000"/>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theme="0"/>
        <bgColor indexed="64"/>
      </patternFill>
    </fill>
    <fill>
      <patternFill patternType="solid">
        <fgColor rgb="FFC00000"/>
        <bgColor indexed="64"/>
      </patternFill>
    </fill>
    <fill>
      <patternFill patternType="solid">
        <fgColor rgb="FF007680"/>
        <bgColor indexed="64"/>
      </patternFill>
    </fill>
    <fill>
      <patternFill patternType="solid">
        <fgColor rgb="FF00ABAB"/>
        <bgColor indexed="64"/>
      </patternFill>
    </fill>
    <fill>
      <patternFill patternType="solid">
        <fgColor rgb="FF6FC2B4"/>
        <bgColor indexed="64"/>
      </patternFill>
    </fill>
  </fills>
  <borders count="19">
    <border>
      <left/>
      <right/>
      <top/>
      <bottom/>
      <diagonal/>
    </border>
    <border>
      <left style="thin">
        <color theme="0"/>
      </left>
      <right/>
      <top/>
      <bottom/>
      <diagonal/>
    </border>
    <border>
      <left/>
      <right/>
      <top style="thick">
        <color theme="3" tint="-0.24994659260841701"/>
      </top>
      <bottom style="thick">
        <color theme="3" tint="-0.24994659260841701"/>
      </bottom>
      <diagonal/>
    </border>
    <border>
      <left style="mediumDashed">
        <color theme="3" tint="-0.24994659260841701"/>
      </left>
      <right/>
      <top style="mediumDashed">
        <color theme="3" tint="-0.24994659260841701"/>
      </top>
      <bottom/>
      <diagonal/>
    </border>
    <border>
      <left/>
      <right/>
      <top style="mediumDashed">
        <color theme="3" tint="-0.24994659260841701"/>
      </top>
      <bottom/>
      <diagonal/>
    </border>
    <border>
      <left/>
      <right style="mediumDashed">
        <color theme="3" tint="-0.24994659260841701"/>
      </right>
      <top style="mediumDashed">
        <color theme="3" tint="-0.24994659260841701"/>
      </top>
      <bottom/>
      <diagonal/>
    </border>
    <border>
      <left style="mediumDashed">
        <color theme="3" tint="-0.24994659260841701"/>
      </left>
      <right/>
      <top/>
      <bottom/>
      <diagonal/>
    </border>
    <border>
      <left/>
      <right style="mediumDashed">
        <color theme="3" tint="-0.24994659260841701"/>
      </right>
      <top/>
      <bottom/>
      <diagonal/>
    </border>
    <border>
      <left style="mediumDashed">
        <color theme="3" tint="-0.24994659260841701"/>
      </left>
      <right/>
      <top/>
      <bottom style="mediumDashed">
        <color theme="3" tint="-0.24994659260841701"/>
      </bottom>
      <diagonal/>
    </border>
    <border>
      <left/>
      <right/>
      <top/>
      <bottom style="mediumDashed">
        <color theme="3" tint="-0.24994659260841701"/>
      </bottom>
      <diagonal/>
    </border>
    <border>
      <left/>
      <right style="mediumDashed">
        <color theme="3" tint="-0.24994659260841701"/>
      </right>
      <top/>
      <bottom style="mediumDashed">
        <color theme="3"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theme="0" tint="-0.14993743705557422"/>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right/>
      <top style="thick">
        <color rgb="FF007680"/>
      </top>
      <bottom style="thick">
        <color rgb="FF007680"/>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s>
  <cellStyleXfs count="3">
    <xf numFmtId="0" fontId="0" fillId="0" borderId="0"/>
    <xf numFmtId="0" fontId="1" fillId="0" borderId="0"/>
    <xf numFmtId="9" fontId="1" fillId="0" borderId="0" applyFont="0" applyFill="0" applyBorder="0" applyAlignment="0" applyProtection="0"/>
  </cellStyleXfs>
  <cellXfs count="72">
    <xf numFmtId="0" fontId="0" fillId="0" borderId="0" xfId="0"/>
    <xf numFmtId="0" fontId="2" fillId="0" borderId="0" xfId="0" applyFont="1" applyAlignment="1">
      <alignment wrapText="1"/>
    </xf>
    <xf numFmtId="0" fontId="2" fillId="5" borderId="0" xfId="0" applyFont="1" applyFill="1" applyAlignment="1">
      <alignment wrapText="1"/>
    </xf>
    <xf numFmtId="0" fontId="2" fillId="5" borderId="3" xfId="0" applyFont="1" applyFill="1" applyBorder="1" applyAlignment="1">
      <alignment wrapText="1"/>
    </xf>
    <xf numFmtId="0" fontId="2" fillId="5" borderId="4" xfId="0" applyFont="1" applyFill="1" applyBorder="1" applyAlignment="1">
      <alignment wrapText="1"/>
    </xf>
    <xf numFmtId="0" fontId="2" fillId="5" borderId="5" xfId="0" applyFont="1" applyFill="1" applyBorder="1" applyAlignment="1">
      <alignment wrapText="1"/>
    </xf>
    <xf numFmtId="0" fontId="2" fillId="5" borderId="6" xfId="0" applyFont="1" applyFill="1" applyBorder="1" applyAlignment="1">
      <alignment wrapText="1"/>
    </xf>
    <xf numFmtId="0" fontId="2" fillId="5" borderId="7" xfId="0" applyFont="1" applyFill="1" applyBorder="1" applyAlignment="1">
      <alignment wrapText="1"/>
    </xf>
    <xf numFmtId="0" fontId="2" fillId="5" borderId="8" xfId="0" applyFont="1" applyFill="1" applyBorder="1" applyAlignment="1">
      <alignment wrapText="1"/>
    </xf>
    <xf numFmtId="0" fontId="2" fillId="5" borderId="9" xfId="0" applyFont="1" applyFill="1" applyBorder="1" applyAlignment="1">
      <alignment wrapText="1"/>
    </xf>
    <xf numFmtId="0" fontId="2" fillId="5" borderId="10" xfId="0" applyFont="1" applyFill="1" applyBorder="1" applyAlignment="1">
      <alignment wrapText="1"/>
    </xf>
    <xf numFmtId="0" fontId="5" fillId="5" borderId="0" xfId="0" applyFont="1" applyFill="1" applyAlignment="1">
      <alignment horizontal="left" vertical="top" wrapText="1"/>
    </xf>
    <xf numFmtId="0" fontId="2" fillId="0" borderId="0" xfId="0" applyFont="1"/>
    <xf numFmtId="0" fontId="2" fillId="5" borderId="0" xfId="0" applyFont="1" applyFill="1"/>
    <xf numFmtId="0" fontId="7" fillId="5" borderId="0" xfId="0" applyFont="1" applyFill="1"/>
    <xf numFmtId="0" fontId="3" fillId="2" borderId="12" xfId="0" applyFont="1" applyFill="1" applyBorder="1" applyAlignment="1">
      <alignment horizontal="center"/>
    </xf>
    <xf numFmtId="0" fontId="14" fillId="5" borderId="0" xfId="0" applyFont="1" applyFill="1"/>
    <xf numFmtId="0" fontId="14" fillId="0" borderId="0" xfId="0" applyFont="1"/>
    <xf numFmtId="0" fontId="13" fillId="5" borderId="0" xfId="0" applyFont="1" applyFill="1" applyAlignment="1">
      <alignment horizontal="center" vertical="center"/>
    </xf>
    <xf numFmtId="0" fontId="13" fillId="0" borderId="0" xfId="0" applyFont="1" applyAlignment="1">
      <alignment horizontal="center" vertical="center"/>
    </xf>
    <xf numFmtId="0" fontId="2" fillId="0" borderId="11" xfId="0" applyFont="1" applyBorder="1" applyAlignment="1" applyProtection="1">
      <alignment wrapText="1"/>
      <protection locked="0"/>
    </xf>
    <xf numFmtId="0" fontId="2" fillId="0" borderId="14" xfId="0" applyFont="1" applyBorder="1" applyAlignment="1" applyProtection="1">
      <alignment wrapText="1"/>
      <protection locked="0"/>
    </xf>
    <xf numFmtId="0" fontId="7" fillId="5" borderId="0" xfId="0" applyFont="1" applyFill="1" applyAlignment="1">
      <alignment wrapText="1"/>
    </xf>
    <xf numFmtId="0" fontId="4" fillId="7" borderId="12" xfId="0" applyFont="1" applyFill="1" applyBorder="1" applyAlignment="1">
      <alignment vertical="center" wrapText="1"/>
    </xf>
    <xf numFmtId="0" fontId="4" fillId="7" borderId="11" xfId="0" applyFont="1" applyFill="1" applyBorder="1" applyAlignment="1">
      <alignment vertical="center" wrapText="1"/>
    </xf>
    <xf numFmtId="0" fontId="15" fillId="8" borderId="12" xfId="0" applyFont="1" applyFill="1" applyBorder="1" applyAlignment="1">
      <alignment horizontal="center" vertical="center" wrapText="1"/>
    </xf>
    <xf numFmtId="0" fontId="15" fillId="8" borderId="11" xfId="0" applyFont="1" applyFill="1" applyBorder="1" applyAlignment="1">
      <alignment horizontal="center" vertical="center"/>
    </xf>
    <xf numFmtId="0" fontId="2" fillId="5" borderId="0" xfId="0" applyFont="1" applyFill="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15" fillId="6" borderId="12" xfId="0" applyFont="1" applyFill="1" applyBorder="1" applyAlignment="1">
      <alignment horizontal="center" vertical="center"/>
    </xf>
    <xf numFmtId="0" fontId="2" fillId="0" borderId="0" xfId="0" applyFont="1" applyAlignment="1" applyProtection="1">
      <alignment horizontal="center" vertical="center"/>
      <protection locked="0"/>
    </xf>
    <xf numFmtId="0" fontId="15" fillId="2" borderId="0" xfId="0" applyFont="1" applyFill="1" applyAlignment="1">
      <alignment horizontal="center" vertical="center"/>
    </xf>
    <xf numFmtId="0" fontId="2" fillId="0" borderId="11" xfId="0" applyFont="1" applyBorder="1"/>
    <xf numFmtId="0" fontId="15" fillId="9" borderId="11" xfId="0" applyFont="1" applyFill="1" applyBorder="1" applyAlignment="1">
      <alignment horizontal="center" vertical="center"/>
    </xf>
    <xf numFmtId="0" fontId="15" fillId="9" borderId="12" xfId="0" applyFont="1" applyFill="1" applyBorder="1" applyAlignment="1">
      <alignment horizontal="center" vertical="center" wrapText="1"/>
    </xf>
    <xf numFmtId="14" fontId="17" fillId="0" borderId="12" xfId="0" applyNumberFormat="1" applyFont="1" applyBorder="1" applyProtection="1">
      <protection locked="0"/>
    </xf>
    <xf numFmtId="0" fontId="17" fillId="0" borderId="12" xfId="0" applyFont="1" applyBorder="1" applyProtection="1">
      <protection locked="0"/>
    </xf>
    <xf numFmtId="0" fontId="17" fillId="0" borderId="12" xfId="0" applyFont="1" applyBorder="1" applyAlignment="1" applyProtection="1">
      <alignment wrapText="1"/>
      <protection locked="0"/>
    </xf>
    <xf numFmtId="0" fontId="17" fillId="0" borderId="11" xfId="0" applyFont="1" applyBorder="1" applyAlignment="1" applyProtection="1">
      <alignment wrapText="1"/>
      <protection locked="0"/>
    </xf>
    <xf numFmtId="0" fontId="2" fillId="5" borderId="13" xfId="0" applyFont="1" applyFill="1" applyBorder="1" applyAlignment="1">
      <alignment vertical="center"/>
    </xf>
    <xf numFmtId="0" fontId="2" fillId="5" borderId="13" xfId="0" applyFont="1" applyFill="1" applyBorder="1"/>
    <xf numFmtId="0" fontId="16" fillId="5" borderId="12" xfId="0" applyFont="1" applyFill="1" applyBorder="1" applyAlignment="1">
      <alignment wrapText="1"/>
    </xf>
    <xf numFmtId="0" fontId="7" fillId="5" borderId="14" xfId="0" applyFont="1" applyFill="1" applyBorder="1" applyAlignment="1">
      <alignment wrapText="1"/>
    </xf>
    <xf numFmtId="0" fontId="7" fillId="5" borderId="11" xfId="0" applyFont="1" applyFill="1" applyBorder="1" applyAlignment="1">
      <alignment wrapText="1"/>
    </xf>
    <xf numFmtId="0" fontId="15" fillId="2" borderId="0" xfId="0" applyFont="1" applyFill="1" applyAlignment="1">
      <alignment horizontal="left"/>
    </xf>
    <xf numFmtId="0" fontId="15" fillId="6" borderId="12" xfId="0" applyFont="1" applyFill="1" applyBorder="1" applyAlignment="1">
      <alignment horizontal="left"/>
    </xf>
    <xf numFmtId="49" fontId="9" fillId="0" borderId="11" xfId="0" applyNumberFormat="1" applyFont="1" applyBorder="1" applyAlignment="1">
      <alignment horizontal="left" vertical="center" wrapText="1" readingOrder="1"/>
    </xf>
    <xf numFmtId="49" fontId="10" fillId="0" borderId="11" xfId="0" applyNumberFormat="1" applyFont="1" applyBorder="1" applyAlignment="1">
      <alignment horizontal="left" vertical="center" wrapText="1" readingOrder="1"/>
    </xf>
    <xf numFmtId="0" fontId="2" fillId="0" borderId="11" xfId="0" applyFont="1" applyBorder="1" applyAlignment="1">
      <alignment horizontal="left" vertical="center" wrapText="1"/>
    </xf>
    <xf numFmtId="0" fontId="10" fillId="0" borderId="17" xfId="0" applyFont="1" applyBorder="1" applyAlignment="1">
      <alignment horizontal="left" wrapText="1"/>
    </xf>
    <xf numFmtId="0" fontId="10" fillId="0" borderId="18" xfId="0" applyFont="1" applyBorder="1" applyAlignment="1">
      <alignment horizontal="left" wrapText="1"/>
    </xf>
    <xf numFmtId="49" fontId="9" fillId="0" borderId="17" xfId="0" applyNumberFormat="1" applyFont="1" applyBorder="1" applyAlignment="1">
      <alignment horizontal="left" wrapText="1"/>
    </xf>
    <xf numFmtId="49" fontId="9" fillId="0" borderId="18" xfId="0" applyNumberFormat="1" applyFont="1" applyBorder="1" applyAlignment="1">
      <alignment horizontal="left" wrapText="1"/>
    </xf>
    <xf numFmtId="49" fontId="2" fillId="0" borderId="11" xfId="0" applyNumberFormat="1" applyFont="1" applyBorder="1" applyAlignment="1">
      <alignment horizontal="left"/>
    </xf>
    <xf numFmtId="0" fontId="15" fillId="9" borderId="12" xfId="0" applyFont="1" applyFill="1" applyBorder="1" applyAlignment="1">
      <alignment horizontal="left" wrapText="1"/>
    </xf>
    <xf numFmtId="0" fontId="2" fillId="5" borderId="0" xfId="0" applyFont="1" applyFill="1" applyAlignment="1">
      <alignment horizontal="center"/>
    </xf>
    <xf numFmtId="0" fontId="15" fillId="8" borderId="12" xfId="0" applyFont="1" applyFill="1" applyBorder="1" applyAlignment="1">
      <alignment horizontal="left" wrapText="1"/>
    </xf>
    <xf numFmtId="49" fontId="2" fillId="0" borderId="14" xfId="0" applyNumberFormat="1" applyFont="1" applyBorder="1" applyAlignment="1">
      <alignment horizontal="left" vertical="center" wrapText="1"/>
    </xf>
    <xf numFmtId="0" fontId="2" fillId="0" borderId="15" xfId="0" applyFont="1" applyBorder="1" applyAlignment="1">
      <alignment horizontal="left" vertical="center" wrapText="1"/>
    </xf>
    <xf numFmtId="0" fontId="2" fillId="0" borderId="14" xfId="0" applyFont="1" applyBorder="1" applyAlignment="1">
      <alignment horizontal="left" wrapText="1"/>
    </xf>
    <xf numFmtId="49" fontId="8" fillId="0" borderId="11" xfId="0" applyNumberFormat="1" applyFont="1" applyBorder="1" applyAlignment="1">
      <alignment horizontal="left" vertical="center" wrapText="1" readingOrder="1"/>
    </xf>
    <xf numFmtId="0" fontId="15" fillId="9" borderId="11" xfId="0" applyFont="1" applyFill="1" applyBorder="1" applyAlignment="1">
      <alignment horizontal="center" vertical="center"/>
    </xf>
    <xf numFmtId="0" fontId="19" fillId="5" borderId="16" xfId="0" applyFont="1" applyFill="1" applyBorder="1" applyAlignment="1">
      <alignment horizontal="center"/>
    </xf>
    <xf numFmtId="49" fontId="9" fillId="3" borderId="11" xfId="0" applyNumberFormat="1" applyFont="1" applyFill="1" applyBorder="1" applyAlignment="1">
      <alignment horizontal="left" vertical="center" wrapText="1" readingOrder="1"/>
    </xf>
    <xf numFmtId="0" fontId="3" fillId="5" borderId="2" xfId="0" applyFont="1" applyFill="1" applyBorder="1" applyAlignment="1">
      <alignment horizontal="center"/>
    </xf>
    <xf numFmtId="0" fontId="4" fillId="4" borderId="1" xfId="0" applyFont="1" applyFill="1" applyBorder="1" applyAlignment="1">
      <alignment horizontal="left" vertical="center" wrapText="1"/>
    </xf>
    <xf numFmtId="0" fontId="4" fillId="4" borderId="0" xfId="0" applyFont="1" applyFill="1" applyAlignment="1">
      <alignment horizontal="left" vertical="center" wrapText="1"/>
    </xf>
    <xf numFmtId="0" fontId="5" fillId="0" borderId="0" xfId="0" applyFont="1" applyAlignment="1">
      <alignment horizontal="left" vertical="top" wrapText="1"/>
    </xf>
    <xf numFmtId="0" fontId="2" fillId="0" borderId="11" xfId="0" applyFont="1" applyBorder="1" applyAlignment="1">
      <alignment wrapText="1"/>
    </xf>
    <xf numFmtId="0" fontId="21" fillId="0" borderId="11" xfId="0" applyFont="1" applyFill="1" applyBorder="1" applyAlignment="1" applyProtection="1">
      <alignment wrapText="1"/>
      <protection locked="0"/>
    </xf>
  </cellXfs>
  <cellStyles count="3">
    <cellStyle name="Normal" xfId="0" builtinId="0" customBuiltin="1"/>
    <cellStyle name="Normal 2" xfId="1" xr:uid="{9ECAEDD0-7E5C-46EE-8E81-C06B7AA73E67}"/>
    <cellStyle name="Percent 2" xfId="2" xr:uid="{02D175F0-E3C4-426E-94AF-E45D2153871C}"/>
  </cellStyles>
  <dxfs count="5">
    <dxf>
      <font>
        <color theme="0"/>
      </font>
      <fill>
        <patternFill>
          <bgColor rgb="FFFF6565"/>
        </patternFill>
      </fill>
    </dxf>
    <dxf>
      <font>
        <b/>
        <i val="0"/>
        <color theme="0"/>
      </font>
      <fill>
        <patternFill>
          <bgColor rgb="FF92D050"/>
        </patternFill>
      </fill>
      <border>
        <left style="thin">
          <color auto="1"/>
        </left>
        <right style="thin">
          <color auto="1"/>
        </right>
        <top style="thin">
          <color auto="1"/>
        </top>
        <bottom style="thin">
          <color auto="1"/>
        </bottom>
        <vertical/>
        <horizontal/>
      </border>
    </dxf>
    <dxf>
      <font>
        <b/>
        <i val="0"/>
        <color theme="0"/>
      </font>
      <fill>
        <patternFill>
          <bgColor rgb="FFFFC000"/>
        </patternFill>
      </fill>
      <border>
        <left style="thin">
          <color auto="1"/>
        </left>
        <right style="thin">
          <color auto="1"/>
        </right>
        <top style="thin">
          <color auto="1"/>
        </top>
        <bottom style="thin">
          <color auto="1"/>
        </bottom>
        <vertical/>
        <horizontal/>
      </border>
    </dxf>
    <dxf>
      <font>
        <b/>
        <i val="0"/>
        <color theme="0"/>
      </font>
      <fill>
        <patternFill>
          <bgColor rgb="FF92D050"/>
        </patternFill>
      </fill>
      <border>
        <left style="thin">
          <color auto="1"/>
        </left>
        <right style="thin">
          <color auto="1"/>
        </right>
        <top style="thin">
          <color auto="1"/>
        </top>
        <bottom style="thin">
          <color auto="1"/>
        </bottom>
        <vertical/>
        <horizontal/>
      </border>
    </dxf>
    <dxf>
      <font>
        <b/>
        <i val="0"/>
        <color theme="0"/>
      </font>
      <fill>
        <patternFill>
          <bgColor rgb="FFFF6565"/>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007680"/>
      <color rgb="FF26890D"/>
      <color rgb="FF004F59"/>
      <color rgb="FF6FC2B4"/>
      <color rgb="FF00ABAB"/>
      <color rgb="FF0D8390"/>
      <color rgb="FFFFC000"/>
      <color rgb="FFC00000"/>
      <color rgb="FFFF4B4B"/>
      <color rgb="FFFF65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theme/theme1.xml><?xml version="1.0" encoding="utf-8"?>
<a:theme xmlns:a="http://schemas.openxmlformats.org/drawingml/2006/main" name="Deloitte">
  <a:themeElements>
    <a:clrScheme name="Deloitte new">
      <a:dk1>
        <a:srgbClr val="000000"/>
      </a:dk1>
      <a:lt1>
        <a:srgbClr val="FFFFFF"/>
      </a:lt1>
      <a:dk2>
        <a:srgbClr val="002776"/>
      </a:dk2>
      <a:lt2>
        <a:srgbClr val="FFFFFF"/>
      </a:lt2>
      <a:accent1>
        <a:srgbClr val="00A1DE"/>
      </a:accent1>
      <a:accent2>
        <a:srgbClr val="92D400"/>
      </a:accent2>
      <a:accent3>
        <a:srgbClr val="72C7E7"/>
      </a:accent3>
      <a:accent4>
        <a:srgbClr val="3C8A2E"/>
      </a:accent4>
      <a:accent5>
        <a:srgbClr val="002776"/>
      </a:accent5>
      <a:accent6>
        <a:srgbClr val="C9DD03"/>
      </a:accent6>
      <a:hlink>
        <a:srgbClr val="00A1DE"/>
      </a:hlink>
      <a:folHlink>
        <a:srgbClr val="72C7E7"/>
      </a:folHlink>
    </a:clrScheme>
    <a:fontScheme name="Deloitte">
      <a:majorFont>
        <a:latin typeface="Times New Roman"/>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66D23-F0B9-41DA-BA5A-466D4709E926}">
  <sheetPr codeName="Sheet1">
    <tabColor theme="3" tint="-0.249977111117893"/>
  </sheetPr>
  <dimension ref="A1:L47"/>
  <sheetViews>
    <sheetView topLeftCell="B3" zoomScale="101" zoomScaleNormal="100" workbookViewId="0">
      <selection activeCell="C7" sqref="C7:D8"/>
    </sheetView>
  </sheetViews>
  <sheetFormatPr defaultColWidth="8.81640625" defaultRowHeight="14.5" x14ac:dyDescent="0.4"/>
  <cols>
    <col min="1" max="1" width="5.08984375" style="2" customWidth="1"/>
    <col min="2" max="2" width="8.81640625" style="2" customWidth="1"/>
    <col min="3" max="3" width="19.453125" style="1" customWidth="1"/>
    <col min="4" max="4" width="137.81640625" style="1" customWidth="1"/>
    <col min="5" max="12" width="8.81640625" style="2"/>
    <col min="13" max="16384" width="8.81640625" style="1"/>
  </cols>
  <sheetData>
    <row r="1" spans="2:5" s="2" customFormat="1" ht="15" thickBot="1" x14ac:dyDescent="0.45"/>
    <row r="2" spans="2:5" s="2" customFormat="1" x14ac:dyDescent="0.4">
      <c r="B2" s="3"/>
      <c r="C2" s="4"/>
      <c r="D2" s="4"/>
      <c r="E2" s="5"/>
    </row>
    <row r="3" spans="2:5" ht="15" thickBot="1" x14ac:dyDescent="0.45">
      <c r="B3" s="6"/>
      <c r="C3" s="2"/>
      <c r="D3" s="2"/>
      <c r="E3" s="7"/>
    </row>
    <row r="4" spans="2:5" ht="15.5" thickTop="1" thickBot="1" x14ac:dyDescent="0.45">
      <c r="B4" s="6"/>
      <c r="C4" s="66" t="s">
        <v>4</v>
      </c>
      <c r="D4" s="66"/>
      <c r="E4" s="7"/>
    </row>
    <row r="5" spans="2:5" ht="15" thickTop="1" x14ac:dyDescent="0.4">
      <c r="B5" s="6"/>
      <c r="C5" s="2"/>
      <c r="D5" s="2"/>
      <c r="E5" s="7"/>
    </row>
    <row r="6" spans="2:5" x14ac:dyDescent="0.4">
      <c r="B6" s="6"/>
      <c r="C6" s="67" t="s">
        <v>8</v>
      </c>
      <c r="D6" s="68"/>
      <c r="E6" s="7"/>
    </row>
    <row r="7" spans="2:5" ht="15" customHeight="1" x14ac:dyDescent="0.4">
      <c r="B7" s="6"/>
      <c r="C7" s="69" t="s">
        <v>3</v>
      </c>
      <c r="D7" s="69"/>
      <c r="E7" s="7"/>
    </row>
    <row r="8" spans="2:5" x14ac:dyDescent="0.4">
      <c r="B8" s="6"/>
      <c r="C8" s="69"/>
      <c r="D8" s="69"/>
      <c r="E8" s="7"/>
    </row>
    <row r="9" spans="2:5" x14ac:dyDescent="0.4">
      <c r="B9" s="6"/>
      <c r="C9" s="2"/>
      <c r="D9" s="2"/>
      <c r="E9" s="7"/>
    </row>
    <row r="10" spans="2:5" x14ac:dyDescent="0.4">
      <c r="B10" s="6"/>
      <c r="C10" s="67" t="s">
        <v>5</v>
      </c>
      <c r="D10" s="68"/>
      <c r="E10" s="7"/>
    </row>
    <row r="11" spans="2:5" x14ac:dyDescent="0.4">
      <c r="B11" s="6"/>
      <c r="C11" s="69" t="s">
        <v>6</v>
      </c>
      <c r="D11" s="69"/>
      <c r="E11" s="7"/>
    </row>
    <row r="12" spans="2:5" x14ac:dyDescent="0.4">
      <c r="B12" s="6"/>
      <c r="C12" s="2"/>
      <c r="D12" s="2"/>
      <c r="E12" s="7"/>
    </row>
    <row r="13" spans="2:5" x14ac:dyDescent="0.4">
      <c r="B13" s="6"/>
      <c r="C13" s="67" t="s">
        <v>7</v>
      </c>
      <c r="D13" s="68"/>
      <c r="E13" s="7"/>
    </row>
    <row r="14" spans="2:5" ht="15" customHeight="1" x14ac:dyDescent="0.4">
      <c r="B14" s="6"/>
      <c r="C14" s="69" t="s">
        <v>10</v>
      </c>
      <c r="D14" s="69"/>
      <c r="E14" s="7"/>
    </row>
    <row r="15" spans="2:5" x14ac:dyDescent="0.4">
      <c r="B15" s="6"/>
      <c r="C15" s="69"/>
      <c r="D15" s="69"/>
      <c r="E15" s="7"/>
    </row>
    <row r="16" spans="2:5" x14ac:dyDescent="0.4">
      <c r="B16" s="6"/>
      <c r="C16" s="2"/>
      <c r="D16" s="2"/>
      <c r="E16" s="7"/>
    </row>
    <row r="17" spans="2:5" x14ac:dyDescent="0.4">
      <c r="B17" s="6"/>
      <c r="C17" s="67" t="s">
        <v>0</v>
      </c>
      <c r="D17" s="68"/>
      <c r="E17" s="7"/>
    </row>
    <row r="18" spans="2:5" x14ac:dyDescent="0.4">
      <c r="B18" s="6"/>
      <c r="C18" s="69" t="s">
        <v>9</v>
      </c>
      <c r="D18" s="69"/>
      <c r="E18" s="7"/>
    </row>
    <row r="19" spans="2:5" s="2" customFormat="1" x14ac:dyDescent="0.4">
      <c r="B19" s="6"/>
      <c r="C19" s="11"/>
      <c r="D19" s="11"/>
      <c r="E19" s="7"/>
    </row>
    <row r="20" spans="2:5" s="2" customFormat="1" ht="15" thickBot="1" x14ac:dyDescent="0.45">
      <c r="B20" s="8"/>
      <c r="C20" s="9"/>
      <c r="D20" s="9"/>
      <c r="E20" s="10"/>
    </row>
    <row r="21" spans="2:5" s="2" customFormat="1" x14ac:dyDescent="0.4"/>
    <row r="22" spans="2:5" s="2" customFormat="1" x14ac:dyDescent="0.4"/>
    <row r="23" spans="2:5" s="2" customFormat="1" x14ac:dyDescent="0.4"/>
    <row r="24" spans="2:5" s="2" customFormat="1" x14ac:dyDescent="0.4"/>
    <row r="25" spans="2:5" s="2" customFormat="1" x14ac:dyDescent="0.4"/>
    <row r="26" spans="2:5" s="2" customFormat="1" x14ac:dyDescent="0.4"/>
    <row r="27" spans="2:5" s="2" customFormat="1" x14ac:dyDescent="0.4"/>
    <row r="28" spans="2:5" s="2" customFormat="1" x14ac:dyDescent="0.4"/>
    <row r="29" spans="2:5" s="2" customFormat="1" x14ac:dyDescent="0.4"/>
    <row r="30" spans="2:5" s="2" customFormat="1" x14ac:dyDescent="0.4"/>
    <row r="31" spans="2:5" s="2" customFormat="1" x14ac:dyDescent="0.4"/>
    <row r="32" spans="2:5" s="2" customFormat="1" x14ac:dyDescent="0.4"/>
    <row r="33" s="2" customFormat="1" x14ac:dyDescent="0.4"/>
    <row r="34" s="2" customFormat="1" x14ac:dyDescent="0.4"/>
    <row r="35" s="2" customFormat="1" x14ac:dyDescent="0.4"/>
    <row r="36" s="2" customFormat="1" x14ac:dyDescent="0.4"/>
    <row r="37" s="2" customFormat="1" x14ac:dyDescent="0.4"/>
    <row r="38" s="2" customFormat="1" x14ac:dyDescent="0.4"/>
    <row r="39" s="2" customFormat="1" x14ac:dyDescent="0.4"/>
    <row r="40" s="2" customFormat="1" x14ac:dyDescent="0.4"/>
    <row r="41" s="2" customFormat="1" x14ac:dyDescent="0.4"/>
    <row r="42" s="2" customFormat="1" x14ac:dyDescent="0.4"/>
    <row r="43" s="2" customFormat="1" x14ac:dyDescent="0.4"/>
    <row r="44" s="2" customFormat="1" x14ac:dyDescent="0.4"/>
    <row r="45" s="2" customFormat="1" x14ac:dyDescent="0.4"/>
    <row r="46" s="2" customFormat="1" x14ac:dyDescent="0.4"/>
    <row r="47" s="2" customFormat="1" x14ac:dyDescent="0.4"/>
  </sheetData>
  <mergeCells count="9">
    <mergeCell ref="C4:D4"/>
    <mergeCell ref="C17:D17"/>
    <mergeCell ref="C18:D18"/>
    <mergeCell ref="C7:D8"/>
    <mergeCell ref="C14:D15"/>
    <mergeCell ref="C6:D6"/>
    <mergeCell ref="C10:D10"/>
    <mergeCell ref="C11:D11"/>
    <mergeCell ref="C13:D1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004F59"/>
    <pageSetUpPr fitToPage="1"/>
  </sheetPr>
  <dimension ref="A1:BZ94"/>
  <sheetViews>
    <sheetView tabSelected="1" showWhiteSpace="0" topLeftCell="B1" zoomScale="73" zoomScaleNormal="80" zoomScalePageLayoutView="40" workbookViewId="0">
      <selection activeCell="C1" sqref="C1"/>
    </sheetView>
  </sheetViews>
  <sheetFormatPr defaultColWidth="8.81640625" defaultRowHeight="18" outlineLevelRow="2" x14ac:dyDescent="0.4"/>
  <cols>
    <col min="1" max="1" width="3.54296875" style="13" hidden="1" customWidth="1"/>
    <col min="2" max="2" width="5.453125" style="19" customWidth="1"/>
    <col min="3" max="3" width="38.453125" style="12" customWidth="1"/>
    <col min="4" max="4" width="149.81640625" style="12" customWidth="1"/>
    <col min="5" max="5" width="7.36328125" style="32" customWidth="1"/>
    <col min="6" max="6" width="4.54296875" style="14" hidden="1" customWidth="1"/>
    <col min="7" max="7" width="60.1796875" style="1" customWidth="1"/>
    <col min="8" max="8" width="27.36328125" style="13" customWidth="1"/>
    <col min="9" max="9" width="25.81640625" style="13" customWidth="1"/>
    <col min="10" max="10" width="15.81640625" style="13" bestFit="1" customWidth="1"/>
    <col min="11" max="11" width="8.81640625" style="13"/>
    <col min="12" max="12" width="20.54296875" style="13" customWidth="1"/>
    <col min="13" max="13" width="24" style="13" bestFit="1" customWidth="1"/>
    <col min="14" max="14" width="20.1796875" style="13" customWidth="1"/>
    <col min="15" max="78" width="8.81640625" style="13"/>
    <col min="79" max="16384" width="8.81640625" style="12"/>
  </cols>
  <sheetData>
    <row r="1" spans="1:78" s="13" customFormat="1" ht="18.5" thickBot="1" x14ac:dyDescent="0.45">
      <c r="B1" s="18"/>
      <c r="E1" s="27"/>
      <c r="F1" s="14"/>
      <c r="G1" s="2"/>
    </row>
    <row r="2" spans="1:78" s="13" customFormat="1" ht="22.5" customHeight="1" thickTop="1" thickBot="1" x14ac:dyDescent="0.65">
      <c r="B2" s="18"/>
      <c r="C2" s="64" t="s">
        <v>4</v>
      </c>
      <c r="D2" s="64"/>
      <c r="E2" s="27"/>
      <c r="F2" s="14"/>
      <c r="G2" s="2"/>
    </row>
    <row r="3" spans="1:78" s="13" customFormat="1" ht="18.5" thickTop="1" x14ac:dyDescent="0.4">
      <c r="B3" s="18"/>
      <c r="E3" s="27"/>
      <c r="F3" s="14"/>
      <c r="G3" s="2"/>
    </row>
    <row r="4" spans="1:78" x14ac:dyDescent="0.4">
      <c r="B4" s="18"/>
      <c r="C4" s="23" t="s">
        <v>11</v>
      </c>
      <c r="D4" s="37" t="s">
        <v>59</v>
      </c>
      <c r="E4" s="27"/>
      <c r="G4" s="2"/>
    </row>
    <row r="5" spans="1:78" ht="20.149999999999999" customHeight="1" x14ac:dyDescent="0.4">
      <c r="B5" s="18"/>
      <c r="C5" s="23" t="s">
        <v>12</v>
      </c>
      <c r="D5" s="38" t="s">
        <v>60</v>
      </c>
      <c r="E5" s="27"/>
      <c r="G5" s="2"/>
      <c r="H5" s="57"/>
      <c r="I5" s="57"/>
    </row>
    <row r="6" spans="1:78" ht="20.149999999999999" customHeight="1" x14ac:dyDescent="0.4">
      <c r="B6" s="18"/>
      <c r="C6" s="23" t="s">
        <v>13</v>
      </c>
      <c r="D6" s="38" t="s">
        <v>69</v>
      </c>
      <c r="E6" s="27"/>
      <c r="G6" s="2"/>
    </row>
    <row r="7" spans="1:78" ht="20.149999999999999" customHeight="1" x14ac:dyDescent="0.4">
      <c r="B7" s="18"/>
      <c r="C7" s="23" t="s">
        <v>46</v>
      </c>
      <c r="D7" s="38" t="s">
        <v>61</v>
      </c>
      <c r="E7" s="27"/>
      <c r="G7" s="2"/>
      <c r="H7" s="57"/>
      <c r="I7" s="57"/>
    </row>
    <row r="8" spans="1:78" ht="29" x14ac:dyDescent="0.4">
      <c r="B8" s="18"/>
      <c r="C8" s="23" t="s">
        <v>14</v>
      </c>
      <c r="D8" s="39" t="s">
        <v>64</v>
      </c>
      <c r="E8" s="27"/>
      <c r="G8" s="2"/>
    </row>
    <row r="9" spans="1:78" ht="58" x14ac:dyDescent="0.4">
      <c r="B9" s="18"/>
      <c r="C9" s="23" t="s">
        <v>15</v>
      </c>
      <c r="D9" s="39" t="s">
        <v>62</v>
      </c>
      <c r="E9" s="27"/>
      <c r="F9" s="14" t="s">
        <v>2</v>
      </c>
      <c r="G9" s="2"/>
    </row>
    <row r="10" spans="1:78" ht="29.5" customHeight="1" x14ac:dyDescent="0.4">
      <c r="B10" s="18"/>
      <c r="C10" s="23" t="s">
        <v>47</v>
      </c>
      <c r="D10" s="38" t="s">
        <v>63</v>
      </c>
      <c r="E10" s="27"/>
      <c r="G10" s="2"/>
    </row>
    <row r="11" spans="1:78" x14ac:dyDescent="0.4">
      <c r="B11" s="18"/>
      <c r="C11" s="23" t="s">
        <v>16</v>
      </c>
      <c r="D11" s="15" t="str">
        <f>IF(E21&gt;0,"HIGH-RISK",(IF(E52&gt;0,"MEDIUM-RISK","LOW/NORMAL-RISK")))</f>
        <v>MEDIUM-RISK</v>
      </c>
      <c r="E11" s="27"/>
      <c r="G11" s="2"/>
    </row>
    <row r="12" spans="1:78" s="13" customFormat="1" x14ac:dyDescent="0.4">
      <c r="B12" s="18"/>
      <c r="C12" s="41"/>
      <c r="D12" s="42" t="str">
        <f>IF(AND(SUM(E21+E52)=0,E49="Yes"),"Simple PoC","")</f>
        <v/>
      </c>
      <c r="E12" s="27"/>
      <c r="F12" s="14"/>
      <c r="G12" s="2"/>
    </row>
    <row r="13" spans="1:78" x14ac:dyDescent="0.4">
      <c r="B13" s="18"/>
      <c r="C13" s="24" t="s">
        <v>17</v>
      </c>
      <c r="D13" s="34"/>
      <c r="E13" s="27"/>
      <c r="G13" s="2"/>
    </row>
    <row r="14" spans="1:78" ht="169" customHeight="1" x14ac:dyDescent="0.4">
      <c r="B14" s="18"/>
      <c r="C14" s="24" t="s">
        <v>48</v>
      </c>
      <c r="D14" s="40" t="s">
        <v>18</v>
      </c>
      <c r="E14" s="27"/>
      <c r="G14" s="2"/>
    </row>
    <row r="15" spans="1:78" s="13" customFormat="1" x14ac:dyDescent="0.4">
      <c r="B15" s="18"/>
      <c r="E15" s="27"/>
    </row>
    <row r="16" spans="1:78" s="17" customFormat="1" x14ac:dyDescent="0.5">
      <c r="A16" s="16"/>
      <c r="B16" s="18"/>
      <c r="C16" s="58" t="s">
        <v>21</v>
      </c>
      <c r="D16" s="58"/>
      <c r="E16" s="25" t="s">
        <v>19</v>
      </c>
      <c r="F16" s="43"/>
      <c r="G16" s="25" t="s">
        <v>20</v>
      </c>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row>
    <row r="17" spans="1:78" ht="285.64999999999998" customHeight="1" outlineLevel="1" x14ac:dyDescent="0.4">
      <c r="B17" s="26">
        <v>1</v>
      </c>
      <c r="C17" s="59" t="s">
        <v>49</v>
      </c>
      <c r="D17" s="59"/>
      <c r="E17" s="28" t="s">
        <v>65</v>
      </c>
      <c r="F17" s="44">
        <f t="shared" ref="F17:F23" si="0">IF(E17="Yes",1,0)</f>
        <v>0</v>
      </c>
      <c r="G17" s="21"/>
    </row>
    <row r="18" spans="1:78" ht="363.5" customHeight="1" outlineLevel="1" x14ac:dyDescent="0.4">
      <c r="B18" s="26">
        <v>2</v>
      </c>
      <c r="C18" s="50" t="s">
        <v>50</v>
      </c>
      <c r="D18" s="50"/>
      <c r="E18" s="29" t="s">
        <v>65</v>
      </c>
      <c r="F18" s="45">
        <f t="shared" si="0"/>
        <v>0</v>
      </c>
      <c r="G18" s="20"/>
    </row>
    <row r="19" spans="1:78" ht="85" customHeight="1" outlineLevel="1" x14ac:dyDescent="0.4">
      <c r="B19" s="26">
        <v>3</v>
      </c>
      <c r="C19" s="50" t="s">
        <v>51</v>
      </c>
      <c r="D19" s="50"/>
      <c r="E19" s="29" t="s">
        <v>65</v>
      </c>
      <c r="F19" s="45">
        <f t="shared" si="0"/>
        <v>0</v>
      </c>
      <c r="G19" s="20"/>
    </row>
    <row r="20" spans="1:78" ht="41.25" customHeight="1" outlineLevel="1" x14ac:dyDescent="0.4">
      <c r="B20" s="26">
        <v>4</v>
      </c>
      <c r="C20" s="60" t="s">
        <v>52</v>
      </c>
      <c r="D20" s="60"/>
      <c r="E20" s="30" t="s">
        <v>65</v>
      </c>
      <c r="F20" s="45">
        <f t="shared" si="0"/>
        <v>0</v>
      </c>
      <c r="G20" s="20"/>
    </row>
    <row r="21" spans="1:78" x14ac:dyDescent="0.5">
      <c r="C21" s="47" t="s">
        <v>22</v>
      </c>
      <c r="D21" s="47"/>
      <c r="E21" s="31">
        <f>SUM(F17:F20)</f>
        <v>0</v>
      </c>
      <c r="F21" s="22">
        <f t="shared" si="0"/>
        <v>0</v>
      </c>
      <c r="G21" s="2"/>
    </row>
    <row r="22" spans="1:78" s="13" customFormat="1" x14ac:dyDescent="0.4">
      <c r="B22" s="18"/>
      <c r="E22" s="27"/>
      <c r="F22" s="22">
        <f t="shared" si="0"/>
        <v>0</v>
      </c>
      <c r="G22" s="2"/>
    </row>
    <row r="23" spans="1:78" s="13" customFormat="1" x14ac:dyDescent="0.4">
      <c r="B23" s="18"/>
      <c r="E23" s="27"/>
      <c r="F23" s="22">
        <f t="shared" si="0"/>
        <v>0</v>
      </c>
      <c r="G23" s="2"/>
    </row>
    <row r="24" spans="1:78" s="17" customFormat="1" ht="18.5" customHeight="1" x14ac:dyDescent="0.5">
      <c r="A24" s="16"/>
      <c r="B24" s="19"/>
      <c r="C24" s="56" t="s">
        <v>23</v>
      </c>
      <c r="D24" s="56"/>
      <c r="E24" s="36" t="s">
        <v>1</v>
      </c>
      <c r="F24" s="43"/>
      <c r="G24" s="36" t="s">
        <v>20</v>
      </c>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row>
    <row r="25" spans="1:78" ht="14.5" outlineLevel="1" x14ac:dyDescent="0.4">
      <c r="B25" s="63">
        <v>5</v>
      </c>
      <c r="C25" s="61" t="s">
        <v>24</v>
      </c>
      <c r="D25" s="61"/>
      <c r="E25" s="28"/>
      <c r="F25" s="44">
        <f t="shared" ref="F25:F49" si="1">IF(E25="Yes",1,0)</f>
        <v>0</v>
      </c>
      <c r="G25" s="21"/>
    </row>
    <row r="26" spans="1:78" ht="44" customHeight="1" outlineLevel="1" x14ac:dyDescent="0.4">
      <c r="B26" s="63"/>
      <c r="C26" s="62" t="s">
        <v>25</v>
      </c>
      <c r="D26" s="62"/>
      <c r="E26" s="29" t="s">
        <v>65</v>
      </c>
      <c r="F26" s="45">
        <f t="shared" si="1"/>
        <v>0</v>
      </c>
      <c r="G26" s="71"/>
    </row>
    <row r="27" spans="1:78" ht="14.5" outlineLevel="1" x14ac:dyDescent="0.4">
      <c r="B27" s="63"/>
      <c r="C27" s="62" t="s">
        <v>26</v>
      </c>
      <c r="D27" s="62"/>
      <c r="E27" s="29" t="s">
        <v>65</v>
      </c>
      <c r="F27" s="45">
        <f t="shared" si="1"/>
        <v>0</v>
      </c>
      <c r="G27" s="20"/>
    </row>
    <row r="28" spans="1:78" ht="14.5" outlineLevel="1" x14ac:dyDescent="0.4">
      <c r="B28" s="63"/>
      <c r="C28" s="48" t="s">
        <v>27</v>
      </c>
      <c r="D28" s="48"/>
      <c r="E28" s="29" t="s">
        <v>65</v>
      </c>
      <c r="F28" s="45">
        <f t="shared" si="1"/>
        <v>0</v>
      </c>
      <c r="G28" s="20"/>
    </row>
    <row r="29" spans="1:78" ht="14.5" outlineLevel="1" x14ac:dyDescent="0.4">
      <c r="B29" s="63"/>
      <c r="C29" s="48" t="s">
        <v>53</v>
      </c>
      <c r="D29" s="48"/>
      <c r="E29" s="29" t="s">
        <v>65</v>
      </c>
      <c r="F29" s="45">
        <f t="shared" si="1"/>
        <v>0</v>
      </c>
      <c r="G29" s="20"/>
    </row>
    <row r="30" spans="1:78" ht="14.5" outlineLevel="1" x14ac:dyDescent="0.4">
      <c r="B30" s="63"/>
      <c r="C30" s="48" t="s">
        <v>28</v>
      </c>
      <c r="D30" s="48"/>
      <c r="E30" s="29" t="s">
        <v>65</v>
      </c>
      <c r="F30" s="45">
        <f>IF(E30="Yes",1,0)</f>
        <v>0</v>
      </c>
      <c r="G30" s="20"/>
    </row>
    <row r="31" spans="1:78" ht="14.5" outlineLevel="1" x14ac:dyDescent="0.4">
      <c r="B31" s="63"/>
      <c r="C31" s="48" t="s">
        <v>29</v>
      </c>
      <c r="D31" s="48"/>
      <c r="E31" s="29" t="s">
        <v>65</v>
      </c>
      <c r="F31" s="45">
        <f t="shared" si="1"/>
        <v>0</v>
      </c>
      <c r="G31" s="20"/>
    </row>
    <row r="32" spans="1:78" ht="130.5" outlineLevel="1" x14ac:dyDescent="0.4">
      <c r="B32" s="63"/>
      <c r="C32" s="51" t="s">
        <v>31</v>
      </c>
      <c r="D32" s="52"/>
      <c r="E32" s="29" t="s">
        <v>66</v>
      </c>
      <c r="F32" s="45">
        <f t="shared" si="1"/>
        <v>1</v>
      </c>
      <c r="G32" s="70" t="s">
        <v>67</v>
      </c>
    </row>
    <row r="33" spans="2:7" ht="14.5" customHeight="1" outlineLevel="1" x14ac:dyDescent="0.4">
      <c r="B33" s="63"/>
      <c r="C33" s="53" t="s">
        <v>30</v>
      </c>
      <c r="D33" s="54"/>
      <c r="E33" s="29" t="s">
        <v>65</v>
      </c>
      <c r="F33" s="45">
        <f t="shared" si="1"/>
        <v>0</v>
      </c>
      <c r="G33" s="20"/>
    </row>
    <row r="34" spans="2:7" ht="14.5" outlineLevel="1" x14ac:dyDescent="0.4">
      <c r="B34" s="63">
        <v>6</v>
      </c>
      <c r="C34" s="55" t="s">
        <v>32</v>
      </c>
      <c r="D34" s="55"/>
      <c r="E34" s="29"/>
      <c r="F34" s="45">
        <f t="shared" si="1"/>
        <v>0</v>
      </c>
      <c r="G34" s="20"/>
    </row>
    <row r="35" spans="2:7" ht="28" customHeight="1" outlineLevel="1" x14ac:dyDescent="0.4">
      <c r="B35" s="63"/>
      <c r="C35" s="48" t="s">
        <v>33</v>
      </c>
      <c r="D35" s="48"/>
      <c r="E35" s="29" t="s">
        <v>66</v>
      </c>
      <c r="F35" s="45"/>
      <c r="G35" s="20"/>
    </row>
    <row r="36" spans="2:7" ht="20" customHeight="1" outlineLevel="2" x14ac:dyDescent="0.4">
      <c r="B36" s="63"/>
      <c r="C36" s="65" t="s">
        <v>34</v>
      </c>
      <c r="D36" s="65"/>
      <c r="E36" s="29" t="s">
        <v>65</v>
      </c>
      <c r="F36" s="45">
        <f>IF(E36="No",1,0)</f>
        <v>1</v>
      </c>
      <c r="G36" s="20"/>
    </row>
    <row r="37" spans="2:7" ht="14.5" outlineLevel="2" x14ac:dyDescent="0.4">
      <c r="B37" s="63"/>
      <c r="C37" s="65" t="s">
        <v>35</v>
      </c>
      <c r="D37" s="65"/>
      <c r="E37" s="29" t="s">
        <v>65</v>
      </c>
      <c r="F37" s="45">
        <f t="shared" ref="F37:F40" si="2">IF(E37="No",1,0)</f>
        <v>1</v>
      </c>
      <c r="G37" s="20"/>
    </row>
    <row r="38" spans="2:7" ht="27" customHeight="1" outlineLevel="2" x14ac:dyDescent="0.4">
      <c r="B38" s="63"/>
      <c r="C38" s="65" t="s">
        <v>54</v>
      </c>
      <c r="D38" s="65"/>
      <c r="E38" s="29" t="s">
        <v>66</v>
      </c>
      <c r="F38" s="45">
        <f t="shared" si="2"/>
        <v>0</v>
      </c>
      <c r="G38" s="20"/>
    </row>
    <row r="39" spans="2:7" ht="14.5" outlineLevel="2" x14ac:dyDescent="0.4">
      <c r="B39" s="63"/>
      <c r="C39" s="65" t="s">
        <v>41</v>
      </c>
      <c r="D39" s="65"/>
      <c r="E39" s="29" t="s">
        <v>66</v>
      </c>
      <c r="F39" s="45">
        <f t="shared" si="2"/>
        <v>0</v>
      </c>
      <c r="G39" s="20"/>
    </row>
    <row r="40" spans="2:7" ht="23" customHeight="1" outlineLevel="2" x14ac:dyDescent="0.4">
      <c r="B40" s="63"/>
      <c r="C40" s="65" t="s">
        <v>55</v>
      </c>
      <c r="D40" s="65"/>
      <c r="E40" s="29" t="s">
        <v>66</v>
      </c>
      <c r="F40" s="45">
        <f t="shared" si="2"/>
        <v>0</v>
      </c>
      <c r="G40" s="20"/>
    </row>
    <row r="41" spans="2:7" ht="14.5" outlineLevel="1" x14ac:dyDescent="0.4">
      <c r="B41" s="63"/>
      <c r="C41" s="48" t="s">
        <v>42</v>
      </c>
      <c r="D41" s="48"/>
      <c r="E41" s="29" t="s">
        <v>65</v>
      </c>
      <c r="F41" s="45">
        <f t="shared" si="1"/>
        <v>0</v>
      </c>
      <c r="G41" s="20"/>
    </row>
    <row r="42" spans="2:7" ht="14.5" outlineLevel="1" x14ac:dyDescent="0.4">
      <c r="B42" s="63"/>
      <c r="C42" s="48" t="s">
        <v>43</v>
      </c>
      <c r="D42" s="48"/>
      <c r="E42" s="29" t="s">
        <v>66</v>
      </c>
      <c r="F42" s="45">
        <f t="shared" si="1"/>
        <v>1</v>
      </c>
      <c r="G42" s="20"/>
    </row>
    <row r="43" spans="2:7" ht="14.5" outlineLevel="1" x14ac:dyDescent="0.4">
      <c r="B43" s="63"/>
      <c r="C43" s="48" t="s">
        <v>36</v>
      </c>
      <c r="D43" s="48"/>
      <c r="E43" s="29" t="s">
        <v>65</v>
      </c>
      <c r="F43" s="45">
        <f t="shared" si="1"/>
        <v>0</v>
      </c>
      <c r="G43" s="20"/>
    </row>
    <row r="44" spans="2:7" ht="14.5" outlineLevel="1" x14ac:dyDescent="0.4">
      <c r="B44" s="63"/>
      <c r="C44" s="48" t="s">
        <v>37</v>
      </c>
      <c r="D44" s="48"/>
      <c r="E44" s="29" t="s">
        <v>65</v>
      </c>
      <c r="F44" s="45">
        <f t="shared" si="1"/>
        <v>0</v>
      </c>
      <c r="G44" s="20"/>
    </row>
    <row r="45" spans="2:7" ht="14.5" outlineLevel="1" x14ac:dyDescent="0.4">
      <c r="B45" s="63"/>
      <c r="C45" s="48" t="s">
        <v>38</v>
      </c>
      <c r="D45" s="48"/>
      <c r="E45" s="29" t="s">
        <v>65</v>
      </c>
      <c r="F45" s="45">
        <f t="shared" si="1"/>
        <v>0</v>
      </c>
      <c r="G45" s="20"/>
    </row>
    <row r="46" spans="2:7" ht="14.5" outlineLevel="1" x14ac:dyDescent="0.4">
      <c r="B46" s="63"/>
      <c r="C46" s="48" t="s">
        <v>39</v>
      </c>
      <c r="D46" s="48"/>
      <c r="E46" s="29" t="s">
        <v>65</v>
      </c>
      <c r="F46" s="45">
        <f t="shared" si="1"/>
        <v>0</v>
      </c>
      <c r="G46" s="20"/>
    </row>
    <row r="47" spans="2:7" ht="14.5" outlineLevel="1" x14ac:dyDescent="0.4">
      <c r="B47" s="63"/>
      <c r="C47" s="49" t="s">
        <v>44</v>
      </c>
      <c r="D47" s="49"/>
      <c r="E47" s="29" t="s">
        <v>65</v>
      </c>
      <c r="F47" s="45">
        <f t="shared" si="1"/>
        <v>0</v>
      </c>
      <c r="G47" s="20"/>
    </row>
    <row r="48" spans="2:7" ht="14.5" outlineLevel="1" x14ac:dyDescent="0.4">
      <c r="B48" s="63"/>
      <c r="C48" s="49" t="s">
        <v>45</v>
      </c>
      <c r="D48" s="49"/>
      <c r="E48" s="29" t="s">
        <v>65</v>
      </c>
      <c r="F48" s="45">
        <f t="shared" si="1"/>
        <v>0</v>
      </c>
      <c r="G48" s="20"/>
    </row>
    <row r="49" spans="2:7" ht="179.4" customHeight="1" outlineLevel="1" x14ac:dyDescent="0.4">
      <c r="B49" s="35">
        <v>7</v>
      </c>
      <c r="C49" s="50" t="s">
        <v>56</v>
      </c>
      <c r="D49" s="50"/>
      <c r="E49" s="29" t="s">
        <v>65</v>
      </c>
      <c r="F49" s="45">
        <f t="shared" si="1"/>
        <v>0</v>
      </c>
      <c r="G49" s="20"/>
    </row>
    <row r="50" spans="2:7" ht="50.5" customHeight="1" outlineLevel="1" x14ac:dyDescent="0.4">
      <c r="B50" s="35">
        <v>8</v>
      </c>
      <c r="C50" s="50" t="s">
        <v>57</v>
      </c>
      <c r="D50" s="50"/>
      <c r="E50" s="29" t="s">
        <v>66</v>
      </c>
      <c r="F50" s="45">
        <f>IF(E50="Yes",1,0)</f>
        <v>1</v>
      </c>
      <c r="G50" s="20"/>
    </row>
    <row r="51" spans="2:7" ht="76" customHeight="1" outlineLevel="1" x14ac:dyDescent="0.4">
      <c r="B51" s="35">
        <v>9</v>
      </c>
      <c r="C51" s="50" t="s">
        <v>58</v>
      </c>
      <c r="D51" s="50"/>
      <c r="E51" s="29" t="s">
        <v>68</v>
      </c>
      <c r="F51" s="45">
        <f>IF(E51="Yes",1,0)</f>
        <v>0</v>
      </c>
      <c r="G51" s="20"/>
    </row>
    <row r="52" spans="2:7" x14ac:dyDescent="0.5">
      <c r="B52" s="18"/>
      <c r="C52" s="46" t="s">
        <v>40</v>
      </c>
      <c r="D52" s="46"/>
      <c r="E52" s="33">
        <f>SUM(F25:F51)</f>
        <v>5</v>
      </c>
      <c r="G52" s="2"/>
    </row>
    <row r="53" spans="2:7" s="13" customFormat="1" x14ac:dyDescent="0.4">
      <c r="B53" s="18"/>
      <c r="E53" s="27"/>
      <c r="F53" s="14"/>
      <c r="G53" s="2"/>
    </row>
    <row r="54" spans="2:7" s="13" customFormat="1" x14ac:dyDescent="0.4">
      <c r="B54" s="18"/>
      <c r="E54" s="27"/>
      <c r="F54" s="14"/>
      <c r="G54" s="2"/>
    </row>
    <row r="55" spans="2:7" s="13" customFormat="1" x14ac:dyDescent="0.4">
      <c r="B55" s="18"/>
      <c r="E55" s="27"/>
      <c r="F55" s="14"/>
      <c r="G55" s="2"/>
    </row>
    <row r="56" spans="2:7" s="13" customFormat="1" x14ac:dyDescent="0.4">
      <c r="B56" s="18"/>
      <c r="E56" s="27"/>
      <c r="F56" s="14"/>
      <c r="G56" s="2"/>
    </row>
    <row r="57" spans="2:7" s="13" customFormat="1" x14ac:dyDescent="0.4">
      <c r="B57" s="18"/>
      <c r="E57" s="27"/>
      <c r="F57" s="14"/>
      <c r="G57" s="2"/>
    </row>
    <row r="58" spans="2:7" s="13" customFormat="1" x14ac:dyDescent="0.4">
      <c r="B58" s="18"/>
      <c r="E58" s="27"/>
      <c r="F58" s="14"/>
      <c r="G58" s="2"/>
    </row>
    <row r="59" spans="2:7" s="13" customFormat="1" x14ac:dyDescent="0.4">
      <c r="B59" s="18"/>
      <c r="E59" s="27"/>
      <c r="F59" s="14"/>
      <c r="G59" s="2"/>
    </row>
    <row r="60" spans="2:7" s="13" customFormat="1" x14ac:dyDescent="0.4">
      <c r="B60" s="18"/>
      <c r="E60" s="27"/>
      <c r="F60" s="14"/>
      <c r="G60" s="2"/>
    </row>
    <row r="61" spans="2:7" s="13" customFormat="1" x14ac:dyDescent="0.4">
      <c r="B61" s="18"/>
      <c r="E61" s="27"/>
      <c r="F61" s="14"/>
      <c r="G61" s="2"/>
    </row>
    <row r="62" spans="2:7" s="13" customFormat="1" x14ac:dyDescent="0.4">
      <c r="B62" s="18"/>
      <c r="E62" s="27"/>
      <c r="F62" s="14"/>
      <c r="G62" s="2"/>
    </row>
    <row r="63" spans="2:7" s="13" customFormat="1" x14ac:dyDescent="0.4">
      <c r="B63" s="18"/>
      <c r="E63" s="27"/>
      <c r="F63" s="14"/>
      <c r="G63" s="2"/>
    </row>
    <row r="64" spans="2:7" s="13" customFormat="1" x14ac:dyDescent="0.4">
      <c r="B64" s="18"/>
      <c r="E64" s="27"/>
      <c r="F64" s="14"/>
      <c r="G64" s="2"/>
    </row>
    <row r="65" spans="2:7" s="13" customFormat="1" x14ac:dyDescent="0.4">
      <c r="B65" s="18"/>
      <c r="E65" s="27"/>
      <c r="F65" s="14"/>
      <c r="G65" s="2"/>
    </row>
    <row r="66" spans="2:7" s="13" customFormat="1" x14ac:dyDescent="0.4">
      <c r="B66" s="18"/>
      <c r="E66" s="27"/>
      <c r="F66" s="14"/>
      <c r="G66" s="2"/>
    </row>
    <row r="67" spans="2:7" s="13" customFormat="1" x14ac:dyDescent="0.4">
      <c r="B67" s="18"/>
      <c r="E67" s="27"/>
      <c r="F67" s="14"/>
      <c r="G67" s="2"/>
    </row>
    <row r="68" spans="2:7" s="13" customFormat="1" x14ac:dyDescent="0.4">
      <c r="B68" s="18"/>
      <c r="E68" s="27"/>
      <c r="F68" s="14"/>
      <c r="G68" s="2"/>
    </row>
    <row r="69" spans="2:7" s="13" customFormat="1" x14ac:dyDescent="0.4">
      <c r="B69" s="18"/>
      <c r="E69" s="27"/>
      <c r="F69" s="14"/>
      <c r="G69" s="2"/>
    </row>
    <row r="70" spans="2:7" s="13" customFormat="1" x14ac:dyDescent="0.4">
      <c r="B70" s="18"/>
      <c r="E70" s="27"/>
      <c r="F70" s="14"/>
      <c r="G70" s="2"/>
    </row>
    <row r="71" spans="2:7" s="13" customFormat="1" x14ac:dyDescent="0.4">
      <c r="B71" s="18"/>
      <c r="E71" s="27"/>
      <c r="F71" s="14"/>
      <c r="G71" s="2"/>
    </row>
    <row r="72" spans="2:7" s="13" customFormat="1" x14ac:dyDescent="0.4">
      <c r="B72" s="18"/>
      <c r="E72" s="27"/>
      <c r="F72" s="14"/>
      <c r="G72" s="2"/>
    </row>
    <row r="73" spans="2:7" s="13" customFormat="1" x14ac:dyDescent="0.4">
      <c r="B73" s="18"/>
      <c r="E73" s="27"/>
      <c r="F73" s="14"/>
      <c r="G73" s="2"/>
    </row>
    <row r="74" spans="2:7" s="13" customFormat="1" x14ac:dyDescent="0.4">
      <c r="B74" s="18"/>
      <c r="E74" s="27"/>
      <c r="F74" s="14"/>
      <c r="G74" s="2"/>
    </row>
    <row r="75" spans="2:7" s="13" customFormat="1" x14ac:dyDescent="0.4">
      <c r="B75" s="18"/>
      <c r="E75" s="27"/>
      <c r="F75" s="14"/>
      <c r="G75" s="2"/>
    </row>
    <row r="76" spans="2:7" s="13" customFormat="1" x14ac:dyDescent="0.4">
      <c r="B76" s="18"/>
      <c r="E76" s="27"/>
      <c r="F76" s="14"/>
      <c r="G76" s="2"/>
    </row>
    <row r="77" spans="2:7" s="13" customFormat="1" x14ac:dyDescent="0.4">
      <c r="B77" s="18"/>
      <c r="E77" s="27"/>
      <c r="F77" s="14"/>
      <c r="G77" s="2"/>
    </row>
    <row r="78" spans="2:7" s="13" customFormat="1" x14ac:dyDescent="0.4">
      <c r="B78" s="18"/>
      <c r="E78" s="27"/>
      <c r="F78" s="14"/>
      <c r="G78" s="2"/>
    </row>
    <row r="79" spans="2:7" s="13" customFormat="1" x14ac:dyDescent="0.4">
      <c r="B79" s="18"/>
      <c r="E79" s="27"/>
      <c r="F79" s="14"/>
      <c r="G79" s="2"/>
    </row>
    <row r="80" spans="2:7" s="13" customFormat="1" x14ac:dyDescent="0.4">
      <c r="B80" s="18"/>
      <c r="E80" s="27"/>
      <c r="F80" s="14"/>
      <c r="G80" s="2"/>
    </row>
    <row r="81" spans="2:7" s="13" customFormat="1" x14ac:dyDescent="0.4">
      <c r="B81" s="18"/>
      <c r="E81" s="27"/>
      <c r="F81" s="14"/>
      <c r="G81" s="2"/>
    </row>
    <row r="82" spans="2:7" s="13" customFormat="1" x14ac:dyDescent="0.4">
      <c r="B82" s="18"/>
      <c r="E82" s="27"/>
      <c r="F82" s="14"/>
      <c r="G82" s="2"/>
    </row>
    <row r="83" spans="2:7" s="13" customFormat="1" x14ac:dyDescent="0.4">
      <c r="B83" s="18"/>
      <c r="E83" s="27"/>
      <c r="F83" s="14"/>
      <c r="G83" s="2"/>
    </row>
    <row r="84" spans="2:7" s="13" customFormat="1" x14ac:dyDescent="0.4">
      <c r="B84" s="18"/>
      <c r="E84" s="27"/>
      <c r="F84" s="14"/>
      <c r="G84" s="2"/>
    </row>
    <row r="85" spans="2:7" s="13" customFormat="1" x14ac:dyDescent="0.4">
      <c r="B85" s="18"/>
      <c r="E85" s="27"/>
      <c r="F85" s="14"/>
      <c r="G85" s="2"/>
    </row>
    <row r="86" spans="2:7" s="13" customFormat="1" x14ac:dyDescent="0.4">
      <c r="B86" s="18"/>
      <c r="E86" s="27"/>
      <c r="F86" s="14"/>
      <c r="G86" s="2"/>
    </row>
    <row r="87" spans="2:7" s="13" customFormat="1" x14ac:dyDescent="0.4">
      <c r="B87" s="18"/>
      <c r="E87" s="27"/>
      <c r="F87" s="14"/>
      <c r="G87" s="2"/>
    </row>
    <row r="88" spans="2:7" s="13" customFormat="1" x14ac:dyDescent="0.4">
      <c r="B88" s="18"/>
      <c r="E88" s="27"/>
      <c r="F88" s="14"/>
      <c r="G88" s="2"/>
    </row>
    <row r="89" spans="2:7" s="13" customFormat="1" x14ac:dyDescent="0.4">
      <c r="B89" s="18"/>
      <c r="E89" s="27"/>
      <c r="F89" s="14"/>
      <c r="G89" s="2"/>
    </row>
    <row r="90" spans="2:7" s="13" customFormat="1" x14ac:dyDescent="0.4">
      <c r="B90" s="18"/>
      <c r="E90" s="27"/>
      <c r="F90" s="14"/>
      <c r="G90" s="2"/>
    </row>
    <row r="91" spans="2:7" s="13" customFormat="1" x14ac:dyDescent="0.4">
      <c r="B91" s="18"/>
      <c r="E91" s="27"/>
      <c r="F91" s="14"/>
      <c r="G91" s="2"/>
    </row>
    <row r="92" spans="2:7" s="13" customFormat="1" x14ac:dyDescent="0.4">
      <c r="B92" s="18"/>
      <c r="E92" s="27"/>
      <c r="F92" s="14"/>
      <c r="G92" s="2"/>
    </row>
    <row r="93" spans="2:7" s="13" customFormat="1" x14ac:dyDescent="0.4">
      <c r="B93" s="18"/>
      <c r="E93" s="27"/>
      <c r="F93" s="14"/>
      <c r="G93" s="2"/>
    </row>
    <row r="94" spans="2:7" s="13" customFormat="1" x14ac:dyDescent="0.4">
      <c r="B94" s="18"/>
      <c r="E94" s="27"/>
      <c r="F94" s="14"/>
      <c r="G94" s="2"/>
    </row>
  </sheetData>
  <dataConsolidate/>
  <mergeCells count="40">
    <mergeCell ref="B34:B48"/>
    <mergeCell ref="B25:B33"/>
    <mergeCell ref="C2:D2"/>
    <mergeCell ref="C48:D48"/>
    <mergeCell ref="C36:D36"/>
    <mergeCell ref="C37:D37"/>
    <mergeCell ref="C38:D38"/>
    <mergeCell ref="C39:D39"/>
    <mergeCell ref="C40:D40"/>
    <mergeCell ref="H5:I5"/>
    <mergeCell ref="H7:I7"/>
    <mergeCell ref="C50:D50"/>
    <mergeCell ref="C51:D51"/>
    <mergeCell ref="C16:D16"/>
    <mergeCell ref="C17:D17"/>
    <mergeCell ref="C18:D18"/>
    <mergeCell ref="C19:D19"/>
    <mergeCell ref="C20:D20"/>
    <mergeCell ref="C25:D25"/>
    <mergeCell ref="C26:D26"/>
    <mergeCell ref="C27:D27"/>
    <mergeCell ref="C28:D28"/>
    <mergeCell ref="C29:D29"/>
    <mergeCell ref="C30:D30"/>
    <mergeCell ref="C52:D52"/>
    <mergeCell ref="C21:D21"/>
    <mergeCell ref="C43:D43"/>
    <mergeCell ref="C44:D44"/>
    <mergeCell ref="C45:D45"/>
    <mergeCell ref="C46:D46"/>
    <mergeCell ref="C47:D47"/>
    <mergeCell ref="C49:D49"/>
    <mergeCell ref="C32:D32"/>
    <mergeCell ref="C33:D33"/>
    <mergeCell ref="C34:D34"/>
    <mergeCell ref="C35:D35"/>
    <mergeCell ref="C41:D41"/>
    <mergeCell ref="C42:D42"/>
    <mergeCell ref="C31:D31"/>
    <mergeCell ref="C24:D24"/>
  </mergeCells>
  <conditionalFormatting sqref="D11:D13 K2">
    <cfRule type="containsText" dxfId="4" priority="5" operator="containsText" text="High">
      <formula>NOT(ISERROR(SEARCH("High",D2)))</formula>
    </cfRule>
  </conditionalFormatting>
  <conditionalFormatting sqref="D11:D13">
    <cfRule type="containsText" dxfId="3" priority="2" operator="containsText" text="LOW/NORMAL-RISK">
      <formula>NOT(ISERROR(SEARCH("LOW/NORMAL-RISK",D11)))</formula>
    </cfRule>
    <cfRule type="containsText" dxfId="2" priority="3" operator="containsText" text="MEDIUM-RISK">
      <formula>NOT(ISERROR(SEARCH("MEDIUM-RISK",D11)))</formula>
    </cfRule>
  </conditionalFormatting>
  <conditionalFormatting sqref="D12:D13">
    <cfRule type="containsText" dxfId="1" priority="1" operator="containsText" text="Simple PoC">
      <formula>NOT(ISERROR(SEARCH("Simple PoC",D12)))</formula>
    </cfRule>
  </conditionalFormatting>
  <conditionalFormatting sqref="J16">
    <cfRule type="containsText" dxfId="0" priority="4" operator="containsText" text="High">
      <formula>NOT(ISERROR(SEARCH("High",J16)))</formula>
    </cfRule>
  </conditionalFormatting>
  <dataValidations count="1">
    <dataValidation type="list" allowBlank="1" showInputMessage="1" showErrorMessage="1" sqref="E17:E20 E26:E33 E35:E51" xr:uid="{BFCD877F-52D3-4463-8BA2-27B0FA9BB2F3}">
      <formula1>"Yes,No,TBC"</formula1>
    </dataValidation>
  </dataValidations>
  <pageMargins left="0.7" right="0.7" top="0.75" bottom="0.75" header="0.3" footer="0.3"/>
  <pageSetup paperSize="9" scale="34"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6908BD4516B004588F83DF058126254" ma:contentTypeVersion="16" ma:contentTypeDescription="Create a new document." ma:contentTypeScope="" ma:versionID="5072b76b224f22c683f11ef7f610a8d5">
  <xsd:schema xmlns:xsd="http://www.w3.org/2001/XMLSchema" xmlns:xs="http://www.w3.org/2001/XMLSchema" xmlns:p="http://schemas.microsoft.com/office/2006/metadata/properties" xmlns:ns2="05194344-b16b-4cdd-919b-7d2c10957e46" xmlns:ns3="fea8ac73-90e4-432c-b893-d481c4dd49ac" targetNamespace="http://schemas.microsoft.com/office/2006/metadata/properties" ma:root="true" ma:fieldsID="010a8d6cdc89e2a95ae5d277f0954de0" ns2:_="" ns3:_="">
    <xsd:import namespace="05194344-b16b-4cdd-919b-7d2c10957e46"/>
    <xsd:import namespace="fea8ac73-90e4-432c-b893-d481c4dd49ac"/>
    <xsd:element name="properties">
      <xsd:complexType>
        <xsd:sequence>
          <xsd:element name="documentManagement">
            <xsd:complexType>
              <xsd:all>
                <xsd:element ref="ns2:KXStatus" minOccurs="0"/>
                <xsd:element ref="ns2:KXDocumentID" minOccurs="0"/>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5194344-b16b-4cdd-919b-7d2c10957e46" elementFormDefault="qualified">
    <xsd:import namespace="http://schemas.microsoft.com/office/2006/documentManagement/types"/>
    <xsd:import namespace="http://schemas.microsoft.com/office/infopath/2007/PartnerControls"/>
    <xsd:element name="KXStatus" ma:index="8" nillable="true" ma:displayName="KXStatus" ma:format="Dropdown" ma:internalName="KXStatus">
      <xsd:simpleType>
        <xsd:union memberTypes="dms:Text">
          <xsd:simpleType>
            <xsd:restriction base="dms:Choice">
              <xsd:enumeration value="Contributed"/>
              <xsd:enumeration value="Published"/>
              <xsd:enumeration value="Processing by AI"/>
            </xsd:restriction>
          </xsd:simpleType>
        </xsd:union>
      </xsd:simpleType>
    </xsd:element>
    <xsd:element name="KXDocumentID" ma:index="9" nillable="true" ma:displayName="KXDocumentID" ma:format="Dropdown" ma:indexed="true" ma:internalName="KXDocumentID" ma:percentage="FALSE">
      <xsd:simpleType>
        <xsd:restriction base="dms:Number"/>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ea8ac73-90e4-432c-b893-d481c4dd49ac"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2dec25c0-919b-4fce-add4-9c773df6b989}" ma:internalName="TaxCatchAll" ma:showField="CatchAllData" ma:web="fea8ac73-90e4-432c-b893-d481c4dd49ac">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KXDocumentID xmlns="05194344-b16b-4cdd-919b-7d2c10957e46" xsi:nil="true"/>
    <KXStatus xmlns="05194344-b16b-4cdd-919b-7d2c10957e46" xsi:nil="true"/>
    <lcf76f155ced4ddcb4097134ff3c332f xmlns="05194344-b16b-4cdd-919b-7d2c10957e46">
      <Terms xmlns="http://schemas.microsoft.com/office/infopath/2007/PartnerControls"/>
    </lcf76f155ced4ddcb4097134ff3c332f>
    <TaxCatchAll xmlns="fea8ac73-90e4-432c-b893-d481c4dd49a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0B76ED9-DDE2-45D9-8DFC-5AFA1B6A84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5194344-b16b-4cdd-919b-7d2c10957e46"/>
    <ds:schemaRef ds:uri="fea8ac73-90e4-432c-b893-d481c4dd49a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EC7F364-3FEE-42CA-8900-7830890FA00C}">
  <ds:schemaRefs>
    <ds:schemaRef ds:uri="http://schemas.microsoft.com/office/2006/metadata/properties"/>
    <ds:schemaRef ds:uri="http://schemas.microsoft.com/office/infopath/2007/PartnerControls"/>
    <ds:schemaRef ds:uri="05194344-b16b-4cdd-919b-7d2c10957e46"/>
    <ds:schemaRef ds:uri="fea8ac73-90e4-432c-b893-d481c4dd49ac"/>
  </ds:schemaRefs>
</ds:datastoreItem>
</file>

<file path=customXml/itemProps3.xml><?xml version="1.0" encoding="utf-8"?>
<ds:datastoreItem xmlns:ds="http://schemas.openxmlformats.org/officeDocument/2006/customXml" ds:itemID="{58EECE67-7C2D-4777-A6EA-2B08B9CB2AC0}">
  <ds:schemaRefs>
    <ds:schemaRef ds:uri="http://schemas.microsoft.com/sharepoint/v3/contenttype/forms"/>
  </ds:schemaRefs>
</ds:datastoreItem>
</file>

<file path=docMetadata/LabelInfo.xml><?xml version="1.0" encoding="utf-8"?>
<clbl:labelList xmlns:clbl="http://schemas.microsoft.com/office/2020/mipLabelMetadata">
  <clbl:label id="{ea60d57e-af5b-4752-ac57-3e4f28ca11dc}" enabled="1" method="Standard" siteId="{36da45f1-dd2c-4d1f-af13-5abe46b9992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LEER PRIMERO</vt:lpstr>
      <vt:lpstr>Evaluación</vt:lpstr>
      <vt:lpstr>Evaluación!Print_Area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2024-12-11T11:18:03Z</dcterms:created>
  <dcterms:modified xsi:type="dcterms:W3CDTF">2026-10-08T20:22:26Z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2024-12-11T11:18:18Z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6c6d7d50-88b0-464b-ad32-e973844126b6</vt:lpwstr>
  </property>
  <property fmtid="{D5CDD505-2E9C-101B-9397-08002B2CF9AE}" pid="8" name="MSIP_Label_ea60d57e-af5b-4752-ac57-3e4f28ca11dc_ContentBits">
    <vt:lpwstr>0</vt:lpwstr>
  </property>
  <property fmtid="{D5CDD505-2E9C-101B-9397-08002B2CF9AE}" pid="9" name="ContentTypeId">
    <vt:lpwstr>0x01010076908BD4516B004588F83DF058126254</vt:lpwstr>
  </property>
</Properties>
</file>