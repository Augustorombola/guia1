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nel BOT" sheetId="1" state="visible" r:id="rId3"/>
    <sheet name="Datos iniciales" sheetId="2" state="visible" r:id="rId4"/>
    <sheet name="Balance para fines fiscales" sheetId="3" state="visible" r:id="rId5"/>
    <sheet name="Activo" sheetId="4" state="visible" r:id="rId6"/>
    <sheet name="Pasivo" sheetId="5" state="visible" r:id="rId7"/>
    <sheet name="Estado de resultados" sheetId="6" state="visible" r:id="rId8"/>
    <sheet name="Patrimonio neto" sheetId="7" state="visible" r:id="rId9"/>
    <sheet name="Amortizaciones aceleradas" sheetId="8" state="visible" r:id="rId10"/>
    <sheet name="Resultado atribuible socios" sheetId="9" state="visible" r:id="rId11"/>
    <sheet name="Distribución por tipo fuente" sheetId="10" state="visible" r:id="rId12"/>
    <sheet name="Ajuste por inflación impositivo" sheetId="11" state="visible" r:id="rId13"/>
    <sheet name="Ajustes - fuente argentina" sheetId="12" state="visible" r:id="rId14"/>
    <sheet name="Ajustes - fuente extranjera" sheetId="13" state="visible" r:id="rId15"/>
    <sheet name="Quebrantos períodos anteriores" sheetId="14" state="visible" r:id="rId16"/>
    <sheet name="Determinación resultado neto" sheetId="15" state="visible" r:id="rId17"/>
    <sheet name="Donaciones efectuadas" sheetId="16" state="visible" r:id="rId18"/>
    <sheet name="Determinación del saldo" sheetId="17" state="visible" r:id="rId19"/>
    <sheet name="Anticipos imp créd. y débitos" sheetId="18" state="visible" r:id="rId20"/>
    <sheet name="Imp créditos y débitos" sheetId="19" state="visible" r:id="rId21"/>
    <sheet name="Retenciones y percepciones" sheetId="20" state="visible" r:id="rId22"/>
    <sheet name="Percepciones no computables" sheetId="21" state="visible" r:id="rId23"/>
    <sheet name="Listas" sheetId="22" state="hidden" r:id="rId2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<sst xmlns="http://schemas.openxmlformats.org/spreadsheetml/2006/main" count="879" uniqueCount="678">
  <si>
    <t xml:space="preserve">PANEL DE PROCESO </t>
  </si>
  <si>
    <t xml:space="preserve">Nombre Declaracion </t>
  </si>
  <si>
    <t xml:space="preserve">Procesa (SI/NO)</t>
  </si>
  <si>
    <t xml:space="preserve">Activo</t>
  </si>
  <si>
    <t xml:space="preserve">NO</t>
  </si>
  <si>
    <t xml:space="preserve">Pasivo</t>
  </si>
  <si>
    <t xml:space="preserve">Estado de resultados</t>
  </si>
  <si>
    <t xml:space="preserve">Patrimonio neto</t>
  </si>
  <si>
    <t xml:space="preserve">Amortizaciones aceleradas</t>
  </si>
  <si>
    <t xml:space="preserve">Resultado atribuible socios</t>
  </si>
  <si>
    <t xml:space="preserve">Distribución por tipo fuente</t>
  </si>
  <si>
    <t xml:space="preserve">Ajuste por inflación impositivo</t>
  </si>
  <si>
    <t xml:space="preserve">Ajustes - fuente argentina</t>
  </si>
  <si>
    <t xml:space="preserve">Ajustes - fuente extranjera</t>
  </si>
  <si>
    <t xml:space="preserve">Quebrantos períodos anteriores</t>
  </si>
  <si>
    <t xml:space="preserve">Determinación resultado neto</t>
  </si>
  <si>
    <t xml:space="preserve">Donaciones efectuadas</t>
  </si>
  <si>
    <t xml:space="preserve">Determinación del saldo</t>
  </si>
  <si>
    <t xml:space="preserve">Anticipos imp créd. y débitos</t>
  </si>
  <si>
    <t xml:space="preserve">Imp créditos y débitos</t>
  </si>
  <si>
    <t xml:space="preserve">Retenciones y percepciones</t>
  </si>
  <si>
    <t xml:space="preserve">Percepciones no computables</t>
  </si>
  <si>
    <t xml:space="preserve">Inicio / Datos iniciales</t>
  </si>
  <si>
    <t xml:space="preserve">Datos iniciales</t>
  </si>
  <si>
    <t xml:space="preserve">Contribuyente</t>
  </si>
  <si>
    <t xml:space="preserve">Dato</t>
  </si>
  <si>
    <t xml:space="preserve">Representando a (denominación)</t>
  </si>
  <si>
    <t xml:space="preserve">CUIT</t>
  </si>
  <si>
    <t xml:space="preserve">Período fiscal</t>
  </si>
  <si>
    <t xml:space="preserve">Secuencia</t>
  </si>
  <si>
    <t xml:space="preserve">Original</t>
  </si>
  <si>
    <t xml:space="preserve">Ejercicio (Regular / Irregular)</t>
  </si>
  <si>
    <t xml:space="preserve">Regular</t>
  </si>
  <si>
    <t xml:space="preserve">Mes de cierre</t>
  </si>
  <si>
    <t xml:space="preserve">Mes/Año de inicio del período (MM/AAAA)</t>
  </si>
  <si>
    <t xml:space="preserve">Establecimiento</t>
  </si>
  <si>
    <t xml:space="preserve">Empresa promovida</t>
  </si>
  <si>
    <t xml:space="preserve">Tildá las condiciones que aplican para este período (SI / NO)</t>
  </si>
  <si>
    <t xml:space="preserve">Tipo de rentas obtenidas</t>
  </si>
  <si>
    <t xml:space="preserve">SI / NO</t>
  </si>
  <si>
    <t xml:space="preserve">Renta de fuente argentina</t>
  </si>
  <si>
    <t xml:space="preserve">Renta de fuente extranjera</t>
  </si>
  <si>
    <t xml:space="preserve">Percibió ingresos por juegos de azar y apuestas</t>
  </si>
  <si>
    <t xml:space="preserve">Situaciones especiales</t>
  </si>
  <si>
    <t xml:space="preserve">Utiliza beneficios de amortización acelerada</t>
  </si>
  <si>
    <t xml:space="preserve">Posee resultado atribuible a los socios</t>
  </si>
  <si>
    <t xml:space="preserve">Está encuadrado en una norma que admita quebrantos con tratamientos específicos, excepto venta de acciones e instrumentos financieros derivado</t>
  </si>
  <si>
    <t xml:space="preserve">Donaciones en el período</t>
  </si>
  <si>
    <t xml:space="preserve">Regímenes de promoción</t>
  </si>
  <si>
    <t xml:space="preserve">Entidad exenta</t>
  </si>
  <si>
    <t xml:space="preserve">Posee estabilidad fiscal</t>
  </si>
  <si>
    <t xml:space="preserve">Inicio / Nueva declaración jurada / Balance para fines fiscales</t>
  </si>
  <si>
    <t xml:space="preserve">Balance para fines fiscales</t>
  </si>
  <si>
    <t xml:space="preserve">Resumen del balance</t>
  </si>
  <si>
    <t xml:space="preserve">Según carga (web)</t>
  </si>
  <si>
    <t xml:space="preserve">Según balance publicado</t>
  </si>
  <si>
    <t xml:space="preserve">Diferencia</t>
  </si>
  <si>
    <t xml:space="preserve">Activo - Total activo</t>
  </si>
  <si>
    <t xml:space="preserve">Pasivo - Total pasivo</t>
  </si>
  <si>
    <t xml:space="preserve">Estado de resultados - Resultado final sin juegos de azar</t>
  </si>
  <si>
    <t xml:space="preserve">Estado de resultados - Resultado por juegos de azar</t>
  </si>
  <si>
    <t xml:space="preserve">Patrimonio neto - Total patrimonio neto</t>
  </si>
  <si>
    <t xml:space="preserve">Completar "Según balance publicado" con los saldos del balance; la diferencia debe dar 0.</t>
  </si>
  <si>
    <t xml:space="preserve">Control Activo − Pasivo − Patrimonio neto (debe dar 0)</t>
  </si>
  <si>
    <t xml:space="preserve">Inicio / Nueva declaración jurada / Balance para fines fiscales / Activo</t>
  </si>
  <si>
    <t xml:space="preserve">Caja y bancos</t>
  </si>
  <si>
    <t xml:space="preserve">Inversiones</t>
  </si>
  <si>
    <t xml:space="preserve">Créditos</t>
  </si>
  <si>
    <t xml:space="preserve">Bienes de uso</t>
  </si>
  <si>
    <t xml:space="preserve">Bienes de cambio</t>
  </si>
  <si>
    <t xml:space="preserve">Bienes intangibles</t>
  </si>
  <si>
    <t xml:space="preserve">Total activo</t>
  </si>
  <si>
    <t xml:space="preserve">Activo corriente</t>
  </si>
  <si>
    <t xml:space="preserve">Activo no corriente</t>
  </si>
  <si>
    <t xml:space="preserve">Control corriente + no corriente (debe dar 0)</t>
  </si>
  <si>
    <t xml:space="preserve">Inicio / Nueva declaración jurada / Balance para fines fiscales / Pasivo</t>
  </si>
  <si>
    <t xml:space="preserve">Deudas comerciales</t>
  </si>
  <si>
    <t xml:space="preserve">Deudas financieras y bancarias</t>
  </si>
  <si>
    <t xml:space="preserve">Sociedad controlada, controlante y vinculada</t>
  </si>
  <si>
    <t xml:space="preserve">Cuentas particulares de los socios</t>
  </si>
  <si>
    <t xml:space="preserve">Otras deudas</t>
  </si>
  <si>
    <t xml:space="preserve">Total pasivo</t>
  </si>
  <si>
    <t xml:space="preserve">Pasivo corriente</t>
  </si>
  <si>
    <t xml:space="preserve">Pasivo no corriente</t>
  </si>
  <si>
    <t xml:space="preserve">Inicio / Nueva declaración jurada / Balance para fines fiscales / Estado de resultados</t>
  </si>
  <si>
    <t xml:space="preserve">Ventas, servicios y locaciones</t>
  </si>
  <si>
    <t xml:space="preserve">Costo total</t>
  </si>
  <si>
    <t xml:space="preserve">Total resultado bruto</t>
  </si>
  <si>
    <t xml:space="preserve">Resultados financieros</t>
  </si>
  <si>
    <t xml:space="preserve">Cargo por deudores incobrables</t>
  </si>
  <si>
    <t xml:space="preserve">Otros gastos operativos</t>
  </si>
  <si>
    <t xml:space="preserve">Resultados extraordinarios</t>
  </si>
  <si>
    <t xml:space="preserve">Otros ingresos</t>
  </si>
  <si>
    <t xml:space="preserve">Otros egresos</t>
  </si>
  <si>
    <t xml:space="preserve">Resultado por ventas de acciones, cuotas, participaciones sociales</t>
  </si>
  <si>
    <t xml:space="preserve">Resultado por instrumentos financieros derivados</t>
  </si>
  <si>
    <t xml:space="preserve">Impuesto a las ganancias</t>
  </si>
  <si>
    <t xml:space="preserve">Resultado final del ejercicio sin juegos de azar</t>
  </si>
  <si>
    <t xml:space="preserve">Resultado por juegos de azar</t>
  </si>
  <si>
    <t xml:space="preserve">Costo total, incobrables, gastos operativos, otros egresos e impuesto a las ganancias se cargan en positivo (restan).</t>
  </si>
  <si>
    <t xml:space="preserve">Resultados financieros, extraordinarios, venta de acciones y derivados se cargan con su signo.</t>
  </si>
  <si>
    <t xml:space="preserve">Inicio / Nueva declaración jurada / Balance para fines fiscales / Patrimonio neto</t>
  </si>
  <si>
    <t xml:space="preserve">Patrimonio neto al inicio</t>
  </si>
  <si>
    <t xml:space="preserve">Aumentos de capital</t>
  </si>
  <si>
    <t xml:space="preserve">Disminuciones de capital</t>
  </si>
  <si>
    <t xml:space="preserve">Resultado de ejercicios anteriores</t>
  </si>
  <si>
    <t xml:space="preserve">Resultado final de ejercicio</t>
  </si>
  <si>
    <t xml:space="preserve">Total patrimonio neto al cierre</t>
  </si>
  <si>
    <t xml:space="preserve">Control Activo − Pasivo − PN (debe dar 0)</t>
  </si>
  <si>
    <t xml:space="preserve">Inicio / Nueva declaración jurada / Situaciones especiales / Amortizaciones aceleradas</t>
  </si>
  <si>
    <t xml:space="preserve">Rubro</t>
  </si>
  <si>
    <t xml:space="preserve">Ajuste que suma al resultado de fuente argentina</t>
  </si>
  <si>
    <t xml:space="preserve">Ajuste que resta al resultado de fuente argentina</t>
  </si>
  <si>
    <t xml:space="preserve">Inmuebles</t>
  </si>
  <si>
    <t xml:space="preserve">Rodados</t>
  </si>
  <si>
    <t xml:space="preserve">Instalaciones</t>
  </si>
  <si>
    <t xml:space="preserve">Otros bienes de uso</t>
  </si>
  <si>
    <t xml:space="preserve">Distribución del ajuste por amortización acelerada</t>
  </si>
  <si>
    <t xml:space="preserve">Detalle por rubro (pantalla "Amortización acelerada &lt;rubro&gt;": Ley / Importe)</t>
  </si>
  <si>
    <t xml:space="preserve">Ley</t>
  </si>
  <si>
    <t xml:space="preserve">Importe</t>
  </si>
  <si>
    <t xml:space="preserve">Importe negativo = ajuste que resta; importe positivo = ajuste que suma (igual que en el web).</t>
  </si>
  <si>
    <t xml:space="preserve">Inicio / Nueva declaración jurada / Situaciones especiales / Resultado atribuible a los socios</t>
  </si>
  <si>
    <t xml:space="preserve">Resultado atribuible a los socios</t>
  </si>
  <si>
    <t xml:space="preserve">Pantalla no incluida en el Word (figura en el módulo Situaciones especiales): se mantiene la estructura del Excel anterior.</t>
  </si>
  <si>
    <t xml:space="preserve">Fuente argentina</t>
  </si>
  <si>
    <t xml:space="preserve">Fuente extranjera</t>
  </si>
  <si>
    <t xml:space="preserve">Importe atribuible a los socios</t>
  </si>
  <si>
    <t xml:space="preserve">Detalle de socios</t>
  </si>
  <si>
    <t xml:space="preserve">Tipo societario</t>
  </si>
  <si>
    <t xml:space="preserve">CUIT/CUIL</t>
  </si>
  <si>
    <t xml:space="preserve">Participación %</t>
  </si>
  <si>
    <t xml:space="preserve">Impuesto retenido</t>
  </si>
  <si>
    <t xml:space="preserve">Residencia tributaria</t>
  </si>
  <si>
    <t xml:space="preserve">NIF</t>
  </si>
  <si>
    <t xml:space="preserve">Domicilio exterior</t>
  </si>
  <si>
    <t xml:space="preserve">País</t>
  </si>
  <si>
    <t xml:space="preserve">Inicio / Nueva declaración jurada / Atribución del resultado contable / Distribución del resultado por tipo de fuente</t>
  </si>
  <si>
    <t xml:space="preserve">Distribución de resultado por tipo de fuente</t>
  </si>
  <si>
    <t xml:space="preserve">Resultado final del ejercicio</t>
  </si>
  <si>
    <t xml:space="preserve">Resultado por venta de acciones</t>
  </si>
  <si>
    <t xml:space="preserve">Resultado por contratos derivados</t>
  </si>
  <si>
    <t xml:space="preserve">Total resultados con tratamientos específicos</t>
  </si>
  <si>
    <t xml:space="preserve">Resultado final del ejercicio (apertura por país abajo)</t>
  </si>
  <si>
    <t xml:space="preserve">Resultado contable de rentas de fuente argentina</t>
  </si>
  <si>
    <t xml:space="preserve">Resultado contable total</t>
  </si>
  <si>
    <t xml:space="preserve">Valores de referencia</t>
  </si>
  <si>
    <t xml:space="preserve">Totales</t>
  </si>
  <si>
    <t xml:space="preserve">Resultado por tratamientos específicos</t>
  </si>
  <si>
    <t xml:space="preserve">Resultado final del ejercicio - fuente extranjera</t>
  </si>
  <si>
    <t xml:space="preserve">País donde se obtuvo el resultado de fuente extranjera</t>
  </si>
  <si>
    <t xml:space="preserve">Resultado obtenido</t>
  </si>
  <si>
    <t xml:space="preserve">Inicio / Nueva declaración jurada / Ajustes al resultado / Ajuste por inflación impositivo</t>
  </si>
  <si>
    <t xml:space="preserve">Ajuste estático</t>
  </si>
  <si>
    <t xml:space="preserve">Activo computable</t>
  </si>
  <si>
    <t xml:space="preserve">Pasivo computable</t>
  </si>
  <si>
    <t xml:space="preserve">Capital al inicio</t>
  </si>
  <si>
    <t xml:space="preserve">Ajuste estático positivo</t>
  </si>
  <si>
    <t xml:space="preserve">Ajuste estático negativo</t>
  </si>
  <si>
    <t xml:space="preserve">Ajuste dinámico</t>
  </si>
  <si>
    <t xml:space="preserve">Ajuste dinámico positivo</t>
  </si>
  <si>
    <t xml:space="preserve">Ajuste dinámico negativo</t>
  </si>
  <si>
    <t xml:space="preserve">Cargar sólo el positivo o el negativo de cada ajuste (el web inhabilita el otro).</t>
  </si>
  <si>
    <t xml:space="preserve">Inicio / Nueva declaración jurada / Ajustes al resultado / Ajustes - fuente argentina</t>
  </si>
  <si>
    <t xml:space="preserve">Agregar ajustes - fuente argentina</t>
  </si>
  <si>
    <t xml:space="preserve">Proyecto promovido o actividad no promovida</t>
  </si>
  <si>
    <t xml:space="preserve">Actividad sin promoción</t>
  </si>
  <si>
    <t xml:space="preserve">Total ajustes - fuente argentina (pantalla "Ajustes - fuente argentina")</t>
  </si>
  <si>
    <t xml:space="preserve">Ajustes</t>
  </si>
  <si>
    <t xml:space="preserve">Ajustes positivos</t>
  </si>
  <si>
    <t xml:space="preserve">Ajustes negativos</t>
  </si>
  <si>
    <t xml:space="preserve">Resultado del ajuste por inflación contable</t>
  </si>
  <si>
    <t xml:space="preserve">Ajuste por inflación (períodos anteriores)</t>
  </si>
  <si>
    <t xml:space="preserve">Depreciación de bienes</t>
  </si>
  <si>
    <t xml:space="preserve">Diferencias de valuación</t>
  </si>
  <si>
    <t xml:space="preserve">Diferencia de criterio deducibilidad por límite o tope</t>
  </si>
  <si>
    <t xml:space="preserve">Diferencia de criterio procedencia de deducibilidad</t>
  </si>
  <si>
    <t xml:space="preserve">Ajustes por precios de transferencia</t>
  </si>
  <si>
    <t xml:space="preserve">Ajuste correlativo por precio de transferencia</t>
  </si>
  <si>
    <t xml:space="preserve">Otros ajustes</t>
  </si>
  <si>
    <t xml:space="preserve">Ajustes por venta de acciones, contratos derivados, juegos de azar y de tratamientos específicos</t>
  </si>
  <si>
    <t xml:space="preserve">Subtotal de ajustes, excepto por venta de acciones, instrumentos financieros derivados y tratamientos específicos</t>
  </si>
  <si>
    <t xml:space="preserve">Ajustes por depreciación de bienes</t>
  </si>
  <si>
    <t xml:space="preserve">Muebles</t>
  </si>
  <si>
    <t xml:space="preserve">Inmateriales</t>
  </si>
  <si>
    <t xml:space="preserve">No revisten carácter de bienes de cambio</t>
  </si>
  <si>
    <t xml:space="preserve">Ajuste por amortización acelerada</t>
  </si>
  <si>
    <t xml:space="preserve">Total de ajustes por depreciación</t>
  </si>
  <si>
    <t xml:space="preserve">Ajustes por diferencia de valuación</t>
  </si>
  <si>
    <t xml:space="preserve">Diferencia de valuación bienes de cambio</t>
  </si>
  <si>
    <t xml:space="preserve">Diferencias de valuación de acciones, cuotas partes, FCI, participación en fideicomisos y similares</t>
  </si>
  <si>
    <t xml:space="preserve">Otros ajustes por valuación</t>
  </si>
  <si>
    <t xml:space="preserve">Total de ajustes por diferencia de valuación</t>
  </si>
  <si>
    <t xml:space="preserve">Ajustes por diferencia de criterio deducibilidad por límite o tope</t>
  </si>
  <si>
    <t xml:space="preserve">Gastos de mantenimiento y funcionamiento de automóviles no deducibles</t>
  </si>
  <si>
    <t xml:space="preserve">Intereses financieros de empresas vinculadas</t>
  </si>
  <si>
    <t xml:space="preserve">Honorarios directores, socios gerentes y similares</t>
  </si>
  <si>
    <t xml:space="preserve">Gastos de representación</t>
  </si>
  <si>
    <t xml:space="preserve">Otros ajustes por diferencia de criterio límite o tope</t>
  </si>
  <si>
    <t xml:space="preserve">Total de ajustes por diferencia de criterio deducibilidad</t>
  </si>
  <si>
    <t xml:space="preserve">Ajustes por diferencia criterio procedencia de deducibilidad</t>
  </si>
  <si>
    <t xml:space="preserve">Impuestos a las ganancias</t>
  </si>
  <si>
    <t xml:space="preserve">Créditos incobrables</t>
  </si>
  <si>
    <t xml:space="preserve">Previsiones no deducibles</t>
  </si>
  <si>
    <t xml:space="preserve">Otros ajustes por deducción no procedente</t>
  </si>
  <si>
    <t xml:space="preserve">Total de ajustes por diferencia de criterio procedencia deducibilidad</t>
  </si>
  <si>
    <t xml:space="preserve">Dividendos ganados</t>
  </si>
  <si>
    <t xml:space="preserve">Aportes a sociedades de garantía recíproca (SGR)</t>
  </si>
  <si>
    <t xml:space="preserve">Diferencia por criterio de devengado exigible</t>
  </si>
  <si>
    <t xml:space="preserve">Opción de venta y reemplazo</t>
  </si>
  <si>
    <t xml:space="preserve">Ajuste NIF</t>
  </si>
  <si>
    <t xml:space="preserve">Total de otros ajustes</t>
  </si>
  <si>
    <t xml:space="preserve">Ajuste por venta de acciones</t>
  </si>
  <si>
    <t xml:space="preserve">Ajustes por instrumentos financieros derivados</t>
  </si>
  <si>
    <t xml:space="preserve">Ajustes por tratamientos específicos</t>
  </si>
  <si>
    <t xml:space="preserve">Total de ajustes por venta de acciones, contratos derivados, juegos de azar y de tratamientos específicos</t>
  </si>
  <si>
    <t xml:space="preserve">Inicio / Nueva declaración jurada / Ajustes al resultado / Ajustes - fuente extranjera</t>
  </si>
  <si>
    <t xml:space="preserve">Agregar ajustes - fuente extranjera</t>
  </si>
  <si>
    <t xml:space="preserve">Total ajustes - fuente extranjera (pantalla "Ajustes - fuente extranjera")</t>
  </si>
  <si>
    <t xml:space="preserve">Inicio / Nueva declaración jurada / Determinación del impuesto / Quebrantos períodos anteriores</t>
  </si>
  <si>
    <t xml:space="preserve">Agregar quebrantos (fuente argentina / fuente extranjera)</t>
  </si>
  <si>
    <t xml:space="preserve">Fuente</t>
  </si>
  <si>
    <t xml:space="preserve">Actividad</t>
  </si>
  <si>
    <t xml:space="preserve">¿Recibido por cesión Ley 27742?</t>
  </si>
  <si>
    <t xml:space="preserve">¿Cedido por cesión Ley 27742?</t>
  </si>
  <si>
    <t xml:space="preserve">Quebranto</t>
  </si>
  <si>
    <t xml:space="preserve">Total</t>
  </si>
  <si>
    <t xml:space="preserve">Actualización</t>
  </si>
  <si>
    <t xml:space="preserve">Computable</t>
  </si>
  <si>
    <t xml:space="preserve">Trasladable</t>
  </si>
  <si>
    <t xml:space="preserve">Una fila por período fiscal y tipo de quebranto. Actualización la calcula el web (completar para control). Trasladable = Total + Actualización − Computable.</t>
  </si>
  <si>
    <t xml:space="preserve">Inicio / Nueva declaración jurada / Determinación del impuesto / Determinación del resultado neto</t>
  </si>
  <si>
    <t xml:space="preserve">Determinación del resultado neto</t>
  </si>
  <si>
    <t xml:space="preserve">Resultado contable</t>
  </si>
  <si>
    <t xml:space="preserve">Resultado impositivo antes de donaciones</t>
  </si>
  <si>
    <t xml:space="preserve">Donaciones computables</t>
  </si>
  <si>
    <t xml:space="preserve">Resultado impositivo</t>
  </si>
  <si>
    <t xml:space="preserve">Quebrantos por venta de acciones</t>
  </si>
  <si>
    <t xml:space="preserve">Quebrantos por instrumentos financieros derivados (fuente argentina)</t>
  </si>
  <si>
    <t xml:space="preserve">Quebrantos por tratamientos específicos</t>
  </si>
  <si>
    <t xml:space="preserve">Quebrantos computables</t>
  </si>
  <si>
    <t xml:space="preserve">Resultado neto</t>
  </si>
  <si>
    <t xml:space="preserve">Quebranto de fuente argentina (fuente extranjera)</t>
  </si>
  <si>
    <t xml:space="preserve">Quebranto de fuente argentina de ejercicios anteriores (fuente extranjera)</t>
  </si>
  <si>
    <t xml:space="preserve">Compensación de quebrantos de otras actividades</t>
  </si>
  <si>
    <t xml:space="preserve">Resultado neto final</t>
  </si>
  <si>
    <t xml:space="preserve">Impuesto determinado</t>
  </si>
  <si>
    <t xml:space="preserve">Resultado neto total</t>
  </si>
  <si>
    <t xml:space="preserve">Total resultado contable</t>
  </si>
  <si>
    <t xml:space="preserve">Total ajustes</t>
  </si>
  <si>
    <t xml:space="preserve">Total resultado impositivo antes de donaciones (F.A.)</t>
  </si>
  <si>
    <t xml:space="preserve">Total donaciones computables (F.A.)</t>
  </si>
  <si>
    <t xml:space="preserve">Total resultado impositivo</t>
  </si>
  <si>
    <t xml:space="preserve">Total resultado neto</t>
  </si>
  <si>
    <t xml:space="preserve">Ganancia neta imponible acumulada</t>
  </si>
  <si>
    <t xml:space="preserve">Total impuesto determinado</t>
  </si>
  <si>
    <t xml:space="preserve">Escala art. 73 LIG para sociedades (actualizar cada período)</t>
  </si>
  <si>
    <t xml:space="preserve">Más de $</t>
  </si>
  <si>
    <t xml:space="preserve">A $</t>
  </si>
  <si>
    <t xml:space="preserve">Monto fijo $</t>
  </si>
  <si>
    <t xml:space="preserve">% s/ excedente</t>
  </si>
  <si>
    <t xml:space="preserve">Tramo 1</t>
  </si>
  <si>
    <t xml:space="preserve">Tramo 2</t>
  </si>
  <si>
    <t xml:space="preserve">Tramo 3</t>
  </si>
  <si>
    <t xml:space="preserve">En adelante</t>
  </si>
  <si>
    <t xml:space="preserve">Escala para ejercicios iniciados desde el 01/01/2025 (con ella se obtiene el mismo impuesto que en el Word).</t>
  </si>
  <si>
    <t xml:space="preserve">El impuesto se calcula sobre la ganancia neta imponible acumulada y se distribuye entre F.A. y F.E. en proporción al resultado neto final.</t>
  </si>
  <si>
    <t xml:space="preserve">Donaciones computables: tope del 5% sobre el resultado impositivo antes de donaciones (verificar contra el web).</t>
  </si>
  <si>
    <t xml:space="preserve">Inicio / Nueva declaración jurada / Determinación del impuesto / Donaciones efectuadas</t>
  </si>
  <si>
    <t xml:space="preserve">Agregar donaciones</t>
  </si>
  <si>
    <t xml:space="preserve">Denominación</t>
  </si>
  <si>
    <t xml:space="preserve">Importe de las donaciones del período</t>
  </si>
  <si>
    <t xml:space="preserve">Total donaciones efectuadas</t>
  </si>
  <si>
    <t xml:space="preserve">Control vs. "Donaciones efectuadas" en Ajustes - fuente argentina (debe dar 0)</t>
  </si>
  <si>
    <t xml:space="preserve">Inicio / Nueva declaración jurada / Determinación del saldo</t>
  </si>
  <si>
    <t xml:space="preserve">A favor de ARCA</t>
  </si>
  <si>
    <t xml:space="preserve">A favor del contribuyente</t>
  </si>
  <si>
    <t xml:space="preserve">Impuesto determinado fuente extranjera</t>
  </si>
  <si>
    <t xml:space="preserve">¿La renta o bienes de fuente extranjera estuvieron sujetos al pago de impuestos análogos en el exterior?</t>
  </si>
  <si>
    <t xml:space="preserve">Monto total computable de los impuestos análogos pagados en el exterior</t>
  </si>
  <si>
    <t xml:space="preserve">Subtotal fuente extranjera</t>
  </si>
  <si>
    <t xml:space="preserve">Impuesto determinado fuente argentina</t>
  </si>
  <si>
    <t xml:space="preserve">¿La renta de fuente argentina estuvo sujeta al pago de impuesto análogo en países con Convenios internacionales que admiten su cómputo?</t>
  </si>
  <si>
    <t xml:space="preserve">Impuesto análogo pagado en el exterior computable contra ganancias de fuente argentina admitido por convenios internacionales</t>
  </si>
  <si>
    <t xml:space="preserve">Subtotal fuente argentina</t>
  </si>
  <si>
    <t xml:space="preserve">Diferimiento F.518</t>
  </si>
  <si>
    <t xml:space="preserve">Subtotal general</t>
  </si>
  <si>
    <t xml:space="preserve">Saldo previo al cómputo del impuesto sobre los créditos y débitos</t>
  </si>
  <si>
    <t xml:space="preserve">Pagos a cuenta</t>
  </si>
  <si>
    <t xml:space="preserve">Pago a cuenta ley de promoción a la investigación</t>
  </si>
  <si>
    <t xml:space="preserve">Pago a cuenta impuesto sobre los combustibles líquidos</t>
  </si>
  <si>
    <t xml:space="preserve">Pago a cuenta compraventa de moneda extranjera</t>
  </si>
  <si>
    <t xml:space="preserve">Pago a cuenta fomento a las inversiones productivas Pymes - Ley 27264 (detalle al pie)</t>
  </si>
  <si>
    <t xml:space="preserve">Otros pagos a cuenta</t>
  </si>
  <si>
    <t xml:space="preserve">Cómputo del impuesto sobre los créditos y débitos</t>
  </si>
  <si>
    <t xml:space="preserve">Anticipos cancelados con cómputo del impuesto sobre los créditos y débitos</t>
  </si>
  <si>
    <t xml:space="preserve">Cómputo de impuesto sobre los créditos y débitos para cancelación de DDJJ</t>
  </si>
  <si>
    <t xml:space="preserve">Saldo a favor del contribuyente por anticipos cancelados con impuesto sobre los créditos y débitos</t>
  </si>
  <si>
    <t xml:space="preserve">Saldo a cancelar</t>
  </si>
  <si>
    <t xml:space="preserve">Saldo a ingresar</t>
  </si>
  <si>
    <t xml:space="preserve">Cómputo de bonos o certificados fiscales</t>
  </si>
  <si>
    <t xml:space="preserve">Anticipos cancelados con cómputo de bonos y créditos fiscales</t>
  </si>
  <si>
    <t xml:space="preserve">Cómputo de bonos y créditos fiscales para cancelación de DDJJ</t>
  </si>
  <si>
    <t xml:space="preserve">Saldo a favor del contribuyente por anticipos cancelados con Bonos o Certificados Fiscales</t>
  </si>
  <si>
    <t xml:space="preserve">Saldo a ingresar previo al cómputo de bonos para cancelar DDJJ</t>
  </si>
  <si>
    <t xml:space="preserve">Anticipos abonados en efectivo o compensados en Sistema de cuentas tributarias</t>
  </si>
  <si>
    <t xml:space="preserve">Anticipos cancelados en efectivo o compensación</t>
  </si>
  <si>
    <t xml:space="preserve">Anticipos cancelados con planes mis facilidades</t>
  </si>
  <si>
    <t xml:space="preserve">Total de anticipos</t>
  </si>
  <si>
    <t xml:space="preserve">Percepciones no computables para el cálculo de anticipos (percepciones aduaneras)</t>
  </si>
  <si>
    <t xml:space="preserve">Otros saldos a cuenta</t>
  </si>
  <si>
    <t xml:space="preserve">Total pagos RG 5110 - cesión de transferencia de documentos de transporte (importador/exportador)</t>
  </si>
  <si>
    <t xml:space="preserve">Total de anticipos RG 4498 - art 3, punto 1</t>
  </si>
  <si>
    <t xml:space="preserve">Saldo a favor período anterior</t>
  </si>
  <si>
    <t xml:space="preserve">Saldo a favor por fusión o absorción</t>
  </si>
  <si>
    <t xml:space="preserve">Saldo final</t>
  </si>
  <si>
    <t xml:space="preserve">Saldo a favor del contribuyente</t>
  </si>
  <si>
    <t xml:space="preserve">Saldo a favor de ARCA</t>
  </si>
  <si>
    <t xml:space="preserve">Pago a cuenta fomento a las inversiones productivas Pymes - Ley 27264 (detalle)</t>
  </si>
  <si>
    <t xml:space="preserve">Período de origen</t>
  </si>
  <si>
    <t xml:space="preserve">Importe del pago a cuenta</t>
  </si>
  <si>
    <t xml:space="preserve">Pago a cuenta 1</t>
  </si>
  <si>
    <t xml:space="preserve">Pago a cuenta 2</t>
  </si>
  <si>
    <t xml:space="preserve">Pago a cuenta 3</t>
  </si>
  <si>
    <t xml:space="preserve">Pago a cuenta 4</t>
  </si>
  <si>
    <t xml:space="preserve">Inicio / Nueva declaración jurada / Determinación del saldo / Anticipos imp créditos y débitos</t>
  </si>
  <si>
    <t xml:space="preserve">Número de anticipo</t>
  </si>
  <si>
    <t xml:space="preserve">Importe computado</t>
  </si>
  <si>
    <t xml:space="preserve">Proveniente de</t>
  </si>
  <si>
    <t xml:space="preserve">Período de la percepción (AAAA/MM)</t>
  </si>
  <si>
    <t xml:space="preserve">CUIT del agente de la percepción</t>
  </si>
  <si>
    <t xml:space="preserve">CUIT del titular de la cuenta</t>
  </si>
  <si>
    <t xml:space="preserve">Tipo de cuenta</t>
  </si>
  <si>
    <t xml:space="preserve">Número de CBU/CVU</t>
  </si>
  <si>
    <t xml:space="preserve">Anticipos cancelados con imputación del impuesto sobre los créditos y débitos</t>
  </si>
  <si>
    <t xml:space="preserve">Inicio / Nueva declaración jurada / Determinación del saldo / Imp créditos y débitos</t>
  </si>
  <si>
    <t xml:space="preserve">CBU/CVU</t>
  </si>
  <si>
    <t xml:space="preserve">Total pago a cuenta por imputación del impuesto sobre los créditos y débitos</t>
  </si>
  <si>
    <t xml:space="preserve">Inicio / Nueva declaración jurada / Determinación del saldo / Retenciones y percepciones</t>
  </si>
  <si>
    <t xml:space="preserve">CUIT del agente de retención/percepción</t>
  </si>
  <si>
    <t xml:space="preserve">Descripción de la operación</t>
  </si>
  <si>
    <t xml:space="preserve">Impuesto</t>
  </si>
  <si>
    <t xml:space="preserve">Régimen</t>
  </si>
  <si>
    <t xml:space="preserve">Fecha de retención/percepción</t>
  </si>
  <si>
    <t xml:space="preserve">Número de certificado</t>
  </si>
  <si>
    <t xml:space="preserve">Número de comprobante</t>
  </si>
  <si>
    <t xml:space="preserve">Fecha de comprobante</t>
  </si>
  <si>
    <t xml:space="preserve">Descripción comprobante</t>
  </si>
  <si>
    <t xml:space="preserve">Totales (pantalla "Retenciones y percepciones")</t>
  </si>
  <si>
    <t xml:space="preserve">Autorretención (total VEPs pagados)</t>
  </si>
  <si>
    <t xml:space="preserve">Total retenciones calculadas</t>
  </si>
  <si>
    <t xml:space="preserve">Total de retenciones (si difiere de lo calculado, reemplazar)</t>
  </si>
  <si>
    <t xml:space="preserve">Total de percepciones</t>
  </si>
  <si>
    <t xml:space="preserve">Total de retenciones, percepciones y autorretenciones</t>
  </si>
  <si>
    <t xml:space="preserve">Inicio / Nueva declaración jurada / Determinación del saldo / Percepciones no computables para el cálculo de anticipos</t>
  </si>
  <si>
    <t xml:space="preserve">Pantalla no incluida en el Word (se abre con el lápiz en "Retenciones y percepciones" de Determinación del saldo).</t>
  </si>
  <si>
    <t xml:space="preserve">Fecha de percepción (DD/MM/AAAA)</t>
  </si>
  <si>
    <t xml:space="preserve">Percepciones no computables para el cálculo de anticipos</t>
  </si>
  <si>
    <t xml:space="preserve">SI/NO</t>
  </si>
  <si>
    <t xml:space="preserve">Ejercicio</t>
  </si>
  <si>
    <t xml:space="preserve">Rubro amortización acelerada</t>
  </si>
  <si>
    <t xml:space="preserve">Ley amortización acelerada</t>
  </si>
  <si>
    <t xml:space="preserve">Régimen percepción aduanera</t>
  </si>
  <si>
    <t xml:space="preserve">Mes</t>
  </si>
  <si>
    <t xml:space="preserve">Tipo de quebranto</t>
  </si>
  <si>
    <t xml:space="preserve">Proyecto</t>
  </si>
  <si>
    <t xml:space="preserve">SI</t>
  </si>
  <si>
    <t xml:space="preserve">Percepción bancaria o ingreso propio</t>
  </si>
  <si>
    <t xml:space="preserve">Nº 24.196 Inversiones Mineras</t>
  </si>
  <si>
    <t xml:space="preserve">Afganistán</t>
  </si>
  <si>
    <t xml:space="preserve">Retención</t>
  </si>
  <si>
    <t xml:space="preserve">531 Import. def. bs. para venta - art. 40 1er párrafo</t>
  </si>
  <si>
    <t xml:space="preserve">Local</t>
  </si>
  <si>
    <t xml:space="preserve">Argentina</t>
  </si>
  <si>
    <t xml:space="preserve">Quebranto por venta de acciones</t>
  </si>
  <si>
    <t xml:space="preserve">DDJJ</t>
  </si>
  <si>
    <t xml:space="preserve">Irregular</t>
  </si>
  <si>
    <t xml:space="preserve">Rectificativa 1</t>
  </si>
  <si>
    <t xml:space="preserve">Nº 25.080 Ley de Inversiones para bosques cultivados </t>
  </si>
  <si>
    <t xml:space="preserve">Albania</t>
  </si>
  <si>
    <t xml:space="preserve">Percepción</t>
  </si>
  <si>
    <t xml:space="preserve">080 Importación definitiva de bienes con C.V.D.I.</t>
  </si>
  <si>
    <t xml:space="preserve">Exterior</t>
  </si>
  <si>
    <t xml:space="preserve">Extranjera</t>
  </si>
  <si>
    <t xml:space="preserve">Por instrumentos financieros derivados</t>
  </si>
  <si>
    <t xml:space="preserve">Rectificativa 2</t>
  </si>
  <si>
    <t xml:space="preserve">Nº 25.922 Ley de Promoción de la Industria del Software</t>
  </si>
  <si>
    <t xml:space="preserve">Alemania</t>
  </si>
  <si>
    <t xml:space="preserve">081 Importación definitiva de bienes para uso de importador con C.V.D.I.</t>
  </si>
  <si>
    <t xml:space="preserve">Resto</t>
  </si>
  <si>
    <t xml:space="preserve">Rectificativa 3</t>
  </si>
  <si>
    <t xml:space="preserve">Nº 25.924 Inversiones en Bienes de Capital nuevos y obras de infraestructura</t>
  </si>
  <si>
    <t xml:space="preserve">Anguila</t>
  </si>
  <si>
    <t xml:space="preserve">082 Importación definitiva de bienes para uso de importador sin C.V.D.I.</t>
  </si>
  <si>
    <t xml:space="preserve">Por juegos de azar</t>
  </si>
  <si>
    <t xml:space="preserve">Rectificativa 4</t>
  </si>
  <si>
    <t xml:space="preserve">Nº 26.093 Régimen de Regulación y Promoción para la Producción y Uso Sustentables de Biocombustibles</t>
  </si>
  <si>
    <t xml:space="preserve">Antártida</t>
  </si>
  <si>
    <t xml:space="preserve">083 Importación definitiva de bienes sin C.V.D.I.</t>
  </si>
  <si>
    <t xml:space="preserve">Por tratamientos específicos</t>
  </si>
  <si>
    <t xml:space="preserve">Rectificativa 5</t>
  </si>
  <si>
    <t xml:space="preserve">Nº 26.123 Promoción del Hidrógeno</t>
  </si>
  <si>
    <t xml:space="preserve">Antigua y Barbuda</t>
  </si>
  <si>
    <t xml:space="preserve">864 Operaciones de exportación definitiva para consumo</t>
  </si>
  <si>
    <t xml:space="preserve">Rectificativa 6</t>
  </si>
  <si>
    <t xml:space="preserve">Nº 26.154 Regímenes promocionales para la exploración y explotación de hidrocarburos </t>
  </si>
  <si>
    <t xml:space="preserve">Antillas Holandesas / Neerlandesas</t>
  </si>
  <si>
    <t xml:space="preserve">588 Ganancias. Percepcion Aduanera Metales Preciosos. RG 5815</t>
  </si>
  <si>
    <t xml:space="preserve">Rectificativa 7</t>
  </si>
  <si>
    <t xml:space="preserve">Nº 26.190 Régimen de Fomento Nacional para el uso de fuentes renovables de energía destinada a la producción de energía eléctrica</t>
  </si>
  <si>
    <t xml:space="preserve">Arabia Saudita</t>
  </si>
  <si>
    <t xml:space="preserve">Rectificativa 8</t>
  </si>
  <si>
    <t xml:space="preserve">Nº 26.270 Promoción del desarrollo y producción de la biotecnología moderna</t>
  </si>
  <si>
    <t xml:space="preserve">Argelia</t>
  </si>
  <si>
    <t xml:space="preserve">Rectificativa 9</t>
  </si>
  <si>
    <t xml:space="preserve">Nº 26.360 Promoción de inversiones en Bienes de Capital y Obras de Infraestructura</t>
  </si>
  <si>
    <t xml:space="preserve">Armenia</t>
  </si>
  <si>
    <t xml:space="preserve">N° 27.541 Ley de Solidaridad Social - Beneficio cumplidores</t>
  </si>
  <si>
    <t xml:space="preserve">Aruba</t>
  </si>
  <si>
    <t xml:space="preserve">N° 27.653 Ley de Alivio Fiscal</t>
  </si>
  <si>
    <t xml:space="preserve">Ascención</t>
  </si>
  <si>
    <t xml:space="preserve">N° 27.686 Ley de Promoción de Inveriones en la Ind. Automotriz y su cadena de valor</t>
  </si>
  <si>
    <t xml:space="preserve">Australia</t>
  </si>
  <si>
    <t xml:space="preserve">Otra</t>
  </si>
  <si>
    <t xml:space="preserve">Austria</t>
  </si>
  <si>
    <t xml:space="preserve">Azerbaiyán</t>
  </si>
  <si>
    <t xml:space="preserve">Bahamas, Islas</t>
  </si>
  <si>
    <t xml:space="preserve">Barbados</t>
  </si>
  <si>
    <t xml:space="preserve">Bélgica</t>
  </si>
  <si>
    <t xml:space="preserve">Belice</t>
  </si>
  <si>
    <t xml:space="preserve">Benín</t>
  </si>
  <si>
    <t xml:space="preserve">Bermudas</t>
  </si>
  <si>
    <t xml:space="preserve">Bielorrusia</t>
  </si>
  <si>
    <t xml:space="preserve">Bolivia</t>
  </si>
  <si>
    <t xml:space="preserve">Bosnia y Herzegovina</t>
  </si>
  <si>
    <t xml:space="preserve">Botswana</t>
  </si>
  <si>
    <t xml:space="preserve">Brasil</t>
  </si>
  <si>
    <t xml:space="preserve">Brunei</t>
  </si>
  <si>
    <t xml:space="preserve">Bulgaria</t>
  </si>
  <si>
    <t xml:space="preserve">Burkina Faso (ex Alto Volta)</t>
  </si>
  <si>
    <t xml:space="preserve">Burundi</t>
  </si>
  <si>
    <t xml:space="preserve">Bután</t>
  </si>
  <si>
    <t xml:space="preserve">Camboya</t>
  </si>
  <si>
    <t xml:space="preserve">Camerún</t>
  </si>
  <si>
    <t xml:space="preserve">Canadá</t>
  </si>
  <si>
    <t xml:space="preserve">Chad</t>
  </si>
  <si>
    <t xml:space="preserve">Chile</t>
  </si>
  <si>
    <t xml:space="preserve">China, Repúlbica Popular</t>
  </si>
  <si>
    <t xml:space="preserve">Chipre</t>
  </si>
  <si>
    <t xml:space="preserve">Colombia</t>
  </si>
  <si>
    <t xml:space="preserve">Comoras</t>
  </si>
  <si>
    <t xml:space="preserve">Congo, República Democrática (ex Zaire)</t>
  </si>
  <si>
    <t xml:space="preserve">Congo, República Popular (Brasaville)</t>
  </si>
  <si>
    <t xml:space="preserve">Corea del Norte, República Democrática y Popular</t>
  </si>
  <si>
    <t xml:space="preserve">Corea del Sur</t>
  </si>
  <si>
    <t xml:space="preserve">Costa de Marfil</t>
  </si>
  <si>
    <t xml:space="preserve">Costa Rica</t>
  </si>
  <si>
    <t xml:space="preserve">Croacia</t>
  </si>
  <si>
    <t xml:space="preserve">Cuba</t>
  </si>
  <si>
    <t xml:space="preserve">Curazao</t>
  </si>
  <si>
    <t xml:space="preserve">Dinamarca</t>
  </si>
  <si>
    <t xml:space="preserve">Dominica</t>
  </si>
  <si>
    <t xml:space="preserve">Ecuador</t>
  </si>
  <si>
    <t xml:space="preserve">Egipto, República Árabe de</t>
  </si>
  <si>
    <t xml:space="preserve">El Salvador</t>
  </si>
  <si>
    <t xml:space="preserve">Emiratos Árabes Unidos</t>
  </si>
  <si>
    <t xml:space="preserve">Eritrea</t>
  </si>
  <si>
    <t xml:space="preserve">Eslovaquia</t>
  </si>
  <si>
    <t xml:space="preserve">Eslovenia</t>
  </si>
  <si>
    <t xml:space="preserve">España</t>
  </si>
  <si>
    <t xml:space="preserve">Estado de Bahrein (Estado Independiente)</t>
  </si>
  <si>
    <t xml:space="preserve">Estados Unidos de América / U.S.A. / EEUU</t>
  </si>
  <si>
    <t xml:space="preserve">Estonia</t>
  </si>
  <si>
    <t xml:space="preserve">Etiopía</t>
  </si>
  <si>
    <t xml:space="preserve">Fidji / Fiyi, Islas</t>
  </si>
  <si>
    <t xml:space="preserve">Filipinas</t>
  </si>
  <si>
    <t xml:space="preserve">Finlandia</t>
  </si>
  <si>
    <t xml:space="preserve">Francia</t>
  </si>
  <si>
    <t xml:space="preserve">Gabón</t>
  </si>
  <si>
    <t xml:space="preserve">Gambia</t>
  </si>
  <si>
    <t xml:space="preserve">Georgia</t>
  </si>
  <si>
    <t xml:space="preserve">Ghana</t>
  </si>
  <si>
    <t xml:space="preserve">Gibraltar (Colonia de Gibraltar)</t>
  </si>
  <si>
    <t xml:space="preserve">Gran Ducado de Luxemburgo</t>
  </si>
  <si>
    <t xml:space="preserve">Granada</t>
  </si>
  <si>
    <t xml:space="preserve">Grecia</t>
  </si>
  <si>
    <t xml:space="preserve">Groenlandia</t>
  </si>
  <si>
    <t xml:space="preserve">Guadalupe</t>
  </si>
  <si>
    <t xml:space="preserve">Guam (Territorio no Autónomo de Estados Unidos)</t>
  </si>
  <si>
    <t xml:space="preserve">Guatemala</t>
  </si>
  <si>
    <t xml:space="preserve">Guayana (Guayana Francesa)</t>
  </si>
  <si>
    <t xml:space="preserve">Guernesey</t>
  </si>
  <si>
    <t xml:space="preserve">Guinea</t>
  </si>
  <si>
    <t xml:space="preserve">Guinea - Bissau</t>
  </si>
  <si>
    <t xml:space="preserve">Guinea Ecuatorial</t>
  </si>
  <si>
    <t xml:space="preserve">Guyana (República Cooperativa de Guyana)</t>
  </si>
  <si>
    <t xml:space="preserve">Haití</t>
  </si>
  <si>
    <t xml:space="preserve">Hawai</t>
  </si>
  <si>
    <t xml:space="preserve">Honduras</t>
  </si>
  <si>
    <t xml:space="preserve">Hong Kong: Región Administrativa Especial de la Republica Popular China</t>
  </si>
  <si>
    <t xml:space="preserve">Howland, Baker, Jarvis</t>
  </si>
  <si>
    <t xml:space="preserve">Hungría</t>
  </si>
  <si>
    <t xml:space="preserve">India</t>
  </si>
  <si>
    <t xml:space="preserve">Indonesia</t>
  </si>
  <si>
    <t xml:space="preserve">Irán, República Islámica de</t>
  </si>
  <si>
    <t xml:space="preserve">Iraq / Irak</t>
  </si>
  <si>
    <t xml:space="preserve">Irlanda</t>
  </si>
  <si>
    <t xml:space="preserve">Isla Bouvet</t>
  </si>
  <si>
    <t xml:space="preserve">Isla Christmas / Territorio de la Isla de Navidad (Territorio Externo de Australia)</t>
  </si>
  <si>
    <t xml:space="preserve">Isla de Cocos / Keeling</t>
  </si>
  <si>
    <t xml:space="preserve">Isla de Macquarie</t>
  </si>
  <si>
    <t xml:space="preserve">Isla de Man (Territorio de Reino Unido)</t>
  </si>
  <si>
    <t xml:space="preserve">Isla del Canal:  Alderney</t>
  </si>
  <si>
    <t xml:space="preserve">Isla del Canal:  Brechou</t>
  </si>
  <si>
    <t xml:space="preserve">Isla del Canal:  Great Stark</t>
  </si>
  <si>
    <t xml:space="preserve">Isla del Canal:  Herm</t>
  </si>
  <si>
    <t xml:space="preserve">Isla del Canal:  Jethou Lihou</t>
  </si>
  <si>
    <t xml:space="preserve">Isla del Canal: Little Stark</t>
  </si>
  <si>
    <t xml:space="preserve">Isla Norfolk (Territorio Externo de Australia)</t>
  </si>
  <si>
    <t xml:space="preserve">Isla Qeshm / Keshm (Territorio de Irán)</t>
  </si>
  <si>
    <t xml:space="preserve">Isla Wake</t>
  </si>
  <si>
    <t xml:space="preserve">Islandia</t>
  </si>
  <si>
    <t xml:space="preserve">Islas Azores</t>
  </si>
  <si>
    <t xml:space="preserve">Islas Caimán</t>
  </si>
  <si>
    <t xml:space="preserve">Islas Canarias</t>
  </si>
  <si>
    <t xml:space="preserve">Islas Cook (Territorio Autónomo Asociado a Nueva Zelanda)</t>
  </si>
  <si>
    <t xml:space="preserve">Islas de Aland</t>
  </si>
  <si>
    <t xml:space="preserve">Islas del Mar de Coral</t>
  </si>
  <si>
    <t xml:space="preserve">Islas del Pacífico</t>
  </si>
  <si>
    <t xml:space="preserve">Islas del Territorio Británico del Océano Indico</t>
  </si>
  <si>
    <t xml:space="preserve">Islas Feroe</t>
  </si>
  <si>
    <t xml:space="preserve">Islas Heard y MacDonald (Territorios Externos de Australia)</t>
  </si>
  <si>
    <t xml:space="preserve">Islas Marianas del Norte (Estado Libre Asociado a la Commonwealth)</t>
  </si>
  <si>
    <t xml:space="preserve">Islas Midway</t>
  </si>
  <si>
    <t xml:space="preserve">Islas Pitcairn (Territorio Británico de Ultramar)</t>
  </si>
  <si>
    <t xml:space="preserve">Islas Salomón</t>
  </si>
  <si>
    <t xml:space="preserve">Islas Turcas y Caicos (Territorio no Autónomo de Reino Unido)</t>
  </si>
  <si>
    <t xml:space="preserve">Islas Ultramarinas de Estados Unidos</t>
  </si>
  <si>
    <t xml:space="preserve">Islas Vírgenes Británicas</t>
  </si>
  <si>
    <t xml:space="preserve">Islas Vírgenes Estadounidenses</t>
  </si>
  <si>
    <t xml:space="preserve">Israel</t>
  </si>
  <si>
    <t xml:space="preserve">Italia</t>
  </si>
  <si>
    <t xml:space="preserve">Jamaica</t>
  </si>
  <si>
    <t xml:space="preserve">Japón</t>
  </si>
  <si>
    <t xml:space="preserve">Jersey</t>
  </si>
  <si>
    <t xml:space="preserve">Jordania</t>
  </si>
  <si>
    <t xml:space="preserve">Kazajistán</t>
  </si>
  <si>
    <t xml:space="preserve">Kingman Reef, Palmyra</t>
  </si>
  <si>
    <t xml:space="preserve">Kirguistán</t>
  </si>
  <si>
    <t xml:space="preserve">Kiribati</t>
  </si>
  <si>
    <t xml:space="preserve">Kosovo</t>
  </si>
  <si>
    <t xml:space="preserve">Kuwait</t>
  </si>
  <si>
    <t xml:space="preserve">Labuan (Territorio Federal de Malasia)</t>
  </si>
  <si>
    <t xml:space="preserve">Laos, República Democrática Popular</t>
  </si>
  <si>
    <t xml:space="preserve">Letonia</t>
  </si>
  <si>
    <t xml:space="preserve">Líbano</t>
  </si>
  <si>
    <t xml:space="preserve">Liberia</t>
  </si>
  <si>
    <t xml:space="preserve">Libia / Jamahiriya Árabe Libia, Socialista y Popular</t>
  </si>
  <si>
    <t xml:space="preserve">Lituania</t>
  </si>
  <si>
    <t xml:space="preserve">Macao: Región Administrativa Especial de la República Popular China</t>
  </si>
  <si>
    <t xml:space="preserve">Macedonia (ex República Yugoslava de Macedonia)</t>
  </si>
  <si>
    <t xml:space="preserve">Madagascar</t>
  </si>
  <si>
    <t xml:space="preserve">Madeira (Territorio de Portugal)</t>
  </si>
  <si>
    <t xml:space="preserve">Malasia</t>
  </si>
  <si>
    <t xml:space="preserve">Malawi</t>
  </si>
  <si>
    <t xml:space="preserve">Maldivas, Islas / República de Maldivas</t>
  </si>
  <si>
    <t xml:space="preserve">Malí</t>
  </si>
  <si>
    <t xml:space="preserve">Malta, Soberana Orden Militar de / República de Malta</t>
  </si>
  <si>
    <t xml:space="preserve">Marruecos</t>
  </si>
  <si>
    <t xml:space="preserve">Martinica (Departamento de Ultramar Francés)</t>
  </si>
  <si>
    <t xml:space="preserve">Mauricio, Islas / República de Mauricio</t>
  </si>
  <si>
    <t xml:space="preserve">Mauritania</t>
  </si>
  <si>
    <t xml:space="preserve">Mayotte / Mahoré (Posesión de Ultramar de Francia)</t>
  </si>
  <si>
    <t xml:space="preserve">México</t>
  </si>
  <si>
    <t xml:space="preserve">Micronesia, Estados Federados de</t>
  </si>
  <si>
    <t xml:space="preserve">Moldavia</t>
  </si>
  <si>
    <t xml:space="preserve">Mongolia</t>
  </si>
  <si>
    <t xml:space="preserve">Montenegro</t>
  </si>
  <si>
    <t xml:space="preserve">Montserrat (Territorio no Autónomo de Reino Unido)</t>
  </si>
  <si>
    <t xml:space="preserve">Mozambique</t>
  </si>
  <si>
    <t xml:space="preserve">Myanmar (ex Birmania)</t>
  </si>
  <si>
    <t xml:space="preserve">Namibia</t>
  </si>
  <si>
    <t xml:space="preserve">Nauru</t>
  </si>
  <si>
    <t xml:space="preserve">Nepal</t>
  </si>
  <si>
    <t xml:space="preserve">Nicaragua</t>
  </si>
  <si>
    <t xml:space="preserve">Níger</t>
  </si>
  <si>
    <t xml:space="preserve">Nigeria</t>
  </si>
  <si>
    <t xml:space="preserve">Niue (Estado Libre Asociado a Nueva Zelanda)</t>
  </si>
  <si>
    <t xml:space="preserve">Noruega</t>
  </si>
  <si>
    <t xml:space="preserve">Nueva Caledonia (Colectividad de Ultramar Asociada a Francia)</t>
  </si>
  <si>
    <t xml:space="preserve">Nueva Zelanda / Nueva Zelandia</t>
  </si>
  <si>
    <t xml:space="preserve">Omán, Sultanato de</t>
  </si>
  <si>
    <t xml:space="preserve">Países Bajos (Holanda)</t>
  </si>
  <si>
    <t xml:space="preserve">Pakistán</t>
  </si>
  <si>
    <t xml:space="preserve">Palau / República de Palaos</t>
  </si>
  <si>
    <t xml:space="preserve">Palestina/ Territorios Autónomos Palestinos</t>
  </si>
  <si>
    <t xml:space="preserve">Papúa Nueva Guinea</t>
  </si>
  <si>
    <t xml:space="preserve">Paraguay</t>
  </si>
  <si>
    <t xml:space="preserve">Patau</t>
  </si>
  <si>
    <t xml:space="preserve">Perú</t>
  </si>
  <si>
    <t xml:space="preserve">Polinesia Francesa (Territorio de Ultramar de Francia)</t>
  </si>
  <si>
    <t xml:space="preserve">Polonia</t>
  </si>
  <si>
    <t xml:space="preserve">Portugal</t>
  </si>
  <si>
    <t xml:space="preserve">Principado de Liechtenstein</t>
  </si>
  <si>
    <t xml:space="preserve">Principado de Mónaco</t>
  </si>
  <si>
    <t xml:space="preserve">Principado del Valle de Andorra</t>
  </si>
  <si>
    <t xml:space="preserve">Puerto Rico (Estado Libre Asociado a Estados Unidos)</t>
  </si>
  <si>
    <t xml:space="preserve">Qatar</t>
  </si>
  <si>
    <t xml:space="preserve">Reino de Swazilandia</t>
  </si>
  <si>
    <t xml:space="preserve">Reino de Tonga</t>
  </si>
  <si>
    <t xml:space="preserve">Reino Unido de la Gran Bretaña (Inglaterra, Escocia y Gales) e Irlanda del Norte</t>
  </si>
  <si>
    <t xml:space="preserve">Repúbica de Seychelles</t>
  </si>
  <si>
    <t xml:space="preserve">República Centroafricana</t>
  </si>
  <si>
    <t xml:space="preserve">República Checa</t>
  </si>
  <si>
    <t xml:space="preserve">República de Angola</t>
  </si>
  <si>
    <t xml:space="preserve">República de Cabo Verde</t>
  </si>
  <si>
    <t xml:space="preserve">República de Djibouti / Yibuti</t>
  </si>
  <si>
    <t xml:space="preserve">República de las Islas Marshall</t>
  </si>
  <si>
    <t xml:space="preserve">República de Panamá</t>
  </si>
  <si>
    <t xml:space="preserve">República Dominicana</t>
  </si>
  <si>
    <t xml:space="preserve">República Popular de Bangladesh</t>
  </si>
  <si>
    <t xml:space="preserve">República Sudán del Sur</t>
  </si>
  <si>
    <t xml:space="preserve">Reunión</t>
  </si>
  <si>
    <t xml:space="preserve">Ruanda / Rwanda</t>
  </si>
  <si>
    <t xml:space="preserve">Rumania</t>
  </si>
  <si>
    <t xml:space="preserve">Rusia / Federación Rusa</t>
  </si>
  <si>
    <t xml:space="preserve">Sahara Occidental</t>
  </si>
  <si>
    <t xml:space="preserve">Saint Martin (Colectividad Territorial de Ultramar Francesa)</t>
  </si>
  <si>
    <t xml:space="preserve">Samoa (ex Samoa Occidental)</t>
  </si>
  <si>
    <t xml:space="preserve">Samoa Americana (Territorio no Autónomo de Estados Unidos)</t>
  </si>
  <si>
    <t xml:space="preserve">San Bartolomé</t>
  </si>
  <si>
    <t xml:space="preserve">San Cristóbal y Nevis</t>
  </si>
  <si>
    <t xml:space="preserve">San Eustaquio</t>
  </si>
  <si>
    <t xml:space="preserve">San Pedro y Miquelón (Colectividad Territorial Asociada a Francia)</t>
  </si>
  <si>
    <t xml:space="preserve">San Vicente y Granadinas (Estado Independiente)</t>
  </si>
  <si>
    <t xml:space="preserve">Santa Elena / Santa Helena (Territorio de Ultramar de Reino Unido)</t>
  </si>
  <si>
    <t xml:space="preserve">Santa Lucía</t>
  </si>
  <si>
    <t xml:space="preserve">Santo Tomé y Príncipe</t>
  </si>
  <si>
    <t xml:space="preserve">Senegal</t>
  </si>
  <si>
    <t xml:space="preserve">Serbia (ex República Yugoslava de Serbia)</t>
  </si>
  <si>
    <t xml:space="preserve">Serenísima República de San Marino (Estado Independiente)</t>
  </si>
  <si>
    <t xml:space="preserve">Sierra Leona</t>
  </si>
  <si>
    <t xml:space="preserve">Singapur</t>
  </si>
  <si>
    <t xml:space="preserve">Siria, República Árabe</t>
  </si>
  <si>
    <t xml:space="preserve">Somalia</t>
  </si>
  <si>
    <t xml:space="preserve">Sri Lanka, República Democrática Socialista (ex Ceilán)</t>
  </si>
  <si>
    <t xml:space="preserve">Sudáfrica</t>
  </si>
  <si>
    <t xml:space="preserve">Sudán</t>
  </si>
  <si>
    <t xml:space="preserve">Suecia</t>
  </si>
  <si>
    <t xml:space="preserve">Suiza</t>
  </si>
  <si>
    <t xml:space="preserve">Surinam</t>
  </si>
  <si>
    <t xml:space="preserve">Svalbard y Jan Mayen / Archipiélago de Svalbard (Territorio del Reino de Noruega)</t>
  </si>
  <si>
    <t xml:space="preserve">Tadjikistán</t>
  </si>
  <si>
    <t xml:space="preserve">Tailandia</t>
  </si>
  <si>
    <t xml:space="preserve">Taiwán / Formosa</t>
  </si>
  <si>
    <t xml:space="preserve">Tanzania</t>
  </si>
  <si>
    <t xml:space="preserve">Tierras Australes y Antárticas Francesas(Territ.Aust.Franceses)</t>
  </si>
  <si>
    <t xml:space="preserve">Timor Oriental</t>
  </si>
  <si>
    <t xml:space="preserve">Togo</t>
  </si>
  <si>
    <t xml:space="preserve">Tokelau (Territorio no Autónomo de Nueva Zelanda)</t>
  </si>
  <si>
    <t xml:space="preserve">Trinidad y Tobago</t>
  </si>
  <si>
    <t xml:space="preserve">Tristán da Cuhna (Territorio de Ultramar de Reino Unido)</t>
  </si>
  <si>
    <t xml:space="preserve">Túnez</t>
  </si>
  <si>
    <t xml:space="preserve">Turkmenistán</t>
  </si>
  <si>
    <t xml:space="preserve">Turquía</t>
  </si>
  <si>
    <t xml:space="preserve">Tuvalu</t>
  </si>
  <si>
    <t xml:space="preserve">Ucrania</t>
  </si>
  <si>
    <t xml:space="preserve">Uganda</t>
  </si>
  <si>
    <t xml:space="preserve">Uruguay</t>
  </si>
  <si>
    <t xml:space="preserve">Uzbekistán</t>
  </si>
  <si>
    <t xml:space="preserve">Vanuatu / República de Vanuatu</t>
  </si>
  <si>
    <t xml:space="preserve">Vaticano / Ciudad del Vaticano / Santa Sede</t>
  </si>
  <si>
    <t xml:space="preserve">Venezuela / Venezuela, República Bolivariana de</t>
  </si>
  <si>
    <t xml:space="preserve">Vietnam</t>
  </si>
  <si>
    <t xml:space="preserve">Wallis y Futuna, Islas (Colectividad Territorial de Ultramar Francesa)</t>
  </si>
  <si>
    <t xml:space="preserve">Yemen</t>
  </si>
  <si>
    <t xml:space="preserve">Zambia</t>
  </si>
  <si>
    <t xml:space="preserve">Zimbabwe / Zimbabue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</si>
</sst>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"/>
    <numFmt numFmtId="166" formatCode="mm/yyyy"/>
    <numFmt numFmtId="167" formatCode="_-&quot;$ &quot;* #,##0.00_-;&quot;-$ &quot;* #,##0.00_-;_-&quot;$ &quot;* \-??_-;_-@_-"/>
    <numFmt numFmtId="168" formatCode="0.00"/>
    <numFmt numFmtId="169" formatCode="_(* #,##0.00_);_(* \(#,##0.00\);_(* \-??_);_(@_)"/>
    <numFmt numFmtId="170" formatCode="0%"/>
    <numFmt numFmtId="171" formatCode="yyyy/mm"/>
    <numFmt numFmtId="172" formatCode="@"/>
    <numFmt numFmtId="173" formatCode="dd/mm/yyyy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2"/>
      <color rgb="FFFF0000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0"/>
      <color rgb="FF002060"/>
      <name val="Calibri"/>
      <family val="0"/>
      <charset val="1"/>
    </font>
    <font>
      <sz val="10"/>
      <color rgb="FFFF0000"/>
      <name val="Calibri"/>
      <family val="0"/>
      <charset val="1"/>
    </font>
    <font>
      <b val="true"/>
      <sz val="10"/>
      <color rgb="FFFF0000"/>
      <name val="Calibri"/>
      <family val="0"/>
      <charset val="1"/>
    </font>
    <font>
      <i val="true"/>
      <sz val="10"/>
      <color rgb="FF808080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92D050"/>
        <bgColor rgb="FF969696"/>
      </patternFill>
    </fill>
    <fill>
      <patternFill patternType="solid">
        <fgColor rgb="FF002060"/>
        <bgColor rgb="FF000080"/>
      </patternFill>
    </fill>
    <fill>
      <patternFill patternType="solid">
        <fgColor rgb="FFB8CCE4"/>
        <bgColor rgb="FF99CCFF"/>
      </patternFill>
    </fill>
    <fill>
      <patternFill patternType="solid">
        <fgColor rgb="FFDCE6F1"/>
        <bgColor rgb="FFD7E4BC"/>
      </patternFill>
    </fill>
    <fill>
      <patternFill patternType="solid">
        <fgColor rgb="FFD7E4BC"/>
        <bgColor rgb="FFC6EFCE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7" fontId="13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6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8" fillId="6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6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8" fillId="5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8" fillId="6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5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D7E4BC"/>
      <rgbColor rgb="FF808080"/>
      <rgbColor rgb="FF9999FF"/>
      <rgbColor rgb="FF7030A0"/>
      <rgbColor rgb="FFFFFFCC"/>
      <rgbColor rgb="FFDCE6F1"/>
      <rgbColor rgb="FF660066"/>
      <rgbColor rgb="FFFF8080"/>
      <rgbColor rgb="FF0070C0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2D050"/>
      <rgbColor rgb="FFFFC000"/>
      <rgbColor rgb="FFFF9900"/>
      <rgbColor rgb="FFFF6600"/>
      <rgbColor rgb="FF59595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B3:C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6"/>
    <col collapsed="false" customWidth="true" hidden="false" outlineLevel="0" max="3" min="3" style="0" width="16.6"/>
  </cols>
  <sheetData>
    <row r="3" customFormat="false" ht="15" hidden="false" customHeight="false" outlineLevel="0" collapsed="false">
      <c r="B3" s="1" t="s">
        <v>0</v>
      </c>
      <c r="C3" s="1"/>
    </row>
    <row r="4" customFormat="false" ht="15" hidden="false" customHeight="false" outlineLevel="0" collapsed="false">
      <c r="B4" s="2" t="s">
        <v>1</v>
      </c>
      <c r="C4" s="3" t="s">
        <v>2</v>
      </c>
    </row>
    <row r="5" customFormat="false" ht="15" hidden="false" customHeight="false" outlineLevel="0" collapsed="false">
      <c r="B5" s="4" t="s">
        <v>3</v>
      </c>
      <c r="C5" s="5" t="s">
        <v>4</v>
      </c>
    </row>
    <row r="6" customFormat="false" ht="15" hidden="false" customHeight="false" outlineLevel="0" collapsed="false">
      <c r="B6" s="4" t="s">
        <v>5</v>
      </c>
      <c r="C6" s="5" t="s">
        <v>4</v>
      </c>
    </row>
    <row r="7" customFormat="false" ht="15" hidden="false" customHeight="false" outlineLevel="0" collapsed="false">
      <c r="B7" s="4" t="s">
        <v>6</v>
      </c>
      <c r="C7" s="5" t="s">
        <v>4</v>
      </c>
    </row>
    <row r="8" customFormat="false" ht="15" hidden="false" customHeight="false" outlineLevel="0" collapsed="false">
      <c r="B8" s="4" t="s">
        <v>7</v>
      </c>
      <c r="C8" s="5" t="s">
        <v>4</v>
      </c>
    </row>
    <row r="9" customFormat="false" ht="15" hidden="false" customHeight="false" outlineLevel="0" collapsed="false">
      <c r="B9" s="4" t="s">
        <v>8</v>
      </c>
      <c r="C9" s="5" t="s">
        <v>4</v>
      </c>
    </row>
    <row r="10" customFormat="false" ht="15" hidden="false" customHeight="false" outlineLevel="0" collapsed="false">
      <c r="B10" s="4" t="s">
        <v>9</v>
      </c>
      <c r="C10" s="5" t="s">
        <v>4</v>
      </c>
    </row>
    <row r="11" customFormat="false" ht="15" hidden="false" customHeight="false" outlineLevel="0" collapsed="false">
      <c r="B11" s="4" t="s">
        <v>10</v>
      </c>
      <c r="C11" s="5" t="s">
        <v>4</v>
      </c>
    </row>
    <row r="12" customFormat="false" ht="15" hidden="false" customHeight="false" outlineLevel="0" collapsed="false">
      <c r="B12" s="4" t="s">
        <v>11</v>
      </c>
      <c r="C12" s="5" t="s">
        <v>4</v>
      </c>
    </row>
    <row r="13" customFormat="false" ht="15" hidden="false" customHeight="false" outlineLevel="0" collapsed="false">
      <c r="B13" s="4" t="s">
        <v>12</v>
      </c>
      <c r="C13" s="5" t="s">
        <v>4</v>
      </c>
    </row>
    <row r="14" customFormat="false" ht="15" hidden="false" customHeight="false" outlineLevel="0" collapsed="false">
      <c r="B14" s="4" t="s">
        <v>13</v>
      </c>
      <c r="C14" s="5" t="s">
        <v>4</v>
      </c>
    </row>
    <row r="15" customFormat="false" ht="15" hidden="false" customHeight="false" outlineLevel="0" collapsed="false">
      <c r="B15" s="4" t="s">
        <v>14</v>
      </c>
      <c r="C15" s="5" t="s">
        <v>4</v>
      </c>
    </row>
    <row r="16" customFormat="false" ht="15" hidden="false" customHeight="false" outlineLevel="0" collapsed="false">
      <c r="B16" s="4" t="s">
        <v>15</v>
      </c>
      <c r="C16" s="5" t="s">
        <v>4</v>
      </c>
    </row>
    <row r="17" customFormat="false" ht="15" hidden="false" customHeight="false" outlineLevel="0" collapsed="false">
      <c r="B17" s="4" t="s">
        <v>16</v>
      </c>
      <c r="C17" s="5" t="s">
        <v>4</v>
      </c>
    </row>
    <row r="18" customFormat="false" ht="15" hidden="false" customHeight="false" outlineLevel="0" collapsed="false">
      <c r="B18" s="4" t="s">
        <v>17</v>
      </c>
      <c r="C18" s="5" t="s">
        <v>4</v>
      </c>
    </row>
    <row r="19" customFormat="false" ht="15" hidden="false" customHeight="false" outlineLevel="0" collapsed="false">
      <c r="B19" s="4" t="s">
        <v>18</v>
      </c>
      <c r="C19" s="5" t="s">
        <v>4</v>
      </c>
    </row>
    <row r="20" customFormat="false" ht="15" hidden="false" customHeight="false" outlineLevel="0" collapsed="false">
      <c r="B20" s="4" t="s">
        <v>19</v>
      </c>
      <c r="C20" s="5" t="s">
        <v>4</v>
      </c>
    </row>
    <row r="21" customFormat="false" ht="15" hidden="false" customHeight="false" outlineLevel="0" collapsed="false">
      <c r="B21" s="4" t="s">
        <v>20</v>
      </c>
      <c r="C21" s="5" t="s">
        <v>4</v>
      </c>
    </row>
    <row r="22" customFormat="false" ht="15" hidden="false" customHeight="false" outlineLevel="0" collapsed="false">
      <c r="B22" s="4" t="s">
        <v>21</v>
      </c>
      <c r="C22" s="5" t="s">
        <v>4</v>
      </c>
    </row>
  </sheetData>
  <mergeCells count="1">
    <mergeCell ref="B3:C3"/>
  </mergeCells>
  <conditionalFormatting sqref="C5:C22">
    <cfRule type="cellIs" priority="2" operator="equal" aboveAverage="0" equalAverage="0" bottom="0" percent="0" rank="0" text="" dxfId="0">
      <formula>"SI"</formula>
    </cfRule>
    <cfRule type="cellIs" priority="3" operator="equal" aboveAverage="0" equalAverage="0" bottom="0" percent="0" rank="0" text="" dxfId="1">
      <formula>"NO"</formula>
    </cfRule>
  </conditionalFormatting>
  <dataValidations count="1">
    <dataValidation allowBlank="true" error="Seleccione SI o NO" errorStyle="stop" operator="between" showDropDown="false" showErrorMessage="true" showInputMessage="false" sqref="C5:C22" type="list">
      <formula1>"SI,NO"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B1:D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80"/>
    <col collapsed="false" customWidth="true" hidden="false" outlineLevel="0" max="4" min="4" style="0" width="26"/>
  </cols>
  <sheetData>
    <row r="1" customFormat="false" ht="18" hidden="false" customHeight="true" outlineLevel="0" collapsed="false">
      <c r="B1" s="6" t="s">
        <v>22</v>
      </c>
      <c r="C1" s="6"/>
      <c r="D1" s="6"/>
    </row>
    <row r="2" customFormat="false" ht="21.75" hidden="false" customHeight="true" outlineLevel="0" collapsed="false">
      <c r="C2" s="7" t="s">
        <v>23</v>
      </c>
    </row>
    <row r="5" customFormat="false" ht="15" hidden="false" customHeight="false" outlineLevel="0" collapsed="false">
      <c r="C5" s="8" t="s">
        <v>24</v>
      </c>
      <c r="D5" s="9" t="s">
        <v>25</v>
      </c>
    </row>
    <row r="6" customFormat="false" ht="15" hidden="false" customHeight="false" outlineLevel="0" collapsed="false">
      <c r="C6" s="10" t="s">
        <v>26</v>
      </c>
      <c r="D6" s="11"/>
    </row>
    <row r="7" customFormat="false" ht="15" hidden="false" customHeight="false" outlineLevel="0" collapsed="false">
      <c r="C7" s="10" t="s">
        <v>27</v>
      </c>
      <c r="D7" s="12"/>
    </row>
    <row r="9" customFormat="false" ht="15" hidden="false" customHeight="false" outlineLevel="0" collapsed="false">
      <c r="C9" s="8" t="s">
        <v>23</v>
      </c>
      <c r="D9" s="9" t="s">
        <v>25</v>
      </c>
    </row>
    <row r="10" customFormat="false" ht="15" hidden="false" customHeight="false" outlineLevel="0" collapsed="false">
      <c r="C10" s="10" t="s">
        <v>28</v>
      </c>
      <c r="D10" s="12"/>
    </row>
    <row r="11" customFormat="false" ht="15" hidden="false" customHeight="false" outlineLevel="0" collapsed="false">
      <c r="C11" s="10" t="s">
        <v>29</v>
      </c>
      <c r="D11" s="11" t="s">
        <v>30</v>
      </c>
    </row>
    <row r="12" customFormat="false" ht="15" hidden="false" customHeight="false" outlineLevel="0" collapsed="false">
      <c r="C12" s="10" t="s">
        <v>31</v>
      </c>
      <c r="D12" s="11" t="s">
        <v>32</v>
      </c>
    </row>
    <row r="13" customFormat="false" ht="15" hidden="false" customHeight="false" outlineLevel="0" collapsed="false">
      <c r="C13" s="10" t="s">
        <v>33</v>
      </c>
      <c r="D13" s="12" t="n">
        <v>12</v>
      </c>
    </row>
    <row r="14" customFormat="false" ht="15" hidden="false" customHeight="false" outlineLevel="0" collapsed="false">
      <c r="C14" s="10" t="s">
        <v>34</v>
      </c>
      <c r="D14" s="13"/>
    </row>
    <row r="15" customFormat="false" ht="15" hidden="false" customHeight="false" outlineLevel="0" collapsed="false">
      <c r="C15" s="10" t="s">
        <v>35</v>
      </c>
      <c r="D15" s="12" t="n">
        <v>0</v>
      </c>
    </row>
    <row r="16" customFormat="false" ht="15" hidden="false" customHeight="false" outlineLevel="0" collapsed="false">
      <c r="C16" s="10" t="s">
        <v>36</v>
      </c>
      <c r="D16" s="11" t="s">
        <v>4</v>
      </c>
    </row>
    <row r="17" customFormat="false" ht="15" hidden="false" customHeight="false" outlineLevel="0" collapsed="false">
      <c r="C17" s="14" t="s">
        <v>37</v>
      </c>
    </row>
    <row r="18" customFormat="false" ht="15" hidden="false" customHeight="false" outlineLevel="0" collapsed="false">
      <c r="C18" s="8" t="s">
        <v>38</v>
      </c>
      <c r="D18" s="9" t="s">
        <v>39</v>
      </c>
    </row>
    <row r="19" customFormat="false" ht="15" hidden="false" customHeight="false" outlineLevel="0" collapsed="false">
      <c r="C19" s="10" t="s">
        <v>40</v>
      </c>
      <c r="D19" s="11" t="s">
        <v>4</v>
      </c>
    </row>
    <row r="20" customFormat="false" ht="15" hidden="false" customHeight="false" outlineLevel="0" collapsed="false">
      <c r="C20" s="10" t="s">
        <v>41</v>
      </c>
      <c r="D20" s="11" t="s">
        <v>4</v>
      </c>
    </row>
    <row r="21" customFormat="false" ht="15" hidden="false" customHeight="false" outlineLevel="0" collapsed="false">
      <c r="C21" s="10" t="s">
        <v>42</v>
      </c>
      <c r="D21" s="11" t="s">
        <v>4</v>
      </c>
    </row>
    <row r="23" customFormat="false" ht="15" hidden="false" customHeight="false" outlineLevel="0" collapsed="false">
      <c r="C23" s="8" t="s">
        <v>43</v>
      </c>
      <c r="D23" s="9" t="s">
        <v>39</v>
      </c>
    </row>
    <row r="24" customFormat="false" ht="15" hidden="false" customHeight="false" outlineLevel="0" collapsed="false">
      <c r="C24" s="10" t="s">
        <v>44</v>
      </c>
      <c r="D24" s="11" t="s">
        <v>4</v>
      </c>
    </row>
    <row r="25" customFormat="false" ht="15" hidden="false" customHeight="false" outlineLevel="0" collapsed="false">
      <c r="C25" s="10" t="s">
        <v>45</v>
      </c>
      <c r="D25" s="11" t="s">
        <v>4</v>
      </c>
    </row>
    <row r="26" customFormat="false" ht="27.75" hidden="false" customHeight="true" outlineLevel="0" collapsed="false">
      <c r="C26" s="10" t="s">
        <v>46</v>
      </c>
      <c r="D26" s="11" t="s">
        <v>4</v>
      </c>
    </row>
    <row r="27" customFormat="false" ht="15" hidden="false" customHeight="false" outlineLevel="0" collapsed="false">
      <c r="C27" s="10" t="s">
        <v>47</v>
      </c>
      <c r="D27" s="11" t="s">
        <v>4</v>
      </c>
    </row>
    <row r="29" customFormat="false" ht="15" hidden="false" customHeight="false" outlineLevel="0" collapsed="false">
      <c r="C29" s="8" t="s">
        <v>48</v>
      </c>
      <c r="D29" s="9" t="s">
        <v>39</v>
      </c>
    </row>
    <row r="30" customFormat="false" ht="15" hidden="false" customHeight="false" outlineLevel="0" collapsed="false">
      <c r="C30" s="10" t="s">
        <v>49</v>
      </c>
      <c r="D30" s="11" t="s">
        <v>4</v>
      </c>
    </row>
    <row r="31" customFormat="false" ht="15" hidden="false" customHeight="false" outlineLevel="0" collapsed="false">
      <c r="C31" s="10" t="s">
        <v>50</v>
      </c>
      <c r="D31" s="11" t="s">
        <v>4</v>
      </c>
    </row>
  </sheetData>
  <dataValidations count="9">
    <dataValidation allowBlank="true" error="El campo debe tener como maximo 50 caracteres" errorStyle="stop" errorTitle="Dato invalido" operator="lessThanOrEqual" showDropDown="false" showErrorMessage="true" showInputMessage="false" sqref="D6" type="textLength">
      <formula1>50</formula1>
      <formula2>0</formula2>
    </dataValidation>
    <dataValidation allowBlank="true" error="El campo debe contener 11 digitos numericos" errorStyle="stop" errorTitle="Dato invalido" operator="between" showDropDown="false" showErrorMessage="true" showInputMessage="false" sqref="D7" type="whole">
      <formula1>10000000000</formula1>
      <formula2>99999999999</formula2>
    </dataValidation>
    <dataValidation allowBlank="true" error="El periodo debe ir de 1950 a 2099" errorStyle="stop" errorTitle="Dato invalido" operator="between" showDropDown="false" showErrorMessage="true" showInputMessage="false" sqref="D10" type="whole">
      <formula1>1950</formula1>
      <formula2>2099</formula2>
    </dataValidation>
    <dataValidation allowBlank="true" error="Seleccione un valor de la lista" errorStyle="stop" errorTitle="Dato invalido" operator="between" showDropDown="false" showErrorMessage="true" showInputMessage="false" sqref="D11" type="list">
      <formula1>Listas!$D$2:$D$11</formula1>
      <formula2>0</formula2>
    </dataValidation>
    <dataValidation allowBlank="true" error="Seleccione un valor de la lista" errorStyle="stop" errorTitle="Dato invalido" operator="between" showDropDown="false" showErrorMessage="true" showInputMessage="false" sqref="D12" type="list">
      <formula1>Listas!$C$2:$C$3</formula1>
      <formula2>0</formula2>
    </dataValidation>
    <dataValidation allowBlank="true" error="Seleccione un valor de la lista" errorStyle="stop" errorTitle="Dato invalido" operator="between" showDropDown="false" showErrorMessage="true" showInputMessage="false" sqref="D13" type="list">
      <formula1>Listas!$K$2:$K$13</formula1>
      <formula2>0</formula2>
    </dataValidation>
    <dataValidation allowBlank="true" error="Ingresar la fecha de inicio del periodo (MM/AAAA)" errorStyle="stop" errorTitle="Dato invalido" operator="between" showDropDown="false" showErrorMessage="true" showInputMessage="false" sqref="D14" type="date">
      <formula1>1</formula1>
      <formula2>73415</formula2>
    </dataValidation>
    <dataValidation allowBlank="true" error="El campo debe tener como maximo 3 digitos numericos" errorStyle="stop" errorTitle="Dato invalido" operator="between" showDropDown="false" showErrorMessage="true" showInputMessage="false" sqref="D15" type="whole">
      <formula1>0</formula1>
      <formula2>999</formula2>
    </dataValidation>
    <dataValidation allowBlank="true" error="Seleccione un valor de la lista" errorStyle="stop" errorTitle="Dato invalido" operator="between" showDropDown="false" showErrorMessage="true" showInputMessage="false" sqref="D16 D19:D21 D24:D27 D30:D31" type="list">
      <formula1>Listas!$A$2:$A$3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B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52"/>
    <col collapsed="false" customWidth="true" hidden="false" outlineLevel="0" max="5" min="4" style="0" width="24"/>
    <col collapsed="false" customWidth="true" hidden="false" outlineLevel="0" max="6" min="6" style="0" width="22"/>
  </cols>
  <sheetData>
    <row r="1" customFormat="false" ht="18" hidden="false" customHeight="true" outlineLevel="0" collapsed="false">
      <c r="B1" s="6" t="s">
        <v>51</v>
      </c>
      <c r="C1" s="6"/>
      <c r="D1" s="6"/>
      <c r="E1" s="6"/>
      <c r="F1" s="6"/>
    </row>
    <row r="2" customFormat="false" ht="21.75" hidden="false" customHeight="true" outlineLevel="0" collapsed="false">
      <c r="C2" s="7" t="s">
        <v>52</v>
      </c>
    </row>
    <row r="3" customFormat="false" ht="15" hidden="false" customHeight="false" outlineLevel="0" collapsed="false">
      <c r="C3" s="15" t="str">
        <f aca="false">"PERÍODO  "&amp;'Datos iniciales'!$D$10&amp;"      |      TIPO EJERCICIO  "&amp;'Datos iniciales'!$D$12&amp;"      |      SECUENCIA  "&amp;'Datos iniciales'!$D$11</f>
        <v>PERÍODO        |      TIPO EJERCICIO  Regular      |      SECUENCIA  Original</v>
      </c>
    </row>
    <row r="5" customFormat="false" ht="15" hidden="false" customHeight="false" outlineLevel="0" collapsed="false">
      <c r="C5" s="8" t="s">
        <v>53</v>
      </c>
      <c r="D5" s="9" t="s">
        <v>54</v>
      </c>
      <c r="E5" s="9" t="s">
        <v>55</v>
      </c>
      <c r="F5" s="9" t="s">
        <v>56</v>
      </c>
    </row>
    <row r="6" customFormat="false" ht="15" hidden="false" customHeight="false" outlineLevel="0" collapsed="false">
      <c r="C6" s="10" t="s">
        <v>57</v>
      </c>
      <c r="D6" s="16" t="n">
        <f aca="false">Activo!G9</f>
        <v>0</v>
      </c>
      <c r="E6" s="17"/>
      <c r="F6" s="16" t="str">
        <f aca="false">IF(E6="","",D6-E6)</f>
        <v/>
      </c>
    </row>
    <row r="7" customFormat="false" ht="15" hidden="false" customHeight="false" outlineLevel="0" collapsed="false">
      <c r="C7" s="10" t="s">
        <v>58</v>
      </c>
      <c r="D7" s="16" t="n">
        <f aca="false">Pasivo!G9</f>
        <v>0</v>
      </c>
      <c r="E7" s="17"/>
      <c r="F7" s="16" t="str">
        <f aca="false">IF(E7="","",D7-E7)</f>
        <v/>
      </c>
    </row>
    <row r="8" customFormat="false" ht="15" hidden="false" customHeight="false" outlineLevel="0" collapsed="false">
      <c r="C8" s="10" t="s">
        <v>59</v>
      </c>
      <c r="D8" s="16" t="n">
        <f aca="false">'Estado de resultados'!G13</f>
        <v>0</v>
      </c>
      <c r="E8" s="17"/>
      <c r="F8" s="16" t="str">
        <f aca="false">IF(E8="","",D8-E8)</f>
        <v/>
      </c>
    </row>
    <row r="9" customFormat="false" ht="15" hidden="false" customHeight="false" outlineLevel="0" collapsed="false">
      <c r="C9" s="10" t="s">
        <v>60</v>
      </c>
      <c r="D9" s="16" t="n">
        <f aca="false">'Estado de resultados'!D15</f>
        <v>0</v>
      </c>
      <c r="E9" s="17"/>
      <c r="F9" s="16" t="str">
        <f aca="false">IF(E9="","",D9-E9)</f>
        <v/>
      </c>
    </row>
    <row r="10" customFormat="false" ht="15" hidden="false" customHeight="false" outlineLevel="0" collapsed="false">
      <c r="C10" s="10" t="s">
        <v>61</v>
      </c>
      <c r="D10" s="16" t="n">
        <f aca="false">'Patrimonio neto'!G9</f>
        <v>0</v>
      </c>
      <c r="E10" s="17"/>
      <c r="F10" s="16" t="str">
        <f aca="false">IF(E10="","",D10-E10)</f>
        <v/>
      </c>
    </row>
    <row r="12" customFormat="false" ht="15" hidden="false" customHeight="false" outlineLevel="0" collapsed="false">
      <c r="C12" s="14" t="s">
        <v>62</v>
      </c>
    </row>
    <row r="13" customFormat="false" ht="23.85" hidden="false" customHeight="false" outlineLevel="0" collapsed="false">
      <c r="E13" s="18" t="s">
        <v>63</v>
      </c>
      <c r="F13" s="19" t="n">
        <f aca="false">D6-D7-D10</f>
        <v>0</v>
      </c>
    </row>
  </sheetData>
  <conditionalFormatting sqref="F6">
    <cfRule type="expression" priority="2" aboveAverage="0" equalAverage="0" bottom="0" percent="0" rank="0" text="" dxfId="1">
      <formula>AND(ISNUMBER(F6),ROUND(F6,2)&lt;&gt;0)</formula>
    </cfRule>
    <cfRule type="expression" priority="3" aboveAverage="0" equalAverage="0" bottom="0" percent="0" rank="0" text="" dxfId="0">
      <formula>AND(ISNUMBER(F6),ROUND(F6,2)=0)</formula>
    </cfRule>
  </conditionalFormatting>
  <conditionalFormatting sqref="F7">
    <cfRule type="expression" priority="4" aboveAverage="0" equalAverage="0" bottom="0" percent="0" rank="0" text="" dxfId="1">
      <formula>AND(ISNUMBER(F7),ROUND(F7,2)&lt;&gt;0)</formula>
    </cfRule>
    <cfRule type="expression" priority="5" aboveAverage="0" equalAverage="0" bottom="0" percent="0" rank="0" text="" dxfId="0">
      <formula>AND(ISNUMBER(F7),ROUND(F7,2)=0)</formula>
    </cfRule>
  </conditionalFormatting>
  <conditionalFormatting sqref="F8">
    <cfRule type="expression" priority="6" aboveAverage="0" equalAverage="0" bottom="0" percent="0" rank="0" text="" dxfId="1">
      <formula>AND(ISNUMBER(F8),ROUND(F8,2)&lt;&gt;0)</formula>
    </cfRule>
    <cfRule type="expression" priority="7" aboveAverage="0" equalAverage="0" bottom="0" percent="0" rank="0" text="" dxfId="0">
      <formula>AND(ISNUMBER(F8),ROUND(F8,2)=0)</formula>
    </cfRule>
  </conditionalFormatting>
  <conditionalFormatting sqref="F9">
    <cfRule type="expression" priority="8" aboveAverage="0" equalAverage="0" bottom="0" percent="0" rank="0" text="" dxfId="1">
      <formula>AND(ISNUMBER(F9),ROUND(F9,2)&lt;&gt;0)</formula>
    </cfRule>
    <cfRule type="expression" priority="9" aboveAverage="0" equalAverage="0" bottom="0" percent="0" rank="0" text="" dxfId="0">
      <formula>AND(ISNUMBER(F9),ROUND(F9,2)=0)</formula>
    </cfRule>
  </conditionalFormatting>
  <conditionalFormatting sqref="F10">
    <cfRule type="expression" priority="10" aboveAverage="0" equalAverage="0" bottom="0" percent="0" rank="0" text="" dxfId="1">
      <formula>AND(ISNUMBER(F10),ROUND(F10,2)&lt;&gt;0)</formula>
    </cfRule>
    <cfRule type="expression" priority="11" aboveAverage="0" equalAverage="0" bottom="0" percent="0" rank="0" text="" dxfId="0">
      <formula>AND(ISNUMBER(F10),ROUND(F10,2)=0)</formula>
    </cfRule>
  </conditionalFormatting>
  <conditionalFormatting sqref="F13">
    <cfRule type="expression" priority="12" aboveAverage="0" equalAverage="0" bottom="0" percent="0" rank="0" text="" dxfId="1">
      <formula>AND(ISNUMBER(F13),ROUND(F13,2)&lt;&gt;0)</formula>
    </cfRule>
    <cfRule type="expression" priority="13" aboveAverage="0" equalAverage="0" bottom="0" percent="0" rank="0" text="" dxfId="0">
      <formula>AND(ISNUMBER(F13),ROUND(F13,2)=0)</formula>
    </cfRule>
  </conditionalFormatting>
  <dataValidations count="2">
    <dataValidation allowBlank="true" error="El campo debe tener como maximo 9.999.999.999.999,99 y no puede ser negativo" errorStyle="stop" errorTitle="Dato invalido" operator="between" showDropDown="false" showErrorMessage="true" showInputMessage="false" sqref="E6:E7" type="decimal">
      <formula1>0</formula1>
      <formula2>999999999999999</formula2>
    </dataValidation>
    <dataValidation allowBlank="true" error="El campo debe estar entre -9.999.999.999.999,99 y 9.999.999.999.999,99" errorStyle="stop" errorTitle="Dato invalido" operator="between" showDropDown="false" showErrorMessage="true" showInputMessage="false" sqref="E8:E10" type="decimal">
      <formula1>-999999999999999</formula1>
      <formula2>999999999999999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B1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36"/>
    <col collapsed="false" customWidth="true" hidden="false" outlineLevel="0" max="4" min="4" style="0" width="22"/>
    <col collapsed="false" customWidth="true" hidden="false" outlineLevel="0" max="5" min="5" style="0" width="3"/>
    <col collapsed="false" customWidth="true" hidden="false" outlineLevel="0" max="6" min="6" style="0" width="36"/>
    <col collapsed="false" customWidth="true" hidden="false" outlineLevel="0" max="7" min="7" style="0" width="22"/>
  </cols>
  <sheetData>
    <row r="1" customFormat="false" ht="18" hidden="false" customHeight="true" outlineLevel="0" collapsed="false">
      <c r="B1" s="6" t="s">
        <v>64</v>
      </c>
      <c r="C1" s="6"/>
      <c r="D1" s="6"/>
      <c r="E1" s="6"/>
      <c r="F1" s="6"/>
      <c r="G1" s="6"/>
    </row>
    <row r="2" customFormat="false" ht="21.75" hidden="false" customHeight="true" outlineLevel="0" collapsed="false">
      <c r="C2" s="7" t="s">
        <v>3</v>
      </c>
    </row>
    <row r="3" customFormat="false" ht="15" hidden="false" customHeight="false" outlineLevel="0" collapsed="false">
      <c r="C3" s="15" t="str">
        <f aca="false">"PERÍODO  "&amp;'Datos iniciales'!$D$10&amp;"      |      TIPO EJERCICIO  "&amp;'Datos iniciales'!$D$12&amp;"      |      SECUENCIA  "&amp;'Datos iniciales'!$D$11</f>
        <v>PERÍODO        |      TIPO EJERCICIO  Regular      |      SECUENCIA  Original</v>
      </c>
    </row>
    <row r="5" customFormat="false" ht="30" hidden="false" customHeight="true" outlineLevel="0" collapsed="false">
      <c r="C5" s="10" t="s">
        <v>65</v>
      </c>
      <c r="D5" s="17"/>
      <c r="F5" s="10" t="s">
        <v>66</v>
      </c>
      <c r="G5" s="17"/>
    </row>
    <row r="6" customFormat="false" ht="30" hidden="false" customHeight="true" outlineLevel="0" collapsed="false">
      <c r="C6" s="10" t="s">
        <v>67</v>
      </c>
      <c r="D6" s="17"/>
      <c r="F6" s="10" t="s">
        <v>68</v>
      </c>
      <c r="G6" s="17"/>
    </row>
    <row r="7" customFormat="false" ht="30" hidden="false" customHeight="true" outlineLevel="0" collapsed="false">
      <c r="C7" s="10" t="s">
        <v>69</v>
      </c>
      <c r="D7" s="17"/>
      <c r="F7" s="10" t="s">
        <v>70</v>
      </c>
      <c r="G7" s="17"/>
    </row>
    <row r="9" customFormat="false" ht="18" hidden="false" customHeight="true" outlineLevel="0" collapsed="false">
      <c r="C9" s="20" t="s">
        <v>71</v>
      </c>
      <c r="D9" s="21"/>
      <c r="E9" s="21"/>
      <c r="F9" s="21"/>
      <c r="G9" s="22" t="n">
        <f aca="false">D5+G5+D6+G6+D7+G7</f>
        <v>0</v>
      </c>
    </row>
    <row r="11" customFormat="false" ht="30" hidden="false" customHeight="true" outlineLevel="0" collapsed="false">
      <c r="C11" s="10" t="s">
        <v>72</v>
      </c>
      <c r="D11" s="17"/>
      <c r="F11" s="10" t="s">
        <v>73</v>
      </c>
      <c r="G11" s="17"/>
    </row>
    <row r="13" customFormat="false" ht="15" hidden="false" customHeight="false" outlineLevel="0" collapsed="false">
      <c r="F13" s="18" t="s">
        <v>74</v>
      </c>
      <c r="G13" s="19" t="n">
        <f aca="false">G9-D11-G11</f>
        <v>0</v>
      </c>
    </row>
  </sheetData>
  <conditionalFormatting sqref="G13">
    <cfRule type="expression" priority="2" aboveAverage="0" equalAverage="0" bottom="0" percent="0" rank="0" text="" dxfId="1">
      <formula>AND(ISNUMBER(G13),ROUND(G13,2)&lt;&gt;0)</formula>
    </cfRule>
    <cfRule type="expression" priority="3" aboveAverage="0" equalAverage="0" bottom="0" percent="0" rank="0" text="" dxfId="0">
      <formula>AND(ISNUMBER(G13),ROUND(G13,2)=0)</formula>
    </cfRule>
  </conditionalFormatting>
  <dataValidations count="1">
    <dataValidation allowBlank="true" error="El campo debe tener como maximo 9.999.999.999.999,99 y no puede ser negativo" errorStyle="stop" errorTitle="Dato invalido" operator="between" showDropDown="false" showErrorMessage="true" showInputMessage="false" sqref="D5:D7 G5:G7 D11 G11" type="decimal">
      <formula1>0</formula1>
      <formula2>999999999999999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B1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36"/>
    <col collapsed="false" customWidth="true" hidden="false" outlineLevel="0" max="4" min="4" style="0" width="22"/>
    <col collapsed="false" customWidth="true" hidden="false" outlineLevel="0" max="5" min="5" style="0" width="3"/>
    <col collapsed="false" customWidth="true" hidden="false" outlineLevel="0" max="6" min="6" style="0" width="36"/>
    <col collapsed="false" customWidth="true" hidden="false" outlineLevel="0" max="7" min="7" style="0" width="22"/>
  </cols>
  <sheetData>
    <row r="1" customFormat="false" ht="18" hidden="false" customHeight="true" outlineLevel="0" collapsed="false">
      <c r="B1" s="6" t="s">
        <v>75</v>
      </c>
      <c r="C1" s="6"/>
      <c r="D1" s="6"/>
      <c r="E1" s="6"/>
      <c r="F1" s="6"/>
      <c r="G1" s="6"/>
    </row>
    <row r="2" customFormat="false" ht="21.75" hidden="false" customHeight="true" outlineLevel="0" collapsed="false">
      <c r="C2" s="7" t="s">
        <v>5</v>
      </c>
    </row>
    <row r="3" customFormat="false" ht="15" hidden="false" customHeight="false" outlineLevel="0" collapsed="false">
      <c r="C3" s="15" t="str">
        <f aca="false">"PERÍODO  "&amp;'Datos iniciales'!$D$10&amp;"      |      TIPO EJERCICIO  "&amp;'Datos iniciales'!$D$12&amp;"      |      SECUENCIA  "&amp;'Datos iniciales'!$D$11</f>
        <v>PERÍODO        |      TIPO EJERCICIO  Regular      |      SECUENCIA  Original</v>
      </c>
    </row>
    <row r="5" customFormat="false" ht="30" hidden="false" customHeight="true" outlineLevel="0" collapsed="false">
      <c r="C5" s="10" t="s">
        <v>76</v>
      </c>
      <c r="D5" s="17"/>
      <c r="F5" s="10" t="s">
        <v>77</v>
      </c>
      <c r="G5" s="17"/>
    </row>
    <row r="6" customFormat="false" ht="30" hidden="false" customHeight="true" outlineLevel="0" collapsed="false">
      <c r="C6" s="10" t="s">
        <v>78</v>
      </c>
      <c r="D6" s="17"/>
      <c r="F6" s="10" t="s">
        <v>79</v>
      </c>
      <c r="G6" s="17"/>
    </row>
    <row r="7" customFormat="false" ht="30" hidden="false" customHeight="true" outlineLevel="0" collapsed="false">
      <c r="C7" s="10" t="s">
        <v>80</v>
      </c>
      <c r="D7" s="17"/>
    </row>
    <row r="9" customFormat="false" ht="18" hidden="false" customHeight="true" outlineLevel="0" collapsed="false">
      <c r="C9" s="20" t="s">
        <v>81</v>
      </c>
      <c r="D9" s="21"/>
      <c r="E9" s="21"/>
      <c r="F9" s="21"/>
      <c r="G9" s="22" t="n">
        <f aca="false">D5+G5+D6+G6+D7</f>
        <v>0</v>
      </c>
    </row>
    <row r="11" customFormat="false" ht="30" hidden="false" customHeight="true" outlineLevel="0" collapsed="false">
      <c r="C11" s="10" t="s">
        <v>82</v>
      </c>
      <c r="D11" s="17"/>
      <c r="F11" s="10" t="s">
        <v>83</v>
      </c>
      <c r="G11" s="17"/>
    </row>
    <row r="13" customFormat="false" ht="15" hidden="false" customHeight="false" outlineLevel="0" collapsed="false">
      <c r="F13" s="18" t="s">
        <v>74</v>
      </c>
      <c r="G13" s="19" t="n">
        <f aca="false">G9-D11-G11</f>
        <v>0</v>
      </c>
    </row>
  </sheetData>
  <conditionalFormatting sqref="G13">
    <cfRule type="expression" priority="2" aboveAverage="0" equalAverage="0" bottom="0" percent="0" rank="0" text="" dxfId="1">
      <formula>AND(ISNUMBER(G13),ROUND(G13,2)&lt;&gt;0)</formula>
    </cfRule>
    <cfRule type="expression" priority="3" aboveAverage="0" equalAverage="0" bottom="0" percent="0" rank="0" text="" dxfId="0">
      <formula>AND(ISNUMBER(G13),ROUND(G13,2)=0)</formula>
    </cfRule>
  </conditionalFormatting>
  <dataValidations count="1">
    <dataValidation allowBlank="true" error="El campo debe tener como maximo 9.999.999.999.999,99 y no puede ser negativo" errorStyle="stop" errorTitle="Dato invalido" operator="between" showDropDown="false" showErrorMessage="true" showInputMessage="false" sqref="D5:D7 G5:G6 D11 G11" type="decimal">
      <formula1>0</formula1>
      <formula2>999999999999999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B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40"/>
    <col collapsed="false" customWidth="true" hidden="false" outlineLevel="0" max="4" min="4" style="0" width="22"/>
    <col collapsed="false" customWidth="true" hidden="false" outlineLevel="0" max="5" min="5" style="0" width="3"/>
    <col collapsed="false" customWidth="true" hidden="false" outlineLevel="0" max="6" min="6" style="0" width="40"/>
    <col collapsed="false" customWidth="true" hidden="false" outlineLevel="0" max="7" min="7" style="0" width="22"/>
  </cols>
  <sheetData>
    <row r="1" customFormat="false" ht="18" hidden="false" customHeight="true" outlineLevel="0" collapsed="false">
      <c r="B1" s="6" t="s">
        <v>84</v>
      </c>
      <c r="C1" s="6"/>
      <c r="D1" s="6"/>
      <c r="E1" s="6"/>
      <c r="F1" s="6"/>
      <c r="G1" s="6"/>
    </row>
    <row r="2" customFormat="false" ht="21.75" hidden="false" customHeight="true" outlineLevel="0" collapsed="false">
      <c r="C2" s="7" t="s">
        <v>6</v>
      </c>
    </row>
    <row r="3" customFormat="false" ht="15" hidden="false" customHeight="false" outlineLevel="0" collapsed="false">
      <c r="C3" s="15" t="str">
        <f aca="false">"PERÍODO  "&amp;'Datos iniciales'!$D$10&amp;"      |      TIPO EJERCICIO  "&amp;'Datos iniciales'!$D$12&amp;"      |      SECUENCIA  "&amp;'Datos iniciales'!$D$11</f>
        <v>PERÍODO        |      TIPO EJERCICIO  Regular      |      SECUENCIA  Original</v>
      </c>
    </row>
    <row r="5" customFormat="false" ht="30" hidden="false" customHeight="true" outlineLevel="0" collapsed="false">
      <c r="C5" s="10" t="s">
        <v>85</v>
      </c>
      <c r="D5" s="17"/>
      <c r="F5" s="10" t="s">
        <v>86</v>
      </c>
      <c r="G5" s="17"/>
    </row>
    <row r="6" customFormat="false" ht="30" hidden="false" customHeight="true" outlineLevel="0" collapsed="false">
      <c r="C6" s="10" t="s">
        <v>87</v>
      </c>
      <c r="D6" s="16" t="n">
        <f aca="false">D5-G5</f>
        <v>0</v>
      </c>
    </row>
    <row r="7" customFormat="false" ht="30" hidden="false" customHeight="true" outlineLevel="0" collapsed="false">
      <c r="C7" s="10" t="s">
        <v>88</v>
      </c>
      <c r="D7" s="17"/>
      <c r="F7" s="10" t="s">
        <v>89</v>
      </c>
      <c r="G7" s="17"/>
    </row>
    <row r="8" customFormat="false" ht="30" hidden="false" customHeight="true" outlineLevel="0" collapsed="false">
      <c r="C8" s="10" t="s">
        <v>90</v>
      </c>
      <c r="D8" s="17"/>
      <c r="F8" s="10" t="s">
        <v>91</v>
      </c>
      <c r="G8" s="17"/>
    </row>
    <row r="9" customFormat="false" ht="30" hidden="false" customHeight="true" outlineLevel="0" collapsed="false">
      <c r="C9" s="10" t="s">
        <v>92</v>
      </c>
      <c r="D9" s="17"/>
      <c r="F9" s="10" t="s">
        <v>93</v>
      </c>
      <c r="G9" s="17"/>
    </row>
    <row r="10" customFormat="false" ht="30" hidden="false" customHeight="true" outlineLevel="0" collapsed="false">
      <c r="C10" s="10" t="s">
        <v>94</v>
      </c>
      <c r="D10" s="17"/>
      <c r="F10" s="10" t="s">
        <v>95</v>
      </c>
      <c r="G10" s="17"/>
    </row>
    <row r="11" customFormat="false" ht="30" hidden="false" customHeight="true" outlineLevel="0" collapsed="false">
      <c r="C11" s="10" t="s">
        <v>96</v>
      </c>
      <c r="D11" s="17"/>
    </row>
    <row r="13" customFormat="false" ht="18" hidden="false" customHeight="true" outlineLevel="0" collapsed="false">
      <c r="C13" s="20" t="s">
        <v>97</v>
      </c>
      <c r="D13" s="21"/>
      <c r="E13" s="21"/>
      <c r="F13" s="21"/>
      <c r="G13" s="22" t="n">
        <f aca="false">D6+D7-G7-D8+G8+D9-G9+D10+G10-D11</f>
        <v>0</v>
      </c>
    </row>
    <row r="15" customFormat="false" ht="30" hidden="false" customHeight="true" outlineLevel="0" collapsed="false">
      <c r="C15" s="10" t="s">
        <v>98</v>
      </c>
      <c r="D15" s="17"/>
    </row>
    <row r="17" customFormat="false" ht="15" hidden="false" customHeight="false" outlineLevel="0" collapsed="false">
      <c r="C17" s="14" t="s">
        <v>99</v>
      </c>
    </row>
    <row r="18" customFormat="false" ht="15" hidden="false" customHeight="false" outlineLevel="0" collapsed="false">
      <c r="C18" s="14" t="s">
        <v>100</v>
      </c>
    </row>
  </sheetData>
  <dataValidations count="2">
    <dataValidation allowBlank="true" error="El campo debe tener como maximo 9.999.999.999.999,99 y no puede ser negativo" errorStyle="stop" errorTitle="Dato invalido" operator="between" showDropDown="false" showErrorMessage="true" showInputMessage="false" sqref="D5 G5 G7 D8:D9 G9" type="decimal">
      <formula1>0</formula1>
      <formula2>999999999999999</formula2>
    </dataValidation>
    <dataValidation allowBlank="true" error="El campo debe estar entre -9.999.999.999.999,99 y 9.999.999.999.999,99" errorStyle="stop" errorTitle="Dato invalido" operator="between" showDropDown="false" showErrorMessage="true" showInputMessage="false" sqref="D7 G8 D10:D11 G10 D15" type="decimal">
      <formula1>-999999999999999</formula1>
      <formula2>999999999999999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B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36"/>
    <col collapsed="false" customWidth="true" hidden="false" outlineLevel="0" max="4" min="4" style="0" width="22"/>
    <col collapsed="false" customWidth="true" hidden="false" outlineLevel="0" max="5" min="5" style="0" width="3"/>
    <col collapsed="false" customWidth="true" hidden="false" outlineLevel="0" max="6" min="6" style="0" width="36"/>
    <col collapsed="false" customWidth="true" hidden="false" outlineLevel="0" max="7" min="7" style="0" width="22"/>
  </cols>
  <sheetData>
    <row r="1" customFormat="false" ht="18" hidden="false" customHeight="true" outlineLevel="0" collapsed="false">
      <c r="B1" s="6" t="s">
        <v>101</v>
      </c>
      <c r="C1" s="6"/>
      <c r="D1" s="6"/>
      <c r="E1" s="6"/>
      <c r="F1" s="6"/>
      <c r="G1" s="6"/>
    </row>
    <row r="2" customFormat="false" ht="21.75" hidden="false" customHeight="true" outlineLevel="0" collapsed="false">
      <c r="C2" s="7" t="s">
        <v>7</v>
      </c>
    </row>
    <row r="3" customFormat="false" ht="15" hidden="false" customHeight="false" outlineLevel="0" collapsed="false">
      <c r="C3" s="15" t="str">
        <f aca="false">"PERÍODO  "&amp;'Datos iniciales'!$D$10&amp;"      |      TIPO EJERCICIO  "&amp;'Datos iniciales'!$D$12&amp;"      |      SECUENCIA  "&amp;'Datos iniciales'!$D$11</f>
        <v>PERÍODO        |      TIPO EJERCICIO  Regular      |      SECUENCIA  Original</v>
      </c>
    </row>
    <row r="5" customFormat="false" ht="30" hidden="false" customHeight="true" outlineLevel="0" collapsed="false">
      <c r="C5" s="10" t="s">
        <v>102</v>
      </c>
      <c r="D5" s="17"/>
      <c r="F5" s="10" t="s">
        <v>103</v>
      </c>
      <c r="G5" s="17"/>
    </row>
    <row r="6" customFormat="false" ht="30" hidden="false" customHeight="true" outlineLevel="0" collapsed="false">
      <c r="C6" s="10" t="s">
        <v>104</v>
      </c>
      <c r="D6" s="17"/>
      <c r="F6" s="10" t="s">
        <v>105</v>
      </c>
      <c r="G6" s="17"/>
    </row>
    <row r="7" customFormat="false" ht="30" hidden="false" customHeight="true" outlineLevel="0" collapsed="false">
      <c r="C7" s="10" t="s">
        <v>106</v>
      </c>
      <c r="D7" s="16" t="n">
        <f aca="false">'Estado de resultados'!G13</f>
        <v>0</v>
      </c>
    </row>
    <row r="9" customFormat="false" ht="18" hidden="false" customHeight="true" outlineLevel="0" collapsed="false">
      <c r="C9" s="20" t="s">
        <v>107</v>
      </c>
      <c r="D9" s="21"/>
      <c r="E9" s="21"/>
      <c r="F9" s="21"/>
      <c r="G9" s="22" t="n">
        <f aca="false">D5+G5-D6+G6+D7</f>
        <v>0</v>
      </c>
    </row>
    <row r="11" customFormat="false" ht="15" hidden="false" customHeight="false" outlineLevel="0" collapsed="false">
      <c r="F11" s="18" t="s">
        <v>108</v>
      </c>
      <c r="G11" s="19" t="n">
        <f aca="false">Activo!G9-Pasivo!G9-G9</f>
        <v>0</v>
      </c>
    </row>
  </sheetData>
  <conditionalFormatting sqref="G11">
    <cfRule type="expression" priority="2" aboveAverage="0" equalAverage="0" bottom="0" percent="0" rank="0" text="" dxfId="1">
      <formula>AND(ISNUMBER(G11),ROUND(G11,2)&lt;&gt;0)</formula>
    </cfRule>
    <cfRule type="expression" priority="3" aboveAverage="0" equalAverage="0" bottom="0" percent="0" rank="0" text="" dxfId="0">
      <formula>AND(ISNUMBER(G11),ROUND(G11,2)=0)</formula>
    </cfRule>
  </conditionalFormatting>
  <dataValidations count="2">
    <dataValidation allowBlank="true" error="El campo debe tener como maximo 9.999.999.999.999,99 y no puede ser negativo" errorStyle="stop" errorTitle="Dato invalido" operator="between" showDropDown="false" showErrorMessage="true" showInputMessage="false" sqref="G5 D6" type="decimal">
      <formula1>0</formula1>
      <formula2>999999999999999</formula2>
    </dataValidation>
    <dataValidation allowBlank="true" error="El campo debe estar entre -9.999.999.999.999,99 y 9.999.999.999.999,99" errorStyle="stop" errorTitle="Dato invalido" operator="between" showDropDown="false" showErrorMessage="true" showInputMessage="false" sqref="D5 G6" type="decimal">
      <formula1>-999999999999999</formula1>
      <formula2>999999999999999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B1:E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78"/>
    <col collapsed="false" customWidth="true" hidden="false" outlineLevel="0" max="5" min="4" style="0" width="26"/>
  </cols>
  <sheetData>
    <row r="1" customFormat="false" ht="18" hidden="false" customHeight="true" outlineLevel="0" collapsed="false">
      <c r="B1" s="6" t="s">
        <v>109</v>
      </c>
      <c r="C1" s="6"/>
      <c r="D1" s="6"/>
      <c r="E1" s="6"/>
    </row>
    <row r="2" customFormat="false" ht="21.75" hidden="false" customHeight="true" outlineLevel="0" collapsed="false">
      <c r="C2" s="7" t="s">
        <v>8</v>
      </c>
    </row>
    <row r="3" customFormat="false" ht="15" hidden="false" customHeight="false" outlineLevel="0" collapsed="false">
      <c r="C3" s="15" t="str">
        <f aca="false">"PERÍODO  "&amp;'Datos iniciales'!$D$10&amp;"      |      TIPO EJERCICIO  "&amp;'Datos iniciales'!$D$12&amp;"      |      SECUENCIA  "&amp;'Datos iniciales'!$D$11</f>
        <v>PERÍODO        |      TIPO EJERCICIO  Regular      |      SECUENCIA  Original</v>
      </c>
    </row>
    <row r="5" customFormat="false" ht="30" hidden="false" customHeight="true" outlineLevel="0" collapsed="false">
      <c r="C5" s="8" t="s">
        <v>110</v>
      </c>
      <c r="D5" s="9" t="s">
        <v>111</v>
      </c>
      <c r="E5" s="9" t="s">
        <v>112</v>
      </c>
    </row>
    <row r="6" customFormat="false" ht="15" hidden="false" customHeight="false" outlineLevel="0" collapsed="false">
      <c r="C6" s="23" t="s">
        <v>113</v>
      </c>
      <c r="D6" s="16" t="n">
        <f aca="false">SUMIFS($E$15:$E$34,$D$15:$D$34,$C6,$E$15:$E$34,"&gt;0")</f>
        <v>0</v>
      </c>
      <c r="E6" s="16" t="n">
        <f aca="false">-SUMIFS($E$15:$E$34,$D$15:$D$34,$C6,$E$15:$E$34,"&lt;0")</f>
        <v>-0</v>
      </c>
    </row>
    <row r="7" customFormat="false" ht="15" hidden="false" customHeight="false" outlineLevel="0" collapsed="false">
      <c r="C7" s="23" t="s">
        <v>114</v>
      </c>
      <c r="D7" s="16" t="n">
        <f aca="false">SUMIFS($E$15:$E$34,$D$15:$D$34,$C7,$E$15:$E$34,"&gt;0")</f>
        <v>0</v>
      </c>
      <c r="E7" s="16" t="n">
        <f aca="false">-SUMIFS($E$15:$E$34,$D$15:$D$34,$C7,$E$15:$E$34,"&lt;0")</f>
        <v>-0</v>
      </c>
    </row>
    <row r="8" customFormat="false" ht="15" hidden="false" customHeight="false" outlineLevel="0" collapsed="false">
      <c r="C8" s="23" t="s">
        <v>115</v>
      </c>
      <c r="D8" s="16" t="n">
        <f aca="false">SUMIFS($E$15:$E$34,$D$15:$D$34,$C8,$E$15:$E$34,"&gt;0")</f>
        <v>0</v>
      </c>
      <c r="E8" s="16" t="n">
        <f aca="false">-SUMIFS($E$15:$E$34,$D$15:$D$34,$C8,$E$15:$E$34,"&lt;0")</f>
        <v>-0</v>
      </c>
    </row>
    <row r="9" customFormat="false" ht="15" hidden="false" customHeight="false" outlineLevel="0" collapsed="false">
      <c r="C9" s="23" t="s">
        <v>70</v>
      </c>
      <c r="D9" s="16" t="n">
        <f aca="false">SUMIFS($E$15:$E$34,$D$15:$D$34,$C9,$E$15:$E$34,"&gt;0")</f>
        <v>0</v>
      </c>
      <c r="E9" s="16" t="n">
        <f aca="false">-SUMIFS($E$15:$E$34,$D$15:$D$34,$C9,$E$15:$E$34,"&lt;0")</f>
        <v>-0</v>
      </c>
    </row>
    <row r="10" customFormat="false" ht="15" hidden="false" customHeight="false" outlineLevel="0" collapsed="false">
      <c r="C10" s="23" t="s">
        <v>116</v>
      </c>
      <c r="D10" s="16" t="n">
        <f aca="false">SUMIFS($E$15:$E$34,$D$15:$D$34,$C10,$E$15:$E$34,"&gt;0")</f>
        <v>0</v>
      </c>
      <c r="E10" s="16" t="n">
        <f aca="false">-SUMIFS($E$15:$E$34,$D$15:$D$34,$C10,$E$15:$E$34,"&lt;0")</f>
        <v>-0</v>
      </c>
    </row>
    <row r="11" customFormat="false" ht="15" hidden="false" customHeight="false" outlineLevel="0" collapsed="false">
      <c r="C11" s="24" t="s">
        <v>117</v>
      </c>
      <c r="D11" s="25" t="n">
        <f aca="false">SUM(D6:D10)</f>
        <v>0</v>
      </c>
      <c r="E11" s="25" t="n">
        <f aca="false">SUM(E6:E10)</f>
        <v>0</v>
      </c>
    </row>
    <row r="13" customFormat="false" ht="15" hidden="false" customHeight="false" outlineLevel="0" collapsed="false">
      <c r="C13" s="8" t="s">
        <v>118</v>
      </c>
      <c r="D13" s="9"/>
      <c r="E13" s="9"/>
    </row>
    <row r="14" customFormat="false" ht="31.5" hidden="false" customHeight="true" outlineLevel="0" collapsed="false">
      <c r="C14" s="26" t="s">
        <v>119</v>
      </c>
      <c r="D14" s="26" t="s">
        <v>110</v>
      </c>
      <c r="E14" s="26" t="s">
        <v>120</v>
      </c>
    </row>
    <row r="15" customFormat="false" ht="15" hidden="false" customHeight="false" outlineLevel="0" collapsed="false">
      <c r="C15" s="27"/>
      <c r="D15" s="27"/>
      <c r="E15" s="28"/>
    </row>
    <row r="16" customFormat="false" ht="15" hidden="false" customHeight="false" outlineLevel="0" collapsed="false">
      <c r="C16" s="27"/>
      <c r="D16" s="27"/>
      <c r="E16" s="28"/>
    </row>
    <row r="17" customFormat="false" ht="15" hidden="false" customHeight="false" outlineLevel="0" collapsed="false">
      <c r="C17" s="27"/>
      <c r="D17" s="27"/>
      <c r="E17" s="28"/>
    </row>
    <row r="18" customFormat="false" ht="15" hidden="false" customHeight="false" outlineLevel="0" collapsed="false">
      <c r="C18" s="27"/>
      <c r="D18" s="27"/>
      <c r="E18" s="28"/>
    </row>
    <row r="19" customFormat="false" ht="15" hidden="false" customHeight="false" outlineLevel="0" collapsed="false">
      <c r="C19" s="27"/>
      <c r="D19" s="27"/>
      <c r="E19" s="28"/>
    </row>
    <row r="20" customFormat="false" ht="15" hidden="false" customHeight="false" outlineLevel="0" collapsed="false">
      <c r="C20" s="27"/>
      <c r="D20" s="27"/>
      <c r="E20" s="28"/>
    </row>
    <row r="21" customFormat="false" ht="15" hidden="false" customHeight="false" outlineLevel="0" collapsed="false">
      <c r="C21" s="27"/>
      <c r="D21" s="27"/>
      <c r="E21" s="28"/>
    </row>
    <row r="22" customFormat="false" ht="15" hidden="false" customHeight="false" outlineLevel="0" collapsed="false">
      <c r="C22" s="27"/>
      <c r="D22" s="27"/>
      <c r="E22" s="28"/>
    </row>
    <row r="23" customFormat="false" ht="15" hidden="false" customHeight="false" outlineLevel="0" collapsed="false">
      <c r="C23" s="27"/>
      <c r="D23" s="27"/>
      <c r="E23" s="28"/>
    </row>
    <row r="24" customFormat="false" ht="15" hidden="false" customHeight="false" outlineLevel="0" collapsed="false">
      <c r="C24" s="27"/>
      <c r="D24" s="27"/>
      <c r="E24" s="28"/>
    </row>
    <row r="25" customFormat="false" ht="15" hidden="false" customHeight="false" outlineLevel="0" collapsed="false">
      <c r="C25" s="27"/>
      <c r="D25" s="27"/>
      <c r="E25" s="28"/>
    </row>
    <row r="26" customFormat="false" ht="15" hidden="false" customHeight="false" outlineLevel="0" collapsed="false">
      <c r="C26" s="27"/>
      <c r="D26" s="27"/>
      <c r="E26" s="28"/>
    </row>
    <row r="27" customFormat="false" ht="15" hidden="false" customHeight="false" outlineLevel="0" collapsed="false">
      <c r="C27" s="27"/>
      <c r="D27" s="27"/>
      <c r="E27" s="28"/>
    </row>
    <row r="28" customFormat="false" ht="15" hidden="false" customHeight="false" outlineLevel="0" collapsed="false">
      <c r="C28" s="27"/>
      <c r="D28" s="27"/>
      <c r="E28" s="28"/>
    </row>
    <row r="29" customFormat="false" ht="15" hidden="false" customHeight="false" outlineLevel="0" collapsed="false">
      <c r="C29" s="27"/>
      <c r="D29" s="27"/>
      <c r="E29" s="28"/>
    </row>
    <row r="30" customFormat="false" ht="15" hidden="false" customHeight="false" outlineLevel="0" collapsed="false">
      <c r="C30" s="27"/>
      <c r="D30" s="27"/>
      <c r="E30" s="28"/>
    </row>
    <row r="31" customFormat="false" ht="15" hidden="false" customHeight="false" outlineLevel="0" collapsed="false">
      <c r="C31" s="27"/>
      <c r="D31" s="27"/>
      <c r="E31" s="28"/>
    </row>
    <row r="32" customFormat="false" ht="15" hidden="false" customHeight="false" outlineLevel="0" collapsed="false">
      <c r="C32" s="27"/>
      <c r="D32" s="27"/>
      <c r="E32" s="28"/>
    </row>
    <row r="33" customFormat="false" ht="15" hidden="false" customHeight="false" outlineLevel="0" collapsed="false">
      <c r="C33" s="27"/>
      <c r="D33" s="27"/>
      <c r="E33" s="28"/>
    </row>
    <row r="34" customFormat="false" ht="15" hidden="false" customHeight="false" outlineLevel="0" collapsed="false">
      <c r="C34" s="27"/>
      <c r="D34" s="27"/>
      <c r="E34" s="28"/>
    </row>
    <row r="35" customFormat="false" ht="15" hidden="false" customHeight="false" outlineLevel="0" collapsed="false">
      <c r="C35" s="14" t="s">
        <v>121</v>
      </c>
    </row>
  </sheetData>
  <conditionalFormatting sqref="C15:E34">
    <cfRule type="expression" priority="2" aboveAverage="0" equalAverage="0" bottom="0" percent="0" rank="0" text="" dxfId="2">
      <formula>AND(LEN(TRIM($C15&amp;$D15&amp;$E15))&gt;0,OR(LEN(TRIM($C15))=0,LEN(TRIM($D15))=0,LEN(TRIM($E15))=0))</formula>
    </cfRule>
  </conditionalFormatting>
  <dataValidations count="3">
    <dataValidation allowBlank="true" error="Seleccione un valor de la lista" errorStyle="stop" errorTitle="Dato invalido" operator="between" showDropDown="false" showErrorMessage="true" showInputMessage="false" sqref="C15:C34" type="list">
      <formula1>Listas!$F$2:$F$15</formula1>
      <formula2>0</formula2>
    </dataValidation>
    <dataValidation allowBlank="true" error="Seleccione un valor de la lista" errorStyle="stop" errorTitle="Dato invalido" operator="between" showDropDown="false" showErrorMessage="true" showInputMessage="false" sqref="D15:D34" type="list">
      <formula1>Listas!$E$2:$E$6</formula1>
      <formula2>0</formula2>
    </dataValidation>
    <dataValidation allowBlank="true" error="El campo debe estar entre -9.999.999.999.999,99 y 9.999.999.999.999,99" errorStyle="stop" errorTitle="Dato invalido" operator="between" showDropDown="false" showErrorMessage="true" showInputMessage="false" sqref="E15:E34" type="decimal">
      <formula1>-999999999999999</formula1>
      <formula2>999999999999999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B1:J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34"/>
    <col collapsed="false" customWidth="true" hidden="false" outlineLevel="0" max="5" min="4" style="0" width="22"/>
    <col collapsed="false" customWidth="true" hidden="false" outlineLevel="0" max="7" min="6" style="0" width="18"/>
    <col collapsed="false" customWidth="true" hidden="false" outlineLevel="0" max="8" min="8" style="0" width="16"/>
    <col collapsed="false" customWidth="true" hidden="false" outlineLevel="0" max="10" min="9" style="0" width="26"/>
  </cols>
  <sheetData>
    <row r="1" customFormat="false" ht="18" hidden="false" customHeight="true" outlineLevel="0" collapsed="false">
      <c r="B1" s="6" t="s">
        <v>122</v>
      </c>
      <c r="C1" s="6"/>
      <c r="D1" s="6"/>
      <c r="E1" s="6"/>
      <c r="F1" s="6"/>
      <c r="G1" s="6"/>
      <c r="H1" s="6"/>
      <c r="I1" s="6"/>
      <c r="J1" s="6"/>
    </row>
    <row r="2" customFormat="false" ht="21.75" hidden="false" customHeight="true" outlineLevel="0" collapsed="false">
      <c r="C2" s="7" t="s">
        <v>123</v>
      </c>
    </row>
    <row r="3" customFormat="false" ht="15" hidden="false" customHeight="false" outlineLevel="0" collapsed="false">
      <c r="C3" s="15" t="str">
        <f aca="false">"PERÍODO  "&amp;'Datos iniciales'!$D$10&amp;"      |      TIPO EJERCICIO  "&amp;'Datos iniciales'!$D$12&amp;"      |      SECUENCIA  "&amp;'Datos iniciales'!$D$11</f>
        <v>PERÍODO        |      TIPO EJERCICIO  Regular      |      SECUENCIA  Original</v>
      </c>
    </row>
    <row r="4" customFormat="false" ht="15" hidden="false" customHeight="false" outlineLevel="0" collapsed="false">
      <c r="C4" s="29" t="s">
        <v>124</v>
      </c>
    </row>
    <row r="6" customFormat="false" ht="15" hidden="false" customHeight="false" outlineLevel="0" collapsed="false">
      <c r="C6" s="8" t="s">
        <v>123</v>
      </c>
      <c r="D6" s="9" t="s">
        <v>125</v>
      </c>
      <c r="E6" s="9" t="s">
        <v>126</v>
      </c>
    </row>
    <row r="7" customFormat="false" ht="15" hidden="false" customHeight="false" outlineLevel="0" collapsed="false">
      <c r="C7" s="10" t="s">
        <v>127</v>
      </c>
      <c r="D7" s="17"/>
      <c r="E7" s="17"/>
    </row>
    <row r="9" customFormat="false" ht="15" hidden="false" customHeight="false" outlineLevel="0" collapsed="false">
      <c r="C9" s="8" t="s">
        <v>128</v>
      </c>
      <c r="D9" s="9"/>
      <c r="E9" s="9"/>
      <c r="F9" s="9"/>
      <c r="G9" s="9"/>
      <c r="H9" s="9"/>
      <c r="I9" s="9"/>
      <c r="J9" s="9"/>
    </row>
    <row r="10" customFormat="false" ht="31.5" hidden="false" customHeight="true" outlineLevel="0" collapsed="false">
      <c r="C10" s="26" t="s">
        <v>129</v>
      </c>
      <c r="D10" s="26" t="s">
        <v>130</v>
      </c>
      <c r="E10" s="26" t="s">
        <v>131</v>
      </c>
      <c r="F10" s="26" t="s">
        <v>132</v>
      </c>
      <c r="G10" s="26" t="s">
        <v>133</v>
      </c>
      <c r="H10" s="26" t="s">
        <v>134</v>
      </c>
      <c r="I10" s="26" t="s">
        <v>135</v>
      </c>
      <c r="J10" s="26" t="s">
        <v>136</v>
      </c>
    </row>
    <row r="11" customFormat="false" ht="15" hidden="false" customHeight="false" outlineLevel="0" collapsed="false">
      <c r="C11" s="27"/>
      <c r="D11" s="30"/>
      <c r="E11" s="31"/>
      <c r="F11" s="28"/>
      <c r="G11" s="27"/>
      <c r="H11" s="27"/>
      <c r="I11" s="27"/>
      <c r="J11" s="27"/>
    </row>
    <row r="12" customFormat="false" ht="15" hidden="false" customHeight="false" outlineLevel="0" collapsed="false">
      <c r="C12" s="27"/>
      <c r="D12" s="30"/>
      <c r="E12" s="31"/>
      <c r="F12" s="28"/>
      <c r="G12" s="27"/>
      <c r="H12" s="27"/>
      <c r="I12" s="27"/>
      <c r="J12" s="27"/>
    </row>
    <row r="13" customFormat="false" ht="15" hidden="false" customHeight="false" outlineLevel="0" collapsed="false">
      <c r="C13" s="27"/>
      <c r="D13" s="30"/>
      <c r="E13" s="31"/>
      <c r="F13" s="28"/>
      <c r="G13" s="27"/>
      <c r="H13" s="27"/>
      <c r="I13" s="27"/>
      <c r="J13" s="27"/>
    </row>
    <row r="14" customFormat="false" ht="15" hidden="false" customHeight="false" outlineLevel="0" collapsed="false">
      <c r="C14" s="27"/>
      <c r="D14" s="30"/>
      <c r="E14" s="31"/>
      <c r="F14" s="28"/>
      <c r="G14" s="27"/>
      <c r="H14" s="27"/>
      <c r="I14" s="27"/>
      <c r="J14" s="27"/>
    </row>
    <row r="15" customFormat="false" ht="15" hidden="false" customHeight="false" outlineLevel="0" collapsed="false">
      <c r="C15" s="27"/>
      <c r="D15" s="30"/>
      <c r="E15" s="31"/>
      <c r="F15" s="28"/>
      <c r="G15" s="27"/>
      <c r="H15" s="27"/>
      <c r="I15" s="27"/>
      <c r="J15" s="27"/>
    </row>
    <row r="16" customFormat="false" ht="15" hidden="false" customHeight="false" outlineLevel="0" collapsed="false">
      <c r="C16" s="27"/>
      <c r="D16" s="30"/>
      <c r="E16" s="31"/>
      <c r="F16" s="28"/>
      <c r="G16" s="27"/>
      <c r="H16" s="27"/>
      <c r="I16" s="27"/>
      <c r="J16" s="27"/>
    </row>
    <row r="17" customFormat="false" ht="15" hidden="false" customHeight="false" outlineLevel="0" collapsed="false">
      <c r="C17" s="27"/>
      <c r="D17" s="30"/>
      <c r="E17" s="31"/>
      <c r="F17" s="28"/>
      <c r="G17" s="27"/>
      <c r="H17" s="27"/>
      <c r="I17" s="27"/>
      <c r="J17" s="27"/>
    </row>
    <row r="18" customFormat="false" ht="15" hidden="false" customHeight="false" outlineLevel="0" collapsed="false">
      <c r="C18" s="27"/>
      <c r="D18" s="30"/>
      <c r="E18" s="31"/>
      <c r="F18" s="28"/>
      <c r="G18" s="27"/>
      <c r="H18" s="27"/>
      <c r="I18" s="27"/>
      <c r="J18" s="27"/>
    </row>
    <row r="19" customFormat="false" ht="15" hidden="false" customHeight="false" outlineLevel="0" collapsed="false">
      <c r="C19" s="27"/>
      <c r="D19" s="30"/>
      <c r="E19" s="31"/>
      <c r="F19" s="28"/>
      <c r="G19" s="27"/>
      <c r="H19" s="27"/>
      <c r="I19" s="27"/>
      <c r="J19" s="27"/>
    </row>
    <row r="20" customFormat="false" ht="15" hidden="false" customHeight="false" outlineLevel="0" collapsed="false">
      <c r="C20" s="27"/>
      <c r="D20" s="30"/>
      <c r="E20" s="31"/>
      <c r="F20" s="28"/>
      <c r="G20" s="27"/>
      <c r="H20" s="27"/>
      <c r="I20" s="27"/>
      <c r="J20" s="27"/>
    </row>
  </sheetData>
  <conditionalFormatting sqref="C11:J20">
    <cfRule type="expression" priority="2" aboveAverage="0" equalAverage="0" bottom="0" percent="0" rank="0" text="" dxfId="2">
      <formula>AND(LEN(TRIM($C11&amp;$D11&amp;$E11&amp;$F11&amp;$G11&amp;$H11&amp;$I11&amp;$J11))&gt;0,OR(LEN(TRIM($C11))=0,LEN(TRIM($D11))=0,LEN(TRIM($E11))=0,LEN(TRIM($F11))=0,LEN(TRIM($G11))=0))</formula>
    </cfRule>
  </conditionalFormatting>
  <conditionalFormatting sqref="C11:C20">
    <cfRule type="expression" priority="3" aboveAverage="0" equalAverage="0" bottom="0" percent="0" rank="0" text="" dxfId="1">
      <formula>SUMPRODUCT(--ISNUMBER(SEARCH({"0","1","2","3","4","5","6","7","8","9"},C11)))&gt;0</formula>
    </cfRule>
  </conditionalFormatting>
  <dataValidations count="8">
    <dataValidation allowBlank="true" error="El campo debe tener como maximo 50 caracteres" errorStyle="stop" errorTitle="Dato invalido" operator="lessThanOrEqual" showDropDown="false" showErrorMessage="true" showInputMessage="false" sqref="C11:C20 I11:I20" type="textLength">
      <formula1>50</formula1>
      <formula2>0</formula2>
    </dataValidation>
    <dataValidation allowBlank="true" error="El campo debe contener 11 digitos numericos" errorStyle="stop" errorTitle="Dato invalido" operator="between" showDropDown="false" showErrorMessage="true" showInputMessage="false" sqref="D11:D20" type="whole">
      <formula1>10000000000</formula1>
      <formula2>99999999999</formula2>
    </dataValidation>
    <dataValidation allowBlank="true" error="El campo debe tener como maximo 9.999.999.999.999,99 y no puede ser negativo" errorStyle="stop" errorTitle="Dato invalido" operator="between" showDropDown="false" showErrorMessage="true" showInputMessage="false" sqref="F11:F20" type="decimal">
      <formula1>0</formula1>
      <formula2>999999999999999</formula2>
    </dataValidation>
    <dataValidation allowBlank="true" error="El campo debe estar entre -9.999.999.999.999,99 y 9.999.999.999.999,99" errorStyle="stop" errorTitle="Dato invalido" operator="between" showDropDown="false" showErrorMessage="true" showInputMessage="false" sqref="D7:E7" type="decimal">
      <formula1>-999999999999999</formula1>
      <formula2>999999999999999</formula2>
    </dataValidation>
    <dataValidation allowBlank="true" error="El campo debe estar entre 0 y 100" errorStyle="stop" errorTitle="Dato invalido" operator="between" showDropDown="false" showErrorMessage="true" showInputMessage="false" sqref="E11:E20" type="decimal">
      <formula1>0</formula1>
      <formula2>100</formula2>
    </dataValidation>
    <dataValidation allowBlank="true" error="Seleccione un valor de la lista" errorStyle="stop" errorTitle="Dato invalido" operator="between" showDropDown="false" showErrorMessage="true" showInputMessage="false" sqref="G11:G20" type="list">
      <formula1>Listas!$J$2:$J$3</formula1>
      <formula2>0</formula2>
    </dataValidation>
    <dataValidation allowBlank="true" error="El campo debe tener como maximo 20 caracteres" errorStyle="stop" errorTitle="Dato invalido" operator="lessThanOrEqual" showDropDown="false" showErrorMessage="true" showInputMessage="false" sqref="H11:H20" type="textLength">
      <formula1>20</formula1>
      <formula2>0</formula2>
    </dataValidation>
    <dataValidation allowBlank="true" error="Seleccione un valor de la lista" errorStyle="stop" errorTitle="Dato invalido" operator="between" showDropDown="false" showErrorMessage="true" showInputMessage="false" sqref="J11:J20" type="list">
      <formula1>Listas!$G$2:$G$268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B1:F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62"/>
    <col collapsed="false" customWidth="true" hidden="false" outlineLevel="0" max="5" min="4" style="0" width="24"/>
    <col collapsed="false" customWidth="true" hidden="false" outlineLevel="0" max="6" min="6" style="0" width="22"/>
  </cols>
  <sheetData>
    <row r="1" customFormat="false" ht="18" hidden="false" customHeight="true" outlineLevel="0" collapsed="false">
      <c r="B1" s="6" t="s">
        <v>137</v>
      </c>
      <c r="C1" s="6"/>
      <c r="D1" s="6"/>
      <c r="E1" s="6"/>
      <c r="F1" s="6"/>
    </row>
    <row r="2" customFormat="false" ht="21.75" hidden="false" customHeight="true" outlineLevel="0" collapsed="false">
      <c r="C2" s="7" t="s">
        <v>138</v>
      </c>
    </row>
    <row r="3" customFormat="false" ht="15" hidden="false" customHeight="false" outlineLevel="0" collapsed="false">
      <c r="C3" s="15" t="str">
        <f aca="false">"PERÍODO  "&amp;'Datos iniciales'!$D$10&amp;"      |      TIPO EJERCICIO  "&amp;'Datos iniciales'!$D$12&amp;"      |      SECUENCIA  "&amp;'Datos iniciales'!$D$11</f>
        <v>PERÍODO        |      TIPO EJERCICIO  Regular      |      SECUENCIA  Original</v>
      </c>
    </row>
    <row r="5" customFormat="false" ht="15" hidden="false" customHeight="false" outlineLevel="0" collapsed="false">
      <c r="C5" s="8" t="s">
        <v>125</v>
      </c>
      <c r="D5" s="9" t="s">
        <v>120</v>
      </c>
    </row>
    <row r="6" customFormat="false" ht="15" hidden="false" customHeight="false" outlineLevel="0" collapsed="false">
      <c r="C6" s="10" t="s">
        <v>139</v>
      </c>
      <c r="D6" s="17"/>
    </row>
    <row r="7" customFormat="false" ht="15" hidden="false" customHeight="false" outlineLevel="0" collapsed="false">
      <c r="C7" s="10" t="s">
        <v>140</v>
      </c>
      <c r="D7" s="17"/>
    </row>
    <row r="8" customFormat="false" ht="15" hidden="false" customHeight="false" outlineLevel="0" collapsed="false">
      <c r="C8" s="10" t="s">
        <v>141</v>
      </c>
      <c r="D8" s="16" t="n">
        <f aca="false">'Estado de resultados'!G10</f>
        <v>0</v>
      </c>
    </row>
    <row r="9" customFormat="false" ht="15" hidden="false" customHeight="false" outlineLevel="0" collapsed="false">
      <c r="C9" s="10" t="s">
        <v>142</v>
      </c>
      <c r="D9" s="17"/>
    </row>
    <row r="11" customFormat="false" ht="15" hidden="false" customHeight="false" outlineLevel="0" collapsed="false">
      <c r="C11" s="8" t="s">
        <v>126</v>
      </c>
      <c r="D11" s="9" t="s">
        <v>120</v>
      </c>
    </row>
    <row r="12" customFormat="false" ht="15" hidden="false" customHeight="false" outlineLevel="0" collapsed="false">
      <c r="C12" s="10" t="s">
        <v>143</v>
      </c>
      <c r="D12" s="16" t="n">
        <f aca="false">D37</f>
        <v>0</v>
      </c>
    </row>
    <row r="13" customFormat="false" ht="15" hidden="false" customHeight="false" outlineLevel="0" collapsed="false">
      <c r="C13" s="10" t="s">
        <v>140</v>
      </c>
      <c r="D13" s="17"/>
    </row>
    <row r="14" customFormat="false" ht="15" hidden="false" customHeight="false" outlineLevel="0" collapsed="false">
      <c r="C14" s="10" t="s">
        <v>142</v>
      </c>
      <c r="D14" s="17"/>
    </row>
    <row r="16" customFormat="false" ht="15" hidden="false" customHeight="false" outlineLevel="0" collapsed="false">
      <c r="C16" s="8" t="s">
        <v>144</v>
      </c>
      <c r="D16" s="9" t="s">
        <v>120</v>
      </c>
    </row>
    <row r="17" customFormat="false" ht="15" hidden="false" customHeight="false" outlineLevel="0" collapsed="false">
      <c r="C17" s="10" t="s">
        <v>120</v>
      </c>
      <c r="D17" s="17"/>
    </row>
    <row r="19" customFormat="false" ht="15" hidden="false" customHeight="false" outlineLevel="0" collapsed="false">
      <c r="C19" s="8" t="s">
        <v>145</v>
      </c>
      <c r="D19" s="9" t="s">
        <v>146</v>
      </c>
      <c r="E19" s="9" t="s">
        <v>147</v>
      </c>
      <c r="F19" s="9" t="s">
        <v>56</v>
      </c>
    </row>
    <row r="20" customFormat="false" ht="15" hidden="false" customHeight="false" outlineLevel="0" collapsed="false">
      <c r="C20" s="10" t="s">
        <v>139</v>
      </c>
      <c r="D20" s="16" t="n">
        <f aca="false">'Estado de resultados'!G13</f>
        <v>0</v>
      </c>
      <c r="E20" s="16" t="n">
        <f aca="false">D6+D12</f>
        <v>0</v>
      </c>
      <c r="F20" s="16" t="n">
        <f aca="false">D20-E20</f>
        <v>0</v>
      </c>
    </row>
    <row r="21" customFormat="false" ht="15" hidden="false" customHeight="false" outlineLevel="0" collapsed="false">
      <c r="C21" s="10" t="s">
        <v>140</v>
      </c>
      <c r="D21" s="16" t="n">
        <f aca="false">'Estado de resultados'!D10</f>
        <v>0</v>
      </c>
      <c r="E21" s="16" t="n">
        <f aca="false">D7+D13</f>
        <v>0</v>
      </c>
      <c r="F21" s="16" t="n">
        <f aca="false">D21-E21</f>
        <v>0</v>
      </c>
    </row>
    <row r="22" customFormat="false" ht="15" hidden="false" customHeight="false" outlineLevel="0" collapsed="false">
      <c r="C22" s="10" t="s">
        <v>141</v>
      </c>
      <c r="D22" s="16" t="n">
        <f aca="false">'Estado de resultados'!G10</f>
        <v>0</v>
      </c>
      <c r="E22" s="16" t="n">
        <f aca="false">D8</f>
        <v>0</v>
      </c>
      <c r="F22" s="16" t="n">
        <f aca="false">D22-E22</f>
        <v>0</v>
      </c>
    </row>
    <row r="23" customFormat="false" ht="15" hidden="false" customHeight="false" outlineLevel="0" collapsed="false">
      <c r="C23" s="10" t="s">
        <v>148</v>
      </c>
      <c r="E23" s="16" t="n">
        <f aca="false">D9+D14</f>
        <v>0</v>
      </c>
    </row>
    <row r="25" customFormat="false" ht="15" hidden="false" customHeight="false" outlineLevel="0" collapsed="false">
      <c r="C25" s="8" t="s">
        <v>149</v>
      </c>
      <c r="D25" s="9"/>
    </row>
    <row r="26" customFormat="false" ht="31.5" hidden="false" customHeight="true" outlineLevel="0" collapsed="false">
      <c r="C26" s="26" t="s">
        <v>150</v>
      </c>
      <c r="D26" s="26" t="s">
        <v>151</v>
      </c>
    </row>
    <row r="27" customFormat="false" ht="15" hidden="false" customHeight="false" outlineLevel="0" collapsed="false">
      <c r="C27" s="27"/>
      <c r="D27" s="28"/>
    </row>
    <row r="28" customFormat="false" ht="15" hidden="false" customHeight="false" outlineLevel="0" collapsed="false">
      <c r="C28" s="27"/>
      <c r="D28" s="28"/>
    </row>
    <row r="29" customFormat="false" ht="15" hidden="false" customHeight="false" outlineLevel="0" collapsed="false">
      <c r="C29" s="27"/>
      <c r="D29" s="28"/>
    </row>
    <row r="30" customFormat="false" ht="15" hidden="false" customHeight="false" outlineLevel="0" collapsed="false">
      <c r="C30" s="27"/>
      <c r="D30" s="28"/>
    </row>
    <row r="31" customFormat="false" ht="15" hidden="false" customHeight="false" outlineLevel="0" collapsed="false">
      <c r="C31" s="27"/>
      <c r="D31" s="28"/>
    </row>
    <row r="32" customFormat="false" ht="15" hidden="false" customHeight="false" outlineLevel="0" collapsed="false">
      <c r="C32" s="27"/>
      <c r="D32" s="28"/>
    </row>
    <row r="33" customFormat="false" ht="15" hidden="false" customHeight="false" outlineLevel="0" collapsed="false">
      <c r="C33" s="27"/>
      <c r="D33" s="28"/>
    </row>
    <row r="34" customFormat="false" ht="15" hidden="false" customHeight="false" outlineLevel="0" collapsed="false">
      <c r="C34" s="27"/>
      <c r="D34" s="28"/>
    </row>
    <row r="35" customFormat="false" ht="15" hidden="false" customHeight="false" outlineLevel="0" collapsed="false">
      <c r="C35" s="27"/>
      <c r="D35" s="28"/>
    </row>
    <row r="36" customFormat="false" ht="15" hidden="false" customHeight="false" outlineLevel="0" collapsed="false">
      <c r="C36" s="27"/>
      <c r="D36" s="28"/>
    </row>
    <row r="37" customFormat="false" ht="15" hidden="false" customHeight="false" outlineLevel="0" collapsed="false">
      <c r="C37" s="24" t="s">
        <v>139</v>
      </c>
      <c r="D37" s="25" t="n">
        <f aca="false">SUM(D27:D36)</f>
        <v>0</v>
      </c>
    </row>
  </sheetData>
  <conditionalFormatting sqref="F20">
    <cfRule type="expression" priority="2" aboveAverage="0" equalAverage="0" bottom="0" percent="0" rank="0" text="" dxfId="1">
      <formula>AND(ISNUMBER(F20),ROUND(F20,2)&lt;&gt;0)</formula>
    </cfRule>
    <cfRule type="expression" priority="3" aboveAverage="0" equalAverage="0" bottom="0" percent="0" rank="0" text="" dxfId="0">
      <formula>AND(ISNUMBER(F20),ROUND(F20,2)=0)</formula>
    </cfRule>
  </conditionalFormatting>
  <conditionalFormatting sqref="F21">
    <cfRule type="expression" priority="4" aboveAverage="0" equalAverage="0" bottom="0" percent="0" rank="0" text="" dxfId="1">
      <formula>AND(ISNUMBER(F21),ROUND(F21,2)&lt;&gt;0)</formula>
    </cfRule>
    <cfRule type="expression" priority="5" aboveAverage="0" equalAverage="0" bottom="0" percent="0" rank="0" text="" dxfId="0">
      <formula>AND(ISNUMBER(F21),ROUND(F21,2)=0)</formula>
    </cfRule>
  </conditionalFormatting>
  <conditionalFormatting sqref="F22">
    <cfRule type="expression" priority="6" aboveAverage="0" equalAverage="0" bottom="0" percent="0" rank="0" text="" dxfId="1">
      <formula>AND(ISNUMBER(F22),ROUND(F22,2)&lt;&gt;0)</formula>
    </cfRule>
    <cfRule type="expression" priority="7" aboveAverage="0" equalAverage="0" bottom="0" percent="0" rank="0" text="" dxfId="0">
      <formula>AND(ISNUMBER(F22),ROUND(F22,2)=0)</formula>
    </cfRule>
  </conditionalFormatting>
  <conditionalFormatting sqref="C27:D36">
    <cfRule type="expression" priority="8" aboveAverage="0" equalAverage="0" bottom="0" percent="0" rank="0" text="" dxfId="2">
      <formula>AND(LEN(TRIM($C27&amp;$D27))&gt;0,OR(LEN(TRIM($C27))=0,LEN(TRIM($D27))=0))</formula>
    </cfRule>
  </conditionalFormatting>
  <dataValidations count="2">
    <dataValidation allowBlank="true" error="El campo debe estar entre -9.999.999.999.999,99 y 9.999.999.999.999,99" errorStyle="stop" errorTitle="Dato invalido" operator="between" showDropDown="false" showErrorMessage="true" showInputMessage="false" sqref="D6:D7 D9 D13:D14 D17 D27:D36" type="decimal">
      <formula1>-999999999999999</formula1>
      <formula2>999999999999999</formula2>
    </dataValidation>
    <dataValidation allowBlank="true" error="Seleccione un valor de la lista" errorStyle="stop" errorTitle="Dato invalido" operator="between" showDropDown="false" showErrorMessage="true" showInputMessage="false" sqref="C27:C36" type="list">
      <formula1>Listas!$G$2:$G$268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B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50"/>
    <col collapsed="false" customWidth="true" hidden="false" outlineLevel="0" max="4" min="4" style="0" width="26"/>
  </cols>
  <sheetData>
    <row r="1" customFormat="false" ht="18" hidden="false" customHeight="true" outlineLevel="0" collapsed="false">
      <c r="B1" s="6" t="s">
        <v>152</v>
      </c>
      <c r="C1" s="6"/>
      <c r="D1" s="6"/>
    </row>
    <row r="2" customFormat="false" ht="21.75" hidden="false" customHeight="true" outlineLevel="0" collapsed="false">
      <c r="C2" s="7" t="s">
        <v>11</v>
      </c>
    </row>
    <row r="3" customFormat="false" ht="15" hidden="false" customHeight="false" outlineLevel="0" collapsed="false">
      <c r="C3" s="15" t="str">
        <f aca="false">"PERÍODO  "&amp;'Datos iniciales'!$D$10&amp;"      |      TIPO EJERCICIO  "&amp;'Datos iniciales'!$D$12&amp;"      |      SECUENCIA  "&amp;'Datos iniciales'!$D$11</f>
        <v>PERÍODO        |      TIPO EJERCICIO  Regular      |      SECUENCIA  Original</v>
      </c>
    </row>
    <row r="5" customFormat="false" ht="15" hidden="false" customHeight="false" outlineLevel="0" collapsed="false">
      <c r="C5" s="8" t="s">
        <v>153</v>
      </c>
      <c r="D5" s="9" t="s">
        <v>120</v>
      </c>
    </row>
    <row r="6" customFormat="false" ht="15" hidden="false" customHeight="false" outlineLevel="0" collapsed="false">
      <c r="C6" s="10" t="s">
        <v>154</v>
      </c>
      <c r="D6" s="17"/>
    </row>
    <row r="7" customFormat="false" ht="15" hidden="false" customHeight="false" outlineLevel="0" collapsed="false">
      <c r="C7" s="10" t="s">
        <v>155</v>
      </c>
      <c r="D7" s="17"/>
    </row>
    <row r="8" customFormat="false" ht="15" hidden="false" customHeight="false" outlineLevel="0" collapsed="false">
      <c r="C8" s="10" t="s">
        <v>156</v>
      </c>
      <c r="D8" s="17"/>
    </row>
    <row r="9" customFormat="false" ht="15" hidden="false" customHeight="false" outlineLevel="0" collapsed="false">
      <c r="C9" s="10" t="s">
        <v>157</v>
      </c>
      <c r="D9" s="17"/>
    </row>
    <row r="10" customFormat="false" ht="15" hidden="false" customHeight="false" outlineLevel="0" collapsed="false">
      <c r="C10" s="10" t="s">
        <v>158</v>
      </c>
      <c r="D10" s="17"/>
    </row>
    <row r="12" customFormat="false" ht="15" hidden="false" customHeight="false" outlineLevel="0" collapsed="false">
      <c r="C12" s="8" t="s">
        <v>159</v>
      </c>
      <c r="D12" s="9" t="s">
        <v>120</v>
      </c>
    </row>
    <row r="13" customFormat="false" ht="15" hidden="false" customHeight="false" outlineLevel="0" collapsed="false">
      <c r="C13" s="10" t="s">
        <v>160</v>
      </c>
      <c r="D13" s="17"/>
    </row>
    <row r="14" customFormat="false" ht="15" hidden="false" customHeight="false" outlineLevel="0" collapsed="false">
      <c r="C14" s="10" t="s">
        <v>161</v>
      </c>
      <c r="D14" s="17"/>
    </row>
    <row r="16" customFormat="false" ht="15" hidden="false" customHeight="false" outlineLevel="0" collapsed="false">
      <c r="C16" s="14" t="s">
        <v>162</v>
      </c>
    </row>
  </sheetData>
  <conditionalFormatting sqref="D9:D10">
    <cfRule type="expression" priority="2" aboveAverage="0" equalAverage="0" bottom="0" percent="0" rank="0" text="" dxfId="2">
      <formula>AND(N($D$9)&gt;0,N($D$10)&gt;0)</formula>
    </cfRule>
  </conditionalFormatting>
  <conditionalFormatting sqref="D13:D14">
    <cfRule type="expression" priority="3" aboveAverage="0" equalAverage="0" bottom="0" percent="0" rank="0" text="" dxfId="2">
      <formula>AND(N($D$13)&gt;0,N($D$14)&gt;0)</formula>
    </cfRule>
  </conditionalFormatting>
  <dataValidations count="1">
    <dataValidation allowBlank="true" error="El campo debe tener como maximo 9.999.999.999.999,99 y no puede ser negativo" errorStyle="stop" errorTitle="Dato invalido" operator="between" showDropDown="false" showErrorMessage="true" showInputMessage="false" sqref="D6:D10 D13:D14" type="decimal">
      <formula1>0</formula1>
      <formula2>999999999999999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B1:E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66"/>
    <col collapsed="false" customWidth="true" hidden="false" outlineLevel="0" max="5" min="4" style="0" width="24"/>
  </cols>
  <sheetData>
    <row r="1" customFormat="false" ht="18" hidden="false" customHeight="true" outlineLevel="0" collapsed="false">
      <c r="B1" s="6" t="s">
        <v>163</v>
      </c>
      <c r="C1" s="6"/>
      <c r="D1" s="6"/>
      <c r="E1" s="6"/>
    </row>
    <row r="2" customFormat="false" ht="21.75" hidden="false" customHeight="true" outlineLevel="0" collapsed="false">
      <c r="C2" s="7" t="s">
        <v>164</v>
      </c>
    </row>
    <row r="3" customFormat="false" ht="15" hidden="false" customHeight="false" outlineLevel="0" collapsed="false">
      <c r="C3" s="15" t="str">
        <f aca="false">"PERÍODO  "&amp;'Datos iniciales'!$D$10&amp;"      |      TIPO EJERCICIO  "&amp;'Datos iniciales'!$D$12&amp;"      |      SECUENCIA  "&amp;'Datos iniciales'!$D$11</f>
        <v>PERÍODO        |      TIPO EJERCICIO  Regular      |      SECUENCIA  Original</v>
      </c>
    </row>
    <row r="5" customFormat="false" ht="15" hidden="false" customHeight="false" outlineLevel="0" collapsed="false">
      <c r="C5" s="10" t="s">
        <v>165</v>
      </c>
      <c r="D5" s="32" t="s">
        <v>166</v>
      </c>
      <c r="E5" s="32"/>
    </row>
    <row r="7" customFormat="false" ht="18" hidden="false" customHeight="true" outlineLevel="0" collapsed="false">
      <c r="C7" s="20" t="s">
        <v>167</v>
      </c>
      <c r="D7" s="33" t="n">
        <f aca="false">D22+D21</f>
        <v>0</v>
      </c>
      <c r="E7" s="34" t="n">
        <f aca="false">E22+E21</f>
        <v>0</v>
      </c>
    </row>
    <row r="9" customFormat="false" ht="15" hidden="false" customHeight="false" outlineLevel="0" collapsed="false">
      <c r="C9" s="8" t="s">
        <v>168</v>
      </c>
      <c r="D9" s="9" t="s">
        <v>169</v>
      </c>
      <c r="E9" s="9" t="s">
        <v>170</v>
      </c>
    </row>
    <row r="10" customFormat="false" ht="15" hidden="false" customHeight="false" outlineLevel="0" collapsed="false">
      <c r="C10" s="10" t="s">
        <v>171</v>
      </c>
      <c r="D10" s="35"/>
      <c r="E10" s="35"/>
    </row>
    <row r="11" customFormat="false" ht="15" hidden="false" customHeight="false" outlineLevel="0" collapsed="false">
      <c r="C11" s="10" t="s">
        <v>172</v>
      </c>
      <c r="D11" s="35"/>
      <c r="E11" s="35"/>
    </row>
    <row r="12" customFormat="false" ht="15" hidden="false" customHeight="false" outlineLevel="0" collapsed="false">
      <c r="C12" s="10" t="s">
        <v>153</v>
      </c>
      <c r="D12" s="36" t="n">
        <f aca="false">'Ajuste por inflación impositivo'!D9</f>
        <v>0</v>
      </c>
      <c r="E12" s="36" t="n">
        <f aca="false">'Ajuste por inflación impositivo'!D10</f>
        <v>0</v>
      </c>
    </row>
    <row r="13" customFormat="false" ht="15" hidden="false" customHeight="false" outlineLevel="0" collapsed="false">
      <c r="C13" s="10" t="s">
        <v>159</v>
      </c>
      <c r="D13" s="36" t="n">
        <f aca="false">'Ajuste por inflación impositivo'!D13</f>
        <v>0</v>
      </c>
      <c r="E13" s="36" t="n">
        <f aca="false">'Ajuste por inflación impositivo'!D14</f>
        <v>0</v>
      </c>
    </row>
    <row r="14" customFormat="false" ht="15" hidden="false" customHeight="false" outlineLevel="0" collapsed="false">
      <c r="C14" s="10" t="s">
        <v>173</v>
      </c>
      <c r="D14" s="36" t="n">
        <f aca="false">D31</f>
        <v>0</v>
      </c>
      <c r="E14" s="36" t="n">
        <f aca="false">E31</f>
        <v>0</v>
      </c>
    </row>
    <row r="15" customFormat="false" ht="15" hidden="false" customHeight="false" outlineLevel="0" collapsed="false">
      <c r="C15" s="10" t="s">
        <v>174</v>
      </c>
      <c r="D15" s="36" t="n">
        <f aca="false">D38</f>
        <v>0</v>
      </c>
      <c r="E15" s="36" t="n">
        <f aca="false">E38</f>
        <v>0</v>
      </c>
    </row>
    <row r="16" customFormat="false" ht="15" hidden="false" customHeight="false" outlineLevel="0" collapsed="false">
      <c r="C16" s="10" t="s">
        <v>175</v>
      </c>
      <c r="D16" s="36" t="n">
        <f aca="false">D47</f>
        <v>0</v>
      </c>
      <c r="E16" s="36" t="n">
        <f aca="false">E47</f>
        <v>0</v>
      </c>
    </row>
    <row r="17" customFormat="false" ht="15" hidden="false" customHeight="false" outlineLevel="0" collapsed="false">
      <c r="C17" s="10" t="s">
        <v>176</v>
      </c>
      <c r="D17" s="36" t="n">
        <f aca="false">D56</f>
        <v>0</v>
      </c>
      <c r="E17" s="36" t="n">
        <f aca="false">E56</f>
        <v>0</v>
      </c>
    </row>
    <row r="18" customFormat="false" ht="15" hidden="false" customHeight="false" outlineLevel="0" collapsed="false">
      <c r="C18" s="10" t="s">
        <v>177</v>
      </c>
      <c r="D18" s="35"/>
    </row>
    <row r="19" customFormat="false" ht="15" hidden="false" customHeight="false" outlineLevel="0" collapsed="false">
      <c r="C19" s="10" t="s">
        <v>178</v>
      </c>
      <c r="E19" s="35"/>
    </row>
    <row r="20" customFormat="false" ht="15" hidden="false" customHeight="false" outlineLevel="0" collapsed="false">
      <c r="C20" s="10" t="s">
        <v>179</v>
      </c>
      <c r="D20" s="36" t="n">
        <f aca="false">D66</f>
        <v>0</v>
      </c>
      <c r="E20" s="36" t="n">
        <f aca="false">E66</f>
        <v>0</v>
      </c>
    </row>
    <row r="21" customFormat="false" ht="27.75" hidden="false" customHeight="true" outlineLevel="0" collapsed="false">
      <c r="C21" s="10" t="s">
        <v>180</v>
      </c>
      <c r="D21" s="36" t="n">
        <f aca="false">D73</f>
        <v>0</v>
      </c>
      <c r="E21" s="36" t="n">
        <f aca="false">E73</f>
        <v>0</v>
      </c>
    </row>
    <row r="22" customFormat="false" ht="27.75" hidden="false" customHeight="true" outlineLevel="0" collapsed="false">
      <c r="C22" s="24" t="s">
        <v>181</v>
      </c>
      <c r="D22" s="37" t="n">
        <f aca="false">SUM(D10:D20)</f>
        <v>0</v>
      </c>
      <c r="E22" s="37" t="n">
        <f aca="false">SUM(E10:E20)</f>
        <v>0</v>
      </c>
    </row>
    <row r="25" customFormat="false" ht="15" hidden="false" customHeight="false" outlineLevel="0" collapsed="false">
      <c r="C25" s="8" t="s">
        <v>182</v>
      </c>
      <c r="D25" s="9" t="s">
        <v>169</v>
      </c>
      <c r="E25" s="9" t="s">
        <v>170</v>
      </c>
    </row>
    <row r="26" customFormat="false" ht="15" hidden="false" customHeight="false" outlineLevel="0" collapsed="false">
      <c r="C26" s="10" t="s">
        <v>183</v>
      </c>
      <c r="D26" s="35"/>
      <c r="E26" s="35"/>
    </row>
    <row r="27" customFormat="false" ht="15" hidden="false" customHeight="false" outlineLevel="0" collapsed="false">
      <c r="C27" s="10" t="s">
        <v>113</v>
      </c>
      <c r="D27" s="35"/>
      <c r="E27" s="35"/>
    </row>
    <row r="28" customFormat="false" ht="15" hidden="false" customHeight="false" outlineLevel="0" collapsed="false">
      <c r="C28" s="10" t="s">
        <v>184</v>
      </c>
      <c r="D28" s="35"/>
      <c r="E28" s="35"/>
    </row>
    <row r="29" customFormat="false" ht="15" hidden="false" customHeight="false" outlineLevel="0" collapsed="false">
      <c r="C29" s="10" t="s">
        <v>185</v>
      </c>
      <c r="D29" s="35"/>
      <c r="E29" s="35"/>
    </row>
    <row r="30" customFormat="false" ht="15" hidden="false" customHeight="false" outlineLevel="0" collapsed="false">
      <c r="C30" s="10" t="s">
        <v>186</v>
      </c>
      <c r="D30" s="36" t="n">
        <f aca="false">'Amortizaciones aceleradas'!D11</f>
        <v>0</v>
      </c>
      <c r="E30" s="36" t="n">
        <f aca="false">'Amortizaciones aceleradas'!E11</f>
        <v>0</v>
      </c>
    </row>
    <row r="31" customFormat="false" ht="15" hidden="false" customHeight="false" outlineLevel="0" collapsed="false">
      <c r="C31" s="24" t="s">
        <v>187</v>
      </c>
      <c r="D31" s="37" t="n">
        <f aca="false">SUM(D26:D30)</f>
        <v>0</v>
      </c>
      <c r="E31" s="37" t="n">
        <f aca="false">SUM(E26:E30)</f>
        <v>0</v>
      </c>
    </row>
    <row r="34" customFormat="false" ht="15" hidden="false" customHeight="false" outlineLevel="0" collapsed="false">
      <c r="C34" s="8" t="s">
        <v>188</v>
      </c>
      <c r="D34" s="9" t="s">
        <v>169</v>
      </c>
      <c r="E34" s="9" t="s">
        <v>170</v>
      </c>
    </row>
    <row r="35" customFormat="false" ht="15" hidden="false" customHeight="false" outlineLevel="0" collapsed="false">
      <c r="C35" s="10" t="s">
        <v>189</v>
      </c>
      <c r="D35" s="35"/>
      <c r="E35" s="35"/>
    </row>
    <row r="36" customFormat="false" ht="27.75" hidden="false" customHeight="true" outlineLevel="0" collapsed="false">
      <c r="C36" s="10" t="s">
        <v>190</v>
      </c>
      <c r="D36" s="35"/>
      <c r="E36" s="35"/>
    </row>
    <row r="37" customFormat="false" ht="15" hidden="false" customHeight="false" outlineLevel="0" collapsed="false">
      <c r="C37" s="10" t="s">
        <v>191</v>
      </c>
      <c r="D37" s="35"/>
      <c r="E37" s="35"/>
    </row>
    <row r="38" customFormat="false" ht="15" hidden="false" customHeight="false" outlineLevel="0" collapsed="false">
      <c r="C38" s="24" t="s">
        <v>192</v>
      </c>
      <c r="D38" s="37" t="n">
        <f aca="false">SUM(D35:D37)</f>
        <v>0</v>
      </c>
      <c r="E38" s="37" t="n">
        <f aca="false">SUM(E35:E37)</f>
        <v>0</v>
      </c>
    </row>
    <row r="41" customFormat="false" ht="15" hidden="false" customHeight="false" outlineLevel="0" collapsed="false">
      <c r="C41" s="8" t="s">
        <v>193</v>
      </c>
      <c r="D41" s="9" t="s">
        <v>169</v>
      </c>
      <c r="E41" s="9" t="s">
        <v>170</v>
      </c>
    </row>
    <row r="42" customFormat="false" ht="15" hidden="false" customHeight="false" outlineLevel="0" collapsed="false">
      <c r="C42" s="10" t="s">
        <v>194</v>
      </c>
      <c r="D42" s="35"/>
    </row>
    <row r="43" customFormat="false" ht="15" hidden="false" customHeight="false" outlineLevel="0" collapsed="false">
      <c r="C43" s="10" t="s">
        <v>195</v>
      </c>
      <c r="D43" s="35"/>
    </row>
    <row r="44" customFormat="false" ht="15" hidden="false" customHeight="false" outlineLevel="0" collapsed="false">
      <c r="C44" s="10" t="s">
        <v>196</v>
      </c>
      <c r="D44" s="35"/>
    </row>
    <row r="45" customFormat="false" ht="15" hidden="false" customHeight="false" outlineLevel="0" collapsed="false">
      <c r="C45" s="10" t="s">
        <v>197</v>
      </c>
      <c r="D45" s="35"/>
    </row>
    <row r="46" customFormat="false" ht="15" hidden="false" customHeight="false" outlineLevel="0" collapsed="false">
      <c r="C46" s="10" t="s">
        <v>198</v>
      </c>
      <c r="D46" s="35"/>
    </row>
    <row r="47" customFormat="false" ht="15" hidden="false" customHeight="false" outlineLevel="0" collapsed="false">
      <c r="C47" s="24" t="s">
        <v>199</v>
      </c>
      <c r="D47" s="37" t="n">
        <f aca="false">SUM(D42:D46)</f>
        <v>0</v>
      </c>
      <c r="E47" s="37" t="n">
        <f aca="false">SUM(E42:E46)</f>
        <v>0</v>
      </c>
    </row>
    <row r="50" customFormat="false" ht="15" hidden="false" customHeight="false" outlineLevel="0" collapsed="false">
      <c r="C50" s="8" t="s">
        <v>200</v>
      </c>
      <c r="D50" s="9" t="s">
        <v>169</v>
      </c>
      <c r="E50" s="9" t="s">
        <v>170</v>
      </c>
    </row>
    <row r="51" customFormat="false" ht="15" hidden="false" customHeight="false" outlineLevel="0" collapsed="false">
      <c r="C51" s="10" t="s">
        <v>201</v>
      </c>
      <c r="D51" s="35"/>
      <c r="E51" s="35"/>
    </row>
    <row r="52" customFormat="false" ht="15" hidden="false" customHeight="false" outlineLevel="0" collapsed="false">
      <c r="C52" s="10" t="s">
        <v>16</v>
      </c>
      <c r="D52" s="35"/>
    </row>
    <row r="53" customFormat="false" ht="15" hidden="false" customHeight="false" outlineLevel="0" collapsed="false">
      <c r="C53" s="10" t="s">
        <v>202</v>
      </c>
      <c r="D53" s="35"/>
    </row>
    <row r="54" customFormat="false" ht="15" hidden="false" customHeight="false" outlineLevel="0" collapsed="false">
      <c r="C54" s="10" t="s">
        <v>203</v>
      </c>
      <c r="D54" s="35"/>
    </row>
    <row r="55" customFormat="false" ht="15" hidden="false" customHeight="false" outlineLevel="0" collapsed="false">
      <c r="C55" s="10" t="s">
        <v>204</v>
      </c>
      <c r="D55" s="35"/>
      <c r="E55" s="35"/>
    </row>
    <row r="56" customFormat="false" ht="15" hidden="false" customHeight="false" outlineLevel="0" collapsed="false">
      <c r="C56" s="24" t="s">
        <v>205</v>
      </c>
      <c r="D56" s="37" t="n">
        <f aca="false">SUM(D51:D55)</f>
        <v>0</v>
      </c>
      <c r="E56" s="37" t="n">
        <f aca="false">SUM(E51:E55)</f>
        <v>0</v>
      </c>
    </row>
    <row r="59" customFormat="false" ht="15" hidden="false" customHeight="false" outlineLevel="0" collapsed="false">
      <c r="C59" s="8" t="s">
        <v>179</v>
      </c>
      <c r="D59" s="9" t="s">
        <v>169</v>
      </c>
      <c r="E59" s="9" t="s">
        <v>170</v>
      </c>
    </row>
    <row r="60" customFormat="false" ht="15" hidden="false" customHeight="false" outlineLevel="0" collapsed="false">
      <c r="C60" s="10" t="s">
        <v>206</v>
      </c>
      <c r="D60" s="35"/>
    </row>
    <row r="61" customFormat="false" ht="15" hidden="false" customHeight="false" outlineLevel="0" collapsed="false">
      <c r="C61" s="10" t="s">
        <v>207</v>
      </c>
      <c r="D61" s="35"/>
      <c r="E61" s="35"/>
    </row>
    <row r="62" customFormat="false" ht="15" hidden="false" customHeight="false" outlineLevel="0" collapsed="false">
      <c r="C62" s="10" t="s">
        <v>208</v>
      </c>
      <c r="D62" s="35"/>
      <c r="E62" s="35"/>
    </row>
    <row r="63" customFormat="false" ht="15" hidden="false" customHeight="false" outlineLevel="0" collapsed="false">
      <c r="C63" s="10" t="s">
        <v>209</v>
      </c>
      <c r="D63" s="35"/>
      <c r="E63" s="35"/>
    </row>
    <row r="64" customFormat="false" ht="15" hidden="false" customHeight="false" outlineLevel="0" collapsed="false">
      <c r="C64" s="10" t="s">
        <v>210</v>
      </c>
      <c r="D64" s="35"/>
      <c r="E64" s="35"/>
    </row>
    <row r="65" customFormat="false" ht="15" hidden="false" customHeight="false" outlineLevel="0" collapsed="false">
      <c r="C65" s="10" t="s">
        <v>179</v>
      </c>
      <c r="D65" s="35"/>
      <c r="E65" s="35"/>
    </row>
    <row r="66" customFormat="false" ht="15" hidden="false" customHeight="false" outlineLevel="0" collapsed="false">
      <c r="C66" s="24" t="s">
        <v>211</v>
      </c>
      <c r="D66" s="37" t="n">
        <f aca="false">SUM(D60:D65)</f>
        <v>0</v>
      </c>
      <c r="E66" s="37" t="n">
        <f aca="false">SUM(E60:E65)</f>
        <v>0</v>
      </c>
    </row>
    <row r="69" customFormat="false" ht="23.85" hidden="false" customHeight="false" outlineLevel="0" collapsed="false">
      <c r="C69" s="8" t="s">
        <v>180</v>
      </c>
      <c r="D69" s="9" t="s">
        <v>169</v>
      </c>
      <c r="E69" s="9" t="s">
        <v>170</v>
      </c>
    </row>
    <row r="70" customFormat="false" ht="15" hidden="false" customHeight="false" outlineLevel="0" collapsed="false">
      <c r="C70" s="10" t="s">
        <v>212</v>
      </c>
      <c r="D70" s="35"/>
      <c r="E70" s="35"/>
    </row>
    <row r="71" customFormat="false" ht="15" hidden="false" customHeight="false" outlineLevel="0" collapsed="false">
      <c r="C71" s="10" t="s">
        <v>213</v>
      </c>
      <c r="D71" s="35"/>
      <c r="E71" s="35"/>
    </row>
    <row r="72" customFormat="false" ht="15" hidden="false" customHeight="false" outlineLevel="0" collapsed="false">
      <c r="C72" s="10" t="s">
        <v>214</v>
      </c>
      <c r="D72" s="35"/>
      <c r="E72" s="35"/>
    </row>
    <row r="73" customFormat="false" ht="27.75" hidden="false" customHeight="true" outlineLevel="0" collapsed="false">
      <c r="C73" s="24" t="s">
        <v>215</v>
      </c>
      <c r="D73" s="37" t="n">
        <f aca="false">SUM(D70:D72)</f>
        <v>0</v>
      </c>
      <c r="E73" s="37" t="n">
        <f aca="false">SUM(E70:E72)</f>
        <v>0</v>
      </c>
    </row>
  </sheetData>
  <mergeCells count="1">
    <mergeCell ref="D5:E5"/>
  </mergeCells>
  <dataValidations count="2">
    <dataValidation allowBlank="true" error="El campo debe tener como maximo 9.999.999.999.999,99 y no puede ser negativo" errorStyle="stop" errorTitle="Dato invalido" operator="between" showDropDown="false" showErrorMessage="true" showInputMessage="false" sqref="D10:E11 D18 E19 D26:E29 D35:E37 D42:D46 D51:E51 D52:D54 D55:E55 D60 D61:E65 D70:E72" type="decimal">
      <formula1>0</formula1>
      <formula2>999999999999999</formula2>
    </dataValidation>
    <dataValidation allowBlank="true" error="Seleccione un valor de la lista" errorStyle="stop" errorTitle="Dato invalido" operator="between" showDropDown="false" showErrorMessage="true" showInputMessage="false" sqref="D5" type="list">
      <formula1>Listas!$N$2:$N$2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B1:E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66"/>
    <col collapsed="false" customWidth="true" hidden="false" outlineLevel="0" max="5" min="4" style="0" width="24"/>
  </cols>
  <sheetData>
    <row r="1" customFormat="false" ht="18" hidden="false" customHeight="true" outlineLevel="0" collapsed="false">
      <c r="B1" s="6" t="s">
        <v>216</v>
      </c>
      <c r="C1" s="6"/>
      <c r="D1" s="6"/>
      <c r="E1" s="6"/>
    </row>
    <row r="2" customFormat="false" ht="21.75" hidden="false" customHeight="true" outlineLevel="0" collapsed="false">
      <c r="C2" s="7" t="s">
        <v>217</v>
      </c>
    </row>
    <row r="3" customFormat="false" ht="15" hidden="false" customHeight="false" outlineLevel="0" collapsed="false">
      <c r="C3" s="15" t="str">
        <f aca="false">"PERÍODO  "&amp;'Datos iniciales'!$D$10&amp;"      |      TIPO EJERCICIO  "&amp;'Datos iniciales'!$D$12&amp;"      |      SECUENCIA  "&amp;'Datos iniciales'!$D$11</f>
        <v>PERÍODO        |      TIPO EJERCICIO  Regular      |      SECUENCIA  Original</v>
      </c>
    </row>
    <row r="5" customFormat="false" ht="15" hidden="false" customHeight="false" outlineLevel="0" collapsed="false">
      <c r="C5" s="10" t="s">
        <v>165</v>
      </c>
      <c r="D5" s="32" t="s">
        <v>166</v>
      </c>
      <c r="E5" s="32"/>
    </row>
    <row r="7" customFormat="false" ht="18" hidden="false" customHeight="true" outlineLevel="0" collapsed="false">
      <c r="C7" s="20" t="s">
        <v>218</v>
      </c>
      <c r="D7" s="33" t="n">
        <f aca="false">D19+D18</f>
        <v>0</v>
      </c>
      <c r="E7" s="34" t="n">
        <f aca="false">E19+E18</f>
        <v>0</v>
      </c>
    </row>
    <row r="9" customFormat="false" ht="15" hidden="false" customHeight="false" outlineLevel="0" collapsed="false">
      <c r="C9" s="8" t="s">
        <v>168</v>
      </c>
      <c r="D9" s="9" t="s">
        <v>169</v>
      </c>
      <c r="E9" s="9" t="s">
        <v>170</v>
      </c>
    </row>
    <row r="10" customFormat="false" ht="15" hidden="false" customHeight="false" outlineLevel="0" collapsed="false">
      <c r="C10" s="10" t="s">
        <v>171</v>
      </c>
      <c r="D10" s="35"/>
      <c r="E10" s="35"/>
    </row>
    <row r="11" customFormat="false" ht="15" hidden="false" customHeight="false" outlineLevel="0" collapsed="false">
      <c r="C11" s="10" t="s">
        <v>173</v>
      </c>
      <c r="D11" s="36" t="n">
        <f aca="false">D27</f>
        <v>0</v>
      </c>
      <c r="E11" s="36" t="n">
        <f aca="false">E27</f>
        <v>0</v>
      </c>
    </row>
    <row r="12" customFormat="false" ht="15" hidden="false" customHeight="false" outlineLevel="0" collapsed="false">
      <c r="C12" s="10" t="s">
        <v>174</v>
      </c>
      <c r="D12" s="36" t="n">
        <f aca="false">D34</f>
        <v>0</v>
      </c>
      <c r="E12" s="36" t="n">
        <f aca="false">E34</f>
        <v>0</v>
      </c>
    </row>
    <row r="13" customFormat="false" ht="15" hidden="false" customHeight="false" outlineLevel="0" collapsed="false">
      <c r="C13" s="10" t="s">
        <v>175</v>
      </c>
      <c r="D13" s="36" t="n">
        <f aca="false">D43</f>
        <v>0</v>
      </c>
      <c r="E13" s="36" t="n">
        <f aca="false">E43</f>
        <v>0</v>
      </c>
    </row>
    <row r="14" customFormat="false" ht="15" hidden="false" customHeight="false" outlineLevel="0" collapsed="false">
      <c r="C14" s="10" t="s">
        <v>176</v>
      </c>
      <c r="D14" s="36" t="n">
        <f aca="false">D52</f>
        <v>0</v>
      </c>
      <c r="E14" s="36" t="n">
        <f aca="false">E52</f>
        <v>0</v>
      </c>
    </row>
    <row r="15" customFormat="false" ht="15" hidden="false" customHeight="false" outlineLevel="0" collapsed="false">
      <c r="C15" s="10" t="s">
        <v>177</v>
      </c>
      <c r="D15" s="35"/>
    </row>
    <row r="16" customFormat="false" ht="15" hidden="false" customHeight="false" outlineLevel="0" collapsed="false">
      <c r="C16" s="10" t="s">
        <v>178</v>
      </c>
      <c r="E16" s="35"/>
    </row>
    <row r="17" customFormat="false" ht="15" hidden="false" customHeight="false" outlineLevel="0" collapsed="false">
      <c r="C17" s="10" t="s">
        <v>179</v>
      </c>
      <c r="D17" s="36" t="n">
        <f aca="false">D62</f>
        <v>0</v>
      </c>
      <c r="E17" s="36" t="n">
        <f aca="false">E62</f>
        <v>0</v>
      </c>
    </row>
    <row r="18" customFormat="false" ht="27.75" hidden="false" customHeight="true" outlineLevel="0" collapsed="false">
      <c r="C18" s="10" t="s">
        <v>180</v>
      </c>
      <c r="D18" s="36" t="n">
        <f aca="false">D69</f>
        <v>0</v>
      </c>
      <c r="E18" s="36" t="n">
        <f aca="false">E69</f>
        <v>0</v>
      </c>
    </row>
    <row r="19" customFormat="false" ht="27.75" hidden="false" customHeight="true" outlineLevel="0" collapsed="false">
      <c r="C19" s="24" t="s">
        <v>181</v>
      </c>
      <c r="D19" s="37" t="n">
        <f aca="false">SUM(D10:D17)</f>
        <v>0</v>
      </c>
      <c r="E19" s="37" t="n">
        <f aca="false">SUM(E10:E17)</f>
        <v>0</v>
      </c>
    </row>
    <row r="22" customFormat="false" ht="15" hidden="false" customHeight="false" outlineLevel="0" collapsed="false">
      <c r="C22" s="8" t="s">
        <v>182</v>
      </c>
      <c r="D22" s="9" t="s">
        <v>169</v>
      </c>
      <c r="E22" s="9" t="s">
        <v>170</v>
      </c>
    </row>
    <row r="23" customFormat="false" ht="15" hidden="false" customHeight="false" outlineLevel="0" collapsed="false">
      <c r="C23" s="10" t="s">
        <v>183</v>
      </c>
      <c r="D23" s="35"/>
      <c r="E23" s="35"/>
    </row>
    <row r="24" customFormat="false" ht="15" hidden="false" customHeight="false" outlineLevel="0" collapsed="false">
      <c r="C24" s="10" t="s">
        <v>113</v>
      </c>
      <c r="D24" s="35"/>
      <c r="E24" s="35"/>
    </row>
    <row r="25" customFormat="false" ht="15" hidden="false" customHeight="false" outlineLevel="0" collapsed="false">
      <c r="C25" s="10" t="s">
        <v>184</v>
      </c>
      <c r="D25" s="35"/>
      <c r="E25" s="35"/>
    </row>
    <row r="26" customFormat="false" ht="15" hidden="false" customHeight="false" outlineLevel="0" collapsed="false">
      <c r="C26" s="10" t="s">
        <v>185</v>
      </c>
      <c r="D26" s="35"/>
      <c r="E26" s="35"/>
    </row>
    <row r="27" customFormat="false" ht="15" hidden="false" customHeight="false" outlineLevel="0" collapsed="false">
      <c r="C27" s="24" t="s">
        <v>187</v>
      </c>
      <c r="D27" s="37" t="n">
        <f aca="false">SUM(D23:D26)</f>
        <v>0</v>
      </c>
      <c r="E27" s="37" t="n">
        <f aca="false">SUM(E23:E26)</f>
        <v>0</v>
      </c>
    </row>
    <row r="30" customFormat="false" ht="15" hidden="false" customHeight="false" outlineLevel="0" collapsed="false">
      <c r="C30" s="8" t="s">
        <v>188</v>
      </c>
      <c r="D30" s="9" t="s">
        <v>169</v>
      </c>
      <c r="E30" s="9" t="s">
        <v>170</v>
      </c>
    </row>
    <row r="31" customFormat="false" ht="15" hidden="false" customHeight="false" outlineLevel="0" collapsed="false">
      <c r="C31" s="10" t="s">
        <v>189</v>
      </c>
      <c r="D31" s="35"/>
      <c r="E31" s="35"/>
    </row>
    <row r="32" customFormat="false" ht="27.75" hidden="false" customHeight="true" outlineLevel="0" collapsed="false">
      <c r="C32" s="10" t="s">
        <v>190</v>
      </c>
      <c r="D32" s="35"/>
      <c r="E32" s="35"/>
    </row>
    <row r="33" customFormat="false" ht="15" hidden="false" customHeight="false" outlineLevel="0" collapsed="false">
      <c r="C33" s="10" t="s">
        <v>191</v>
      </c>
      <c r="D33" s="35"/>
      <c r="E33" s="35"/>
    </row>
    <row r="34" customFormat="false" ht="15" hidden="false" customHeight="false" outlineLevel="0" collapsed="false">
      <c r="C34" s="24" t="s">
        <v>192</v>
      </c>
      <c r="D34" s="37" t="n">
        <f aca="false">SUM(D31:D33)</f>
        <v>0</v>
      </c>
      <c r="E34" s="37" t="n">
        <f aca="false">SUM(E31:E33)</f>
        <v>0</v>
      </c>
    </row>
    <row r="37" customFormat="false" ht="15" hidden="false" customHeight="false" outlineLevel="0" collapsed="false">
      <c r="C37" s="8" t="s">
        <v>193</v>
      </c>
      <c r="D37" s="9" t="s">
        <v>169</v>
      </c>
      <c r="E37" s="9" t="s">
        <v>170</v>
      </c>
    </row>
    <row r="38" customFormat="false" ht="15" hidden="false" customHeight="false" outlineLevel="0" collapsed="false">
      <c r="C38" s="10" t="s">
        <v>194</v>
      </c>
      <c r="D38" s="35"/>
    </row>
    <row r="39" customFormat="false" ht="15" hidden="false" customHeight="false" outlineLevel="0" collapsed="false">
      <c r="C39" s="10" t="s">
        <v>195</v>
      </c>
      <c r="D39" s="35"/>
    </row>
    <row r="40" customFormat="false" ht="15" hidden="false" customHeight="false" outlineLevel="0" collapsed="false">
      <c r="C40" s="10" t="s">
        <v>196</v>
      </c>
      <c r="D40" s="35"/>
    </row>
    <row r="41" customFormat="false" ht="15" hidden="false" customHeight="false" outlineLevel="0" collapsed="false">
      <c r="C41" s="10" t="s">
        <v>197</v>
      </c>
      <c r="D41" s="35"/>
    </row>
    <row r="42" customFormat="false" ht="15" hidden="false" customHeight="false" outlineLevel="0" collapsed="false">
      <c r="C42" s="10" t="s">
        <v>198</v>
      </c>
      <c r="D42" s="35"/>
    </row>
    <row r="43" customFormat="false" ht="15" hidden="false" customHeight="false" outlineLevel="0" collapsed="false">
      <c r="C43" s="24" t="s">
        <v>199</v>
      </c>
      <c r="D43" s="37" t="n">
        <f aca="false">SUM(D38:D42)</f>
        <v>0</v>
      </c>
      <c r="E43" s="37" t="n">
        <f aca="false">SUM(E38:E42)</f>
        <v>0</v>
      </c>
    </row>
    <row r="46" customFormat="false" ht="15" hidden="false" customHeight="false" outlineLevel="0" collapsed="false">
      <c r="C46" s="8" t="s">
        <v>200</v>
      </c>
      <c r="D46" s="9" t="s">
        <v>169</v>
      </c>
      <c r="E46" s="9" t="s">
        <v>170</v>
      </c>
    </row>
    <row r="47" customFormat="false" ht="15" hidden="false" customHeight="false" outlineLevel="0" collapsed="false">
      <c r="C47" s="10" t="s">
        <v>201</v>
      </c>
      <c r="D47" s="35"/>
      <c r="E47" s="35"/>
    </row>
    <row r="48" customFormat="false" ht="15" hidden="false" customHeight="false" outlineLevel="0" collapsed="false">
      <c r="C48" s="10" t="s">
        <v>16</v>
      </c>
      <c r="D48" s="35"/>
    </row>
    <row r="49" customFormat="false" ht="15" hidden="false" customHeight="false" outlineLevel="0" collapsed="false">
      <c r="C49" s="10" t="s">
        <v>202</v>
      </c>
      <c r="D49" s="35"/>
    </row>
    <row r="50" customFormat="false" ht="15" hidden="false" customHeight="false" outlineLevel="0" collapsed="false">
      <c r="C50" s="10" t="s">
        <v>203</v>
      </c>
      <c r="D50" s="35"/>
    </row>
    <row r="51" customFormat="false" ht="15" hidden="false" customHeight="false" outlineLevel="0" collapsed="false">
      <c r="C51" s="10" t="s">
        <v>204</v>
      </c>
      <c r="D51" s="35"/>
      <c r="E51" s="35"/>
    </row>
    <row r="52" customFormat="false" ht="15" hidden="false" customHeight="false" outlineLevel="0" collapsed="false">
      <c r="C52" s="24" t="s">
        <v>205</v>
      </c>
      <c r="D52" s="37" t="n">
        <f aca="false">SUM(D47:D51)</f>
        <v>0</v>
      </c>
      <c r="E52" s="37" t="n">
        <f aca="false">SUM(E47:E51)</f>
        <v>0</v>
      </c>
    </row>
    <row r="55" customFormat="false" ht="15" hidden="false" customHeight="false" outlineLevel="0" collapsed="false">
      <c r="C55" s="8" t="s">
        <v>179</v>
      </c>
      <c r="D55" s="9" t="s">
        <v>169</v>
      </c>
      <c r="E55" s="9" t="s">
        <v>170</v>
      </c>
    </row>
    <row r="56" customFormat="false" ht="15" hidden="false" customHeight="false" outlineLevel="0" collapsed="false">
      <c r="C56" s="10" t="s">
        <v>206</v>
      </c>
      <c r="D56" s="35"/>
    </row>
    <row r="57" customFormat="false" ht="15" hidden="false" customHeight="false" outlineLevel="0" collapsed="false">
      <c r="C57" s="10" t="s">
        <v>207</v>
      </c>
      <c r="D57" s="35"/>
      <c r="E57" s="35"/>
    </row>
    <row r="58" customFormat="false" ht="15" hidden="false" customHeight="false" outlineLevel="0" collapsed="false">
      <c r="C58" s="10" t="s">
        <v>208</v>
      </c>
      <c r="D58" s="35"/>
      <c r="E58" s="35"/>
    </row>
    <row r="59" customFormat="false" ht="15" hidden="false" customHeight="false" outlineLevel="0" collapsed="false">
      <c r="C59" s="10" t="s">
        <v>209</v>
      </c>
      <c r="D59" s="35"/>
      <c r="E59" s="35"/>
    </row>
    <row r="60" customFormat="false" ht="15" hidden="false" customHeight="false" outlineLevel="0" collapsed="false">
      <c r="C60" s="10" t="s">
        <v>210</v>
      </c>
      <c r="D60" s="35"/>
      <c r="E60" s="35"/>
    </row>
    <row r="61" customFormat="false" ht="15" hidden="false" customHeight="false" outlineLevel="0" collapsed="false">
      <c r="C61" s="10" t="s">
        <v>179</v>
      </c>
      <c r="D61" s="35"/>
      <c r="E61" s="35"/>
    </row>
    <row r="62" customFormat="false" ht="15" hidden="false" customHeight="false" outlineLevel="0" collapsed="false">
      <c r="C62" s="24" t="s">
        <v>211</v>
      </c>
      <c r="D62" s="37" t="n">
        <f aca="false">SUM(D56:D61)</f>
        <v>0</v>
      </c>
      <c r="E62" s="37" t="n">
        <f aca="false">SUM(E56:E61)</f>
        <v>0</v>
      </c>
    </row>
    <row r="65" customFormat="false" ht="23.85" hidden="false" customHeight="false" outlineLevel="0" collapsed="false">
      <c r="C65" s="8" t="s">
        <v>180</v>
      </c>
      <c r="D65" s="9" t="s">
        <v>169</v>
      </c>
      <c r="E65" s="9" t="s">
        <v>170</v>
      </c>
    </row>
    <row r="66" customFormat="false" ht="15" hidden="false" customHeight="false" outlineLevel="0" collapsed="false">
      <c r="C66" s="10" t="s">
        <v>212</v>
      </c>
      <c r="D66" s="35"/>
      <c r="E66" s="35"/>
    </row>
    <row r="67" customFormat="false" ht="15" hidden="false" customHeight="false" outlineLevel="0" collapsed="false">
      <c r="C67" s="10" t="s">
        <v>213</v>
      </c>
      <c r="D67" s="35"/>
      <c r="E67" s="35"/>
    </row>
    <row r="68" customFormat="false" ht="15" hidden="false" customHeight="false" outlineLevel="0" collapsed="false">
      <c r="C68" s="10" t="s">
        <v>214</v>
      </c>
      <c r="D68" s="35"/>
      <c r="E68" s="35"/>
    </row>
    <row r="69" customFormat="false" ht="27.75" hidden="false" customHeight="true" outlineLevel="0" collapsed="false">
      <c r="C69" s="24" t="s">
        <v>215</v>
      </c>
      <c r="D69" s="37" t="n">
        <f aca="false">SUM(D66:D68)</f>
        <v>0</v>
      </c>
      <c r="E69" s="37" t="n">
        <f aca="false">SUM(E66:E68)</f>
        <v>0</v>
      </c>
    </row>
  </sheetData>
  <mergeCells count="1">
    <mergeCell ref="D5:E5"/>
  </mergeCells>
  <dataValidations count="2">
    <dataValidation allowBlank="true" error="El campo debe tener como maximo 9.999.999.999.999,99 y no puede ser negativo" errorStyle="stop" errorTitle="Dato invalido" operator="between" showDropDown="false" showErrorMessage="true" showInputMessage="false" sqref="D10:E10 D15 E16 D23:E26 D31:E33 D38:D42 D47:E47 D48:D50 D51:E51 D56 D57:E61 D66:E68" type="decimal">
      <formula1>0</formula1>
      <formula2>999999999999999</formula2>
    </dataValidation>
    <dataValidation allowBlank="true" error="Seleccione un valor de la lista" errorStyle="stop" errorTitle="Dato invalido" operator="between" showDropDown="false" showErrorMessage="true" showInputMessage="false" sqref="D5" type="list">
      <formula1>Listas!$N$2:$N$2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B1:L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13"/>
    <col collapsed="false" customWidth="true" hidden="false" outlineLevel="0" max="4" min="4" style="0" width="26"/>
    <col collapsed="false" customWidth="true" hidden="false" outlineLevel="0" max="5" min="5" style="0" width="10"/>
    <col collapsed="false" customWidth="true" hidden="false" outlineLevel="0" max="7" min="6" style="0" width="15"/>
    <col collapsed="false" customWidth="true" hidden="false" outlineLevel="0" max="8" min="8" style="0" width="34"/>
    <col collapsed="false" customWidth="true" hidden="false" outlineLevel="0" max="12" min="9" style="0" width="20"/>
  </cols>
  <sheetData>
    <row r="1" customFormat="false" ht="18" hidden="false" customHeight="true" outlineLevel="0" collapsed="false">
      <c r="B1" s="6" t="s">
        <v>219</v>
      </c>
      <c r="C1" s="6"/>
      <c r="D1" s="6"/>
      <c r="E1" s="6"/>
      <c r="F1" s="6"/>
      <c r="G1" s="6"/>
      <c r="H1" s="6"/>
      <c r="I1" s="6"/>
      <c r="J1" s="6"/>
      <c r="K1" s="6"/>
      <c r="L1" s="6"/>
    </row>
    <row r="2" customFormat="false" ht="21.75" hidden="false" customHeight="true" outlineLevel="0" collapsed="false">
      <c r="C2" s="7" t="s">
        <v>220</v>
      </c>
    </row>
    <row r="3" customFormat="false" ht="15" hidden="false" customHeight="false" outlineLevel="0" collapsed="false">
      <c r="C3" s="15" t="str">
        <f aca="false">"PERÍODO  "&amp;'Datos iniciales'!$D$10&amp;"      |      TIPO EJERCICIO  "&amp;'Datos iniciales'!$D$12&amp;"      |      SECUENCIA  "&amp;'Datos iniciales'!$D$11</f>
        <v>PERÍODO        |      TIPO EJERCICIO  Regular      |      SECUENCIA  Original</v>
      </c>
    </row>
    <row r="5" customFormat="false" ht="31.5" hidden="false" customHeight="true" outlineLevel="0" collapsed="false">
      <c r="C5" s="26" t="s">
        <v>221</v>
      </c>
      <c r="D5" s="26" t="s">
        <v>222</v>
      </c>
      <c r="E5" s="26" t="s">
        <v>28</v>
      </c>
      <c r="F5" s="26" t="s">
        <v>223</v>
      </c>
      <c r="G5" s="26" t="s">
        <v>224</v>
      </c>
      <c r="H5" s="26" t="s">
        <v>225</v>
      </c>
      <c r="I5" s="26" t="s">
        <v>226</v>
      </c>
      <c r="J5" s="26" t="s">
        <v>227</v>
      </c>
      <c r="K5" s="26" t="s">
        <v>228</v>
      </c>
      <c r="L5" s="26" t="s">
        <v>229</v>
      </c>
    </row>
    <row r="6" customFormat="false" ht="15" hidden="false" customHeight="false" outlineLevel="0" collapsed="false">
      <c r="C6" s="27"/>
      <c r="D6" s="27"/>
      <c r="E6" s="30"/>
      <c r="F6" s="27"/>
      <c r="G6" s="27"/>
      <c r="H6" s="27"/>
      <c r="I6" s="38"/>
      <c r="J6" s="38"/>
      <c r="K6" s="38"/>
      <c r="L6" s="39" t="str">
        <f aca="false">IF($H6="","",I6+J6-K6)</f>
        <v/>
      </c>
    </row>
    <row r="7" customFormat="false" ht="15" hidden="false" customHeight="false" outlineLevel="0" collapsed="false">
      <c r="C7" s="27"/>
      <c r="D7" s="27"/>
      <c r="E7" s="30"/>
      <c r="F7" s="27"/>
      <c r="G7" s="27"/>
      <c r="H7" s="27"/>
      <c r="I7" s="38"/>
      <c r="J7" s="38"/>
      <c r="K7" s="38"/>
      <c r="L7" s="39" t="str">
        <f aca="false">IF($H7="","",I7+J7-K7)</f>
        <v/>
      </c>
    </row>
    <row r="8" customFormat="false" ht="15" hidden="false" customHeight="false" outlineLevel="0" collapsed="false">
      <c r="C8" s="27"/>
      <c r="D8" s="27"/>
      <c r="E8" s="30"/>
      <c r="F8" s="27"/>
      <c r="G8" s="27"/>
      <c r="H8" s="27"/>
      <c r="I8" s="38"/>
      <c r="J8" s="38"/>
      <c r="K8" s="38"/>
      <c r="L8" s="39" t="str">
        <f aca="false">IF($H8="","",I8+J8-K8)</f>
        <v/>
      </c>
    </row>
    <row r="9" customFormat="false" ht="15" hidden="false" customHeight="false" outlineLevel="0" collapsed="false">
      <c r="C9" s="27"/>
      <c r="D9" s="27"/>
      <c r="E9" s="30"/>
      <c r="F9" s="27"/>
      <c r="G9" s="27"/>
      <c r="H9" s="27"/>
      <c r="I9" s="38"/>
      <c r="J9" s="38"/>
      <c r="K9" s="38"/>
      <c r="L9" s="39" t="str">
        <f aca="false">IF($H9="","",I9+J9-K9)</f>
        <v/>
      </c>
    </row>
    <row r="10" customFormat="false" ht="15" hidden="false" customHeight="false" outlineLevel="0" collapsed="false">
      <c r="C10" s="27"/>
      <c r="D10" s="27"/>
      <c r="E10" s="30"/>
      <c r="F10" s="27"/>
      <c r="G10" s="27"/>
      <c r="H10" s="27"/>
      <c r="I10" s="38"/>
      <c r="J10" s="38"/>
      <c r="K10" s="38"/>
      <c r="L10" s="39" t="str">
        <f aca="false">IF($H10="","",I10+J10-K10)</f>
        <v/>
      </c>
    </row>
    <row r="11" customFormat="false" ht="15" hidden="false" customHeight="false" outlineLevel="0" collapsed="false">
      <c r="C11" s="27"/>
      <c r="D11" s="27"/>
      <c r="E11" s="30"/>
      <c r="F11" s="27"/>
      <c r="G11" s="27"/>
      <c r="H11" s="27"/>
      <c r="I11" s="38"/>
      <c r="J11" s="38"/>
      <c r="K11" s="38"/>
      <c r="L11" s="39" t="str">
        <f aca="false">IF($H11="","",I11+J11-K11)</f>
        <v/>
      </c>
    </row>
    <row r="12" customFormat="false" ht="15" hidden="false" customHeight="false" outlineLevel="0" collapsed="false">
      <c r="C12" s="27"/>
      <c r="D12" s="27"/>
      <c r="E12" s="30"/>
      <c r="F12" s="27"/>
      <c r="G12" s="27"/>
      <c r="H12" s="27"/>
      <c r="I12" s="38"/>
      <c r="J12" s="38"/>
      <c r="K12" s="38"/>
      <c r="L12" s="39" t="str">
        <f aca="false">IF($H12="","",I12+J12-K12)</f>
        <v/>
      </c>
    </row>
    <row r="13" customFormat="false" ht="15" hidden="false" customHeight="false" outlineLevel="0" collapsed="false">
      <c r="C13" s="27"/>
      <c r="D13" s="27"/>
      <c r="E13" s="30"/>
      <c r="F13" s="27"/>
      <c r="G13" s="27"/>
      <c r="H13" s="27"/>
      <c r="I13" s="38"/>
      <c r="J13" s="38"/>
      <c r="K13" s="38"/>
      <c r="L13" s="39" t="str">
        <f aca="false">IF($H13="","",I13+J13-K13)</f>
        <v/>
      </c>
    </row>
    <row r="14" customFormat="false" ht="15" hidden="false" customHeight="false" outlineLevel="0" collapsed="false">
      <c r="C14" s="27"/>
      <c r="D14" s="27"/>
      <c r="E14" s="30"/>
      <c r="F14" s="27"/>
      <c r="G14" s="27"/>
      <c r="H14" s="27"/>
      <c r="I14" s="38"/>
      <c r="J14" s="38"/>
      <c r="K14" s="38"/>
      <c r="L14" s="39" t="str">
        <f aca="false">IF($H14="","",I14+J14-K14)</f>
        <v/>
      </c>
    </row>
    <row r="15" customFormat="false" ht="15" hidden="false" customHeight="false" outlineLevel="0" collapsed="false">
      <c r="C15" s="27"/>
      <c r="D15" s="27"/>
      <c r="E15" s="30"/>
      <c r="F15" s="27"/>
      <c r="G15" s="27"/>
      <c r="H15" s="27"/>
      <c r="I15" s="38"/>
      <c r="J15" s="38"/>
      <c r="K15" s="38"/>
      <c r="L15" s="39" t="str">
        <f aca="false">IF($H15="","",I15+J15-K15)</f>
        <v/>
      </c>
    </row>
    <row r="16" customFormat="false" ht="15" hidden="false" customHeight="false" outlineLevel="0" collapsed="false">
      <c r="C16" s="27"/>
      <c r="D16" s="27"/>
      <c r="E16" s="30"/>
      <c r="F16" s="27"/>
      <c r="G16" s="27"/>
      <c r="H16" s="27"/>
      <c r="I16" s="38"/>
      <c r="J16" s="38"/>
      <c r="K16" s="38"/>
      <c r="L16" s="39" t="str">
        <f aca="false">IF($H16="","",I16+J16-K16)</f>
        <v/>
      </c>
    </row>
    <row r="17" customFormat="false" ht="15" hidden="false" customHeight="false" outlineLevel="0" collapsed="false">
      <c r="C17" s="27"/>
      <c r="D17" s="27"/>
      <c r="E17" s="30"/>
      <c r="F17" s="27"/>
      <c r="G17" s="27"/>
      <c r="H17" s="27"/>
      <c r="I17" s="38"/>
      <c r="J17" s="38"/>
      <c r="K17" s="38"/>
      <c r="L17" s="39" t="str">
        <f aca="false">IF($H17="","",I17+J17-K17)</f>
        <v/>
      </c>
    </row>
    <row r="18" customFormat="false" ht="15" hidden="false" customHeight="false" outlineLevel="0" collapsed="false">
      <c r="C18" s="27"/>
      <c r="D18" s="27"/>
      <c r="E18" s="30"/>
      <c r="F18" s="27"/>
      <c r="G18" s="27"/>
      <c r="H18" s="27"/>
      <c r="I18" s="38"/>
      <c r="J18" s="38"/>
      <c r="K18" s="38"/>
      <c r="L18" s="39" t="str">
        <f aca="false">IF($H18="","",I18+J18-K18)</f>
        <v/>
      </c>
    </row>
    <row r="19" customFormat="false" ht="15" hidden="false" customHeight="false" outlineLevel="0" collapsed="false">
      <c r="C19" s="27"/>
      <c r="D19" s="27"/>
      <c r="E19" s="30"/>
      <c r="F19" s="27"/>
      <c r="G19" s="27"/>
      <c r="H19" s="27"/>
      <c r="I19" s="38"/>
      <c r="J19" s="38"/>
      <c r="K19" s="38"/>
      <c r="L19" s="39" t="str">
        <f aca="false">IF($H19="","",I19+J19-K19)</f>
        <v/>
      </c>
    </row>
    <row r="20" customFormat="false" ht="15" hidden="false" customHeight="false" outlineLevel="0" collapsed="false">
      <c r="C20" s="27"/>
      <c r="D20" s="27"/>
      <c r="E20" s="30"/>
      <c r="F20" s="27"/>
      <c r="G20" s="27"/>
      <c r="H20" s="27"/>
      <c r="I20" s="38"/>
      <c r="J20" s="38"/>
      <c r="K20" s="38"/>
      <c r="L20" s="39" t="str">
        <f aca="false">IF($H20="","",I20+J20-K20)</f>
        <v/>
      </c>
    </row>
    <row r="21" customFormat="false" ht="15" hidden="false" customHeight="false" outlineLevel="0" collapsed="false">
      <c r="C21" s="27"/>
      <c r="D21" s="27"/>
      <c r="E21" s="30"/>
      <c r="F21" s="27"/>
      <c r="G21" s="27"/>
      <c r="H21" s="27"/>
      <c r="I21" s="38"/>
      <c r="J21" s="38"/>
      <c r="K21" s="38"/>
      <c r="L21" s="39" t="str">
        <f aca="false">IF($H21="","",I21+J21-K21)</f>
        <v/>
      </c>
    </row>
    <row r="22" customFormat="false" ht="15" hidden="false" customHeight="false" outlineLevel="0" collapsed="false">
      <c r="C22" s="27"/>
      <c r="D22" s="27"/>
      <c r="E22" s="30"/>
      <c r="F22" s="27"/>
      <c r="G22" s="27"/>
      <c r="H22" s="27"/>
      <c r="I22" s="38"/>
      <c r="J22" s="38"/>
      <c r="K22" s="38"/>
      <c r="L22" s="39" t="str">
        <f aca="false">IF($H22="","",I22+J22-K22)</f>
        <v/>
      </c>
    </row>
    <row r="23" customFormat="false" ht="15" hidden="false" customHeight="false" outlineLevel="0" collapsed="false">
      <c r="C23" s="27"/>
      <c r="D23" s="27"/>
      <c r="E23" s="30"/>
      <c r="F23" s="27"/>
      <c r="G23" s="27"/>
      <c r="H23" s="27"/>
      <c r="I23" s="38"/>
      <c r="J23" s="38"/>
      <c r="K23" s="38"/>
      <c r="L23" s="39" t="str">
        <f aca="false">IF($H23="","",I23+J23-K23)</f>
        <v/>
      </c>
    </row>
    <row r="24" customFormat="false" ht="15" hidden="false" customHeight="false" outlineLevel="0" collapsed="false">
      <c r="C24" s="27"/>
      <c r="D24" s="27"/>
      <c r="E24" s="30"/>
      <c r="F24" s="27"/>
      <c r="G24" s="27"/>
      <c r="H24" s="27"/>
      <c r="I24" s="38"/>
      <c r="J24" s="38"/>
      <c r="K24" s="38"/>
      <c r="L24" s="39" t="str">
        <f aca="false">IF($H24="","",I24+J24-K24)</f>
        <v/>
      </c>
    </row>
    <row r="25" customFormat="false" ht="15" hidden="false" customHeight="false" outlineLevel="0" collapsed="false">
      <c r="C25" s="27"/>
      <c r="D25" s="27"/>
      <c r="E25" s="30"/>
      <c r="F25" s="27"/>
      <c r="G25" s="27"/>
      <c r="H25" s="27"/>
      <c r="I25" s="38"/>
      <c r="J25" s="38"/>
      <c r="K25" s="38"/>
      <c r="L25" s="39" t="str">
        <f aca="false">IF($H25="","",I25+J25-K25)</f>
        <v/>
      </c>
    </row>
    <row r="26" customFormat="false" ht="15" hidden="false" customHeight="false" outlineLevel="0" collapsed="false">
      <c r="C26" s="27"/>
      <c r="D26" s="27"/>
      <c r="E26" s="30"/>
      <c r="F26" s="27"/>
      <c r="G26" s="27"/>
      <c r="H26" s="27"/>
      <c r="I26" s="38"/>
      <c r="J26" s="38"/>
      <c r="K26" s="38"/>
      <c r="L26" s="39" t="str">
        <f aca="false">IF($H26="","",I26+J26-K26)</f>
        <v/>
      </c>
    </row>
    <row r="27" customFormat="false" ht="15" hidden="false" customHeight="false" outlineLevel="0" collapsed="false">
      <c r="C27" s="27"/>
      <c r="D27" s="27"/>
      <c r="E27" s="30"/>
      <c r="F27" s="27"/>
      <c r="G27" s="27"/>
      <c r="H27" s="27"/>
      <c r="I27" s="38"/>
      <c r="J27" s="38"/>
      <c r="K27" s="38"/>
      <c r="L27" s="39" t="str">
        <f aca="false">IF($H27="","",I27+J27-K27)</f>
        <v/>
      </c>
    </row>
    <row r="28" customFormat="false" ht="15" hidden="false" customHeight="false" outlineLevel="0" collapsed="false">
      <c r="C28" s="27"/>
      <c r="D28" s="27"/>
      <c r="E28" s="30"/>
      <c r="F28" s="27"/>
      <c r="G28" s="27"/>
      <c r="H28" s="27"/>
      <c r="I28" s="38"/>
      <c r="J28" s="38"/>
      <c r="K28" s="38"/>
      <c r="L28" s="39" t="str">
        <f aca="false">IF($H28="","",I28+J28-K28)</f>
        <v/>
      </c>
    </row>
    <row r="29" customFormat="false" ht="15" hidden="false" customHeight="false" outlineLevel="0" collapsed="false">
      <c r="C29" s="27"/>
      <c r="D29" s="27"/>
      <c r="E29" s="30"/>
      <c r="F29" s="27"/>
      <c r="G29" s="27"/>
      <c r="H29" s="27"/>
      <c r="I29" s="38"/>
      <c r="J29" s="38"/>
      <c r="K29" s="38"/>
      <c r="L29" s="39" t="str">
        <f aca="false">IF($H29="","",I29+J29-K29)</f>
        <v/>
      </c>
    </row>
    <row r="30" customFormat="false" ht="15" hidden="false" customHeight="false" outlineLevel="0" collapsed="false">
      <c r="C30" s="27"/>
      <c r="D30" s="27"/>
      <c r="E30" s="30"/>
      <c r="F30" s="27"/>
      <c r="G30" s="27"/>
      <c r="H30" s="27"/>
      <c r="I30" s="38"/>
      <c r="J30" s="38"/>
      <c r="K30" s="38"/>
      <c r="L30" s="39" t="str">
        <f aca="false">IF($H30="","",I30+J30-K30)</f>
        <v/>
      </c>
    </row>
    <row r="31" customFormat="false" ht="15" hidden="false" customHeight="false" outlineLevel="0" collapsed="false">
      <c r="C31" s="27"/>
      <c r="D31" s="27"/>
      <c r="E31" s="30"/>
      <c r="F31" s="27"/>
      <c r="G31" s="27"/>
      <c r="H31" s="27"/>
      <c r="I31" s="38"/>
      <c r="J31" s="38"/>
      <c r="K31" s="38"/>
      <c r="L31" s="39" t="str">
        <f aca="false">IF($H31="","",I31+J31-K31)</f>
        <v/>
      </c>
    </row>
    <row r="32" customFormat="false" ht="15" hidden="false" customHeight="false" outlineLevel="0" collapsed="false">
      <c r="C32" s="27"/>
      <c r="D32" s="27"/>
      <c r="E32" s="30"/>
      <c r="F32" s="27"/>
      <c r="G32" s="27"/>
      <c r="H32" s="27"/>
      <c r="I32" s="38"/>
      <c r="J32" s="38"/>
      <c r="K32" s="38"/>
      <c r="L32" s="39" t="str">
        <f aca="false">IF($H32="","",I32+J32-K32)</f>
        <v/>
      </c>
    </row>
    <row r="33" customFormat="false" ht="15" hidden="false" customHeight="false" outlineLevel="0" collapsed="false">
      <c r="C33" s="27"/>
      <c r="D33" s="27"/>
      <c r="E33" s="30"/>
      <c r="F33" s="27"/>
      <c r="G33" s="27"/>
      <c r="H33" s="27"/>
      <c r="I33" s="38"/>
      <c r="J33" s="38"/>
      <c r="K33" s="38"/>
      <c r="L33" s="39" t="str">
        <f aca="false">IF($H33="","",I33+J33-K33)</f>
        <v/>
      </c>
    </row>
    <row r="34" customFormat="false" ht="15" hidden="false" customHeight="false" outlineLevel="0" collapsed="false">
      <c r="C34" s="27"/>
      <c r="D34" s="27"/>
      <c r="E34" s="30"/>
      <c r="F34" s="27"/>
      <c r="G34" s="27"/>
      <c r="H34" s="27"/>
      <c r="I34" s="38"/>
      <c r="J34" s="38"/>
      <c r="K34" s="38"/>
      <c r="L34" s="39" t="str">
        <f aca="false">IF($H34="","",I34+J34-K34)</f>
        <v/>
      </c>
    </row>
    <row r="35" customFormat="false" ht="15" hidden="false" customHeight="false" outlineLevel="0" collapsed="false">
      <c r="C35" s="27"/>
      <c r="D35" s="27"/>
      <c r="E35" s="30"/>
      <c r="F35" s="27"/>
      <c r="G35" s="27"/>
      <c r="H35" s="27"/>
      <c r="I35" s="38"/>
      <c r="J35" s="38"/>
      <c r="K35" s="38"/>
      <c r="L35" s="39" t="str">
        <f aca="false">IF($H35="","",I35+J35-K35)</f>
        <v/>
      </c>
    </row>
    <row r="36" customFormat="false" ht="15" hidden="false" customHeight="false" outlineLevel="0" collapsed="false">
      <c r="C36" s="27"/>
      <c r="D36" s="27"/>
      <c r="E36" s="30"/>
      <c r="F36" s="27"/>
      <c r="G36" s="27"/>
      <c r="H36" s="27"/>
      <c r="I36" s="38"/>
      <c r="J36" s="38"/>
      <c r="K36" s="38"/>
      <c r="L36" s="39" t="str">
        <f aca="false">IF($H36="","",I36+J36-K36)</f>
        <v/>
      </c>
    </row>
    <row r="37" customFormat="false" ht="15" hidden="false" customHeight="false" outlineLevel="0" collapsed="false">
      <c r="C37" s="27"/>
      <c r="D37" s="27"/>
      <c r="E37" s="30"/>
      <c r="F37" s="27"/>
      <c r="G37" s="27"/>
      <c r="H37" s="27"/>
      <c r="I37" s="38"/>
      <c r="J37" s="38"/>
      <c r="K37" s="38"/>
      <c r="L37" s="39" t="str">
        <f aca="false">IF($H37="","",I37+J37-K37)</f>
        <v/>
      </c>
    </row>
    <row r="38" customFormat="false" ht="15" hidden="false" customHeight="false" outlineLevel="0" collapsed="false">
      <c r="C38" s="27"/>
      <c r="D38" s="27"/>
      <c r="E38" s="30"/>
      <c r="F38" s="27"/>
      <c r="G38" s="27"/>
      <c r="H38" s="27"/>
      <c r="I38" s="38"/>
      <c r="J38" s="38"/>
      <c r="K38" s="38"/>
      <c r="L38" s="39" t="str">
        <f aca="false">IF($H38="","",I38+J38-K38)</f>
        <v/>
      </c>
    </row>
    <row r="39" customFormat="false" ht="15" hidden="false" customHeight="false" outlineLevel="0" collapsed="false">
      <c r="C39" s="27"/>
      <c r="D39" s="27"/>
      <c r="E39" s="30"/>
      <c r="F39" s="27"/>
      <c r="G39" s="27"/>
      <c r="H39" s="27"/>
      <c r="I39" s="38"/>
      <c r="J39" s="38"/>
      <c r="K39" s="38"/>
      <c r="L39" s="39" t="str">
        <f aca="false">IF($H39="","",I39+J39-K39)</f>
        <v/>
      </c>
    </row>
    <row r="40" customFormat="false" ht="15" hidden="false" customHeight="false" outlineLevel="0" collapsed="false">
      <c r="C40" s="27"/>
      <c r="D40" s="27"/>
      <c r="E40" s="30"/>
      <c r="F40" s="27"/>
      <c r="G40" s="27"/>
      <c r="H40" s="27"/>
      <c r="I40" s="38"/>
      <c r="J40" s="38"/>
      <c r="K40" s="38"/>
      <c r="L40" s="39" t="str">
        <f aca="false">IF($H40="","",I40+J40-K40)</f>
        <v/>
      </c>
    </row>
    <row r="41" customFormat="false" ht="15" hidden="false" customHeight="false" outlineLevel="0" collapsed="false">
      <c r="C41" s="27"/>
      <c r="D41" s="27"/>
      <c r="E41" s="30"/>
      <c r="F41" s="27"/>
      <c r="G41" s="27"/>
      <c r="H41" s="27"/>
      <c r="I41" s="38"/>
      <c r="J41" s="38"/>
      <c r="K41" s="38"/>
      <c r="L41" s="39" t="str">
        <f aca="false">IF($H41="","",I41+J41-K41)</f>
        <v/>
      </c>
    </row>
    <row r="42" customFormat="false" ht="15" hidden="false" customHeight="false" outlineLevel="0" collapsed="false">
      <c r="C42" s="27"/>
      <c r="D42" s="27"/>
      <c r="E42" s="30"/>
      <c r="F42" s="27"/>
      <c r="G42" s="27"/>
      <c r="H42" s="27"/>
      <c r="I42" s="38"/>
      <c r="J42" s="38"/>
      <c r="K42" s="38"/>
      <c r="L42" s="39" t="str">
        <f aca="false">IF($H42="","",I42+J42-K42)</f>
        <v/>
      </c>
    </row>
    <row r="43" customFormat="false" ht="15" hidden="false" customHeight="false" outlineLevel="0" collapsed="false">
      <c r="C43" s="27"/>
      <c r="D43" s="27"/>
      <c r="E43" s="30"/>
      <c r="F43" s="27"/>
      <c r="G43" s="27"/>
      <c r="H43" s="27"/>
      <c r="I43" s="38"/>
      <c r="J43" s="38"/>
      <c r="K43" s="38"/>
      <c r="L43" s="39" t="str">
        <f aca="false">IF($H43="","",I43+J43-K43)</f>
        <v/>
      </c>
    </row>
    <row r="44" customFormat="false" ht="15" hidden="false" customHeight="false" outlineLevel="0" collapsed="false">
      <c r="C44" s="27"/>
      <c r="D44" s="27"/>
      <c r="E44" s="30"/>
      <c r="F44" s="27"/>
      <c r="G44" s="27"/>
      <c r="H44" s="27"/>
      <c r="I44" s="38"/>
      <c r="J44" s="38"/>
      <c r="K44" s="38"/>
      <c r="L44" s="39" t="str">
        <f aca="false">IF($H44="","",I44+J44-K44)</f>
        <v/>
      </c>
    </row>
    <row r="45" customFormat="false" ht="15" hidden="false" customHeight="false" outlineLevel="0" collapsed="false">
      <c r="C45" s="27"/>
      <c r="D45" s="27"/>
      <c r="E45" s="30"/>
      <c r="F45" s="27"/>
      <c r="G45" s="27"/>
      <c r="H45" s="27"/>
      <c r="I45" s="38"/>
      <c r="J45" s="38"/>
      <c r="K45" s="38"/>
      <c r="L45" s="39" t="str">
        <f aca="false">IF($H45="","",I45+J45-K45)</f>
        <v/>
      </c>
    </row>
    <row r="46" customFormat="false" ht="15" hidden="false" customHeight="false" outlineLevel="0" collapsed="false">
      <c r="C46" s="27"/>
      <c r="D46" s="27"/>
      <c r="E46" s="30"/>
      <c r="F46" s="27"/>
      <c r="G46" s="27"/>
      <c r="H46" s="27"/>
      <c r="I46" s="38"/>
      <c r="J46" s="38"/>
      <c r="K46" s="38"/>
      <c r="L46" s="39" t="str">
        <f aca="false">IF($H46="","",I46+J46-K46)</f>
        <v/>
      </c>
    </row>
    <row r="47" customFormat="false" ht="15" hidden="false" customHeight="false" outlineLevel="0" collapsed="false">
      <c r="C47" s="27"/>
      <c r="D47" s="27"/>
      <c r="E47" s="30"/>
      <c r="F47" s="27"/>
      <c r="G47" s="27"/>
      <c r="H47" s="27"/>
      <c r="I47" s="38"/>
      <c r="J47" s="38"/>
      <c r="K47" s="38"/>
      <c r="L47" s="39" t="str">
        <f aca="false">IF($H47="","",I47+J47-K47)</f>
        <v/>
      </c>
    </row>
    <row r="48" customFormat="false" ht="15" hidden="false" customHeight="false" outlineLevel="0" collapsed="false">
      <c r="C48" s="27"/>
      <c r="D48" s="27"/>
      <c r="E48" s="30"/>
      <c r="F48" s="27"/>
      <c r="G48" s="27"/>
      <c r="H48" s="27"/>
      <c r="I48" s="38"/>
      <c r="J48" s="38"/>
      <c r="K48" s="38"/>
      <c r="L48" s="39" t="str">
        <f aca="false">IF($H48="","",I48+J48-K48)</f>
        <v/>
      </c>
    </row>
    <row r="49" customFormat="false" ht="15" hidden="false" customHeight="false" outlineLevel="0" collapsed="false">
      <c r="C49" s="27"/>
      <c r="D49" s="27"/>
      <c r="E49" s="30"/>
      <c r="F49" s="27"/>
      <c r="G49" s="27"/>
      <c r="H49" s="27"/>
      <c r="I49" s="38"/>
      <c r="J49" s="38"/>
      <c r="K49" s="38"/>
      <c r="L49" s="39" t="str">
        <f aca="false">IF($H49="","",I49+J49-K49)</f>
        <v/>
      </c>
    </row>
    <row r="50" customFormat="false" ht="15" hidden="false" customHeight="false" outlineLevel="0" collapsed="false">
      <c r="C50" s="27"/>
      <c r="D50" s="27"/>
      <c r="E50" s="30"/>
      <c r="F50" s="27"/>
      <c r="G50" s="27"/>
      <c r="H50" s="27"/>
      <c r="I50" s="38"/>
      <c r="J50" s="38"/>
      <c r="K50" s="38"/>
      <c r="L50" s="39" t="str">
        <f aca="false">IF($H50="","",I50+J50-K50)</f>
        <v/>
      </c>
    </row>
    <row r="51" customFormat="false" ht="15" hidden="false" customHeight="false" outlineLevel="0" collapsed="false">
      <c r="C51" s="27"/>
      <c r="D51" s="27"/>
      <c r="E51" s="30"/>
      <c r="F51" s="27"/>
      <c r="G51" s="27"/>
      <c r="H51" s="27"/>
      <c r="I51" s="38"/>
      <c r="J51" s="38"/>
      <c r="K51" s="38"/>
      <c r="L51" s="39" t="str">
        <f aca="false">IF($H51="","",I51+J51-K51)</f>
        <v/>
      </c>
    </row>
    <row r="52" customFormat="false" ht="15" hidden="false" customHeight="false" outlineLevel="0" collapsed="false">
      <c r="C52" s="27"/>
      <c r="D52" s="27"/>
      <c r="E52" s="30"/>
      <c r="F52" s="27"/>
      <c r="G52" s="27"/>
      <c r="H52" s="27"/>
      <c r="I52" s="38"/>
      <c r="J52" s="38"/>
      <c r="K52" s="38"/>
      <c r="L52" s="39" t="str">
        <f aca="false">IF($H52="","",I52+J52-K52)</f>
        <v/>
      </c>
    </row>
    <row r="53" customFormat="false" ht="15" hidden="false" customHeight="false" outlineLevel="0" collapsed="false">
      <c r="C53" s="27"/>
      <c r="D53" s="27"/>
      <c r="E53" s="30"/>
      <c r="F53" s="27"/>
      <c r="G53" s="27"/>
      <c r="H53" s="27"/>
      <c r="I53" s="38"/>
      <c r="J53" s="38"/>
      <c r="K53" s="38"/>
      <c r="L53" s="39" t="str">
        <f aca="false">IF($H53="","",I53+J53-K53)</f>
        <v/>
      </c>
    </row>
    <row r="54" customFormat="false" ht="15" hidden="false" customHeight="false" outlineLevel="0" collapsed="false">
      <c r="C54" s="27"/>
      <c r="D54" s="27"/>
      <c r="E54" s="30"/>
      <c r="F54" s="27"/>
      <c r="G54" s="27"/>
      <c r="H54" s="27"/>
      <c r="I54" s="38"/>
      <c r="J54" s="38"/>
      <c r="K54" s="38"/>
      <c r="L54" s="39" t="str">
        <f aca="false">IF($H54="","",I54+J54-K54)</f>
        <v/>
      </c>
    </row>
    <row r="55" customFormat="false" ht="15" hidden="false" customHeight="false" outlineLevel="0" collapsed="false">
      <c r="C55" s="27"/>
      <c r="D55" s="27"/>
      <c r="E55" s="30"/>
      <c r="F55" s="27"/>
      <c r="G55" s="27"/>
      <c r="H55" s="27"/>
      <c r="I55" s="38"/>
      <c r="J55" s="38"/>
      <c r="K55" s="38"/>
      <c r="L55" s="39" t="str">
        <f aca="false">IF($H55="","",I55+J55-K55)</f>
        <v/>
      </c>
    </row>
    <row r="57" customFormat="false" ht="15" hidden="false" customHeight="false" outlineLevel="0" collapsed="false">
      <c r="C57" s="14" t="s">
        <v>230</v>
      </c>
    </row>
  </sheetData>
  <conditionalFormatting sqref="C6:K55">
    <cfRule type="expression" priority="2" aboveAverage="0" equalAverage="0" bottom="0" percent="0" rank="0" text="" dxfId="2">
      <formula>AND(LEN(TRIM($C6&amp;$D6&amp;$E6&amp;$F6&amp;$G6&amp;$H6&amp;$I6&amp;$J6&amp;$K6))&gt;0,OR(LEN(TRIM($C6))=0,LEN(TRIM($E6))=0,LEN(TRIM($H6))=0))</formula>
    </cfRule>
  </conditionalFormatting>
  <dataValidations count="6">
    <dataValidation allowBlank="true" error="El campo debe tener como maximo 50 caracteres" errorStyle="stop" errorTitle="Dato invalido" operator="lessThanOrEqual" showDropDown="false" showErrorMessage="true" showInputMessage="false" sqref="D6:D55" type="textLength">
      <formula1>50</formula1>
      <formula2>0</formula2>
    </dataValidation>
    <dataValidation allowBlank="true" error="El periodo debe ir de 1950 a 2099" errorStyle="stop" errorTitle="Dato invalido" operator="between" showDropDown="false" showErrorMessage="true" showInputMessage="false" sqref="E6:E55" type="whole">
      <formula1>1950</formula1>
      <formula2>2099</formula2>
    </dataValidation>
    <dataValidation allowBlank="true" error="El campo debe tener como maximo 9.999.999.999.999,99 y no puede ser negativo" errorStyle="stop" errorTitle="Dato invalido" operator="between" showDropDown="false" showErrorMessage="true" showInputMessage="false" sqref="I6:K55" type="decimal">
      <formula1>0</formula1>
      <formula2>999999999999999</formula2>
    </dataValidation>
    <dataValidation allowBlank="true" error="Seleccione un valor de la lista" errorStyle="stop" errorTitle="Dato invalido" operator="between" showDropDown="false" showErrorMessage="true" showInputMessage="false" sqref="C6:C55" type="list">
      <formula1>Listas!$L$2:$L$3</formula1>
      <formula2>0</formula2>
    </dataValidation>
    <dataValidation allowBlank="true" error="Seleccione un valor de la lista" errorStyle="stop" errorTitle="Dato invalido" operator="between" showDropDown="false" showErrorMessage="true" showInputMessage="false" sqref="F6:G55" type="list">
      <formula1>Listas!$A$2:$A$3</formula1>
      <formula2>0</formula2>
    </dataValidation>
    <dataValidation allowBlank="true" error="Seleccione un valor de la lista" errorStyle="stop" errorTitle="Dato invalido" operator="between" showDropDown="false" showErrorMessage="true" showInputMessage="false" sqref="H6:H55" type="list">
      <formula1>Listas!$M$2:$M$6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B1:G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62"/>
    <col collapsed="false" customWidth="true" hidden="false" outlineLevel="0" max="5" min="4" style="0" width="24"/>
    <col collapsed="false" customWidth="true" hidden="false" outlineLevel="0" max="6" min="6" style="0" width="22"/>
    <col collapsed="false" customWidth="true" hidden="false" outlineLevel="0" max="7" min="7" style="0" width="18"/>
  </cols>
  <sheetData>
    <row r="1" customFormat="false" ht="18" hidden="false" customHeight="true" outlineLevel="0" collapsed="false">
      <c r="B1" s="6" t="s">
        <v>231</v>
      </c>
      <c r="C1" s="6"/>
      <c r="D1" s="6"/>
      <c r="E1" s="6"/>
      <c r="F1" s="6"/>
      <c r="G1" s="6"/>
    </row>
    <row r="2" customFormat="false" ht="21.75" hidden="false" customHeight="true" outlineLevel="0" collapsed="false">
      <c r="C2" s="7" t="s">
        <v>232</v>
      </c>
    </row>
    <row r="3" customFormat="false" ht="15" hidden="false" customHeight="false" outlineLevel="0" collapsed="false">
      <c r="C3" s="15" t="str">
        <f aca="false">"PERÍODO  "&amp;'Datos iniciales'!$D$10&amp;"      |      TIPO EJERCICIO  "&amp;'Datos iniciales'!$D$12&amp;"      |      SECUENCIA  "&amp;'Datos iniciales'!$D$11</f>
        <v>PERÍODO        |      TIPO EJERCICIO  Regular      |      SECUENCIA  Original</v>
      </c>
    </row>
    <row r="5" customFormat="false" ht="15" hidden="false" customHeight="false" outlineLevel="0" collapsed="false">
      <c r="C5" s="10" t="s">
        <v>222</v>
      </c>
      <c r="D5" s="40" t="str">
        <f aca="false">'Ajustes - fuente argentina'!D5</f>
        <v>Actividad sin promoción</v>
      </c>
    </row>
    <row r="7" customFormat="false" ht="15" hidden="false" customHeight="false" outlineLevel="0" collapsed="false">
      <c r="C7" s="8" t="s">
        <v>232</v>
      </c>
      <c r="D7" s="9" t="s">
        <v>125</v>
      </c>
      <c r="E7" s="9" t="s">
        <v>126</v>
      </c>
    </row>
    <row r="8" customFormat="false" ht="15" hidden="false" customHeight="false" outlineLevel="0" collapsed="false">
      <c r="C8" s="10" t="s">
        <v>233</v>
      </c>
      <c r="D8" s="16" t="n">
        <f aca="false">'Distribución por tipo fuente'!D6</f>
        <v>0</v>
      </c>
      <c r="E8" s="16" t="n">
        <f aca="false">'Distribución por tipo fuente'!D12</f>
        <v>0</v>
      </c>
    </row>
    <row r="9" customFormat="false" ht="15" hidden="false" customHeight="false" outlineLevel="0" collapsed="false">
      <c r="C9" s="10" t="s">
        <v>168</v>
      </c>
      <c r="D9" s="16" t="n">
        <f aca="false">'Ajustes - fuente argentina'!D7-'Ajustes - fuente argentina'!E7</f>
        <v>0</v>
      </c>
      <c r="E9" s="16" t="n">
        <f aca="false">'Ajustes - fuente extranjera'!D7-'Ajustes - fuente extranjera'!E7</f>
        <v>0</v>
      </c>
    </row>
    <row r="10" customFormat="false" ht="15" hidden="false" customHeight="false" outlineLevel="0" collapsed="false">
      <c r="C10" s="10" t="s">
        <v>234</v>
      </c>
      <c r="D10" s="16" t="n">
        <f aca="false">D8+D9</f>
        <v>0</v>
      </c>
    </row>
    <row r="11" customFormat="false" ht="15" hidden="false" customHeight="false" outlineLevel="0" collapsed="false">
      <c r="C11" s="10" t="s">
        <v>235</v>
      </c>
      <c r="D11" s="16" t="n">
        <f aca="false">MIN('Donaciones efectuadas'!E26,MAX(0,5%*D10))</f>
        <v>0</v>
      </c>
    </row>
    <row r="12" customFormat="false" ht="15" hidden="false" customHeight="false" outlineLevel="0" collapsed="false">
      <c r="C12" s="10" t="s">
        <v>236</v>
      </c>
      <c r="D12" s="16" t="n">
        <f aca="false">D10-D11</f>
        <v>0</v>
      </c>
      <c r="E12" s="16" t="n">
        <f aca="false">E8+E9</f>
        <v>0</v>
      </c>
    </row>
    <row r="14" customFormat="false" ht="15" hidden="false" customHeight="false" outlineLevel="0" collapsed="false">
      <c r="C14" s="10" t="s">
        <v>237</v>
      </c>
      <c r="D14" s="16" t="n">
        <f aca="false">SUMIFS('Quebrantos períodos anteriores'!$K$6:$K$55,'Quebrantos períodos anteriores'!$C$6:$C$55,"Argentina",'Quebrantos períodos anteriores'!$H$6:$H$55,"Quebranto por venta de acciones")</f>
        <v>0</v>
      </c>
      <c r="E14" s="16" t="n">
        <f aca="false">SUMIFS('Quebrantos períodos anteriores'!$K$6:$K$55,'Quebrantos períodos anteriores'!$C$6:$C$55,"Extranjera",'Quebrantos períodos anteriores'!$H$6:$H$55,"Quebranto por venta de acciones")</f>
        <v>0</v>
      </c>
    </row>
    <row r="15" customFormat="false" ht="15" hidden="false" customHeight="false" outlineLevel="0" collapsed="false">
      <c r="C15" s="10" t="s">
        <v>238</v>
      </c>
      <c r="D15" s="16" t="n">
        <f aca="false">SUMIFS('Quebrantos períodos anteriores'!$K$6:$K$55,'Quebrantos períodos anteriores'!$C$6:$C$55,"Argentina",'Quebrantos períodos anteriores'!$H$6:$H$55,"Por instrumentos financieros derivados")</f>
        <v>0</v>
      </c>
    </row>
    <row r="16" customFormat="false" ht="15" hidden="false" customHeight="false" outlineLevel="0" collapsed="false">
      <c r="C16" s="10" t="s">
        <v>239</v>
      </c>
      <c r="D16" s="16" t="n">
        <f aca="false">SUMIFS('Quebrantos períodos anteriores'!$K$6:$K$55,'Quebrantos períodos anteriores'!$C$6:$C$55,"Argentina",'Quebrantos períodos anteriores'!$H$6:$H$55,"Por tratamientos específicos")</f>
        <v>0</v>
      </c>
      <c r="E16" s="16" t="n">
        <f aca="false">SUMIFS('Quebrantos períodos anteriores'!$K$6:$K$55,'Quebrantos períodos anteriores'!$C$6:$C$55,"Extranjera",'Quebrantos períodos anteriores'!$H$6:$H$55,"Por tratamientos específicos")</f>
        <v>0</v>
      </c>
    </row>
    <row r="17" customFormat="false" ht="15" hidden="false" customHeight="false" outlineLevel="0" collapsed="false">
      <c r="C17" s="10" t="s">
        <v>240</v>
      </c>
      <c r="D17" s="16" t="n">
        <f aca="false">SUMIFS('Quebrantos períodos anteriores'!$K$6:$K$55,'Quebrantos períodos anteriores'!$C$6:$C$55,"Argentina",'Quebrantos períodos anteriores'!$H$6:$H$55,"Resto")</f>
        <v>0</v>
      </c>
      <c r="E17" s="16" t="n">
        <f aca="false">SUMIFS('Quebrantos períodos anteriores'!$K$6:$K$55,'Quebrantos períodos anteriores'!$C$6:$C$55,"Extranjera",'Quebrantos períodos anteriores'!$H$6:$H$55,"Resto")</f>
        <v>0</v>
      </c>
    </row>
    <row r="19" customFormat="false" ht="15" hidden="false" customHeight="false" outlineLevel="0" collapsed="false">
      <c r="C19" s="10" t="s">
        <v>241</v>
      </c>
      <c r="D19" s="16" t="n">
        <f aca="false">D12-SUM(D14:D17)</f>
        <v>0</v>
      </c>
      <c r="E19" s="16" t="n">
        <f aca="false">E12-SUM(E14:E17)</f>
        <v>0</v>
      </c>
    </row>
    <row r="20" customFormat="false" ht="15" hidden="false" customHeight="false" outlineLevel="0" collapsed="false">
      <c r="C20" s="10" t="s">
        <v>123</v>
      </c>
      <c r="D20" s="16" t="n">
        <f aca="false">'Resultado atribuible socios'!D7</f>
        <v>0</v>
      </c>
      <c r="E20" s="16" t="n">
        <f aca="false">'Resultado atribuible socios'!E7</f>
        <v>0</v>
      </c>
    </row>
    <row r="21" customFormat="false" ht="15" hidden="false" customHeight="false" outlineLevel="0" collapsed="false">
      <c r="C21" s="10" t="s">
        <v>242</v>
      </c>
      <c r="E21" s="17"/>
    </row>
    <row r="22" customFormat="false" ht="15" hidden="false" customHeight="false" outlineLevel="0" collapsed="false">
      <c r="C22" s="10" t="s">
        <v>243</v>
      </c>
      <c r="E22" s="17"/>
    </row>
    <row r="23" customFormat="false" ht="15" hidden="false" customHeight="false" outlineLevel="0" collapsed="false">
      <c r="C23" s="10" t="s">
        <v>244</v>
      </c>
      <c r="D23" s="17"/>
      <c r="E23" s="17"/>
    </row>
    <row r="25" customFormat="false" ht="15" hidden="false" customHeight="false" outlineLevel="0" collapsed="false">
      <c r="C25" s="10" t="s">
        <v>245</v>
      </c>
      <c r="D25" s="16" t="n">
        <f aca="false">D19-D20-D23</f>
        <v>0</v>
      </c>
      <c r="E25" s="16" t="n">
        <f aca="false">E19-E20-E21-E22-E23</f>
        <v>0</v>
      </c>
    </row>
    <row r="26" customFormat="false" ht="15" hidden="false" customHeight="false" outlineLevel="0" collapsed="false">
      <c r="C26" s="10" t="s">
        <v>246</v>
      </c>
      <c r="D26" s="16" t="n">
        <f aca="false">D36-E26</f>
        <v>0</v>
      </c>
      <c r="E26" s="16" t="n">
        <f aca="false">IF(D36=0,0,ROUND(D36*MAX(E25,0)/(MAX(D25,0)+MAX(E25,0)),2))</f>
        <v>0</v>
      </c>
    </row>
    <row r="28" customFormat="false" ht="15" hidden="false" customHeight="false" outlineLevel="0" collapsed="false">
      <c r="C28" s="8" t="s">
        <v>247</v>
      </c>
      <c r="D28" s="9" t="s">
        <v>120</v>
      </c>
    </row>
    <row r="29" customFormat="false" ht="15" hidden="false" customHeight="false" outlineLevel="0" collapsed="false">
      <c r="C29" s="10" t="s">
        <v>248</v>
      </c>
      <c r="D29" s="16" t="n">
        <f aca="false">D8+E8</f>
        <v>0</v>
      </c>
    </row>
    <row r="30" customFormat="false" ht="15" hidden="false" customHeight="false" outlineLevel="0" collapsed="false">
      <c r="C30" s="10" t="s">
        <v>249</v>
      </c>
      <c r="D30" s="16" t="n">
        <f aca="false">D9+E9</f>
        <v>0</v>
      </c>
    </row>
    <row r="31" customFormat="false" ht="15" hidden="false" customHeight="false" outlineLevel="0" collapsed="false">
      <c r="C31" s="10" t="s">
        <v>250</v>
      </c>
      <c r="D31" s="16" t="n">
        <f aca="false">D10</f>
        <v>0</v>
      </c>
    </row>
    <row r="32" customFormat="false" ht="15" hidden="false" customHeight="false" outlineLevel="0" collapsed="false">
      <c r="C32" s="10" t="s">
        <v>251</v>
      </c>
      <c r="D32" s="16" t="n">
        <f aca="false">D11</f>
        <v>0</v>
      </c>
    </row>
    <row r="33" customFormat="false" ht="15" hidden="false" customHeight="false" outlineLevel="0" collapsed="false">
      <c r="C33" s="10" t="s">
        <v>252</v>
      </c>
      <c r="D33" s="16" t="n">
        <f aca="false">D12+E12</f>
        <v>0</v>
      </c>
    </row>
    <row r="34" customFormat="false" ht="15" hidden="false" customHeight="false" outlineLevel="0" collapsed="false">
      <c r="C34" s="10" t="s">
        <v>253</v>
      </c>
      <c r="D34" s="16" t="n">
        <f aca="false">D25+E25</f>
        <v>0</v>
      </c>
    </row>
    <row r="35" customFormat="false" ht="15" hidden="false" customHeight="false" outlineLevel="0" collapsed="false">
      <c r="C35" s="10" t="s">
        <v>254</v>
      </c>
      <c r="D35" s="16" t="n">
        <f aca="false">MAX(0,D34)</f>
        <v>0</v>
      </c>
    </row>
    <row r="36" customFormat="false" ht="15" hidden="false" customHeight="false" outlineLevel="0" collapsed="false">
      <c r="C36" s="10" t="s">
        <v>255</v>
      </c>
      <c r="D36" s="16" t="n">
        <f aca="false">ROUND(IF(D35&lt;=0,0,IF(D35&lt;=E40,F40+(D35-D40)*G40,IF(D35&lt;=E41,F41+(D35-D41)*G41,F42+(D35-D42)*G42))),2)</f>
        <v>0</v>
      </c>
    </row>
    <row r="39" customFormat="false" ht="15" hidden="false" customHeight="false" outlineLevel="0" collapsed="false">
      <c r="C39" s="8" t="s">
        <v>256</v>
      </c>
      <c r="D39" s="9" t="s">
        <v>257</v>
      </c>
      <c r="E39" s="9" t="s">
        <v>258</v>
      </c>
      <c r="F39" s="9" t="s">
        <v>259</v>
      </c>
      <c r="G39" s="9" t="s">
        <v>260</v>
      </c>
    </row>
    <row r="40" customFormat="false" ht="15" hidden="false" customHeight="false" outlineLevel="0" collapsed="false">
      <c r="C40" s="10" t="s">
        <v>261</v>
      </c>
      <c r="D40" s="17" t="n">
        <v>0</v>
      </c>
      <c r="E40" s="17" t="n">
        <v>101679575.26</v>
      </c>
      <c r="F40" s="17" t="n">
        <v>0</v>
      </c>
      <c r="G40" s="41" t="n">
        <v>0.25</v>
      </c>
    </row>
    <row r="41" customFormat="false" ht="15" hidden="false" customHeight="false" outlineLevel="0" collapsed="false">
      <c r="C41" s="10" t="s">
        <v>262</v>
      </c>
      <c r="D41" s="17" t="n">
        <v>101679575.26</v>
      </c>
      <c r="E41" s="17" t="n">
        <v>1016795752.62</v>
      </c>
      <c r="F41" s="17" t="n">
        <v>25419893.82</v>
      </c>
      <c r="G41" s="41" t="n">
        <v>0.3</v>
      </c>
    </row>
    <row r="42" customFormat="false" ht="15" hidden="false" customHeight="false" outlineLevel="0" collapsed="false">
      <c r="C42" s="10" t="s">
        <v>263</v>
      </c>
      <c r="D42" s="17" t="n">
        <v>1016795752.62</v>
      </c>
      <c r="E42" s="42" t="s">
        <v>264</v>
      </c>
      <c r="F42" s="17" t="n">
        <v>299954747.02</v>
      </c>
      <c r="G42" s="41" t="n">
        <v>0.35</v>
      </c>
    </row>
    <row r="44" customFormat="false" ht="15" hidden="false" customHeight="false" outlineLevel="0" collapsed="false">
      <c r="C44" s="14" t="s">
        <v>265</v>
      </c>
    </row>
    <row r="45" customFormat="false" ht="15" hidden="false" customHeight="false" outlineLevel="0" collapsed="false">
      <c r="C45" s="14" t="s">
        <v>266</v>
      </c>
    </row>
    <row r="46" customFormat="false" ht="15" hidden="false" customHeight="false" outlineLevel="0" collapsed="false">
      <c r="C46" s="14" t="s">
        <v>267</v>
      </c>
    </row>
  </sheetData>
  <dataValidations count="1">
    <dataValidation allowBlank="true" error="El campo debe tener como maximo 9.999.999.999.999,99 y no puede ser negativo" errorStyle="stop" errorTitle="Dato invalido" operator="between" showDropDown="false" showErrorMessage="true" showInputMessage="false" sqref="E21:E22 D23:E23 D40:G41 D42 F42:G42" type="decimal">
      <formula1>0</formula1>
      <formula2>999999999999999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B1:E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20"/>
    <col collapsed="false" customWidth="true" hidden="false" outlineLevel="0" max="4" min="4" style="0" width="50"/>
    <col collapsed="false" customWidth="true" hidden="false" outlineLevel="0" max="5" min="5" style="0" width="28"/>
  </cols>
  <sheetData>
    <row r="1" customFormat="false" ht="18" hidden="false" customHeight="true" outlineLevel="0" collapsed="false">
      <c r="B1" s="6" t="s">
        <v>268</v>
      </c>
      <c r="C1" s="6"/>
      <c r="D1" s="6"/>
      <c r="E1" s="6"/>
    </row>
    <row r="2" customFormat="false" ht="21.75" hidden="false" customHeight="true" outlineLevel="0" collapsed="false">
      <c r="C2" s="7" t="s">
        <v>269</v>
      </c>
    </row>
    <row r="3" customFormat="false" ht="15" hidden="false" customHeight="false" outlineLevel="0" collapsed="false">
      <c r="C3" s="15" t="str">
        <f aca="false">"PERÍODO  "&amp;'Datos iniciales'!$D$10&amp;"      |      TIPO EJERCICIO  "&amp;'Datos iniciales'!$D$12&amp;"      |      SECUENCIA  "&amp;'Datos iniciales'!$D$11</f>
        <v>PERÍODO        |      TIPO EJERCICIO  Regular      |      SECUENCIA  Original</v>
      </c>
    </row>
    <row r="5" customFormat="false" ht="31.5" hidden="false" customHeight="true" outlineLevel="0" collapsed="false">
      <c r="C5" s="26" t="s">
        <v>27</v>
      </c>
      <c r="D5" s="26" t="s">
        <v>270</v>
      </c>
      <c r="E5" s="26" t="s">
        <v>271</v>
      </c>
    </row>
    <row r="6" customFormat="false" ht="15" hidden="false" customHeight="false" outlineLevel="0" collapsed="false">
      <c r="C6" s="30"/>
      <c r="D6" s="27"/>
      <c r="E6" s="28"/>
    </row>
    <row r="7" customFormat="false" ht="15" hidden="false" customHeight="false" outlineLevel="0" collapsed="false">
      <c r="C7" s="30"/>
      <c r="D7" s="27"/>
      <c r="E7" s="28"/>
    </row>
    <row r="8" customFormat="false" ht="15" hidden="false" customHeight="false" outlineLevel="0" collapsed="false">
      <c r="C8" s="30"/>
      <c r="D8" s="27"/>
      <c r="E8" s="28"/>
    </row>
    <row r="9" customFormat="false" ht="15" hidden="false" customHeight="false" outlineLevel="0" collapsed="false">
      <c r="C9" s="30"/>
      <c r="D9" s="27"/>
      <c r="E9" s="28"/>
    </row>
    <row r="10" customFormat="false" ht="15" hidden="false" customHeight="false" outlineLevel="0" collapsed="false">
      <c r="C10" s="30"/>
      <c r="D10" s="27"/>
      <c r="E10" s="28"/>
    </row>
    <row r="11" customFormat="false" ht="15" hidden="false" customHeight="false" outlineLevel="0" collapsed="false">
      <c r="C11" s="30"/>
      <c r="D11" s="27"/>
      <c r="E11" s="28"/>
    </row>
    <row r="12" customFormat="false" ht="15" hidden="false" customHeight="false" outlineLevel="0" collapsed="false">
      <c r="C12" s="30"/>
      <c r="D12" s="27"/>
      <c r="E12" s="28"/>
    </row>
    <row r="13" customFormat="false" ht="15" hidden="false" customHeight="false" outlineLevel="0" collapsed="false">
      <c r="C13" s="30"/>
      <c r="D13" s="27"/>
      <c r="E13" s="28"/>
    </row>
    <row r="14" customFormat="false" ht="15" hidden="false" customHeight="false" outlineLevel="0" collapsed="false">
      <c r="C14" s="30"/>
      <c r="D14" s="27"/>
      <c r="E14" s="28"/>
    </row>
    <row r="15" customFormat="false" ht="15" hidden="false" customHeight="false" outlineLevel="0" collapsed="false">
      <c r="C15" s="30"/>
      <c r="D15" s="27"/>
      <c r="E15" s="28"/>
    </row>
    <row r="16" customFormat="false" ht="15" hidden="false" customHeight="false" outlineLevel="0" collapsed="false">
      <c r="C16" s="30"/>
      <c r="D16" s="27"/>
      <c r="E16" s="28"/>
    </row>
    <row r="17" customFormat="false" ht="15" hidden="false" customHeight="false" outlineLevel="0" collapsed="false">
      <c r="C17" s="30"/>
      <c r="D17" s="27"/>
      <c r="E17" s="28"/>
    </row>
    <row r="18" customFormat="false" ht="15" hidden="false" customHeight="false" outlineLevel="0" collapsed="false">
      <c r="C18" s="30"/>
      <c r="D18" s="27"/>
      <c r="E18" s="28"/>
    </row>
    <row r="19" customFormat="false" ht="15" hidden="false" customHeight="false" outlineLevel="0" collapsed="false">
      <c r="C19" s="30"/>
      <c r="D19" s="27"/>
      <c r="E19" s="28"/>
    </row>
    <row r="20" customFormat="false" ht="15" hidden="false" customHeight="false" outlineLevel="0" collapsed="false">
      <c r="C20" s="30"/>
      <c r="D20" s="27"/>
      <c r="E20" s="28"/>
    </row>
    <row r="21" customFormat="false" ht="15" hidden="false" customHeight="false" outlineLevel="0" collapsed="false">
      <c r="C21" s="30"/>
      <c r="D21" s="27"/>
      <c r="E21" s="28"/>
    </row>
    <row r="22" customFormat="false" ht="15" hidden="false" customHeight="false" outlineLevel="0" collapsed="false">
      <c r="C22" s="30"/>
      <c r="D22" s="27"/>
      <c r="E22" s="28"/>
    </row>
    <row r="23" customFormat="false" ht="15" hidden="false" customHeight="false" outlineLevel="0" collapsed="false">
      <c r="C23" s="30"/>
      <c r="D23" s="27"/>
      <c r="E23" s="28"/>
    </row>
    <row r="24" customFormat="false" ht="15" hidden="false" customHeight="false" outlineLevel="0" collapsed="false">
      <c r="C24" s="30"/>
      <c r="D24" s="27"/>
      <c r="E24" s="28"/>
    </row>
    <row r="25" customFormat="false" ht="15" hidden="false" customHeight="false" outlineLevel="0" collapsed="false">
      <c r="C25" s="30"/>
      <c r="D25" s="27"/>
      <c r="E25" s="28"/>
    </row>
    <row r="26" customFormat="false" ht="23.85" hidden="false" customHeight="false" outlineLevel="0" collapsed="false">
      <c r="C26" s="24" t="s">
        <v>272</v>
      </c>
      <c r="D26" s="43"/>
      <c r="E26" s="25" t="n">
        <f aca="false">SUM(E6:E25)</f>
        <v>0</v>
      </c>
    </row>
    <row r="28" customFormat="false" ht="23.85" hidden="false" customHeight="false" outlineLevel="0" collapsed="false">
      <c r="D28" s="18" t="s">
        <v>273</v>
      </c>
      <c r="E28" s="19" t="n">
        <f aca="false">E26-'Ajustes - fuente argentina'!D52</f>
        <v>0</v>
      </c>
    </row>
  </sheetData>
  <conditionalFormatting sqref="E28">
    <cfRule type="expression" priority="2" aboveAverage="0" equalAverage="0" bottom="0" percent="0" rank="0" text="" dxfId="1">
      <formula>AND(ISNUMBER(E28),ROUND(E28,2)&lt;&gt;0)</formula>
    </cfRule>
    <cfRule type="expression" priority="3" aboveAverage="0" equalAverage="0" bottom="0" percent="0" rank="0" text="" dxfId="0">
      <formula>AND(ISNUMBER(E28),ROUND(E28,2)=0)</formula>
    </cfRule>
  </conditionalFormatting>
  <conditionalFormatting sqref="C6:E25">
    <cfRule type="expression" priority="4" aboveAverage="0" equalAverage="0" bottom="0" percent="0" rank="0" text="" dxfId="2">
      <formula>AND(LEN(TRIM($C6&amp;$D6&amp;$E6))&gt;0,OR(LEN(TRIM($C6))=0,LEN(TRIM($E6))=0))</formula>
    </cfRule>
  </conditionalFormatting>
  <conditionalFormatting sqref="D6:D25">
    <cfRule type="expression" priority="5" aboveAverage="0" equalAverage="0" bottom="0" percent="0" rank="0" text="" dxfId="1">
      <formula>SUMPRODUCT(--ISNUMBER(SEARCH({"0","1","2","3","4","5","6","7","8","9"},D6)))&gt;0</formula>
    </cfRule>
  </conditionalFormatting>
  <dataValidations count="3">
    <dataValidation allowBlank="true" error="El campo debe tener como maximo 50 caracteres" errorStyle="stop" errorTitle="Dato invalido" operator="lessThanOrEqual" showDropDown="false" showErrorMessage="true" showInputMessage="false" sqref="D6:D25" type="textLength">
      <formula1>50</formula1>
      <formula2>0</formula2>
    </dataValidation>
    <dataValidation allowBlank="true" error="El campo debe contener 11 digitos numericos" errorStyle="stop" errorTitle="Dato invalido" operator="between" showDropDown="false" showErrorMessage="true" showInputMessage="false" sqref="C6:C25" type="whole">
      <formula1>10000000000</formula1>
      <formula2>99999999999</formula2>
    </dataValidation>
    <dataValidation allowBlank="true" error="El campo debe tener como maximo 9.999.999.999.999,99 y no puede ser negativo" errorStyle="stop" errorTitle="Dato invalido" operator="between" showDropDown="false" showErrorMessage="true" showInputMessage="false" sqref="E6:E25" type="decimal">
      <formula1>0</formula1>
      <formula2>999999999999999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B1:E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84"/>
    <col collapsed="false" customWidth="true" hidden="false" outlineLevel="0" max="5" min="4" style="0" width="24"/>
  </cols>
  <sheetData>
    <row r="1" customFormat="false" ht="18" hidden="false" customHeight="true" outlineLevel="0" collapsed="false">
      <c r="B1" s="6" t="s">
        <v>274</v>
      </c>
      <c r="C1" s="6"/>
      <c r="D1" s="6"/>
      <c r="E1" s="6"/>
    </row>
    <row r="2" customFormat="false" ht="21.75" hidden="false" customHeight="true" outlineLevel="0" collapsed="false">
      <c r="C2" s="7" t="s">
        <v>17</v>
      </c>
    </row>
    <row r="3" customFormat="false" ht="15" hidden="false" customHeight="false" outlineLevel="0" collapsed="false">
      <c r="C3" s="15" t="str">
        <f aca="false">"PERÍODO  "&amp;'Datos iniciales'!$D$10&amp;"      |      TIPO EJERCICIO  "&amp;'Datos iniciales'!$D$12&amp;"      |      SECUENCIA  "&amp;'Datos iniciales'!$D$11</f>
        <v>PERÍODO        |      TIPO EJERCICIO  Regular      |      SECUENCIA  Original</v>
      </c>
    </row>
    <row r="5" customFormat="false" ht="30" hidden="false" customHeight="true" outlineLevel="0" collapsed="false">
      <c r="C5" s="8" t="s">
        <v>17</v>
      </c>
      <c r="D5" s="9" t="s">
        <v>275</v>
      </c>
      <c r="E5" s="9" t="s">
        <v>276</v>
      </c>
    </row>
    <row r="6" customFormat="false" ht="15" hidden="false" customHeight="false" outlineLevel="0" collapsed="false">
      <c r="C6" s="10" t="s">
        <v>277</v>
      </c>
      <c r="D6" s="16" t="n">
        <f aca="false">'Determinación resultado neto'!E26</f>
        <v>0</v>
      </c>
    </row>
    <row r="7" customFormat="false" ht="27.75" hidden="false" customHeight="true" outlineLevel="0" collapsed="false">
      <c r="C7" s="10" t="s">
        <v>278</v>
      </c>
      <c r="D7" s="11" t="s">
        <v>4</v>
      </c>
    </row>
    <row r="8" customFormat="false" ht="15" hidden="false" customHeight="false" outlineLevel="0" collapsed="false">
      <c r="C8" s="10" t="s">
        <v>279</v>
      </c>
      <c r="E8" s="17"/>
    </row>
    <row r="9" customFormat="false" ht="15" hidden="false" customHeight="false" outlineLevel="0" collapsed="false">
      <c r="C9" s="10" t="s">
        <v>280</v>
      </c>
      <c r="D9" s="16" t="n">
        <f aca="false">MAX(0,D6-E8)</f>
        <v>0</v>
      </c>
    </row>
    <row r="10" customFormat="false" ht="15" hidden="false" customHeight="false" outlineLevel="0" collapsed="false">
      <c r="C10" s="10" t="s">
        <v>281</v>
      </c>
      <c r="D10" s="16" t="n">
        <f aca="false">'Determinación resultado neto'!D26</f>
        <v>0</v>
      </c>
    </row>
    <row r="11" customFormat="false" ht="27.75" hidden="false" customHeight="true" outlineLevel="0" collapsed="false">
      <c r="C11" s="10" t="s">
        <v>282</v>
      </c>
      <c r="D11" s="11" t="s">
        <v>4</v>
      </c>
    </row>
    <row r="12" customFormat="false" ht="27.75" hidden="false" customHeight="true" outlineLevel="0" collapsed="false">
      <c r="C12" s="10" t="s">
        <v>283</v>
      </c>
      <c r="E12" s="17"/>
    </row>
    <row r="13" customFormat="false" ht="15" hidden="false" customHeight="false" outlineLevel="0" collapsed="false">
      <c r="C13" s="10" t="s">
        <v>284</v>
      </c>
      <c r="D13" s="16" t="n">
        <f aca="false">MAX(0,D10-E12)</f>
        <v>0</v>
      </c>
    </row>
    <row r="14" customFormat="false" ht="15" hidden="false" customHeight="false" outlineLevel="0" collapsed="false">
      <c r="C14" s="10" t="s">
        <v>285</v>
      </c>
      <c r="E14" s="17"/>
    </row>
    <row r="15" customFormat="false" ht="15" hidden="false" customHeight="false" outlineLevel="0" collapsed="false">
      <c r="C15" s="10" t="s">
        <v>286</v>
      </c>
      <c r="D15" s="16" t="n">
        <f aca="false">MAX(0,D9+D13-E14)</f>
        <v>0</v>
      </c>
    </row>
    <row r="16" customFormat="false" ht="15" hidden="false" customHeight="false" outlineLevel="0" collapsed="false">
      <c r="C16" s="10" t="s">
        <v>287</v>
      </c>
      <c r="D16" s="16" t="n">
        <f aca="false">MAX(0,D15-SUM(E19:E23))</f>
        <v>0</v>
      </c>
    </row>
    <row r="18" customFormat="false" ht="30" hidden="false" customHeight="true" outlineLevel="0" collapsed="false">
      <c r="C18" s="8" t="s">
        <v>288</v>
      </c>
      <c r="D18" s="9" t="s">
        <v>275</v>
      </c>
      <c r="E18" s="9" t="s">
        <v>276</v>
      </c>
    </row>
    <row r="19" customFormat="false" ht="15" hidden="false" customHeight="false" outlineLevel="0" collapsed="false">
      <c r="C19" s="10" t="s">
        <v>289</v>
      </c>
      <c r="E19" s="17"/>
    </row>
    <row r="20" customFormat="false" ht="15" hidden="false" customHeight="false" outlineLevel="0" collapsed="false">
      <c r="C20" s="10" t="s">
        <v>290</v>
      </c>
      <c r="E20" s="17"/>
    </row>
    <row r="21" customFormat="false" ht="15" hidden="false" customHeight="false" outlineLevel="0" collapsed="false">
      <c r="C21" s="10" t="s">
        <v>291</v>
      </c>
      <c r="E21" s="17"/>
    </row>
    <row r="22" customFormat="false" ht="15" hidden="false" customHeight="false" outlineLevel="0" collapsed="false">
      <c r="C22" s="10" t="s">
        <v>292</v>
      </c>
      <c r="E22" s="16" t="n">
        <f aca="false">E64</f>
        <v>0</v>
      </c>
    </row>
    <row r="23" customFormat="false" ht="15" hidden="false" customHeight="false" outlineLevel="0" collapsed="false">
      <c r="C23" s="10" t="s">
        <v>293</v>
      </c>
      <c r="E23" s="17"/>
    </row>
    <row r="25" customFormat="false" ht="30" hidden="false" customHeight="true" outlineLevel="0" collapsed="false">
      <c r="C25" s="8" t="s">
        <v>294</v>
      </c>
      <c r="D25" s="9" t="s">
        <v>275</v>
      </c>
      <c r="E25" s="9" t="s">
        <v>276</v>
      </c>
    </row>
    <row r="26" customFormat="false" ht="15" hidden="false" customHeight="false" outlineLevel="0" collapsed="false">
      <c r="C26" s="10" t="s">
        <v>295</v>
      </c>
      <c r="E26" s="16" t="n">
        <f aca="false">'Anticipos imp créd. y débitos'!L6</f>
        <v>0</v>
      </c>
    </row>
    <row r="27" customFormat="false" ht="15" hidden="false" customHeight="false" outlineLevel="0" collapsed="false">
      <c r="C27" s="10" t="s">
        <v>296</v>
      </c>
      <c r="E27" s="16" t="n">
        <f aca="false">'Imp créditos y débitos'!K6</f>
        <v>0</v>
      </c>
    </row>
    <row r="28" customFormat="false" ht="15" hidden="false" customHeight="false" outlineLevel="0" collapsed="false">
      <c r="C28" s="10" t="s">
        <v>297</v>
      </c>
      <c r="E28" s="16" t="n">
        <f aca="false">MAX(0,E26-D16)</f>
        <v>0</v>
      </c>
    </row>
    <row r="29" customFormat="false" ht="15" hidden="false" customHeight="false" outlineLevel="0" collapsed="false">
      <c r="C29" s="10" t="s">
        <v>298</v>
      </c>
      <c r="D29" s="16" t="n">
        <f aca="false">MAX(0,D16-E26)</f>
        <v>0</v>
      </c>
    </row>
    <row r="30" customFormat="false" ht="15" hidden="false" customHeight="false" outlineLevel="0" collapsed="false">
      <c r="C30" s="10" t="s">
        <v>299</v>
      </c>
      <c r="D30" s="16" t="n">
        <f aca="false">MAX(0,D29-E27)</f>
        <v>0</v>
      </c>
    </row>
    <row r="32" customFormat="false" ht="30" hidden="false" customHeight="true" outlineLevel="0" collapsed="false">
      <c r="C32" s="8" t="s">
        <v>300</v>
      </c>
      <c r="D32" s="9" t="s">
        <v>275</v>
      </c>
      <c r="E32" s="9" t="s">
        <v>276</v>
      </c>
    </row>
    <row r="33" customFormat="false" ht="15" hidden="false" customHeight="false" outlineLevel="0" collapsed="false">
      <c r="C33" s="10" t="s">
        <v>301</v>
      </c>
      <c r="E33" s="17"/>
    </row>
    <row r="34" customFormat="false" ht="15" hidden="false" customHeight="false" outlineLevel="0" collapsed="false">
      <c r="C34" s="10" t="s">
        <v>302</v>
      </c>
      <c r="E34" s="17"/>
    </row>
    <row r="35" customFormat="false" ht="15" hidden="false" customHeight="false" outlineLevel="0" collapsed="false">
      <c r="C35" s="10" t="s">
        <v>303</v>
      </c>
      <c r="E35" s="16" t="n">
        <f aca="false">MAX(0,E33-D30)</f>
        <v>0</v>
      </c>
    </row>
    <row r="36" customFormat="false" ht="15" hidden="false" customHeight="false" outlineLevel="0" collapsed="false">
      <c r="C36" s="10" t="s">
        <v>304</v>
      </c>
      <c r="D36" s="16" t="n">
        <f aca="false">MAX(0,D30-E33)</f>
        <v>0</v>
      </c>
    </row>
    <row r="37" customFormat="false" ht="15" hidden="false" customHeight="false" outlineLevel="0" collapsed="false">
      <c r="C37" s="10" t="s">
        <v>299</v>
      </c>
      <c r="D37" s="16" t="n">
        <f aca="false">MAX(0,D36-E34)</f>
        <v>0</v>
      </c>
    </row>
    <row r="39" customFormat="false" ht="30" hidden="false" customHeight="true" outlineLevel="0" collapsed="false">
      <c r="C39" s="8" t="s">
        <v>305</v>
      </c>
      <c r="D39" s="9" t="s">
        <v>275</v>
      </c>
      <c r="E39" s="9" t="s">
        <v>276</v>
      </c>
    </row>
    <row r="40" customFormat="false" ht="15" hidden="false" customHeight="false" outlineLevel="0" collapsed="false">
      <c r="C40" s="10" t="s">
        <v>306</v>
      </c>
      <c r="E40" s="17"/>
    </row>
    <row r="41" customFormat="false" ht="15" hidden="false" customHeight="false" outlineLevel="0" collapsed="false">
      <c r="C41" s="10" t="s">
        <v>307</v>
      </c>
      <c r="E41" s="17"/>
    </row>
    <row r="42" customFormat="false" ht="15" hidden="false" customHeight="false" outlineLevel="0" collapsed="false">
      <c r="C42" s="10" t="s">
        <v>308</v>
      </c>
      <c r="E42" s="16" t="n">
        <f aca="false">E40+E41</f>
        <v>0</v>
      </c>
    </row>
    <row r="44" customFormat="false" ht="30" hidden="false" customHeight="true" outlineLevel="0" collapsed="false">
      <c r="C44" s="8" t="s">
        <v>20</v>
      </c>
      <c r="D44" s="9" t="s">
        <v>275</v>
      </c>
      <c r="E44" s="9" t="s">
        <v>276</v>
      </c>
    </row>
    <row r="45" customFormat="false" ht="15" hidden="false" customHeight="false" outlineLevel="0" collapsed="false">
      <c r="C45" s="10" t="s">
        <v>20</v>
      </c>
      <c r="E45" s="16" t="n">
        <f aca="false">'Retenciones y percepciones'!O10</f>
        <v>0</v>
      </c>
    </row>
    <row r="46" customFormat="false" ht="15" hidden="false" customHeight="false" outlineLevel="0" collapsed="false">
      <c r="C46" s="10" t="s">
        <v>309</v>
      </c>
      <c r="E46" s="16" t="n">
        <f aca="false">'Percepciones no computables'!H6</f>
        <v>0</v>
      </c>
    </row>
    <row r="48" customFormat="false" ht="30" hidden="false" customHeight="true" outlineLevel="0" collapsed="false">
      <c r="C48" s="8" t="s">
        <v>310</v>
      </c>
      <c r="D48" s="9" t="s">
        <v>275</v>
      </c>
      <c r="E48" s="9" t="s">
        <v>276</v>
      </c>
    </row>
    <row r="49" customFormat="false" ht="15" hidden="false" customHeight="false" outlineLevel="0" collapsed="false">
      <c r="C49" s="10" t="s">
        <v>311</v>
      </c>
      <c r="E49" s="17"/>
    </row>
    <row r="50" customFormat="false" ht="15" hidden="false" customHeight="false" outlineLevel="0" collapsed="false">
      <c r="C50" s="10" t="s">
        <v>312</v>
      </c>
      <c r="E50" s="17"/>
    </row>
    <row r="51" customFormat="false" ht="15" hidden="false" customHeight="false" outlineLevel="0" collapsed="false">
      <c r="C51" s="10" t="s">
        <v>313</v>
      </c>
      <c r="E51" s="17"/>
    </row>
    <row r="52" customFormat="false" ht="15" hidden="false" customHeight="false" outlineLevel="0" collapsed="false">
      <c r="C52" s="10" t="s">
        <v>314</v>
      </c>
      <c r="E52" s="17"/>
    </row>
    <row r="54" customFormat="false" ht="30" hidden="false" customHeight="true" outlineLevel="0" collapsed="false">
      <c r="C54" s="8" t="s">
        <v>315</v>
      </c>
      <c r="D54" s="9" t="s">
        <v>275</v>
      </c>
      <c r="E54" s="9" t="s">
        <v>276</v>
      </c>
    </row>
    <row r="55" customFormat="false" ht="15" hidden="false" customHeight="false" outlineLevel="0" collapsed="false">
      <c r="C55" s="10" t="s">
        <v>316</v>
      </c>
      <c r="E55" s="16" t="n">
        <f aca="false">MAX(0,-(D37-E42-E45-E46-E49-E50-E51-E52-E28-E35))</f>
        <v>-0</v>
      </c>
    </row>
    <row r="56" customFormat="false" ht="15" hidden="false" customHeight="false" outlineLevel="0" collapsed="false">
      <c r="C56" s="10" t="s">
        <v>317</v>
      </c>
      <c r="D56" s="16" t="n">
        <f aca="false">MAX(0,D37-E42-E45-E46-E49-E50-E51-E52-E28-E35)</f>
        <v>0</v>
      </c>
    </row>
    <row r="59" customFormat="false" ht="30" hidden="false" customHeight="true" outlineLevel="0" collapsed="false">
      <c r="C59" s="8" t="s">
        <v>318</v>
      </c>
      <c r="D59" s="9" t="s">
        <v>319</v>
      </c>
      <c r="E59" s="9" t="s">
        <v>320</v>
      </c>
    </row>
    <row r="60" customFormat="false" ht="15" hidden="false" customHeight="false" outlineLevel="0" collapsed="false">
      <c r="C60" s="10" t="s">
        <v>321</v>
      </c>
      <c r="D60" s="12"/>
      <c r="E60" s="17"/>
    </row>
    <row r="61" customFormat="false" ht="15" hidden="false" customHeight="false" outlineLevel="0" collapsed="false">
      <c r="C61" s="10" t="s">
        <v>322</v>
      </c>
      <c r="D61" s="12"/>
      <c r="E61" s="17"/>
    </row>
    <row r="62" customFormat="false" ht="15" hidden="false" customHeight="false" outlineLevel="0" collapsed="false">
      <c r="C62" s="10" t="s">
        <v>323</v>
      </c>
      <c r="D62" s="12"/>
      <c r="E62" s="17"/>
    </row>
    <row r="63" customFormat="false" ht="15" hidden="false" customHeight="false" outlineLevel="0" collapsed="false">
      <c r="C63" s="10" t="s">
        <v>324</v>
      </c>
      <c r="D63" s="12"/>
      <c r="E63" s="17"/>
    </row>
    <row r="64" customFormat="false" ht="15" hidden="false" customHeight="false" outlineLevel="0" collapsed="false">
      <c r="C64" s="24" t="s">
        <v>226</v>
      </c>
      <c r="D64" s="43"/>
      <c r="E64" s="25" t="n">
        <f aca="false">SUM(E60:E63)</f>
        <v>0</v>
      </c>
    </row>
  </sheetData>
  <conditionalFormatting sqref="D60:E63">
    <cfRule type="expression" priority="2" aboveAverage="0" equalAverage="0" bottom="0" percent="0" rank="0" text="" dxfId="2">
      <formula>AND(LEN(TRIM($D60&amp;$E60))&gt;0,OR(LEN(TRIM($D60))=0,LEN(TRIM($E60))=0))</formula>
    </cfRule>
  </conditionalFormatting>
  <dataValidations count="3">
    <dataValidation allowBlank="true" error="El campo debe tener como maximo 9.999.999.999.999,99 y no puede ser negativo" errorStyle="stop" errorTitle="Dato invalido" operator="between" showDropDown="false" showErrorMessage="true" showInputMessage="false" sqref="E8 E12 E14 E19:E21 E23 E33:E34 E40:E41 E49:E52 E60:E63" type="decimal">
      <formula1>0</formula1>
      <formula2>999999999999999</formula2>
    </dataValidation>
    <dataValidation allowBlank="true" error="Seleccione un valor de la lista" errorStyle="stop" errorTitle="Dato invalido" operator="between" showDropDown="false" showErrorMessage="true" showInputMessage="false" sqref="D7 D11" type="list">
      <formula1>Listas!$A$2:$A$3</formula1>
      <formula2>0</formula2>
    </dataValidation>
    <dataValidation allowBlank="true" error="El campo debe ser mayor a 2016 y menor a 2100" errorStyle="stop" errorTitle="Dato invalido" operator="between" showDropDown="false" showErrorMessage="true" showInputMessage="false" sqref="D60:D63" type="whole">
      <formula1>2016</formula1>
      <formula2>2100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B1:L10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34"/>
    <col collapsed="false" customWidth="true" hidden="false" outlineLevel="0" max="6" min="6" style="0" width="18"/>
    <col collapsed="false" customWidth="true" hidden="false" outlineLevel="0" max="8" min="7" style="0" width="20"/>
    <col collapsed="false" customWidth="true" hidden="false" outlineLevel="0" max="9" min="9" style="0" width="18"/>
    <col collapsed="false" customWidth="true" hidden="false" outlineLevel="0" max="10" min="10" style="0" width="26"/>
    <col collapsed="false" customWidth="true" hidden="false" outlineLevel="0" max="12" min="12" style="0" width="34"/>
  </cols>
  <sheetData>
    <row r="1" customFormat="false" ht="18" hidden="false" customHeight="true" outlineLevel="0" collapsed="false">
      <c r="B1" s="6" t="s">
        <v>325</v>
      </c>
      <c r="C1" s="6"/>
      <c r="D1" s="6"/>
      <c r="E1" s="6"/>
      <c r="F1" s="6"/>
      <c r="G1" s="6"/>
      <c r="H1" s="6"/>
      <c r="I1" s="6"/>
      <c r="J1" s="6"/>
    </row>
    <row r="2" customFormat="false" ht="21.75" hidden="false" customHeight="true" outlineLevel="0" collapsed="false">
      <c r="C2" s="7" t="s">
        <v>295</v>
      </c>
    </row>
    <row r="3" customFormat="false" ht="15" hidden="false" customHeight="false" outlineLevel="0" collapsed="false">
      <c r="C3" s="15" t="str">
        <f aca="false">"PERÍODO  "&amp;'Datos iniciales'!$D$10&amp;"      |      TIPO EJERCICIO  "&amp;'Datos iniciales'!$D$12&amp;"      |      SECUENCIA  "&amp;'Datos iniciales'!$D$11</f>
        <v>PERÍODO        |      TIPO EJERCICIO  Regular      |      SECUENCIA  Original</v>
      </c>
    </row>
    <row r="5" customFormat="false" ht="31.5" hidden="false" customHeight="true" outlineLevel="0" collapsed="false">
      <c r="C5" s="26" t="s">
        <v>326</v>
      </c>
      <c r="D5" s="26" t="s">
        <v>327</v>
      </c>
      <c r="E5" s="26" t="s">
        <v>328</v>
      </c>
      <c r="F5" s="26" t="s">
        <v>329</v>
      </c>
      <c r="G5" s="26" t="s">
        <v>330</v>
      </c>
      <c r="H5" s="26" t="s">
        <v>331</v>
      </c>
      <c r="I5" s="26" t="s">
        <v>332</v>
      </c>
      <c r="J5" s="26" t="s">
        <v>333</v>
      </c>
      <c r="L5" s="26" t="s">
        <v>334</v>
      </c>
    </row>
    <row r="6" customFormat="false" ht="15" hidden="false" customHeight="false" outlineLevel="0" collapsed="false">
      <c r="C6" s="44"/>
      <c r="D6" s="45"/>
      <c r="F6" s="46"/>
      <c r="G6" s="44"/>
      <c r="H6" s="44"/>
      <c r="J6" s="47"/>
      <c r="L6" s="16" t="n">
        <f aca="false">SUM(D6:D5005)</f>
        <v>0</v>
      </c>
    </row>
    <row r="7" customFormat="false" ht="15" hidden="false" customHeight="false" outlineLevel="0" collapsed="false">
      <c r="C7" s="44"/>
      <c r="D7" s="45"/>
      <c r="F7" s="46"/>
      <c r="G7" s="44"/>
      <c r="H7" s="44"/>
      <c r="J7" s="47"/>
    </row>
    <row r="8" customFormat="false" ht="15" hidden="false" customHeight="false" outlineLevel="0" collapsed="false">
      <c r="C8" s="44"/>
      <c r="D8" s="45"/>
      <c r="F8" s="46"/>
      <c r="G8" s="44"/>
      <c r="H8" s="44"/>
      <c r="J8" s="47"/>
    </row>
    <row r="9" customFormat="false" ht="15" hidden="false" customHeight="false" outlineLevel="0" collapsed="false">
      <c r="C9" s="44"/>
      <c r="D9" s="45"/>
      <c r="F9" s="46"/>
      <c r="G9" s="44"/>
      <c r="H9" s="44"/>
      <c r="J9" s="47"/>
    </row>
    <row r="10" customFormat="false" ht="15" hidden="false" customHeight="false" outlineLevel="0" collapsed="false">
      <c r="C10" s="44"/>
      <c r="D10" s="45"/>
      <c r="F10" s="46"/>
      <c r="G10" s="44"/>
      <c r="H10" s="44"/>
      <c r="J10" s="47"/>
    </row>
    <row r="11" customFormat="false" ht="15" hidden="false" customHeight="false" outlineLevel="0" collapsed="false">
      <c r="C11" s="44"/>
      <c r="D11" s="45"/>
      <c r="F11" s="46"/>
      <c r="G11" s="44"/>
      <c r="H11" s="44"/>
      <c r="J11" s="47"/>
    </row>
    <row r="12" customFormat="false" ht="15" hidden="false" customHeight="false" outlineLevel="0" collapsed="false">
      <c r="C12" s="44"/>
      <c r="D12" s="45"/>
      <c r="F12" s="46"/>
      <c r="G12" s="44"/>
      <c r="H12" s="44"/>
      <c r="J12" s="47"/>
    </row>
    <row r="13" customFormat="false" ht="15" hidden="false" customHeight="false" outlineLevel="0" collapsed="false">
      <c r="C13" s="44"/>
      <c r="D13" s="45"/>
      <c r="F13" s="46"/>
      <c r="G13" s="44"/>
      <c r="H13" s="44"/>
      <c r="J13" s="47"/>
    </row>
    <row r="14" customFormat="false" ht="15" hidden="false" customHeight="false" outlineLevel="0" collapsed="false">
      <c r="C14" s="44"/>
      <c r="D14" s="45"/>
      <c r="F14" s="46"/>
      <c r="G14" s="44"/>
      <c r="H14" s="44"/>
      <c r="J14" s="47"/>
    </row>
    <row r="15" customFormat="false" ht="15" hidden="false" customHeight="false" outlineLevel="0" collapsed="false">
      <c r="C15" s="44"/>
      <c r="D15" s="45"/>
      <c r="F15" s="46"/>
      <c r="G15" s="44"/>
      <c r="H15" s="44"/>
      <c r="J15" s="47"/>
    </row>
    <row r="16" customFormat="false" ht="15" hidden="false" customHeight="false" outlineLevel="0" collapsed="false">
      <c r="C16" s="44"/>
      <c r="D16" s="45"/>
      <c r="F16" s="46"/>
      <c r="G16" s="44"/>
      <c r="H16" s="44"/>
      <c r="J16" s="47"/>
    </row>
    <row r="17" customFormat="false" ht="15" hidden="false" customHeight="false" outlineLevel="0" collapsed="false">
      <c r="C17" s="44"/>
      <c r="D17" s="45"/>
      <c r="F17" s="46"/>
      <c r="G17" s="44"/>
      <c r="H17" s="44"/>
      <c r="J17" s="47"/>
    </row>
    <row r="18" customFormat="false" ht="15" hidden="false" customHeight="false" outlineLevel="0" collapsed="false">
      <c r="C18" s="44"/>
      <c r="D18" s="45"/>
      <c r="F18" s="46"/>
      <c r="G18" s="44"/>
      <c r="H18" s="44"/>
      <c r="J18" s="47"/>
    </row>
    <row r="19" customFormat="false" ht="15" hidden="false" customHeight="false" outlineLevel="0" collapsed="false">
      <c r="C19" s="44"/>
      <c r="D19" s="45"/>
      <c r="F19" s="46"/>
      <c r="G19" s="44"/>
      <c r="H19" s="44"/>
      <c r="J19" s="47"/>
    </row>
    <row r="20" customFormat="false" ht="15" hidden="false" customHeight="false" outlineLevel="0" collapsed="false">
      <c r="C20" s="44"/>
      <c r="D20" s="45"/>
      <c r="F20" s="46"/>
      <c r="G20" s="44"/>
      <c r="H20" s="44"/>
      <c r="J20" s="47"/>
    </row>
    <row r="21" customFormat="false" ht="15" hidden="false" customHeight="false" outlineLevel="0" collapsed="false">
      <c r="C21" s="44"/>
      <c r="D21" s="45"/>
      <c r="F21" s="46"/>
      <c r="G21" s="44"/>
      <c r="H21" s="44"/>
      <c r="J21" s="47"/>
    </row>
    <row r="22" customFormat="false" ht="15" hidden="false" customHeight="false" outlineLevel="0" collapsed="false">
      <c r="C22" s="44"/>
      <c r="D22" s="45"/>
      <c r="F22" s="46"/>
      <c r="G22" s="44"/>
      <c r="H22" s="44"/>
      <c r="J22" s="47"/>
    </row>
    <row r="23" customFormat="false" ht="15" hidden="false" customHeight="false" outlineLevel="0" collapsed="false">
      <c r="C23" s="44"/>
      <c r="D23" s="45"/>
      <c r="F23" s="46"/>
      <c r="G23" s="44"/>
      <c r="H23" s="44"/>
      <c r="J23" s="47"/>
    </row>
    <row r="24" customFormat="false" ht="15" hidden="false" customHeight="false" outlineLevel="0" collapsed="false">
      <c r="C24" s="44"/>
      <c r="D24" s="45"/>
      <c r="F24" s="46"/>
      <c r="G24" s="44"/>
      <c r="H24" s="44"/>
      <c r="J24" s="47"/>
    </row>
    <row r="25" customFormat="false" ht="15" hidden="false" customHeight="false" outlineLevel="0" collapsed="false">
      <c r="C25" s="44"/>
      <c r="D25" s="45"/>
      <c r="F25" s="46"/>
      <c r="G25" s="44"/>
      <c r="H25" s="44"/>
      <c r="J25" s="47"/>
    </row>
    <row r="26" customFormat="false" ht="15" hidden="false" customHeight="false" outlineLevel="0" collapsed="false">
      <c r="C26" s="44"/>
      <c r="D26" s="45"/>
      <c r="F26" s="46"/>
      <c r="G26" s="44"/>
      <c r="H26" s="44"/>
      <c r="J26" s="47"/>
    </row>
    <row r="27" customFormat="false" ht="15" hidden="false" customHeight="false" outlineLevel="0" collapsed="false">
      <c r="C27" s="44"/>
      <c r="D27" s="45"/>
      <c r="F27" s="46"/>
      <c r="G27" s="44"/>
      <c r="H27" s="44"/>
      <c r="J27" s="47"/>
    </row>
    <row r="28" customFormat="false" ht="15" hidden="false" customHeight="false" outlineLevel="0" collapsed="false">
      <c r="C28" s="44"/>
      <c r="D28" s="45"/>
      <c r="F28" s="46"/>
      <c r="G28" s="44"/>
      <c r="H28" s="44"/>
      <c r="J28" s="47"/>
    </row>
    <row r="29" customFormat="false" ht="15" hidden="false" customHeight="false" outlineLevel="0" collapsed="false">
      <c r="C29" s="44"/>
      <c r="D29" s="45"/>
      <c r="F29" s="46"/>
      <c r="G29" s="44"/>
      <c r="H29" s="44"/>
      <c r="J29" s="47"/>
    </row>
    <row r="30" customFormat="false" ht="15" hidden="false" customHeight="false" outlineLevel="0" collapsed="false">
      <c r="C30" s="44"/>
      <c r="D30" s="45"/>
      <c r="F30" s="46"/>
      <c r="G30" s="44"/>
      <c r="H30" s="44"/>
      <c r="J30" s="47"/>
    </row>
    <row r="31" customFormat="false" ht="15" hidden="false" customHeight="false" outlineLevel="0" collapsed="false">
      <c r="C31" s="44"/>
      <c r="D31" s="45"/>
      <c r="F31" s="46"/>
      <c r="G31" s="44"/>
      <c r="H31" s="44"/>
      <c r="J31" s="47"/>
    </row>
    <row r="32" customFormat="false" ht="15" hidden="false" customHeight="false" outlineLevel="0" collapsed="false">
      <c r="C32" s="44"/>
      <c r="D32" s="45"/>
      <c r="F32" s="46"/>
      <c r="G32" s="44"/>
      <c r="H32" s="44"/>
      <c r="J32" s="47"/>
    </row>
    <row r="33" customFormat="false" ht="15" hidden="false" customHeight="false" outlineLevel="0" collapsed="false">
      <c r="C33" s="44"/>
      <c r="D33" s="45"/>
      <c r="F33" s="46"/>
      <c r="G33" s="44"/>
      <c r="H33" s="44"/>
      <c r="J33" s="47"/>
    </row>
    <row r="34" customFormat="false" ht="15" hidden="false" customHeight="false" outlineLevel="0" collapsed="false">
      <c r="C34" s="44"/>
      <c r="D34" s="45"/>
      <c r="F34" s="46"/>
      <c r="G34" s="44"/>
      <c r="H34" s="44"/>
      <c r="J34" s="47"/>
    </row>
    <row r="35" customFormat="false" ht="15" hidden="false" customHeight="false" outlineLevel="0" collapsed="false">
      <c r="C35" s="44"/>
      <c r="D35" s="45"/>
      <c r="F35" s="46"/>
      <c r="G35" s="44"/>
      <c r="H35" s="44"/>
      <c r="J35" s="47"/>
    </row>
    <row r="36" customFormat="false" ht="15" hidden="false" customHeight="false" outlineLevel="0" collapsed="false">
      <c r="C36" s="44"/>
      <c r="D36" s="45"/>
      <c r="F36" s="46"/>
      <c r="G36" s="44"/>
      <c r="H36" s="44"/>
      <c r="J36" s="47"/>
    </row>
    <row r="37" customFormat="false" ht="15" hidden="false" customHeight="false" outlineLevel="0" collapsed="false">
      <c r="C37" s="44"/>
      <c r="D37" s="45"/>
      <c r="F37" s="46"/>
      <c r="G37" s="44"/>
      <c r="H37" s="44"/>
      <c r="J37" s="47"/>
    </row>
    <row r="38" customFormat="false" ht="15" hidden="false" customHeight="false" outlineLevel="0" collapsed="false">
      <c r="C38" s="44"/>
      <c r="D38" s="45"/>
      <c r="F38" s="46"/>
      <c r="G38" s="44"/>
      <c r="H38" s="44"/>
      <c r="J38" s="47"/>
    </row>
    <row r="39" customFormat="false" ht="15" hidden="false" customHeight="false" outlineLevel="0" collapsed="false">
      <c r="C39" s="44"/>
      <c r="D39" s="45"/>
      <c r="F39" s="46"/>
      <c r="G39" s="44"/>
      <c r="H39" s="44"/>
      <c r="J39" s="47"/>
    </row>
    <row r="40" customFormat="false" ht="15" hidden="false" customHeight="false" outlineLevel="0" collapsed="false">
      <c r="C40" s="44"/>
      <c r="D40" s="45"/>
      <c r="F40" s="46"/>
      <c r="G40" s="44"/>
      <c r="H40" s="44"/>
      <c r="J40" s="47"/>
    </row>
    <row r="41" customFormat="false" ht="15" hidden="false" customHeight="false" outlineLevel="0" collapsed="false">
      <c r="C41" s="44"/>
      <c r="D41" s="45"/>
      <c r="F41" s="46"/>
      <c r="G41" s="44"/>
      <c r="H41" s="44"/>
      <c r="J41" s="47"/>
    </row>
    <row r="42" customFormat="false" ht="15" hidden="false" customHeight="false" outlineLevel="0" collapsed="false">
      <c r="C42" s="44"/>
      <c r="D42" s="45"/>
      <c r="F42" s="46"/>
      <c r="G42" s="44"/>
      <c r="H42" s="44"/>
      <c r="J42" s="47"/>
    </row>
    <row r="43" customFormat="false" ht="15" hidden="false" customHeight="false" outlineLevel="0" collapsed="false">
      <c r="C43" s="44"/>
      <c r="D43" s="45"/>
      <c r="F43" s="46"/>
      <c r="G43" s="44"/>
      <c r="H43" s="44"/>
      <c r="J43" s="47"/>
    </row>
    <row r="44" customFormat="false" ht="15" hidden="false" customHeight="false" outlineLevel="0" collapsed="false">
      <c r="C44" s="44"/>
      <c r="D44" s="45"/>
      <c r="F44" s="46"/>
      <c r="G44" s="44"/>
      <c r="H44" s="44"/>
      <c r="J44" s="47"/>
    </row>
    <row r="45" customFormat="false" ht="15" hidden="false" customHeight="false" outlineLevel="0" collapsed="false">
      <c r="C45" s="44"/>
      <c r="D45" s="45"/>
      <c r="F45" s="46"/>
      <c r="G45" s="44"/>
      <c r="H45" s="44"/>
      <c r="J45" s="47"/>
    </row>
    <row r="46" customFormat="false" ht="15" hidden="false" customHeight="false" outlineLevel="0" collapsed="false">
      <c r="C46" s="44"/>
      <c r="D46" s="45"/>
      <c r="F46" s="46"/>
      <c r="G46" s="44"/>
      <c r="H46" s="44"/>
      <c r="J46" s="47"/>
    </row>
    <row r="47" customFormat="false" ht="15" hidden="false" customHeight="false" outlineLevel="0" collapsed="false">
      <c r="C47" s="44"/>
      <c r="D47" s="45"/>
      <c r="F47" s="46"/>
      <c r="G47" s="44"/>
      <c r="H47" s="44"/>
      <c r="J47" s="47"/>
    </row>
    <row r="48" customFormat="false" ht="15" hidden="false" customHeight="false" outlineLevel="0" collapsed="false">
      <c r="C48" s="44"/>
      <c r="D48" s="45"/>
      <c r="F48" s="46"/>
      <c r="G48" s="44"/>
      <c r="H48" s="44"/>
      <c r="J48" s="47"/>
    </row>
    <row r="49" customFormat="false" ht="15" hidden="false" customHeight="false" outlineLevel="0" collapsed="false">
      <c r="C49" s="44"/>
      <c r="D49" s="45"/>
      <c r="F49" s="46"/>
      <c r="G49" s="44"/>
      <c r="H49" s="44"/>
      <c r="J49" s="47"/>
    </row>
    <row r="50" customFormat="false" ht="15" hidden="false" customHeight="false" outlineLevel="0" collapsed="false">
      <c r="C50" s="44"/>
      <c r="D50" s="45"/>
      <c r="F50" s="46"/>
      <c r="G50" s="44"/>
      <c r="H50" s="44"/>
      <c r="J50" s="47"/>
    </row>
    <row r="51" customFormat="false" ht="15" hidden="false" customHeight="false" outlineLevel="0" collapsed="false">
      <c r="C51" s="44"/>
      <c r="D51" s="45"/>
      <c r="F51" s="46"/>
      <c r="G51" s="44"/>
      <c r="H51" s="44"/>
      <c r="J51" s="47"/>
    </row>
    <row r="52" customFormat="false" ht="15" hidden="false" customHeight="false" outlineLevel="0" collapsed="false">
      <c r="C52" s="44"/>
      <c r="D52" s="45"/>
      <c r="F52" s="46"/>
      <c r="G52" s="44"/>
      <c r="H52" s="44"/>
      <c r="J52" s="47"/>
    </row>
    <row r="53" customFormat="false" ht="15" hidden="false" customHeight="false" outlineLevel="0" collapsed="false">
      <c r="C53" s="44"/>
      <c r="D53" s="45"/>
      <c r="F53" s="46"/>
      <c r="G53" s="44"/>
      <c r="H53" s="44"/>
      <c r="J53" s="47"/>
    </row>
    <row r="54" customFormat="false" ht="15" hidden="false" customHeight="false" outlineLevel="0" collapsed="false">
      <c r="C54" s="44"/>
      <c r="D54" s="45"/>
      <c r="F54" s="46"/>
      <c r="G54" s="44"/>
      <c r="H54" s="44"/>
      <c r="J54" s="47"/>
    </row>
    <row r="55" customFormat="false" ht="15" hidden="false" customHeight="false" outlineLevel="0" collapsed="false">
      <c r="C55" s="44"/>
      <c r="D55" s="45"/>
      <c r="F55" s="46"/>
      <c r="G55" s="44"/>
      <c r="H55" s="44"/>
      <c r="J55" s="47"/>
    </row>
    <row r="56" customFormat="false" ht="15" hidden="false" customHeight="false" outlineLevel="0" collapsed="false">
      <c r="C56" s="44"/>
      <c r="D56" s="45"/>
      <c r="F56" s="46"/>
      <c r="G56" s="44"/>
      <c r="H56" s="44"/>
      <c r="J56" s="47"/>
    </row>
    <row r="57" customFormat="false" ht="15" hidden="false" customHeight="false" outlineLevel="0" collapsed="false">
      <c r="C57" s="44"/>
      <c r="D57" s="45"/>
      <c r="F57" s="46"/>
      <c r="G57" s="44"/>
      <c r="H57" s="44"/>
      <c r="J57" s="47"/>
    </row>
    <row r="58" customFormat="false" ht="15" hidden="false" customHeight="false" outlineLevel="0" collapsed="false">
      <c r="C58" s="44"/>
      <c r="D58" s="45"/>
      <c r="F58" s="46"/>
      <c r="G58" s="44"/>
      <c r="H58" s="44"/>
      <c r="J58" s="47"/>
    </row>
    <row r="59" customFormat="false" ht="15" hidden="false" customHeight="false" outlineLevel="0" collapsed="false">
      <c r="C59" s="44"/>
      <c r="D59" s="45"/>
      <c r="F59" s="46"/>
      <c r="G59" s="44"/>
      <c r="H59" s="44"/>
      <c r="J59" s="47"/>
    </row>
    <row r="60" customFormat="false" ht="15" hidden="false" customHeight="false" outlineLevel="0" collapsed="false">
      <c r="C60" s="44"/>
      <c r="D60" s="45"/>
      <c r="F60" s="46"/>
      <c r="G60" s="44"/>
      <c r="H60" s="44"/>
      <c r="J60" s="47"/>
    </row>
    <row r="61" customFormat="false" ht="15" hidden="false" customHeight="false" outlineLevel="0" collapsed="false">
      <c r="C61" s="44"/>
      <c r="D61" s="45"/>
      <c r="F61" s="46"/>
      <c r="G61" s="44"/>
      <c r="H61" s="44"/>
      <c r="J61" s="47"/>
    </row>
    <row r="62" customFormat="false" ht="15" hidden="false" customHeight="false" outlineLevel="0" collapsed="false">
      <c r="C62" s="44"/>
      <c r="D62" s="45"/>
      <c r="F62" s="46"/>
      <c r="G62" s="44"/>
      <c r="H62" s="44"/>
      <c r="J62" s="47"/>
    </row>
    <row r="63" customFormat="false" ht="15" hidden="false" customHeight="false" outlineLevel="0" collapsed="false">
      <c r="C63" s="44"/>
      <c r="D63" s="45"/>
      <c r="F63" s="46"/>
      <c r="G63" s="44"/>
      <c r="H63" s="44"/>
      <c r="J63" s="47"/>
    </row>
    <row r="64" customFormat="false" ht="15" hidden="false" customHeight="false" outlineLevel="0" collapsed="false">
      <c r="C64" s="44"/>
      <c r="D64" s="45"/>
      <c r="F64" s="46"/>
      <c r="G64" s="44"/>
      <c r="H64" s="44"/>
      <c r="J64" s="47"/>
    </row>
    <row r="65" customFormat="false" ht="15" hidden="false" customHeight="false" outlineLevel="0" collapsed="false">
      <c r="C65" s="44"/>
      <c r="D65" s="45"/>
      <c r="F65" s="46"/>
      <c r="G65" s="44"/>
      <c r="H65" s="44"/>
      <c r="J65" s="47"/>
    </row>
    <row r="66" customFormat="false" ht="15" hidden="false" customHeight="false" outlineLevel="0" collapsed="false">
      <c r="C66" s="44"/>
      <c r="D66" s="45"/>
      <c r="F66" s="46"/>
      <c r="G66" s="44"/>
      <c r="H66" s="44"/>
      <c r="J66" s="47"/>
    </row>
    <row r="67" customFormat="false" ht="15" hidden="false" customHeight="false" outlineLevel="0" collapsed="false">
      <c r="C67" s="44"/>
      <c r="D67" s="45"/>
      <c r="F67" s="46"/>
      <c r="G67" s="44"/>
      <c r="H67" s="44"/>
      <c r="J67" s="47"/>
    </row>
    <row r="68" customFormat="false" ht="15" hidden="false" customHeight="false" outlineLevel="0" collapsed="false">
      <c r="C68" s="44"/>
      <c r="D68" s="45"/>
      <c r="F68" s="46"/>
      <c r="G68" s="44"/>
      <c r="H68" s="44"/>
      <c r="J68" s="47"/>
    </row>
    <row r="69" customFormat="false" ht="15" hidden="false" customHeight="false" outlineLevel="0" collapsed="false">
      <c r="C69" s="44"/>
      <c r="D69" s="45"/>
      <c r="F69" s="46"/>
      <c r="G69" s="44"/>
      <c r="H69" s="44"/>
      <c r="J69" s="47"/>
    </row>
    <row r="70" customFormat="false" ht="15" hidden="false" customHeight="false" outlineLevel="0" collapsed="false">
      <c r="C70" s="44"/>
      <c r="D70" s="45"/>
      <c r="F70" s="46"/>
      <c r="G70" s="44"/>
      <c r="H70" s="44"/>
      <c r="J70" s="47"/>
    </row>
    <row r="71" customFormat="false" ht="15" hidden="false" customHeight="false" outlineLevel="0" collapsed="false">
      <c r="C71" s="44"/>
      <c r="D71" s="45"/>
      <c r="F71" s="46"/>
      <c r="G71" s="44"/>
      <c r="H71" s="44"/>
      <c r="J71" s="47"/>
    </row>
    <row r="72" customFormat="false" ht="15" hidden="false" customHeight="false" outlineLevel="0" collapsed="false">
      <c r="C72" s="44"/>
      <c r="D72" s="45"/>
      <c r="F72" s="46"/>
      <c r="G72" s="44"/>
      <c r="H72" s="44"/>
      <c r="J72" s="47"/>
    </row>
    <row r="73" customFormat="false" ht="15" hidden="false" customHeight="false" outlineLevel="0" collapsed="false">
      <c r="C73" s="44"/>
      <c r="D73" s="45"/>
      <c r="F73" s="46"/>
      <c r="G73" s="44"/>
      <c r="H73" s="44"/>
      <c r="J73" s="47"/>
    </row>
    <row r="74" customFormat="false" ht="15" hidden="false" customHeight="false" outlineLevel="0" collapsed="false">
      <c r="C74" s="44"/>
      <c r="D74" s="45"/>
      <c r="F74" s="46"/>
      <c r="G74" s="44"/>
      <c r="H74" s="44"/>
      <c r="J74" s="47"/>
    </row>
    <row r="75" customFormat="false" ht="15" hidden="false" customHeight="false" outlineLevel="0" collapsed="false">
      <c r="C75" s="44"/>
      <c r="D75" s="45"/>
      <c r="F75" s="46"/>
      <c r="G75" s="44"/>
      <c r="H75" s="44"/>
      <c r="J75" s="47"/>
    </row>
    <row r="76" customFormat="false" ht="15" hidden="false" customHeight="false" outlineLevel="0" collapsed="false">
      <c r="C76" s="44"/>
      <c r="D76" s="45"/>
      <c r="F76" s="46"/>
      <c r="G76" s="44"/>
      <c r="H76" s="44"/>
      <c r="J76" s="47"/>
    </row>
    <row r="77" customFormat="false" ht="15" hidden="false" customHeight="false" outlineLevel="0" collapsed="false">
      <c r="C77" s="44"/>
      <c r="D77" s="45"/>
      <c r="F77" s="46"/>
      <c r="G77" s="44"/>
      <c r="H77" s="44"/>
      <c r="J77" s="47"/>
    </row>
    <row r="78" customFormat="false" ht="15" hidden="false" customHeight="false" outlineLevel="0" collapsed="false">
      <c r="C78" s="44"/>
      <c r="D78" s="45"/>
      <c r="F78" s="46"/>
      <c r="G78" s="44"/>
      <c r="H78" s="44"/>
      <c r="J78" s="47"/>
    </row>
    <row r="79" customFormat="false" ht="15" hidden="false" customHeight="false" outlineLevel="0" collapsed="false">
      <c r="C79" s="44"/>
      <c r="D79" s="45"/>
      <c r="F79" s="46"/>
      <c r="G79" s="44"/>
      <c r="H79" s="44"/>
      <c r="J79" s="47"/>
    </row>
    <row r="80" customFormat="false" ht="15" hidden="false" customHeight="false" outlineLevel="0" collapsed="false">
      <c r="C80" s="44"/>
      <c r="D80" s="45"/>
      <c r="F80" s="46"/>
      <c r="G80" s="44"/>
      <c r="H80" s="44"/>
      <c r="J80" s="47"/>
    </row>
    <row r="81" customFormat="false" ht="15" hidden="false" customHeight="false" outlineLevel="0" collapsed="false">
      <c r="C81" s="44"/>
      <c r="D81" s="45"/>
      <c r="F81" s="46"/>
      <c r="G81" s="44"/>
      <c r="H81" s="44"/>
      <c r="J81" s="47"/>
    </row>
    <row r="82" customFormat="false" ht="15" hidden="false" customHeight="false" outlineLevel="0" collapsed="false">
      <c r="C82" s="44"/>
      <c r="D82" s="45"/>
      <c r="F82" s="46"/>
      <c r="G82" s="44"/>
      <c r="H82" s="44"/>
      <c r="J82" s="47"/>
    </row>
    <row r="83" customFormat="false" ht="15" hidden="false" customHeight="false" outlineLevel="0" collapsed="false">
      <c r="C83" s="44"/>
      <c r="D83" s="45"/>
      <c r="F83" s="46"/>
      <c r="G83" s="44"/>
      <c r="H83" s="44"/>
      <c r="J83" s="47"/>
    </row>
    <row r="84" customFormat="false" ht="15" hidden="false" customHeight="false" outlineLevel="0" collapsed="false">
      <c r="C84" s="44"/>
      <c r="D84" s="45"/>
      <c r="F84" s="46"/>
      <c r="G84" s="44"/>
      <c r="H84" s="44"/>
      <c r="J84" s="47"/>
    </row>
    <row r="85" customFormat="false" ht="15" hidden="false" customHeight="false" outlineLevel="0" collapsed="false">
      <c r="C85" s="44"/>
      <c r="D85" s="45"/>
      <c r="F85" s="46"/>
      <c r="G85" s="44"/>
      <c r="H85" s="44"/>
      <c r="J85" s="47"/>
    </row>
    <row r="86" customFormat="false" ht="15" hidden="false" customHeight="false" outlineLevel="0" collapsed="false">
      <c r="C86" s="44"/>
      <c r="D86" s="45"/>
      <c r="F86" s="46"/>
      <c r="G86" s="44"/>
      <c r="H86" s="44"/>
      <c r="J86" s="47"/>
    </row>
    <row r="87" customFormat="false" ht="15" hidden="false" customHeight="false" outlineLevel="0" collapsed="false">
      <c r="C87" s="44"/>
      <c r="D87" s="45"/>
      <c r="F87" s="46"/>
      <c r="G87" s="44"/>
      <c r="H87" s="44"/>
      <c r="J87" s="47"/>
    </row>
    <row r="88" customFormat="false" ht="15" hidden="false" customHeight="false" outlineLevel="0" collapsed="false">
      <c r="C88" s="44"/>
      <c r="D88" s="45"/>
      <c r="F88" s="46"/>
      <c r="G88" s="44"/>
      <c r="H88" s="44"/>
      <c r="J88" s="47"/>
    </row>
    <row r="89" customFormat="false" ht="15" hidden="false" customHeight="false" outlineLevel="0" collapsed="false">
      <c r="C89" s="44"/>
      <c r="D89" s="45"/>
      <c r="F89" s="46"/>
      <c r="G89" s="44"/>
      <c r="H89" s="44"/>
      <c r="J89" s="47"/>
    </row>
    <row r="90" customFormat="false" ht="15" hidden="false" customHeight="false" outlineLevel="0" collapsed="false">
      <c r="C90" s="44"/>
      <c r="D90" s="45"/>
      <c r="F90" s="46"/>
      <c r="G90" s="44"/>
      <c r="H90" s="44"/>
      <c r="J90" s="47"/>
    </row>
    <row r="91" customFormat="false" ht="15" hidden="false" customHeight="false" outlineLevel="0" collapsed="false">
      <c r="C91" s="44"/>
      <c r="D91" s="45"/>
      <c r="F91" s="46"/>
      <c r="G91" s="44"/>
      <c r="H91" s="44"/>
      <c r="J91" s="47"/>
    </row>
    <row r="92" customFormat="false" ht="15" hidden="false" customHeight="false" outlineLevel="0" collapsed="false">
      <c r="C92" s="44"/>
      <c r="D92" s="45"/>
      <c r="F92" s="46"/>
      <c r="G92" s="44"/>
      <c r="H92" s="44"/>
      <c r="J92" s="47"/>
    </row>
    <row r="93" customFormat="false" ht="15" hidden="false" customHeight="false" outlineLevel="0" collapsed="false">
      <c r="C93" s="44"/>
      <c r="D93" s="45"/>
      <c r="F93" s="46"/>
      <c r="G93" s="44"/>
      <c r="H93" s="44"/>
      <c r="J93" s="47"/>
    </row>
    <row r="94" customFormat="false" ht="15" hidden="false" customHeight="false" outlineLevel="0" collapsed="false">
      <c r="C94" s="44"/>
      <c r="D94" s="45"/>
      <c r="F94" s="46"/>
      <c r="G94" s="44"/>
      <c r="H94" s="44"/>
      <c r="J94" s="47"/>
    </row>
    <row r="95" customFormat="false" ht="15" hidden="false" customHeight="false" outlineLevel="0" collapsed="false">
      <c r="C95" s="44"/>
      <c r="D95" s="45"/>
      <c r="F95" s="46"/>
      <c r="G95" s="44"/>
      <c r="H95" s="44"/>
      <c r="J95" s="47"/>
    </row>
    <row r="96" customFormat="false" ht="15" hidden="false" customHeight="false" outlineLevel="0" collapsed="false">
      <c r="C96" s="44"/>
      <c r="D96" s="45"/>
      <c r="F96" s="46"/>
      <c r="G96" s="44"/>
      <c r="H96" s="44"/>
      <c r="J96" s="47"/>
    </row>
    <row r="97" customFormat="false" ht="15" hidden="false" customHeight="false" outlineLevel="0" collapsed="false">
      <c r="C97" s="44"/>
      <c r="D97" s="45"/>
      <c r="F97" s="46"/>
      <c r="G97" s="44"/>
      <c r="H97" s="44"/>
      <c r="J97" s="47"/>
    </row>
    <row r="98" customFormat="false" ht="15" hidden="false" customHeight="false" outlineLevel="0" collapsed="false">
      <c r="C98" s="44"/>
      <c r="D98" s="45"/>
      <c r="F98" s="46"/>
      <c r="G98" s="44"/>
      <c r="H98" s="44"/>
      <c r="J98" s="47"/>
    </row>
    <row r="99" customFormat="false" ht="15" hidden="false" customHeight="false" outlineLevel="0" collapsed="false">
      <c r="C99" s="44"/>
      <c r="D99" s="45"/>
      <c r="F99" s="46"/>
      <c r="G99" s="44"/>
      <c r="H99" s="44"/>
      <c r="J99" s="47"/>
    </row>
    <row r="100" customFormat="false" ht="15" hidden="false" customHeight="false" outlineLevel="0" collapsed="false">
      <c r="C100" s="44"/>
      <c r="D100" s="45"/>
      <c r="F100" s="46"/>
      <c r="G100" s="44"/>
      <c r="H100" s="44"/>
      <c r="J100" s="47"/>
    </row>
    <row r="101" customFormat="false" ht="15" hidden="false" customHeight="false" outlineLevel="0" collapsed="false">
      <c r="C101" s="44"/>
      <c r="D101" s="45"/>
      <c r="F101" s="46"/>
      <c r="G101" s="44"/>
      <c r="H101" s="44"/>
      <c r="J101" s="47"/>
    </row>
    <row r="102" customFormat="false" ht="15" hidden="false" customHeight="false" outlineLevel="0" collapsed="false">
      <c r="C102" s="44"/>
      <c r="D102" s="45"/>
      <c r="F102" s="46"/>
      <c r="G102" s="44"/>
      <c r="H102" s="44"/>
      <c r="J102" s="47"/>
    </row>
    <row r="103" customFormat="false" ht="15" hidden="false" customHeight="false" outlineLevel="0" collapsed="false">
      <c r="C103" s="44"/>
      <c r="D103" s="45"/>
      <c r="F103" s="46"/>
      <c r="G103" s="44"/>
      <c r="H103" s="44"/>
      <c r="J103" s="47"/>
    </row>
    <row r="104" customFormat="false" ht="15" hidden="false" customHeight="false" outlineLevel="0" collapsed="false">
      <c r="C104" s="44"/>
      <c r="D104" s="45"/>
      <c r="F104" s="46"/>
      <c r="G104" s="44"/>
      <c r="H104" s="44"/>
      <c r="J104" s="47"/>
    </row>
    <row r="105" customFormat="false" ht="15" hidden="false" customHeight="false" outlineLevel="0" collapsed="false">
      <c r="C105" s="44"/>
      <c r="D105" s="45"/>
      <c r="F105" s="46"/>
      <c r="G105" s="44"/>
      <c r="H105" s="44"/>
      <c r="J105" s="47"/>
    </row>
    <row r="106" customFormat="false" ht="15" hidden="false" customHeight="false" outlineLevel="0" collapsed="false">
      <c r="C106" s="44"/>
      <c r="D106" s="45"/>
      <c r="F106" s="46"/>
      <c r="G106" s="44"/>
      <c r="H106" s="44"/>
      <c r="J106" s="47"/>
    </row>
    <row r="107" customFormat="false" ht="15" hidden="false" customHeight="false" outlineLevel="0" collapsed="false">
      <c r="C107" s="44"/>
      <c r="D107" s="45"/>
      <c r="F107" s="46"/>
      <c r="G107" s="44"/>
      <c r="H107" s="44"/>
      <c r="J107" s="47"/>
    </row>
    <row r="108" customFormat="false" ht="15" hidden="false" customHeight="false" outlineLevel="0" collapsed="false">
      <c r="C108" s="44"/>
      <c r="D108" s="45"/>
      <c r="F108" s="46"/>
      <c r="G108" s="44"/>
      <c r="H108" s="44"/>
      <c r="J108" s="47"/>
    </row>
    <row r="109" customFormat="false" ht="15" hidden="false" customHeight="false" outlineLevel="0" collapsed="false">
      <c r="C109" s="44"/>
      <c r="D109" s="45"/>
      <c r="F109" s="46"/>
      <c r="G109" s="44"/>
      <c r="H109" s="44"/>
      <c r="J109" s="47"/>
    </row>
    <row r="110" customFormat="false" ht="15" hidden="false" customHeight="false" outlineLevel="0" collapsed="false">
      <c r="C110" s="44"/>
      <c r="D110" s="45"/>
      <c r="F110" s="46"/>
      <c r="G110" s="44"/>
      <c r="H110" s="44"/>
      <c r="J110" s="47"/>
    </row>
    <row r="111" customFormat="false" ht="15" hidden="false" customHeight="false" outlineLevel="0" collapsed="false">
      <c r="C111" s="44"/>
      <c r="D111" s="45"/>
      <c r="F111" s="46"/>
      <c r="G111" s="44"/>
      <c r="H111" s="44"/>
      <c r="J111" s="47"/>
    </row>
    <row r="112" customFormat="false" ht="15" hidden="false" customHeight="false" outlineLevel="0" collapsed="false">
      <c r="C112" s="44"/>
      <c r="D112" s="45"/>
      <c r="F112" s="46"/>
      <c r="G112" s="44"/>
      <c r="H112" s="44"/>
      <c r="J112" s="47"/>
    </row>
    <row r="113" customFormat="false" ht="15" hidden="false" customHeight="false" outlineLevel="0" collapsed="false">
      <c r="C113" s="44"/>
      <c r="D113" s="45"/>
      <c r="F113" s="46"/>
      <c r="G113" s="44"/>
      <c r="H113" s="44"/>
      <c r="J113" s="47"/>
    </row>
    <row r="114" customFormat="false" ht="15" hidden="false" customHeight="false" outlineLevel="0" collapsed="false">
      <c r="C114" s="44"/>
      <c r="D114" s="45"/>
      <c r="F114" s="46"/>
      <c r="G114" s="44"/>
      <c r="H114" s="44"/>
      <c r="J114" s="47"/>
    </row>
    <row r="115" customFormat="false" ht="15" hidden="false" customHeight="false" outlineLevel="0" collapsed="false">
      <c r="C115" s="44"/>
      <c r="D115" s="45"/>
      <c r="F115" s="46"/>
      <c r="G115" s="44"/>
      <c r="H115" s="44"/>
      <c r="J115" s="47"/>
    </row>
    <row r="116" customFormat="false" ht="15" hidden="false" customHeight="false" outlineLevel="0" collapsed="false">
      <c r="C116" s="44"/>
      <c r="D116" s="45"/>
      <c r="F116" s="46"/>
      <c r="G116" s="44"/>
      <c r="H116" s="44"/>
      <c r="J116" s="47"/>
    </row>
    <row r="117" customFormat="false" ht="15" hidden="false" customHeight="false" outlineLevel="0" collapsed="false">
      <c r="C117" s="44"/>
      <c r="D117" s="45"/>
      <c r="F117" s="46"/>
      <c r="G117" s="44"/>
      <c r="H117" s="44"/>
      <c r="J117" s="47"/>
    </row>
    <row r="118" customFormat="false" ht="15" hidden="false" customHeight="false" outlineLevel="0" collapsed="false">
      <c r="C118" s="44"/>
      <c r="D118" s="45"/>
      <c r="F118" s="46"/>
      <c r="G118" s="44"/>
      <c r="H118" s="44"/>
      <c r="J118" s="47"/>
    </row>
    <row r="119" customFormat="false" ht="15" hidden="false" customHeight="false" outlineLevel="0" collapsed="false">
      <c r="C119" s="44"/>
      <c r="D119" s="45"/>
      <c r="F119" s="46"/>
      <c r="G119" s="44"/>
      <c r="H119" s="44"/>
      <c r="J119" s="47"/>
    </row>
    <row r="120" customFormat="false" ht="15" hidden="false" customHeight="false" outlineLevel="0" collapsed="false">
      <c r="C120" s="44"/>
      <c r="D120" s="45"/>
      <c r="F120" s="46"/>
      <c r="G120" s="44"/>
      <c r="H120" s="44"/>
      <c r="J120" s="47"/>
    </row>
    <row r="121" customFormat="false" ht="15" hidden="false" customHeight="false" outlineLevel="0" collapsed="false">
      <c r="C121" s="44"/>
      <c r="D121" s="45"/>
      <c r="F121" s="46"/>
      <c r="G121" s="44"/>
      <c r="H121" s="44"/>
      <c r="J121" s="47"/>
    </row>
    <row r="122" customFormat="false" ht="15" hidden="false" customHeight="false" outlineLevel="0" collapsed="false">
      <c r="C122" s="44"/>
      <c r="D122" s="45"/>
      <c r="F122" s="46"/>
      <c r="G122" s="44"/>
      <c r="H122" s="44"/>
      <c r="J122" s="47"/>
    </row>
    <row r="123" customFormat="false" ht="15" hidden="false" customHeight="false" outlineLevel="0" collapsed="false">
      <c r="C123" s="44"/>
      <c r="D123" s="45"/>
      <c r="F123" s="46"/>
      <c r="G123" s="44"/>
      <c r="H123" s="44"/>
      <c r="J123" s="47"/>
    </row>
    <row r="124" customFormat="false" ht="15" hidden="false" customHeight="false" outlineLevel="0" collapsed="false">
      <c r="C124" s="44"/>
      <c r="D124" s="45"/>
      <c r="F124" s="46"/>
      <c r="G124" s="44"/>
      <c r="H124" s="44"/>
      <c r="J124" s="47"/>
    </row>
    <row r="125" customFormat="false" ht="15" hidden="false" customHeight="false" outlineLevel="0" collapsed="false">
      <c r="C125" s="44"/>
      <c r="D125" s="45"/>
      <c r="F125" s="46"/>
      <c r="G125" s="44"/>
      <c r="H125" s="44"/>
      <c r="J125" s="47"/>
    </row>
    <row r="126" customFormat="false" ht="15" hidden="false" customHeight="false" outlineLevel="0" collapsed="false">
      <c r="C126" s="44"/>
      <c r="D126" s="45"/>
      <c r="F126" s="46"/>
      <c r="G126" s="44"/>
      <c r="H126" s="44"/>
      <c r="J126" s="47"/>
    </row>
    <row r="127" customFormat="false" ht="15" hidden="false" customHeight="false" outlineLevel="0" collapsed="false">
      <c r="C127" s="44"/>
      <c r="D127" s="45"/>
      <c r="F127" s="46"/>
      <c r="G127" s="44"/>
      <c r="H127" s="44"/>
      <c r="J127" s="47"/>
    </row>
    <row r="128" customFormat="false" ht="15" hidden="false" customHeight="false" outlineLevel="0" collapsed="false">
      <c r="C128" s="44"/>
      <c r="D128" s="45"/>
      <c r="F128" s="46"/>
      <c r="G128" s="44"/>
      <c r="H128" s="44"/>
      <c r="J128" s="47"/>
    </row>
    <row r="129" customFormat="false" ht="15" hidden="false" customHeight="false" outlineLevel="0" collapsed="false">
      <c r="C129" s="44"/>
      <c r="D129" s="45"/>
      <c r="F129" s="46"/>
      <c r="G129" s="44"/>
      <c r="H129" s="44"/>
      <c r="J129" s="47"/>
    </row>
    <row r="130" customFormat="false" ht="15" hidden="false" customHeight="false" outlineLevel="0" collapsed="false">
      <c r="C130" s="44"/>
      <c r="D130" s="45"/>
      <c r="F130" s="46"/>
      <c r="G130" s="44"/>
      <c r="H130" s="44"/>
      <c r="J130" s="47"/>
    </row>
    <row r="131" customFormat="false" ht="15" hidden="false" customHeight="false" outlineLevel="0" collapsed="false">
      <c r="C131" s="44"/>
      <c r="D131" s="45"/>
      <c r="F131" s="46"/>
      <c r="G131" s="44"/>
      <c r="H131" s="44"/>
      <c r="J131" s="47"/>
    </row>
    <row r="132" customFormat="false" ht="15" hidden="false" customHeight="false" outlineLevel="0" collapsed="false">
      <c r="C132" s="44"/>
      <c r="D132" s="45"/>
      <c r="F132" s="46"/>
      <c r="G132" s="44"/>
      <c r="H132" s="44"/>
      <c r="J132" s="47"/>
    </row>
    <row r="133" customFormat="false" ht="15" hidden="false" customHeight="false" outlineLevel="0" collapsed="false">
      <c r="C133" s="44"/>
      <c r="D133" s="45"/>
      <c r="F133" s="46"/>
      <c r="G133" s="44"/>
      <c r="H133" s="44"/>
      <c r="J133" s="47"/>
    </row>
    <row r="134" customFormat="false" ht="15" hidden="false" customHeight="false" outlineLevel="0" collapsed="false">
      <c r="C134" s="44"/>
      <c r="D134" s="45"/>
      <c r="F134" s="46"/>
      <c r="G134" s="44"/>
      <c r="H134" s="44"/>
      <c r="J134" s="47"/>
    </row>
    <row r="135" customFormat="false" ht="15" hidden="false" customHeight="false" outlineLevel="0" collapsed="false">
      <c r="C135" s="44"/>
      <c r="D135" s="45"/>
      <c r="F135" s="46"/>
      <c r="G135" s="44"/>
      <c r="H135" s="44"/>
      <c r="J135" s="47"/>
    </row>
    <row r="136" customFormat="false" ht="15" hidden="false" customHeight="false" outlineLevel="0" collapsed="false">
      <c r="C136" s="44"/>
      <c r="D136" s="45"/>
      <c r="F136" s="46"/>
      <c r="G136" s="44"/>
      <c r="H136" s="44"/>
      <c r="J136" s="47"/>
    </row>
    <row r="137" customFormat="false" ht="15" hidden="false" customHeight="false" outlineLevel="0" collapsed="false">
      <c r="C137" s="44"/>
      <c r="D137" s="45"/>
      <c r="F137" s="46"/>
      <c r="G137" s="44"/>
      <c r="H137" s="44"/>
      <c r="J137" s="47"/>
    </row>
    <row r="138" customFormat="false" ht="15" hidden="false" customHeight="false" outlineLevel="0" collapsed="false">
      <c r="C138" s="44"/>
      <c r="D138" s="45"/>
      <c r="F138" s="46"/>
      <c r="G138" s="44"/>
      <c r="H138" s="44"/>
      <c r="J138" s="47"/>
    </row>
    <row r="139" customFormat="false" ht="15" hidden="false" customHeight="false" outlineLevel="0" collapsed="false">
      <c r="C139" s="44"/>
      <c r="D139" s="45"/>
      <c r="F139" s="46"/>
      <c r="G139" s="44"/>
      <c r="H139" s="44"/>
      <c r="J139" s="47"/>
    </row>
    <row r="140" customFormat="false" ht="15" hidden="false" customHeight="false" outlineLevel="0" collapsed="false">
      <c r="C140" s="44"/>
      <c r="D140" s="45"/>
      <c r="F140" s="46"/>
      <c r="G140" s="44"/>
      <c r="H140" s="44"/>
      <c r="J140" s="47"/>
    </row>
    <row r="141" customFormat="false" ht="15" hidden="false" customHeight="false" outlineLevel="0" collapsed="false">
      <c r="C141" s="44"/>
      <c r="D141" s="45"/>
      <c r="F141" s="46"/>
      <c r="G141" s="44"/>
      <c r="H141" s="44"/>
      <c r="J141" s="47"/>
    </row>
    <row r="142" customFormat="false" ht="15" hidden="false" customHeight="false" outlineLevel="0" collapsed="false">
      <c r="C142" s="44"/>
      <c r="D142" s="45"/>
      <c r="F142" s="46"/>
      <c r="G142" s="44"/>
      <c r="H142" s="44"/>
      <c r="J142" s="47"/>
    </row>
    <row r="143" customFormat="false" ht="15" hidden="false" customHeight="false" outlineLevel="0" collapsed="false">
      <c r="C143" s="44"/>
      <c r="D143" s="45"/>
      <c r="F143" s="46"/>
      <c r="G143" s="44"/>
      <c r="H143" s="44"/>
      <c r="J143" s="47"/>
    </row>
    <row r="144" customFormat="false" ht="15" hidden="false" customHeight="false" outlineLevel="0" collapsed="false">
      <c r="C144" s="44"/>
      <c r="D144" s="45"/>
      <c r="F144" s="46"/>
      <c r="G144" s="44"/>
      <c r="H144" s="44"/>
      <c r="J144" s="47"/>
    </row>
    <row r="145" customFormat="false" ht="15" hidden="false" customHeight="false" outlineLevel="0" collapsed="false">
      <c r="C145" s="44"/>
      <c r="D145" s="45"/>
      <c r="F145" s="46"/>
      <c r="G145" s="44"/>
      <c r="H145" s="44"/>
      <c r="J145" s="47"/>
    </row>
    <row r="146" customFormat="false" ht="15" hidden="false" customHeight="false" outlineLevel="0" collapsed="false">
      <c r="C146" s="44"/>
      <c r="D146" s="45"/>
      <c r="F146" s="46"/>
      <c r="G146" s="44"/>
      <c r="H146" s="44"/>
      <c r="J146" s="47"/>
    </row>
    <row r="147" customFormat="false" ht="15" hidden="false" customHeight="false" outlineLevel="0" collapsed="false">
      <c r="C147" s="44"/>
      <c r="D147" s="45"/>
      <c r="F147" s="46"/>
      <c r="G147" s="44"/>
      <c r="H147" s="44"/>
      <c r="J147" s="47"/>
    </row>
    <row r="148" customFormat="false" ht="15" hidden="false" customHeight="false" outlineLevel="0" collapsed="false">
      <c r="C148" s="44"/>
      <c r="D148" s="45"/>
      <c r="F148" s="46"/>
      <c r="G148" s="44"/>
      <c r="H148" s="44"/>
      <c r="J148" s="47"/>
    </row>
    <row r="149" customFormat="false" ht="15" hidden="false" customHeight="false" outlineLevel="0" collapsed="false">
      <c r="C149" s="44"/>
      <c r="D149" s="45"/>
      <c r="F149" s="46"/>
      <c r="G149" s="44"/>
      <c r="H149" s="44"/>
      <c r="J149" s="47"/>
    </row>
    <row r="150" customFormat="false" ht="15" hidden="false" customHeight="false" outlineLevel="0" collapsed="false">
      <c r="C150" s="44"/>
      <c r="D150" s="45"/>
      <c r="F150" s="46"/>
      <c r="G150" s="44"/>
      <c r="H150" s="44"/>
      <c r="J150" s="47"/>
    </row>
    <row r="151" customFormat="false" ht="15" hidden="false" customHeight="false" outlineLevel="0" collapsed="false">
      <c r="C151" s="44"/>
      <c r="D151" s="45"/>
      <c r="F151" s="46"/>
      <c r="G151" s="44"/>
      <c r="H151" s="44"/>
      <c r="J151" s="47"/>
    </row>
    <row r="152" customFormat="false" ht="15" hidden="false" customHeight="false" outlineLevel="0" collapsed="false">
      <c r="C152" s="44"/>
      <c r="D152" s="45"/>
      <c r="F152" s="46"/>
      <c r="G152" s="44"/>
      <c r="H152" s="44"/>
      <c r="J152" s="47"/>
    </row>
    <row r="153" customFormat="false" ht="15" hidden="false" customHeight="false" outlineLevel="0" collapsed="false">
      <c r="C153" s="44"/>
      <c r="D153" s="45"/>
      <c r="F153" s="46"/>
      <c r="G153" s="44"/>
      <c r="H153" s="44"/>
      <c r="J153" s="47"/>
    </row>
    <row r="154" customFormat="false" ht="15" hidden="false" customHeight="false" outlineLevel="0" collapsed="false">
      <c r="C154" s="44"/>
      <c r="D154" s="45"/>
      <c r="F154" s="46"/>
      <c r="G154" s="44"/>
      <c r="H154" s="44"/>
      <c r="J154" s="47"/>
    </row>
    <row r="155" customFormat="false" ht="15" hidden="false" customHeight="false" outlineLevel="0" collapsed="false">
      <c r="C155" s="44"/>
      <c r="D155" s="45"/>
      <c r="F155" s="46"/>
      <c r="G155" s="44"/>
      <c r="H155" s="44"/>
      <c r="J155" s="47"/>
    </row>
    <row r="156" customFormat="false" ht="15" hidden="false" customHeight="false" outlineLevel="0" collapsed="false">
      <c r="C156" s="44"/>
      <c r="D156" s="45"/>
      <c r="F156" s="46"/>
      <c r="G156" s="44"/>
      <c r="H156" s="44"/>
      <c r="J156" s="47"/>
    </row>
    <row r="157" customFormat="false" ht="15" hidden="false" customHeight="false" outlineLevel="0" collapsed="false">
      <c r="C157" s="44"/>
      <c r="D157" s="45"/>
      <c r="F157" s="46"/>
      <c r="G157" s="44"/>
      <c r="H157" s="44"/>
      <c r="J157" s="47"/>
    </row>
    <row r="158" customFormat="false" ht="15" hidden="false" customHeight="false" outlineLevel="0" collapsed="false">
      <c r="C158" s="44"/>
      <c r="D158" s="45"/>
      <c r="F158" s="46"/>
      <c r="G158" s="44"/>
      <c r="H158" s="44"/>
      <c r="J158" s="47"/>
    </row>
    <row r="159" customFormat="false" ht="15" hidden="false" customHeight="false" outlineLevel="0" collapsed="false">
      <c r="C159" s="44"/>
      <c r="D159" s="45"/>
      <c r="F159" s="46"/>
      <c r="G159" s="44"/>
      <c r="H159" s="44"/>
      <c r="J159" s="47"/>
    </row>
    <row r="160" customFormat="false" ht="15" hidden="false" customHeight="false" outlineLevel="0" collapsed="false">
      <c r="C160" s="44"/>
      <c r="D160" s="45"/>
      <c r="F160" s="46"/>
      <c r="G160" s="44"/>
      <c r="H160" s="44"/>
      <c r="J160" s="47"/>
    </row>
    <row r="161" customFormat="false" ht="15" hidden="false" customHeight="false" outlineLevel="0" collapsed="false">
      <c r="C161" s="44"/>
      <c r="D161" s="45"/>
      <c r="F161" s="46"/>
      <c r="G161" s="44"/>
      <c r="H161" s="44"/>
      <c r="J161" s="47"/>
    </row>
    <row r="162" customFormat="false" ht="15" hidden="false" customHeight="false" outlineLevel="0" collapsed="false">
      <c r="C162" s="44"/>
      <c r="D162" s="45"/>
      <c r="F162" s="46"/>
      <c r="G162" s="44"/>
      <c r="H162" s="44"/>
      <c r="J162" s="47"/>
    </row>
    <row r="163" customFormat="false" ht="15" hidden="false" customHeight="false" outlineLevel="0" collapsed="false">
      <c r="C163" s="44"/>
      <c r="D163" s="45"/>
      <c r="F163" s="46"/>
      <c r="G163" s="44"/>
      <c r="H163" s="44"/>
      <c r="J163" s="47"/>
    </row>
    <row r="164" customFormat="false" ht="15" hidden="false" customHeight="false" outlineLevel="0" collapsed="false">
      <c r="C164" s="44"/>
      <c r="D164" s="45"/>
      <c r="F164" s="46"/>
      <c r="G164" s="44"/>
      <c r="H164" s="44"/>
      <c r="J164" s="47"/>
    </row>
    <row r="165" customFormat="false" ht="15" hidden="false" customHeight="false" outlineLevel="0" collapsed="false">
      <c r="C165" s="44"/>
      <c r="D165" s="45"/>
      <c r="F165" s="46"/>
      <c r="G165" s="44"/>
      <c r="H165" s="44"/>
      <c r="J165" s="47"/>
    </row>
    <row r="166" customFormat="false" ht="15" hidden="false" customHeight="false" outlineLevel="0" collapsed="false">
      <c r="C166" s="44"/>
      <c r="D166" s="45"/>
      <c r="F166" s="46"/>
      <c r="G166" s="44"/>
      <c r="H166" s="44"/>
      <c r="J166" s="47"/>
    </row>
    <row r="167" customFormat="false" ht="15" hidden="false" customHeight="false" outlineLevel="0" collapsed="false">
      <c r="C167" s="44"/>
      <c r="D167" s="45"/>
      <c r="F167" s="46"/>
      <c r="G167" s="44"/>
      <c r="H167" s="44"/>
      <c r="J167" s="47"/>
    </row>
    <row r="168" customFormat="false" ht="15" hidden="false" customHeight="false" outlineLevel="0" collapsed="false">
      <c r="C168" s="44"/>
      <c r="D168" s="45"/>
      <c r="F168" s="46"/>
      <c r="G168" s="44"/>
      <c r="H168" s="44"/>
      <c r="J168" s="47"/>
    </row>
    <row r="169" customFormat="false" ht="15" hidden="false" customHeight="false" outlineLevel="0" collapsed="false">
      <c r="C169" s="44"/>
      <c r="D169" s="45"/>
      <c r="F169" s="46"/>
      <c r="G169" s="44"/>
      <c r="H169" s="44"/>
      <c r="J169" s="47"/>
    </row>
    <row r="170" customFormat="false" ht="15" hidden="false" customHeight="false" outlineLevel="0" collapsed="false">
      <c r="C170" s="44"/>
      <c r="D170" s="45"/>
      <c r="F170" s="46"/>
      <c r="G170" s="44"/>
      <c r="H170" s="44"/>
      <c r="J170" s="47"/>
    </row>
    <row r="171" customFormat="false" ht="15" hidden="false" customHeight="false" outlineLevel="0" collapsed="false">
      <c r="C171" s="44"/>
      <c r="D171" s="45"/>
      <c r="F171" s="46"/>
      <c r="G171" s="44"/>
      <c r="H171" s="44"/>
      <c r="J171" s="47"/>
    </row>
    <row r="172" customFormat="false" ht="15" hidden="false" customHeight="false" outlineLevel="0" collapsed="false">
      <c r="C172" s="44"/>
      <c r="D172" s="45"/>
      <c r="F172" s="46"/>
      <c r="G172" s="44"/>
      <c r="H172" s="44"/>
      <c r="J172" s="47"/>
    </row>
    <row r="173" customFormat="false" ht="15" hidden="false" customHeight="false" outlineLevel="0" collapsed="false">
      <c r="C173" s="44"/>
      <c r="D173" s="45"/>
      <c r="F173" s="46"/>
      <c r="G173" s="44"/>
      <c r="H173" s="44"/>
      <c r="J173" s="47"/>
    </row>
    <row r="174" customFormat="false" ht="15" hidden="false" customHeight="false" outlineLevel="0" collapsed="false">
      <c r="C174" s="44"/>
      <c r="D174" s="45"/>
      <c r="F174" s="46"/>
      <c r="G174" s="44"/>
      <c r="H174" s="44"/>
      <c r="J174" s="47"/>
    </row>
    <row r="175" customFormat="false" ht="15" hidden="false" customHeight="false" outlineLevel="0" collapsed="false">
      <c r="C175" s="44"/>
      <c r="D175" s="45"/>
      <c r="F175" s="46"/>
      <c r="G175" s="44"/>
      <c r="H175" s="44"/>
      <c r="J175" s="47"/>
    </row>
    <row r="176" customFormat="false" ht="15" hidden="false" customHeight="false" outlineLevel="0" collapsed="false">
      <c r="C176" s="44"/>
      <c r="D176" s="45"/>
      <c r="F176" s="46"/>
      <c r="G176" s="44"/>
      <c r="H176" s="44"/>
      <c r="J176" s="47"/>
    </row>
    <row r="177" customFormat="false" ht="15" hidden="false" customHeight="false" outlineLevel="0" collapsed="false">
      <c r="C177" s="44"/>
      <c r="D177" s="45"/>
      <c r="F177" s="46"/>
      <c r="G177" s="44"/>
      <c r="H177" s="44"/>
      <c r="J177" s="47"/>
    </row>
    <row r="178" customFormat="false" ht="15" hidden="false" customHeight="false" outlineLevel="0" collapsed="false">
      <c r="C178" s="44"/>
      <c r="D178" s="45"/>
      <c r="F178" s="46"/>
      <c r="G178" s="44"/>
      <c r="H178" s="44"/>
      <c r="J178" s="47"/>
    </row>
    <row r="179" customFormat="false" ht="15" hidden="false" customHeight="false" outlineLevel="0" collapsed="false">
      <c r="C179" s="44"/>
      <c r="D179" s="45"/>
      <c r="F179" s="46"/>
      <c r="G179" s="44"/>
      <c r="H179" s="44"/>
      <c r="J179" s="47"/>
    </row>
    <row r="180" customFormat="false" ht="15" hidden="false" customHeight="false" outlineLevel="0" collapsed="false">
      <c r="C180" s="44"/>
      <c r="D180" s="45"/>
      <c r="F180" s="46"/>
      <c r="G180" s="44"/>
      <c r="H180" s="44"/>
      <c r="J180" s="47"/>
    </row>
    <row r="181" customFormat="false" ht="15" hidden="false" customHeight="false" outlineLevel="0" collapsed="false">
      <c r="C181" s="44"/>
      <c r="D181" s="45"/>
      <c r="F181" s="46"/>
      <c r="G181" s="44"/>
      <c r="H181" s="44"/>
      <c r="J181" s="47"/>
    </row>
    <row r="182" customFormat="false" ht="15" hidden="false" customHeight="false" outlineLevel="0" collapsed="false">
      <c r="C182" s="44"/>
      <c r="D182" s="45"/>
      <c r="F182" s="46"/>
      <c r="G182" s="44"/>
      <c r="H182" s="44"/>
      <c r="J182" s="47"/>
    </row>
    <row r="183" customFormat="false" ht="15" hidden="false" customHeight="false" outlineLevel="0" collapsed="false">
      <c r="C183" s="44"/>
      <c r="D183" s="45"/>
      <c r="F183" s="46"/>
      <c r="G183" s="44"/>
      <c r="H183" s="44"/>
      <c r="J183" s="47"/>
    </row>
    <row r="184" customFormat="false" ht="15" hidden="false" customHeight="false" outlineLevel="0" collapsed="false">
      <c r="C184" s="44"/>
      <c r="D184" s="45"/>
      <c r="F184" s="46"/>
      <c r="G184" s="44"/>
      <c r="H184" s="44"/>
      <c r="J184" s="47"/>
    </row>
    <row r="185" customFormat="false" ht="15" hidden="false" customHeight="false" outlineLevel="0" collapsed="false">
      <c r="C185" s="44"/>
      <c r="D185" s="45"/>
      <c r="F185" s="46"/>
      <c r="G185" s="44"/>
      <c r="H185" s="44"/>
      <c r="J185" s="47"/>
    </row>
    <row r="186" customFormat="false" ht="15" hidden="false" customHeight="false" outlineLevel="0" collapsed="false">
      <c r="C186" s="44"/>
      <c r="D186" s="45"/>
      <c r="F186" s="46"/>
      <c r="G186" s="44"/>
      <c r="H186" s="44"/>
      <c r="J186" s="47"/>
    </row>
    <row r="187" customFormat="false" ht="15" hidden="false" customHeight="false" outlineLevel="0" collapsed="false">
      <c r="C187" s="44"/>
      <c r="D187" s="45"/>
      <c r="F187" s="46"/>
      <c r="G187" s="44"/>
      <c r="H187" s="44"/>
      <c r="J187" s="47"/>
    </row>
    <row r="188" customFormat="false" ht="15" hidden="false" customHeight="false" outlineLevel="0" collapsed="false">
      <c r="C188" s="44"/>
      <c r="D188" s="45"/>
      <c r="F188" s="46"/>
      <c r="G188" s="44"/>
      <c r="H188" s="44"/>
      <c r="J188" s="47"/>
    </row>
    <row r="189" customFormat="false" ht="15" hidden="false" customHeight="false" outlineLevel="0" collapsed="false">
      <c r="C189" s="44"/>
      <c r="D189" s="45"/>
      <c r="F189" s="46"/>
      <c r="G189" s="44"/>
      <c r="H189" s="44"/>
      <c r="J189" s="47"/>
    </row>
    <row r="190" customFormat="false" ht="15" hidden="false" customHeight="false" outlineLevel="0" collapsed="false">
      <c r="C190" s="44"/>
      <c r="D190" s="45"/>
      <c r="F190" s="46"/>
      <c r="G190" s="44"/>
      <c r="H190" s="44"/>
      <c r="J190" s="47"/>
    </row>
    <row r="191" customFormat="false" ht="15" hidden="false" customHeight="false" outlineLevel="0" collapsed="false">
      <c r="C191" s="44"/>
      <c r="D191" s="45"/>
      <c r="F191" s="46"/>
      <c r="G191" s="44"/>
      <c r="H191" s="44"/>
      <c r="J191" s="47"/>
    </row>
    <row r="192" customFormat="false" ht="15" hidden="false" customHeight="false" outlineLevel="0" collapsed="false">
      <c r="C192" s="44"/>
      <c r="D192" s="45"/>
      <c r="F192" s="46"/>
      <c r="G192" s="44"/>
      <c r="H192" s="44"/>
      <c r="J192" s="47"/>
    </row>
    <row r="193" customFormat="false" ht="15" hidden="false" customHeight="false" outlineLevel="0" collapsed="false">
      <c r="C193" s="44"/>
      <c r="D193" s="45"/>
      <c r="F193" s="46"/>
      <c r="G193" s="44"/>
      <c r="H193" s="44"/>
      <c r="J193" s="47"/>
    </row>
    <row r="194" customFormat="false" ht="15" hidden="false" customHeight="false" outlineLevel="0" collapsed="false">
      <c r="C194" s="44"/>
      <c r="D194" s="45"/>
      <c r="F194" s="46"/>
      <c r="G194" s="44"/>
      <c r="H194" s="44"/>
      <c r="J194" s="47"/>
    </row>
    <row r="195" customFormat="false" ht="15" hidden="false" customHeight="false" outlineLevel="0" collapsed="false">
      <c r="C195" s="44"/>
      <c r="D195" s="45"/>
      <c r="F195" s="46"/>
      <c r="G195" s="44"/>
      <c r="H195" s="44"/>
      <c r="J195" s="47"/>
    </row>
    <row r="196" customFormat="false" ht="15" hidden="false" customHeight="false" outlineLevel="0" collapsed="false">
      <c r="C196" s="44"/>
      <c r="D196" s="45"/>
      <c r="F196" s="46"/>
      <c r="G196" s="44"/>
      <c r="H196" s="44"/>
      <c r="J196" s="47"/>
    </row>
    <row r="197" customFormat="false" ht="15" hidden="false" customHeight="false" outlineLevel="0" collapsed="false">
      <c r="C197" s="44"/>
      <c r="D197" s="45"/>
      <c r="F197" s="46"/>
      <c r="G197" s="44"/>
      <c r="H197" s="44"/>
      <c r="J197" s="47"/>
    </row>
    <row r="198" customFormat="false" ht="15" hidden="false" customHeight="false" outlineLevel="0" collapsed="false">
      <c r="C198" s="44"/>
      <c r="D198" s="45"/>
      <c r="F198" s="46"/>
      <c r="G198" s="44"/>
      <c r="H198" s="44"/>
      <c r="J198" s="47"/>
    </row>
    <row r="199" customFormat="false" ht="15" hidden="false" customHeight="false" outlineLevel="0" collapsed="false">
      <c r="C199" s="44"/>
      <c r="D199" s="45"/>
      <c r="F199" s="46"/>
      <c r="G199" s="44"/>
      <c r="H199" s="44"/>
      <c r="J199" s="47"/>
    </row>
    <row r="200" customFormat="false" ht="15" hidden="false" customHeight="false" outlineLevel="0" collapsed="false">
      <c r="C200" s="44"/>
      <c r="D200" s="45"/>
      <c r="F200" s="46"/>
      <c r="G200" s="44"/>
      <c r="H200" s="44"/>
      <c r="J200" s="47"/>
    </row>
    <row r="201" customFormat="false" ht="15" hidden="false" customHeight="false" outlineLevel="0" collapsed="false">
      <c r="C201" s="44"/>
      <c r="D201" s="45"/>
      <c r="F201" s="46"/>
      <c r="G201" s="44"/>
      <c r="H201" s="44"/>
      <c r="J201" s="47"/>
    </row>
    <row r="202" customFormat="false" ht="15" hidden="false" customHeight="false" outlineLevel="0" collapsed="false">
      <c r="C202" s="44"/>
      <c r="D202" s="45"/>
      <c r="F202" s="46"/>
      <c r="G202" s="44"/>
      <c r="H202" s="44"/>
      <c r="J202" s="47"/>
    </row>
    <row r="203" customFormat="false" ht="15" hidden="false" customHeight="false" outlineLevel="0" collapsed="false">
      <c r="C203" s="44"/>
      <c r="D203" s="45"/>
      <c r="F203" s="46"/>
      <c r="G203" s="44"/>
      <c r="H203" s="44"/>
      <c r="J203" s="47"/>
    </row>
    <row r="204" customFormat="false" ht="15" hidden="false" customHeight="false" outlineLevel="0" collapsed="false">
      <c r="C204" s="44"/>
      <c r="D204" s="45"/>
      <c r="F204" s="46"/>
      <c r="G204" s="44"/>
      <c r="H204" s="44"/>
      <c r="J204" s="47"/>
    </row>
    <row r="205" customFormat="false" ht="15" hidden="false" customHeight="false" outlineLevel="0" collapsed="false">
      <c r="C205" s="44"/>
      <c r="D205" s="45"/>
      <c r="F205" s="46"/>
      <c r="G205" s="44"/>
      <c r="H205" s="44"/>
      <c r="J205" s="47"/>
    </row>
    <row r="206" customFormat="false" ht="15" hidden="false" customHeight="false" outlineLevel="0" collapsed="false">
      <c r="C206" s="44"/>
      <c r="D206" s="45"/>
      <c r="F206" s="46"/>
      <c r="G206" s="44"/>
      <c r="H206" s="44"/>
      <c r="J206" s="47"/>
    </row>
    <row r="207" customFormat="false" ht="15" hidden="false" customHeight="false" outlineLevel="0" collapsed="false">
      <c r="C207" s="44"/>
      <c r="D207" s="45"/>
      <c r="F207" s="46"/>
      <c r="G207" s="44"/>
      <c r="H207" s="44"/>
      <c r="J207" s="47"/>
    </row>
    <row r="208" customFormat="false" ht="15" hidden="false" customHeight="false" outlineLevel="0" collapsed="false">
      <c r="C208" s="44"/>
      <c r="D208" s="45"/>
      <c r="F208" s="46"/>
      <c r="G208" s="44"/>
      <c r="H208" s="44"/>
      <c r="J208" s="47"/>
    </row>
    <row r="209" customFormat="false" ht="15" hidden="false" customHeight="false" outlineLevel="0" collapsed="false">
      <c r="C209" s="44"/>
      <c r="D209" s="45"/>
      <c r="F209" s="46"/>
      <c r="G209" s="44"/>
      <c r="H209" s="44"/>
      <c r="J209" s="47"/>
    </row>
    <row r="210" customFormat="false" ht="15" hidden="false" customHeight="false" outlineLevel="0" collapsed="false">
      <c r="C210" s="44"/>
      <c r="D210" s="45"/>
      <c r="F210" s="46"/>
      <c r="G210" s="44"/>
      <c r="H210" s="44"/>
      <c r="J210" s="47"/>
    </row>
    <row r="211" customFormat="false" ht="15" hidden="false" customHeight="false" outlineLevel="0" collapsed="false">
      <c r="C211" s="44"/>
      <c r="D211" s="45"/>
      <c r="F211" s="46"/>
      <c r="G211" s="44"/>
      <c r="H211" s="44"/>
      <c r="J211" s="47"/>
    </row>
    <row r="212" customFormat="false" ht="15" hidden="false" customHeight="false" outlineLevel="0" collapsed="false">
      <c r="C212" s="44"/>
      <c r="D212" s="45"/>
      <c r="F212" s="46"/>
      <c r="G212" s="44"/>
      <c r="H212" s="44"/>
      <c r="J212" s="47"/>
    </row>
    <row r="213" customFormat="false" ht="15" hidden="false" customHeight="false" outlineLevel="0" collapsed="false">
      <c r="C213" s="44"/>
      <c r="D213" s="45"/>
      <c r="F213" s="46"/>
      <c r="G213" s="44"/>
      <c r="H213" s="44"/>
      <c r="J213" s="47"/>
    </row>
    <row r="214" customFormat="false" ht="15" hidden="false" customHeight="false" outlineLevel="0" collapsed="false">
      <c r="C214" s="44"/>
      <c r="D214" s="45"/>
      <c r="F214" s="46"/>
      <c r="G214" s="44"/>
      <c r="H214" s="44"/>
      <c r="J214" s="47"/>
    </row>
    <row r="215" customFormat="false" ht="15" hidden="false" customHeight="false" outlineLevel="0" collapsed="false">
      <c r="C215" s="44"/>
      <c r="D215" s="45"/>
      <c r="F215" s="46"/>
      <c r="G215" s="44"/>
      <c r="H215" s="44"/>
      <c r="J215" s="47"/>
    </row>
    <row r="216" customFormat="false" ht="15" hidden="false" customHeight="false" outlineLevel="0" collapsed="false">
      <c r="C216" s="44"/>
      <c r="D216" s="45"/>
      <c r="F216" s="46"/>
      <c r="G216" s="44"/>
      <c r="H216" s="44"/>
      <c r="J216" s="47"/>
    </row>
    <row r="217" customFormat="false" ht="15" hidden="false" customHeight="false" outlineLevel="0" collapsed="false">
      <c r="C217" s="44"/>
      <c r="D217" s="45"/>
      <c r="F217" s="46"/>
      <c r="G217" s="44"/>
      <c r="H217" s="44"/>
      <c r="J217" s="47"/>
    </row>
    <row r="218" customFormat="false" ht="15" hidden="false" customHeight="false" outlineLevel="0" collapsed="false">
      <c r="C218" s="44"/>
      <c r="D218" s="45"/>
      <c r="F218" s="46"/>
      <c r="G218" s="44"/>
      <c r="H218" s="44"/>
      <c r="J218" s="47"/>
    </row>
    <row r="219" customFormat="false" ht="15" hidden="false" customHeight="false" outlineLevel="0" collapsed="false">
      <c r="C219" s="44"/>
      <c r="D219" s="45"/>
      <c r="F219" s="46"/>
      <c r="G219" s="44"/>
      <c r="H219" s="44"/>
      <c r="J219" s="47"/>
    </row>
    <row r="220" customFormat="false" ht="15" hidden="false" customHeight="false" outlineLevel="0" collapsed="false">
      <c r="C220" s="44"/>
      <c r="D220" s="45"/>
      <c r="F220" s="46"/>
      <c r="G220" s="44"/>
      <c r="H220" s="44"/>
      <c r="J220" s="47"/>
    </row>
    <row r="221" customFormat="false" ht="15" hidden="false" customHeight="false" outlineLevel="0" collapsed="false">
      <c r="C221" s="44"/>
      <c r="D221" s="45"/>
      <c r="F221" s="46"/>
      <c r="G221" s="44"/>
      <c r="H221" s="44"/>
      <c r="J221" s="47"/>
    </row>
    <row r="222" customFormat="false" ht="15" hidden="false" customHeight="false" outlineLevel="0" collapsed="false">
      <c r="C222" s="44"/>
      <c r="D222" s="45"/>
      <c r="F222" s="46"/>
      <c r="G222" s="44"/>
      <c r="H222" s="44"/>
      <c r="J222" s="47"/>
    </row>
    <row r="223" customFormat="false" ht="15" hidden="false" customHeight="false" outlineLevel="0" collapsed="false">
      <c r="C223" s="44"/>
      <c r="D223" s="45"/>
      <c r="F223" s="46"/>
      <c r="G223" s="44"/>
      <c r="H223" s="44"/>
      <c r="J223" s="47"/>
    </row>
    <row r="224" customFormat="false" ht="15" hidden="false" customHeight="false" outlineLevel="0" collapsed="false">
      <c r="C224" s="44"/>
      <c r="D224" s="45"/>
      <c r="F224" s="46"/>
      <c r="G224" s="44"/>
      <c r="H224" s="44"/>
      <c r="J224" s="47"/>
    </row>
    <row r="225" customFormat="false" ht="15" hidden="false" customHeight="false" outlineLevel="0" collapsed="false">
      <c r="C225" s="44"/>
      <c r="D225" s="45"/>
      <c r="F225" s="46"/>
      <c r="G225" s="44"/>
      <c r="H225" s="44"/>
      <c r="J225" s="47"/>
    </row>
    <row r="226" customFormat="false" ht="15" hidden="false" customHeight="false" outlineLevel="0" collapsed="false">
      <c r="C226" s="44"/>
      <c r="D226" s="45"/>
      <c r="F226" s="46"/>
      <c r="G226" s="44"/>
      <c r="H226" s="44"/>
      <c r="J226" s="47"/>
    </row>
    <row r="227" customFormat="false" ht="15" hidden="false" customHeight="false" outlineLevel="0" collapsed="false">
      <c r="C227" s="44"/>
      <c r="D227" s="45"/>
      <c r="F227" s="46"/>
      <c r="G227" s="44"/>
      <c r="H227" s="44"/>
      <c r="J227" s="47"/>
    </row>
    <row r="228" customFormat="false" ht="15" hidden="false" customHeight="false" outlineLevel="0" collapsed="false">
      <c r="C228" s="44"/>
      <c r="D228" s="45"/>
      <c r="F228" s="46"/>
      <c r="G228" s="44"/>
      <c r="H228" s="44"/>
      <c r="J228" s="47"/>
    </row>
    <row r="229" customFormat="false" ht="15" hidden="false" customHeight="false" outlineLevel="0" collapsed="false">
      <c r="C229" s="44"/>
      <c r="D229" s="45"/>
      <c r="F229" s="46"/>
      <c r="G229" s="44"/>
      <c r="H229" s="44"/>
      <c r="J229" s="47"/>
    </row>
    <row r="230" customFormat="false" ht="15" hidden="false" customHeight="false" outlineLevel="0" collapsed="false">
      <c r="C230" s="44"/>
      <c r="D230" s="45"/>
      <c r="F230" s="46"/>
      <c r="G230" s="44"/>
      <c r="H230" s="44"/>
      <c r="J230" s="47"/>
    </row>
    <row r="231" customFormat="false" ht="15" hidden="false" customHeight="false" outlineLevel="0" collapsed="false">
      <c r="C231" s="44"/>
      <c r="D231" s="45"/>
      <c r="F231" s="46"/>
      <c r="G231" s="44"/>
      <c r="H231" s="44"/>
      <c r="J231" s="47"/>
    </row>
    <row r="232" customFormat="false" ht="15" hidden="false" customHeight="false" outlineLevel="0" collapsed="false">
      <c r="C232" s="44"/>
      <c r="D232" s="45"/>
      <c r="F232" s="46"/>
      <c r="G232" s="44"/>
      <c r="H232" s="44"/>
      <c r="J232" s="47"/>
    </row>
    <row r="233" customFormat="false" ht="15" hidden="false" customHeight="false" outlineLevel="0" collapsed="false">
      <c r="C233" s="44"/>
      <c r="D233" s="45"/>
      <c r="F233" s="46"/>
      <c r="G233" s="44"/>
      <c r="H233" s="44"/>
      <c r="J233" s="47"/>
    </row>
    <row r="234" customFormat="false" ht="15" hidden="false" customHeight="false" outlineLevel="0" collapsed="false">
      <c r="C234" s="44"/>
      <c r="D234" s="45"/>
      <c r="F234" s="46"/>
      <c r="G234" s="44"/>
      <c r="H234" s="44"/>
      <c r="J234" s="47"/>
    </row>
    <row r="235" customFormat="false" ht="15" hidden="false" customHeight="false" outlineLevel="0" collapsed="false">
      <c r="C235" s="44"/>
      <c r="D235" s="45"/>
      <c r="F235" s="46"/>
      <c r="G235" s="44"/>
      <c r="H235" s="44"/>
      <c r="J235" s="47"/>
    </row>
    <row r="236" customFormat="false" ht="15" hidden="false" customHeight="false" outlineLevel="0" collapsed="false">
      <c r="C236" s="44"/>
      <c r="D236" s="45"/>
      <c r="F236" s="46"/>
      <c r="G236" s="44"/>
      <c r="H236" s="44"/>
      <c r="J236" s="47"/>
    </row>
    <row r="237" customFormat="false" ht="15" hidden="false" customHeight="false" outlineLevel="0" collapsed="false">
      <c r="C237" s="44"/>
      <c r="D237" s="45"/>
      <c r="F237" s="46"/>
      <c r="G237" s="44"/>
      <c r="H237" s="44"/>
      <c r="J237" s="47"/>
    </row>
    <row r="238" customFormat="false" ht="15" hidden="false" customHeight="false" outlineLevel="0" collapsed="false">
      <c r="C238" s="44"/>
      <c r="D238" s="45"/>
      <c r="F238" s="46"/>
      <c r="G238" s="44"/>
      <c r="H238" s="44"/>
      <c r="J238" s="47"/>
    </row>
    <row r="239" customFormat="false" ht="15" hidden="false" customHeight="false" outlineLevel="0" collapsed="false">
      <c r="C239" s="44"/>
      <c r="D239" s="45"/>
      <c r="F239" s="46"/>
      <c r="G239" s="44"/>
      <c r="H239" s="44"/>
      <c r="J239" s="47"/>
    </row>
    <row r="240" customFormat="false" ht="15" hidden="false" customHeight="false" outlineLevel="0" collapsed="false">
      <c r="C240" s="44"/>
      <c r="D240" s="45"/>
      <c r="F240" s="46"/>
      <c r="G240" s="44"/>
      <c r="H240" s="44"/>
      <c r="J240" s="47"/>
    </row>
    <row r="241" customFormat="false" ht="15" hidden="false" customHeight="false" outlineLevel="0" collapsed="false">
      <c r="C241" s="44"/>
      <c r="D241" s="45"/>
      <c r="F241" s="46"/>
      <c r="G241" s="44"/>
      <c r="H241" s="44"/>
      <c r="J241" s="47"/>
    </row>
    <row r="242" customFormat="false" ht="15" hidden="false" customHeight="false" outlineLevel="0" collapsed="false">
      <c r="C242" s="44"/>
      <c r="D242" s="45"/>
      <c r="F242" s="46"/>
      <c r="G242" s="44"/>
      <c r="H242" s="44"/>
      <c r="J242" s="47"/>
    </row>
    <row r="243" customFormat="false" ht="15" hidden="false" customHeight="false" outlineLevel="0" collapsed="false">
      <c r="C243" s="44"/>
      <c r="D243" s="45"/>
      <c r="F243" s="46"/>
      <c r="G243" s="44"/>
      <c r="H243" s="44"/>
      <c r="J243" s="47"/>
    </row>
    <row r="244" customFormat="false" ht="15" hidden="false" customHeight="false" outlineLevel="0" collapsed="false">
      <c r="C244" s="44"/>
      <c r="D244" s="45"/>
      <c r="F244" s="46"/>
      <c r="G244" s="44"/>
      <c r="H244" s="44"/>
      <c r="J244" s="47"/>
    </row>
    <row r="245" customFormat="false" ht="15" hidden="false" customHeight="false" outlineLevel="0" collapsed="false">
      <c r="C245" s="44"/>
      <c r="D245" s="45"/>
      <c r="F245" s="46"/>
      <c r="G245" s="44"/>
      <c r="H245" s="44"/>
      <c r="J245" s="47"/>
    </row>
    <row r="246" customFormat="false" ht="15" hidden="false" customHeight="false" outlineLevel="0" collapsed="false">
      <c r="C246" s="44"/>
      <c r="D246" s="45"/>
      <c r="F246" s="46"/>
      <c r="G246" s="44"/>
      <c r="H246" s="44"/>
      <c r="J246" s="47"/>
    </row>
    <row r="247" customFormat="false" ht="15" hidden="false" customHeight="false" outlineLevel="0" collapsed="false">
      <c r="C247" s="44"/>
      <c r="D247" s="45"/>
      <c r="F247" s="46"/>
      <c r="G247" s="44"/>
      <c r="H247" s="44"/>
      <c r="J247" s="47"/>
    </row>
    <row r="248" customFormat="false" ht="15" hidden="false" customHeight="false" outlineLevel="0" collapsed="false">
      <c r="C248" s="44"/>
      <c r="D248" s="45"/>
      <c r="F248" s="46"/>
      <c r="G248" s="44"/>
      <c r="H248" s="44"/>
      <c r="J248" s="47"/>
    </row>
    <row r="249" customFormat="false" ht="15" hidden="false" customHeight="false" outlineLevel="0" collapsed="false">
      <c r="C249" s="44"/>
      <c r="D249" s="45"/>
      <c r="F249" s="46"/>
      <c r="G249" s="44"/>
      <c r="H249" s="44"/>
      <c r="J249" s="47"/>
    </row>
    <row r="250" customFormat="false" ht="15" hidden="false" customHeight="false" outlineLevel="0" collapsed="false">
      <c r="C250" s="44"/>
      <c r="D250" s="45"/>
      <c r="F250" s="46"/>
      <c r="G250" s="44"/>
      <c r="H250" s="44"/>
      <c r="J250" s="47"/>
    </row>
    <row r="251" customFormat="false" ht="15" hidden="false" customHeight="false" outlineLevel="0" collapsed="false">
      <c r="C251" s="44"/>
      <c r="D251" s="45"/>
      <c r="F251" s="46"/>
      <c r="G251" s="44"/>
      <c r="H251" s="44"/>
      <c r="J251" s="47"/>
    </row>
    <row r="252" customFormat="false" ht="15" hidden="false" customHeight="false" outlineLevel="0" collapsed="false">
      <c r="C252" s="44"/>
      <c r="D252" s="45"/>
      <c r="F252" s="46"/>
      <c r="G252" s="44"/>
      <c r="H252" s="44"/>
      <c r="J252" s="47"/>
    </row>
    <row r="253" customFormat="false" ht="15" hidden="false" customHeight="false" outlineLevel="0" collapsed="false">
      <c r="C253" s="44"/>
      <c r="D253" s="45"/>
      <c r="F253" s="46"/>
      <c r="G253" s="44"/>
      <c r="H253" s="44"/>
      <c r="J253" s="47"/>
    </row>
    <row r="254" customFormat="false" ht="15" hidden="false" customHeight="false" outlineLevel="0" collapsed="false">
      <c r="C254" s="44"/>
      <c r="D254" s="45"/>
      <c r="F254" s="46"/>
      <c r="G254" s="44"/>
      <c r="H254" s="44"/>
      <c r="J254" s="47"/>
    </row>
    <row r="255" customFormat="false" ht="15" hidden="false" customHeight="false" outlineLevel="0" collapsed="false">
      <c r="C255" s="44"/>
      <c r="D255" s="45"/>
      <c r="F255" s="46"/>
      <c r="G255" s="44"/>
      <c r="H255" s="44"/>
      <c r="J255" s="47"/>
    </row>
    <row r="256" customFormat="false" ht="15" hidden="false" customHeight="false" outlineLevel="0" collapsed="false">
      <c r="C256" s="44"/>
      <c r="D256" s="45"/>
      <c r="F256" s="46"/>
      <c r="G256" s="44"/>
      <c r="H256" s="44"/>
      <c r="J256" s="47"/>
    </row>
    <row r="257" customFormat="false" ht="15" hidden="false" customHeight="false" outlineLevel="0" collapsed="false">
      <c r="C257" s="44"/>
      <c r="D257" s="45"/>
      <c r="F257" s="46"/>
      <c r="G257" s="44"/>
      <c r="H257" s="44"/>
      <c r="J257" s="47"/>
    </row>
    <row r="258" customFormat="false" ht="15" hidden="false" customHeight="false" outlineLevel="0" collapsed="false">
      <c r="C258" s="44"/>
      <c r="D258" s="45"/>
      <c r="F258" s="46"/>
      <c r="G258" s="44"/>
      <c r="H258" s="44"/>
      <c r="J258" s="47"/>
    </row>
    <row r="259" customFormat="false" ht="15" hidden="false" customHeight="false" outlineLevel="0" collapsed="false">
      <c r="C259" s="44"/>
      <c r="D259" s="45"/>
      <c r="F259" s="46"/>
      <c r="G259" s="44"/>
      <c r="H259" s="44"/>
      <c r="J259" s="47"/>
    </row>
    <row r="260" customFormat="false" ht="15" hidden="false" customHeight="false" outlineLevel="0" collapsed="false">
      <c r="C260" s="44"/>
      <c r="D260" s="45"/>
      <c r="F260" s="46"/>
      <c r="G260" s="44"/>
      <c r="H260" s="44"/>
      <c r="J260" s="47"/>
    </row>
    <row r="261" customFormat="false" ht="15" hidden="false" customHeight="false" outlineLevel="0" collapsed="false">
      <c r="C261" s="44"/>
      <c r="D261" s="45"/>
      <c r="F261" s="46"/>
      <c r="G261" s="44"/>
      <c r="H261" s="44"/>
      <c r="J261" s="47"/>
    </row>
    <row r="262" customFormat="false" ht="15" hidden="false" customHeight="false" outlineLevel="0" collapsed="false">
      <c r="C262" s="44"/>
      <c r="D262" s="45"/>
      <c r="F262" s="46"/>
      <c r="G262" s="44"/>
      <c r="H262" s="44"/>
      <c r="J262" s="47"/>
    </row>
    <row r="263" customFormat="false" ht="15" hidden="false" customHeight="false" outlineLevel="0" collapsed="false">
      <c r="C263" s="44"/>
      <c r="D263" s="45"/>
      <c r="F263" s="46"/>
      <c r="G263" s="44"/>
      <c r="H263" s="44"/>
      <c r="J263" s="47"/>
    </row>
    <row r="264" customFormat="false" ht="15" hidden="false" customHeight="false" outlineLevel="0" collapsed="false">
      <c r="C264" s="44"/>
      <c r="D264" s="45"/>
      <c r="F264" s="46"/>
      <c r="G264" s="44"/>
      <c r="H264" s="44"/>
      <c r="J264" s="47"/>
    </row>
    <row r="265" customFormat="false" ht="15" hidden="false" customHeight="false" outlineLevel="0" collapsed="false">
      <c r="C265" s="44"/>
      <c r="D265" s="45"/>
      <c r="F265" s="46"/>
      <c r="G265" s="44"/>
      <c r="H265" s="44"/>
      <c r="J265" s="47"/>
    </row>
    <row r="266" customFormat="false" ht="15" hidden="false" customHeight="false" outlineLevel="0" collapsed="false">
      <c r="C266" s="44"/>
      <c r="D266" s="45"/>
      <c r="F266" s="46"/>
      <c r="G266" s="44"/>
      <c r="H266" s="44"/>
      <c r="J266" s="47"/>
    </row>
    <row r="267" customFormat="false" ht="15" hidden="false" customHeight="false" outlineLevel="0" collapsed="false">
      <c r="C267" s="44"/>
      <c r="D267" s="45"/>
      <c r="F267" s="46"/>
      <c r="G267" s="44"/>
      <c r="H267" s="44"/>
      <c r="J267" s="47"/>
    </row>
    <row r="268" customFormat="false" ht="15" hidden="false" customHeight="false" outlineLevel="0" collapsed="false">
      <c r="C268" s="44"/>
      <c r="D268" s="45"/>
      <c r="F268" s="46"/>
      <c r="G268" s="44"/>
      <c r="H268" s="44"/>
      <c r="J268" s="47"/>
    </row>
    <row r="269" customFormat="false" ht="15" hidden="false" customHeight="false" outlineLevel="0" collapsed="false">
      <c r="C269" s="44"/>
      <c r="D269" s="45"/>
      <c r="F269" s="46"/>
      <c r="G269" s="44"/>
      <c r="H269" s="44"/>
      <c r="J269" s="47"/>
    </row>
    <row r="270" customFormat="false" ht="15" hidden="false" customHeight="false" outlineLevel="0" collapsed="false">
      <c r="C270" s="44"/>
      <c r="D270" s="45"/>
      <c r="F270" s="46"/>
      <c r="G270" s="44"/>
      <c r="H270" s="44"/>
      <c r="J270" s="47"/>
    </row>
    <row r="271" customFormat="false" ht="15" hidden="false" customHeight="false" outlineLevel="0" collapsed="false">
      <c r="C271" s="44"/>
      <c r="D271" s="45"/>
      <c r="F271" s="46"/>
      <c r="G271" s="44"/>
      <c r="H271" s="44"/>
      <c r="J271" s="47"/>
    </row>
    <row r="272" customFormat="false" ht="15" hidden="false" customHeight="false" outlineLevel="0" collapsed="false">
      <c r="C272" s="44"/>
      <c r="D272" s="45"/>
      <c r="F272" s="46"/>
      <c r="G272" s="44"/>
      <c r="H272" s="44"/>
      <c r="J272" s="47"/>
    </row>
    <row r="273" customFormat="false" ht="15" hidden="false" customHeight="false" outlineLevel="0" collapsed="false">
      <c r="C273" s="44"/>
      <c r="D273" s="45"/>
      <c r="F273" s="46"/>
      <c r="G273" s="44"/>
      <c r="H273" s="44"/>
      <c r="J273" s="47"/>
    </row>
    <row r="274" customFormat="false" ht="15" hidden="false" customHeight="false" outlineLevel="0" collapsed="false">
      <c r="C274" s="44"/>
      <c r="D274" s="45"/>
      <c r="F274" s="46"/>
      <c r="G274" s="44"/>
      <c r="H274" s="44"/>
      <c r="J274" s="47"/>
    </row>
    <row r="275" customFormat="false" ht="15" hidden="false" customHeight="false" outlineLevel="0" collapsed="false">
      <c r="C275" s="44"/>
      <c r="D275" s="45"/>
      <c r="F275" s="46"/>
      <c r="G275" s="44"/>
      <c r="H275" s="44"/>
      <c r="J275" s="47"/>
    </row>
    <row r="276" customFormat="false" ht="15" hidden="false" customHeight="false" outlineLevel="0" collapsed="false">
      <c r="C276" s="44"/>
      <c r="D276" s="45"/>
      <c r="F276" s="46"/>
      <c r="G276" s="44"/>
      <c r="H276" s="44"/>
      <c r="J276" s="47"/>
    </row>
    <row r="277" customFormat="false" ht="15" hidden="false" customHeight="false" outlineLevel="0" collapsed="false">
      <c r="C277" s="44"/>
      <c r="D277" s="45"/>
      <c r="F277" s="46"/>
      <c r="G277" s="44"/>
      <c r="H277" s="44"/>
      <c r="J277" s="47"/>
    </row>
    <row r="278" customFormat="false" ht="15" hidden="false" customHeight="false" outlineLevel="0" collapsed="false">
      <c r="C278" s="44"/>
      <c r="D278" s="45"/>
      <c r="F278" s="46"/>
      <c r="G278" s="44"/>
      <c r="H278" s="44"/>
      <c r="J278" s="47"/>
    </row>
    <row r="279" customFormat="false" ht="15" hidden="false" customHeight="false" outlineLevel="0" collapsed="false">
      <c r="C279" s="44"/>
      <c r="D279" s="45"/>
      <c r="F279" s="46"/>
      <c r="G279" s="44"/>
      <c r="H279" s="44"/>
      <c r="J279" s="47"/>
    </row>
    <row r="280" customFormat="false" ht="15" hidden="false" customHeight="false" outlineLevel="0" collapsed="false">
      <c r="C280" s="44"/>
      <c r="D280" s="45"/>
      <c r="F280" s="46"/>
      <c r="G280" s="44"/>
      <c r="H280" s="44"/>
      <c r="J280" s="47"/>
    </row>
    <row r="281" customFormat="false" ht="15" hidden="false" customHeight="false" outlineLevel="0" collapsed="false">
      <c r="C281" s="44"/>
      <c r="D281" s="45"/>
      <c r="F281" s="46"/>
      <c r="G281" s="44"/>
      <c r="H281" s="44"/>
      <c r="J281" s="47"/>
    </row>
    <row r="282" customFormat="false" ht="15" hidden="false" customHeight="false" outlineLevel="0" collapsed="false">
      <c r="C282" s="44"/>
      <c r="D282" s="45"/>
      <c r="F282" s="46"/>
      <c r="G282" s="44"/>
      <c r="H282" s="44"/>
      <c r="J282" s="47"/>
    </row>
    <row r="283" customFormat="false" ht="15" hidden="false" customHeight="false" outlineLevel="0" collapsed="false">
      <c r="C283" s="44"/>
      <c r="D283" s="45"/>
      <c r="F283" s="46"/>
      <c r="G283" s="44"/>
      <c r="H283" s="44"/>
      <c r="J283" s="47"/>
    </row>
    <row r="284" customFormat="false" ht="15" hidden="false" customHeight="false" outlineLevel="0" collapsed="false">
      <c r="C284" s="44"/>
      <c r="D284" s="45"/>
      <c r="F284" s="46"/>
      <c r="G284" s="44"/>
      <c r="H284" s="44"/>
      <c r="J284" s="47"/>
    </row>
    <row r="285" customFormat="false" ht="15" hidden="false" customHeight="false" outlineLevel="0" collapsed="false">
      <c r="C285" s="44"/>
      <c r="D285" s="45"/>
      <c r="F285" s="46"/>
      <c r="G285" s="44"/>
      <c r="H285" s="44"/>
      <c r="J285" s="47"/>
    </row>
    <row r="286" customFormat="false" ht="15" hidden="false" customHeight="false" outlineLevel="0" collapsed="false">
      <c r="C286" s="44"/>
      <c r="D286" s="45"/>
      <c r="F286" s="46"/>
      <c r="G286" s="44"/>
      <c r="H286" s="44"/>
      <c r="J286" s="47"/>
    </row>
    <row r="287" customFormat="false" ht="15" hidden="false" customHeight="false" outlineLevel="0" collapsed="false">
      <c r="C287" s="44"/>
      <c r="D287" s="45"/>
      <c r="F287" s="46"/>
      <c r="G287" s="44"/>
      <c r="H287" s="44"/>
      <c r="J287" s="47"/>
    </row>
    <row r="288" customFormat="false" ht="15" hidden="false" customHeight="false" outlineLevel="0" collapsed="false">
      <c r="C288" s="44"/>
      <c r="D288" s="45"/>
      <c r="F288" s="46"/>
      <c r="G288" s="44"/>
      <c r="H288" s="44"/>
      <c r="J288" s="47"/>
    </row>
    <row r="289" customFormat="false" ht="15" hidden="false" customHeight="false" outlineLevel="0" collapsed="false">
      <c r="C289" s="44"/>
      <c r="D289" s="45"/>
      <c r="F289" s="46"/>
      <c r="G289" s="44"/>
      <c r="H289" s="44"/>
      <c r="J289" s="47"/>
    </row>
    <row r="290" customFormat="false" ht="15" hidden="false" customHeight="false" outlineLevel="0" collapsed="false">
      <c r="C290" s="44"/>
      <c r="D290" s="45"/>
      <c r="F290" s="46"/>
      <c r="G290" s="44"/>
      <c r="H290" s="44"/>
      <c r="J290" s="47"/>
    </row>
    <row r="291" customFormat="false" ht="15" hidden="false" customHeight="false" outlineLevel="0" collapsed="false">
      <c r="C291" s="44"/>
      <c r="D291" s="45"/>
      <c r="F291" s="46"/>
      <c r="G291" s="44"/>
      <c r="H291" s="44"/>
      <c r="J291" s="47"/>
    </row>
    <row r="292" customFormat="false" ht="15" hidden="false" customHeight="false" outlineLevel="0" collapsed="false">
      <c r="C292" s="44"/>
      <c r="D292" s="45"/>
      <c r="F292" s="46"/>
      <c r="G292" s="44"/>
      <c r="H292" s="44"/>
      <c r="J292" s="47"/>
    </row>
    <row r="293" customFormat="false" ht="15" hidden="false" customHeight="false" outlineLevel="0" collapsed="false">
      <c r="C293" s="44"/>
      <c r="D293" s="45"/>
      <c r="F293" s="46"/>
      <c r="G293" s="44"/>
      <c r="H293" s="44"/>
      <c r="J293" s="47"/>
    </row>
    <row r="294" customFormat="false" ht="15" hidden="false" customHeight="false" outlineLevel="0" collapsed="false">
      <c r="C294" s="44"/>
      <c r="D294" s="45"/>
      <c r="F294" s="46"/>
      <c r="G294" s="44"/>
      <c r="H294" s="44"/>
      <c r="J294" s="47"/>
    </row>
    <row r="295" customFormat="false" ht="15" hidden="false" customHeight="false" outlineLevel="0" collapsed="false">
      <c r="C295" s="44"/>
      <c r="D295" s="45"/>
      <c r="F295" s="46"/>
      <c r="G295" s="44"/>
      <c r="H295" s="44"/>
      <c r="J295" s="47"/>
    </row>
    <row r="296" customFormat="false" ht="15" hidden="false" customHeight="false" outlineLevel="0" collapsed="false">
      <c r="C296" s="44"/>
      <c r="D296" s="45"/>
      <c r="F296" s="46"/>
      <c r="G296" s="44"/>
      <c r="H296" s="44"/>
      <c r="J296" s="47"/>
    </row>
    <row r="297" customFormat="false" ht="15" hidden="false" customHeight="false" outlineLevel="0" collapsed="false">
      <c r="C297" s="44"/>
      <c r="D297" s="45"/>
      <c r="F297" s="46"/>
      <c r="G297" s="44"/>
      <c r="H297" s="44"/>
      <c r="J297" s="47"/>
    </row>
    <row r="298" customFormat="false" ht="15" hidden="false" customHeight="false" outlineLevel="0" collapsed="false">
      <c r="C298" s="44"/>
      <c r="D298" s="45"/>
      <c r="F298" s="46"/>
      <c r="G298" s="44"/>
      <c r="H298" s="44"/>
      <c r="J298" s="47"/>
    </row>
    <row r="299" customFormat="false" ht="15" hidden="false" customHeight="false" outlineLevel="0" collapsed="false">
      <c r="C299" s="44"/>
      <c r="D299" s="45"/>
      <c r="F299" s="46"/>
      <c r="G299" s="44"/>
      <c r="H299" s="44"/>
      <c r="J299" s="47"/>
    </row>
    <row r="300" customFormat="false" ht="15" hidden="false" customHeight="false" outlineLevel="0" collapsed="false">
      <c r="C300" s="44"/>
      <c r="D300" s="45"/>
      <c r="F300" s="46"/>
      <c r="G300" s="44"/>
      <c r="H300" s="44"/>
      <c r="J300" s="47"/>
    </row>
    <row r="301" customFormat="false" ht="15" hidden="false" customHeight="false" outlineLevel="0" collapsed="false">
      <c r="C301" s="44"/>
      <c r="D301" s="45"/>
      <c r="F301" s="46"/>
      <c r="G301" s="44"/>
      <c r="H301" s="44"/>
      <c r="J301" s="47"/>
    </row>
    <row r="302" customFormat="false" ht="15" hidden="false" customHeight="false" outlineLevel="0" collapsed="false">
      <c r="C302" s="44"/>
      <c r="D302" s="45"/>
      <c r="F302" s="46"/>
      <c r="G302" s="44"/>
      <c r="H302" s="44"/>
      <c r="J302" s="47"/>
    </row>
    <row r="303" customFormat="false" ht="15" hidden="false" customHeight="false" outlineLevel="0" collapsed="false">
      <c r="C303" s="44"/>
      <c r="D303" s="45"/>
      <c r="F303" s="46"/>
      <c r="G303" s="44"/>
      <c r="H303" s="44"/>
      <c r="J303" s="47"/>
    </row>
    <row r="304" customFormat="false" ht="15" hidden="false" customHeight="false" outlineLevel="0" collapsed="false">
      <c r="C304" s="44"/>
      <c r="D304" s="45"/>
      <c r="F304" s="46"/>
      <c r="G304" s="44"/>
      <c r="H304" s="44"/>
      <c r="J304" s="47"/>
    </row>
    <row r="305" customFormat="false" ht="15" hidden="false" customHeight="false" outlineLevel="0" collapsed="false">
      <c r="C305" s="44"/>
      <c r="D305" s="45"/>
      <c r="F305" s="46"/>
      <c r="G305" s="44"/>
      <c r="H305" s="44"/>
      <c r="J305" s="47"/>
    </row>
    <row r="306" customFormat="false" ht="15" hidden="false" customHeight="false" outlineLevel="0" collapsed="false">
      <c r="C306" s="44"/>
      <c r="D306" s="45"/>
      <c r="F306" s="46"/>
      <c r="G306" s="44"/>
      <c r="H306" s="44"/>
      <c r="J306" s="47"/>
    </row>
    <row r="307" customFormat="false" ht="15" hidden="false" customHeight="false" outlineLevel="0" collapsed="false">
      <c r="C307" s="44"/>
      <c r="D307" s="45"/>
      <c r="F307" s="46"/>
      <c r="G307" s="44"/>
      <c r="H307" s="44"/>
      <c r="J307" s="47"/>
    </row>
    <row r="308" customFormat="false" ht="15" hidden="false" customHeight="false" outlineLevel="0" collapsed="false">
      <c r="C308" s="44"/>
      <c r="D308" s="45"/>
      <c r="F308" s="46"/>
      <c r="G308" s="44"/>
      <c r="H308" s="44"/>
      <c r="J308" s="47"/>
    </row>
    <row r="309" customFormat="false" ht="15" hidden="false" customHeight="false" outlineLevel="0" collapsed="false">
      <c r="C309" s="44"/>
      <c r="D309" s="45"/>
      <c r="F309" s="46"/>
      <c r="G309" s="44"/>
      <c r="H309" s="44"/>
      <c r="J309" s="47"/>
    </row>
    <row r="310" customFormat="false" ht="15" hidden="false" customHeight="false" outlineLevel="0" collapsed="false">
      <c r="C310" s="44"/>
      <c r="D310" s="45"/>
      <c r="F310" s="46"/>
      <c r="G310" s="44"/>
      <c r="H310" s="44"/>
      <c r="J310" s="47"/>
    </row>
    <row r="311" customFormat="false" ht="15" hidden="false" customHeight="false" outlineLevel="0" collapsed="false">
      <c r="C311" s="44"/>
      <c r="D311" s="45"/>
      <c r="F311" s="46"/>
      <c r="G311" s="44"/>
      <c r="H311" s="44"/>
      <c r="J311" s="47"/>
    </row>
    <row r="312" customFormat="false" ht="15" hidden="false" customHeight="false" outlineLevel="0" collapsed="false">
      <c r="C312" s="44"/>
      <c r="D312" s="45"/>
      <c r="F312" s="46"/>
      <c r="G312" s="44"/>
      <c r="H312" s="44"/>
      <c r="J312" s="47"/>
    </row>
    <row r="313" customFormat="false" ht="15" hidden="false" customHeight="false" outlineLevel="0" collapsed="false">
      <c r="C313" s="44"/>
      <c r="D313" s="45"/>
      <c r="F313" s="46"/>
      <c r="G313" s="44"/>
      <c r="H313" s="44"/>
      <c r="J313" s="47"/>
    </row>
    <row r="314" customFormat="false" ht="15" hidden="false" customHeight="false" outlineLevel="0" collapsed="false">
      <c r="C314" s="44"/>
      <c r="D314" s="45"/>
      <c r="F314" s="46"/>
      <c r="G314" s="44"/>
      <c r="H314" s="44"/>
      <c r="J314" s="47"/>
    </row>
    <row r="315" customFormat="false" ht="15" hidden="false" customHeight="false" outlineLevel="0" collapsed="false">
      <c r="C315" s="44"/>
      <c r="D315" s="45"/>
      <c r="F315" s="46"/>
      <c r="G315" s="44"/>
      <c r="H315" s="44"/>
      <c r="J315" s="47"/>
    </row>
    <row r="316" customFormat="false" ht="15" hidden="false" customHeight="false" outlineLevel="0" collapsed="false">
      <c r="C316" s="44"/>
      <c r="D316" s="45"/>
      <c r="F316" s="46"/>
      <c r="G316" s="44"/>
      <c r="H316" s="44"/>
      <c r="J316" s="47"/>
    </row>
    <row r="317" customFormat="false" ht="15" hidden="false" customHeight="false" outlineLevel="0" collapsed="false">
      <c r="C317" s="44"/>
      <c r="D317" s="45"/>
      <c r="F317" s="46"/>
      <c r="G317" s="44"/>
      <c r="H317" s="44"/>
      <c r="J317" s="47"/>
    </row>
    <row r="318" customFormat="false" ht="15" hidden="false" customHeight="false" outlineLevel="0" collapsed="false">
      <c r="C318" s="44"/>
      <c r="D318" s="45"/>
      <c r="F318" s="46"/>
      <c r="G318" s="44"/>
      <c r="H318" s="44"/>
      <c r="J318" s="47"/>
    </row>
    <row r="319" customFormat="false" ht="15" hidden="false" customHeight="false" outlineLevel="0" collapsed="false">
      <c r="C319" s="44"/>
      <c r="D319" s="45"/>
      <c r="F319" s="46"/>
      <c r="G319" s="44"/>
      <c r="H319" s="44"/>
      <c r="J319" s="47"/>
    </row>
    <row r="320" customFormat="false" ht="15" hidden="false" customHeight="false" outlineLevel="0" collapsed="false">
      <c r="C320" s="44"/>
      <c r="D320" s="45"/>
      <c r="F320" s="46"/>
      <c r="G320" s="44"/>
      <c r="H320" s="44"/>
      <c r="J320" s="47"/>
    </row>
    <row r="321" customFormat="false" ht="15" hidden="false" customHeight="false" outlineLevel="0" collapsed="false">
      <c r="C321" s="44"/>
      <c r="D321" s="45"/>
      <c r="F321" s="46"/>
      <c r="G321" s="44"/>
      <c r="H321" s="44"/>
      <c r="J321" s="47"/>
    </row>
    <row r="322" customFormat="false" ht="15" hidden="false" customHeight="false" outlineLevel="0" collapsed="false">
      <c r="C322" s="44"/>
      <c r="D322" s="45"/>
      <c r="F322" s="46"/>
      <c r="G322" s="44"/>
      <c r="H322" s="44"/>
      <c r="J322" s="47"/>
    </row>
    <row r="323" customFormat="false" ht="15" hidden="false" customHeight="false" outlineLevel="0" collapsed="false">
      <c r="C323" s="44"/>
      <c r="D323" s="45"/>
      <c r="F323" s="46"/>
      <c r="G323" s="44"/>
      <c r="H323" s="44"/>
      <c r="J323" s="47"/>
    </row>
    <row r="324" customFormat="false" ht="15" hidden="false" customHeight="false" outlineLevel="0" collapsed="false">
      <c r="C324" s="44"/>
      <c r="D324" s="45"/>
      <c r="F324" s="46"/>
      <c r="G324" s="44"/>
      <c r="H324" s="44"/>
      <c r="J324" s="47"/>
    </row>
    <row r="325" customFormat="false" ht="15" hidden="false" customHeight="false" outlineLevel="0" collapsed="false">
      <c r="C325" s="44"/>
      <c r="D325" s="45"/>
      <c r="F325" s="46"/>
      <c r="G325" s="44"/>
      <c r="H325" s="44"/>
      <c r="J325" s="47"/>
    </row>
    <row r="326" customFormat="false" ht="15" hidden="false" customHeight="false" outlineLevel="0" collapsed="false">
      <c r="C326" s="44"/>
      <c r="D326" s="45"/>
      <c r="F326" s="46"/>
      <c r="G326" s="44"/>
      <c r="H326" s="44"/>
      <c r="J326" s="47"/>
    </row>
    <row r="327" customFormat="false" ht="15" hidden="false" customHeight="false" outlineLevel="0" collapsed="false">
      <c r="C327" s="44"/>
      <c r="D327" s="45"/>
      <c r="F327" s="46"/>
      <c r="G327" s="44"/>
      <c r="H327" s="44"/>
      <c r="J327" s="47"/>
    </row>
    <row r="328" customFormat="false" ht="15" hidden="false" customHeight="false" outlineLevel="0" collapsed="false">
      <c r="C328" s="44"/>
      <c r="D328" s="45"/>
      <c r="F328" s="46"/>
      <c r="G328" s="44"/>
      <c r="H328" s="44"/>
      <c r="J328" s="47"/>
    </row>
    <row r="329" customFormat="false" ht="15" hidden="false" customHeight="false" outlineLevel="0" collapsed="false">
      <c r="C329" s="44"/>
      <c r="D329" s="45"/>
      <c r="F329" s="46"/>
      <c r="G329" s="44"/>
      <c r="H329" s="44"/>
      <c r="J329" s="47"/>
    </row>
    <row r="330" customFormat="false" ht="15" hidden="false" customHeight="false" outlineLevel="0" collapsed="false">
      <c r="C330" s="44"/>
      <c r="D330" s="45"/>
      <c r="F330" s="46"/>
      <c r="G330" s="44"/>
      <c r="H330" s="44"/>
      <c r="J330" s="47"/>
    </row>
    <row r="331" customFormat="false" ht="15" hidden="false" customHeight="false" outlineLevel="0" collapsed="false">
      <c r="C331" s="44"/>
      <c r="D331" s="45"/>
      <c r="F331" s="46"/>
      <c r="G331" s="44"/>
      <c r="H331" s="44"/>
      <c r="J331" s="47"/>
    </row>
    <row r="332" customFormat="false" ht="15" hidden="false" customHeight="false" outlineLevel="0" collapsed="false">
      <c r="C332" s="44"/>
      <c r="D332" s="45"/>
      <c r="F332" s="46"/>
      <c r="G332" s="44"/>
      <c r="H332" s="44"/>
      <c r="J332" s="47"/>
    </row>
    <row r="333" customFormat="false" ht="15" hidden="false" customHeight="false" outlineLevel="0" collapsed="false">
      <c r="C333" s="44"/>
      <c r="D333" s="45"/>
      <c r="F333" s="46"/>
      <c r="G333" s="44"/>
      <c r="H333" s="44"/>
      <c r="J333" s="47"/>
    </row>
    <row r="334" customFormat="false" ht="15" hidden="false" customHeight="false" outlineLevel="0" collapsed="false">
      <c r="C334" s="44"/>
      <c r="D334" s="45"/>
      <c r="F334" s="46"/>
      <c r="G334" s="44"/>
      <c r="H334" s="44"/>
      <c r="J334" s="47"/>
    </row>
    <row r="335" customFormat="false" ht="15" hidden="false" customHeight="false" outlineLevel="0" collapsed="false">
      <c r="C335" s="44"/>
      <c r="D335" s="45"/>
      <c r="F335" s="46"/>
      <c r="G335" s="44"/>
      <c r="H335" s="44"/>
      <c r="J335" s="47"/>
    </row>
    <row r="336" customFormat="false" ht="15" hidden="false" customHeight="false" outlineLevel="0" collapsed="false">
      <c r="C336" s="44"/>
      <c r="D336" s="45"/>
      <c r="F336" s="46"/>
      <c r="G336" s="44"/>
      <c r="H336" s="44"/>
      <c r="J336" s="47"/>
    </row>
    <row r="337" customFormat="false" ht="15" hidden="false" customHeight="false" outlineLevel="0" collapsed="false">
      <c r="C337" s="44"/>
      <c r="D337" s="45"/>
      <c r="F337" s="46"/>
      <c r="G337" s="44"/>
      <c r="H337" s="44"/>
      <c r="J337" s="47"/>
    </row>
    <row r="338" customFormat="false" ht="15" hidden="false" customHeight="false" outlineLevel="0" collapsed="false">
      <c r="C338" s="44"/>
      <c r="D338" s="45"/>
      <c r="F338" s="46"/>
      <c r="G338" s="44"/>
      <c r="H338" s="44"/>
      <c r="J338" s="47"/>
    </row>
    <row r="339" customFormat="false" ht="15" hidden="false" customHeight="false" outlineLevel="0" collapsed="false">
      <c r="C339" s="44"/>
      <c r="D339" s="45"/>
      <c r="F339" s="46"/>
      <c r="G339" s="44"/>
      <c r="H339" s="44"/>
      <c r="J339" s="47"/>
    </row>
    <row r="340" customFormat="false" ht="15" hidden="false" customHeight="false" outlineLevel="0" collapsed="false">
      <c r="C340" s="44"/>
      <c r="D340" s="45"/>
      <c r="F340" s="46"/>
      <c r="G340" s="44"/>
      <c r="H340" s="44"/>
      <c r="J340" s="47"/>
    </row>
    <row r="341" customFormat="false" ht="15" hidden="false" customHeight="false" outlineLevel="0" collapsed="false">
      <c r="C341" s="44"/>
      <c r="D341" s="45"/>
      <c r="F341" s="46"/>
      <c r="G341" s="44"/>
      <c r="H341" s="44"/>
      <c r="J341" s="47"/>
    </row>
    <row r="342" customFormat="false" ht="15" hidden="false" customHeight="false" outlineLevel="0" collapsed="false">
      <c r="C342" s="44"/>
      <c r="D342" s="45"/>
      <c r="F342" s="46"/>
      <c r="G342" s="44"/>
      <c r="H342" s="44"/>
      <c r="J342" s="47"/>
    </row>
    <row r="343" customFormat="false" ht="15" hidden="false" customHeight="false" outlineLevel="0" collapsed="false">
      <c r="C343" s="44"/>
      <c r="D343" s="45"/>
      <c r="F343" s="46"/>
      <c r="G343" s="44"/>
      <c r="H343" s="44"/>
      <c r="J343" s="47"/>
    </row>
    <row r="344" customFormat="false" ht="15" hidden="false" customHeight="false" outlineLevel="0" collapsed="false">
      <c r="C344" s="44"/>
      <c r="D344" s="45"/>
      <c r="F344" s="46"/>
      <c r="G344" s="44"/>
      <c r="H344" s="44"/>
      <c r="J344" s="47"/>
    </row>
    <row r="345" customFormat="false" ht="15" hidden="false" customHeight="false" outlineLevel="0" collapsed="false">
      <c r="C345" s="44"/>
      <c r="D345" s="45"/>
      <c r="F345" s="46"/>
      <c r="G345" s="44"/>
      <c r="H345" s="44"/>
      <c r="J345" s="47"/>
    </row>
    <row r="346" customFormat="false" ht="15" hidden="false" customHeight="false" outlineLevel="0" collapsed="false">
      <c r="C346" s="44"/>
      <c r="D346" s="45"/>
      <c r="F346" s="46"/>
      <c r="G346" s="44"/>
      <c r="H346" s="44"/>
      <c r="J346" s="47"/>
    </row>
    <row r="347" customFormat="false" ht="15" hidden="false" customHeight="false" outlineLevel="0" collapsed="false">
      <c r="C347" s="44"/>
      <c r="D347" s="45"/>
      <c r="F347" s="46"/>
      <c r="G347" s="44"/>
      <c r="H347" s="44"/>
      <c r="J347" s="47"/>
    </row>
    <row r="348" customFormat="false" ht="15" hidden="false" customHeight="false" outlineLevel="0" collapsed="false">
      <c r="C348" s="44"/>
      <c r="D348" s="45"/>
      <c r="F348" s="46"/>
      <c r="G348" s="44"/>
      <c r="H348" s="44"/>
      <c r="J348" s="47"/>
    </row>
    <row r="349" customFormat="false" ht="15" hidden="false" customHeight="false" outlineLevel="0" collapsed="false">
      <c r="C349" s="44"/>
      <c r="D349" s="45"/>
      <c r="F349" s="46"/>
      <c r="G349" s="44"/>
      <c r="H349" s="44"/>
      <c r="J349" s="47"/>
    </row>
    <row r="350" customFormat="false" ht="15" hidden="false" customHeight="false" outlineLevel="0" collapsed="false">
      <c r="C350" s="44"/>
      <c r="D350" s="45"/>
      <c r="F350" s="46"/>
      <c r="G350" s="44"/>
      <c r="H350" s="44"/>
      <c r="J350" s="47"/>
    </row>
    <row r="351" customFormat="false" ht="15" hidden="false" customHeight="false" outlineLevel="0" collapsed="false">
      <c r="C351" s="44"/>
      <c r="D351" s="45"/>
      <c r="F351" s="46"/>
      <c r="G351" s="44"/>
      <c r="H351" s="44"/>
      <c r="J351" s="47"/>
    </row>
    <row r="352" customFormat="false" ht="15" hidden="false" customHeight="false" outlineLevel="0" collapsed="false">
      <c r="C352" s="44"/>
      <c r="D352" s="45"/>
      <c r="F352" s="46"/>
      <c r="G352" s="44"/>
      <c r="H352" s="44"/>
      <c r="J352" s="47"/>
    </row>
    <row r="353" customFormat="false" ht="15" hidden="false" customHeight="false" outlineLevel="0" collapsed="false">
      <c r="C353" s="44"/>
      <c r="D353" s="45"/>
      <c r="F353" s="46"/>
      <c r="G353" s="44"/>
      <c r="H353" s="44"/>
      <c r="J353" s="47"/>
    </row>
    <row r="354" customFormat="false" ht="15" hidden="false" customHeight="false" outlineLevel="0" collapsed="false">
      <c r="C354" s="44"/>
      <c r="D354" s="45"/>
      <c r="F354" s="46"/>
      <c r="G354" s="44"/>
      <c r="H354" s="44"/>
      <c r="J354" s="47"/>
    </row>
    <row r="355" customFormat="false" ht="15" hidden="false" customHeight="false" outlineLevel="0" collapsed="false">
      <c r="C355" s="44"/>
      <c r="D355" s="45"/>
      <c r="F355" s="46"/>
      <c r="G355" s="44"/>
      <c r="H355" s="44"/>
      <c r="J355" s="47"/>
    </row>
    <row r="356" customFormat="false" ht="15" hidden="false" customHeight="false" outlineLevel="0" collapsed="false">
      <c r="C356" s="44"/>
      <c r="D356" s="45"/>
      <c r="F356" s="46"/>
      <c r="G356" s="44"/>
      <c r="H356" s="44"/>
      <c r="J356" s="47"/>
    </row>
    <row r="357" customFormat="false" ht="15" hidden="false" customHeight="false" outlineLevel="0" collapsed="false">
      <c r="C357" s="44"/>
      <c r="D357" s="45"/>
      <c r="F357" s="46"/>
      <c r="G357" s="44"/>
      <c r="H357" s="44"/>
      <c r="J357" s="47"/>
    </row>
    <row r="358" customFormat="false" ht="15" hidden="false" customHeight="false" outlineLevel="0" collapsed="false">
      <c r="C358" s="44"/>
      <c r="D358" s="45"/>
      <c r="F358" s="46"/>
      <c r="G358" s="44"/>
      <c r="H358" s="44"/>
      <c r="J358" s="47"/>
    </row>
    <row r="359" customFormat="false" ht="15" hidden="false" customHeight="false" outlineLevel="0" collapsed="false">
      <c r="C359" s="44"/>
      <c r="D359" s="45"/>
      <c r="F359" s="46"/>
      <c r="G359" s="44"/>
      <c r="H359" s="44"/>
      <c r="J359" s="47"/>
    </row>
    <row r="360" customFormat="false" ht="15" hidden="false" customHeight="false" outlineLevel="0" collapsed="false">
      <c r="C360" s="44"/>
      <c r="D360" s="45"/>
      <c r="F360" s="46"/>
      <c r="G360" s="44"/>
      <c r="H360" s="44"/>
      <c r="J360" s="47"/>
    </row>
    <row r="361" customFormat="false" ht="15" hidden="false" customHeight="false" outlineLevel="0" collapsed="false">
      <c r="C361" s="44"/>
      <c r="D361" s="45"/>
      <c r="F361" s="46"/>
      <c r="G361" s="44"/>
      <c r="H361" s="44"/>
      <c r="J361" s="47"/>
    </row>
    <row r="362" customFormat="false" ht="15" hidden="false" customHeight="false" outlineLevel="0" collapsed="false">
      <c r="C362" s="44"/>
      <c r="D362" s="45"/>
      <c r="F362" s="46"/>
      <c r="G362" s="44"/>
      <c r="H362" s="44"/>
      <c r="J362" s="47"/>
    </row>
    <row r="363" customFormat="false" ht="15" hidden="false" customHeight="false" outlineLevel="0" collapsed="false">
      <c r="C363" s="44"/>
      <c r="D363" s="45"/>
      <c r="F363" s="46"/>
      <c r="G363" s="44"/>
      <c r="H363" s="44"/>
      <c r="J363" s="47"/>
    </row>
    <row r="364" customFormat="false" ht="15" hidden="false" customHeight="false" outlineLevel="0" collapsed="false">
      <c r="C364" s="44"/>
      <c r="D364" s="45"/>
      <c r="F364" s="46"/>
      <c r="G364" s="44"/>
      <c r="H364" s="44"/>
      <c r="J364" s="47"/>
    </row>
    <row r="365" customFormat="false" ht="15" hidden="false" customHeight="false" outlineLevel="0" collapsed="false">
      <c r="C365" s="44"/>
      <c r="D365" s="45"/>
      <c r="F365" s="46"/>
      <c r="G365" s="44"/>
      <c r="H365" s="44"/>
      <c r="J365" s="47"/>
    </row>
    <row r="366" customFormat="false" ht="15" hidden="false" customHeight="false" outlineLevel="0" collapsed="false">
      <c r="C366" s="44"/>
      <c r="D366" s="45"/>
      <c r="F366" s="46"/>
      <c r="G366" s="44"/>
      <c r="H366" s="44"/>
      <c r="J366" s="47"/>
    </row>
    <row r="367" customFormat="false" ht="15" hidden="false" customHeight="false" outlineLevel="0" collapsed="false">
      <c r="C367" s="44"/>
      <c r="D367" s="45"/>
      <c r="F367" s="46"/>
      <c r="G367" s="44"/>
      <c r="H367" s="44"/>
      <c r="J367" s="47"/>
    </row>
    <row r="368" customFormat="false" ht="15" hidden="false" customHeight="false" outlineLevel="0" collapsed="false">
      <c r="C368" s="44"/>
      <c r="D368" s="45"/>
      <c r="F368" s="46"/>
      <c r="G368" s="44"/>
      <c r="H368" s="44"/>
      <c r="J368" s="47"/>
    </row>
    <row r="369" customFormat="false" ht="15" hidden="false" customHeight="false" outlineLevel="0" collapsed="false">
      <c r="C369" s="44"/>
      <c r="D369" s="45"/>
      <c r="F369" s="46"/>
      <c r="G369" s="44"/>
      <c r="H369" s="44"/>
      <c r="J369" s="47"/>
    </row>
    <row r="370" customFormat="false" ht="15" hidden="false" customHeight="false" outlineLevel="0" collapsed="false">
      <c r="C370" s="44"/>
      <c r="D370" s="45"/>
      <c r="F370" s="46"/>
      <c r="G370" s="44"/>
      <c r="H370" s="44"/>
      <c r="J370" s="47"/>
    </row>
    <row r="371" customFormat="false" ht="15" hidden="false" customHeight="false" outlineLevel="0" collapsed="false">
      <c r="C371" s="44"/>
      <c r="D371" s="45"/>
      <c r="F371" s="46"/>
      <c r="G371" s="44"/>
      <c r="H371" s="44"/>
      <c r="J371" s="47"/>
    </row>
    <row r="372" customFormat="false" ht="15" hidden="false" customHeight="false" outlineLevel="0" collapsed="false">
      <c r="C372" s="44"/>
      <c r="D372" s="45"/>
      <c r="F372" s="46"/>
      <c r="G372" s="44"/>
      <c r="H372" s="44"/>
      <c r="J372" s="47"/>
    </row>
    <row r="373" customFormat="false" ht="15" hidden="false" customHeight="false" outlineLevel="0" collapsed="false">
      <c r="C373" s="44"/>
      <c r="D373" s="45"/>
      <c r="F373" s="46"/>
      <c r="G373" s="44"/>
      <c r="H373" s="44"/>
      <c r="J373" s="47"/>
    </row>
    <row r="374" customFormat="false" ht="15" hidden="false" customHeight="false" outlineLevel="0" collapsed="false">
      <c r="C374" s="44"/>
      <c r="D374" s="45"/>
      <c r="F374" s="46"/>
      <c r="G374" s="44"/>
      <c r="H374" s="44"/>
      <c r="J374" s="47"/>
    </row>
    <row r="375" customFormat="false" ht="15" hidden="false" customHeight="false" outlineLevel="0" collapsed="false">
      <c r="C375" s="44"/>
      <c r="D375" s="45"/>
      <c r="F375" s="46"/>
      <c r="G375" s="44"/>
      <c r="H375" s="44"/>
      <c r="J375" s="47"/>
    </row>
    <row r="376" customFormat="false" ht="15" hidden="false" customHeight="false" outlineLevel="0" collapsed="false">
      <c r="C376" s="44"/>
      <c r="D376" s="45"/>
      <c r="F376" s="46"/>
      <c r="G376" s="44"/>
      <c r="H376" s="44"/>
      <c r="J376" s="47"/>
    </row>
    <row r="377" customFormat="false" ht="15" hidden="false" customHeight="false" outlineLevel="0" collapsed="false">
      <c r="C377" s="44"/>
      <c r="D377" s="45"/>
      <c r="F377" s="46"/>
      <c r="G377" s="44"/>
      <c r="H377" s="44"/>
      <c r="J377" s="47"/>
    </row>
    <row r="378" customFormat="false" ht="15" hidden="false" customHeight="false" outlineLevel="0" collapsed="false">
      <c r="C378" s="44"/>
      <c r="D378" s="45"/>
      <c r="F378" s="46"/>
      <c r="G378" s="44"/>
      <c r="H378" s="44"/>
      <c r="J378" s="47"/>
    </row>
    <row r="379" customFormat="false" ht="15" hidden="false" customHeight="false" outlineLevel="0" collapsed="false">
      <c r="C379" s="44"/>
      <c r="D379" s="45"/>
      <c r="F379" s="46"/>
      <c r="G379" s="44"/>
      <c r="H379" s="44"/>
      <c r="J379" s="47"/>
    </row>
    <row r="380" customFormat="false" ht="15" hidden="false" customHeight="false" outlineLevel="0" collapsed="false">
      <c r="C380" s="44"/>
      <c r="D380" s="45"/>
      <c r="F380" s="46"/>
      <c r="G380" s="44"/>
      <c r="H380" s="44"/>
      <c r="J380" s="47"/>
    </row>
    <row r="381" customFormat="false" ht="15" hidden="false" customHeight="false" outlineLevel="0" collapsed="false">
      <c r="C381" s="44"/>
      <c r="D381" s="45"/>
      <c r="F381" s="46"/>
      <c r="G381" s="44"/>
      <c r="H381" s="44"/>
      <c r="J381" s="47"/>
    </row>
    <row r="382" customFormat="false" ht="15" hidden="false" customHeight="false" outlineLevel="0" collapsed="false">
      <c r="C382" s="44"/>
      <c r="D382" s="45"/>
      <c r="F382" s="46"/>
      <c r="G382" s="44"/>
      <c r="H382" s="44"/>
      <c r="J382" s="47"/>
    </row>
    <row r="383" customFormat="false" ht="15" hidden="false" customHeight="false" outlineLevel="0" collapsed="false">
      <c r="C383" s="44"/>
      <c r="D383" s="45"/>
      <c r="F383" s="46"/>
      <c r="G383" s="44"/>
      <c r="H383" s="44"/>
      <c r="J383" s="47"/>
    </row>
    <row r="384" customFormat="false" ht="15" hidden="false" customHeight="false" outlineLevel="0" collapsed="false">
      <c r="C384" s="44"/>
      <c r="D384" s="45"/>
      <c r="F384" s="46"/>
      <c r="G384" s="44"/>
      <c r="H384" s="44"/>
      <c r="J384" s="47"/>
    </row>
    <row r="385" customFormat="false" ht="15" hidden="false" customHeight="false" outlineLevel="0" collapsed="false">
      <c r="C385" s="44"/>
      <c r="D385" s="45"/>
      <c r="F385" s="46"/>
      <c r="G385" s="44"/>
      <c r="H385" s="44"/>
      <c r="J385" s="47"/>
    </row>
    <row r="386" customFormat="false" ht="15" hidden="false" customHeight="false" outlineLevel="0" collapsed="false">
      <c r="C386" s="44"/>
      <c r="D386" s="45"/>
      <c r="F386" s="46"/>
      <c r="G386" s="44"/>
      <c r="H386" s="44"/>
      <c r="J386" s="47"/>
    </row>
    <row r="387" customFormat="false" ht="15" hidden="false" customHeight="false" outlineLevel="0" collapsed="false">
      <c r="C387" s="44"/>
      <c r="D387" s="45"/>
      <c r="F387" s="46"/>
      <c r="G387" s="44"/>
      <c r="H387" s="44"/>
      <c r="J387" s="47"/>
    </row>
    <row r="388" customFormat="false" ht="15" hidden="false" customHeight="false" outlineLevel="0" collapsed="false">
      <c r="C388" s="44"/>
      <c r="D388" s="45"/>
      <c r="F388" s="46"/>
      <c r="G388" s="44"/>
      <c r="H388" s="44"/>
      <c r="J388" s="47"/>
    </row>
    <row r="389" customFormat="false" ht="15" hidden="false" customHeight="false" outlineLevel="0" collapsed="false">
      <c r="C389" s="44"/>
      <c r="D389" s="45"/>
      <c r="F389" s="46"/>
      <c r="G389" s="44"/>
      <c r="H389" s="44"/>
      <c r="J389" s="47"/>
    </row>
    <row r="390" customFormat="false" ht="15" hidden="false" customHeight="false" outlineLevel="0" collapsed="false">
      <c r="C390" s="44"/>
      <c r="D390" s="45"/>
      <c r="F390" s="46"/>
      <c r="G390" s="44"/>
      <c r="H390" s="44"/>
      <c r="J390" s="47"/>
    </row>
    <row r="391" customFormat="false" ht="15" hidden="false" customHeight="false" outlineLevel="0" collapsed="false">
      <c r="C391" s="44"/>
      <c r="D391" s="45"/>
      <c r="F391" s="46"/>
      <c r="G391" s="44"/>
      <c r="H391" s="44"/>
      <c r="J391" s="47"/>
    </row>
    <row r="392" customFormat="false" ht="15" hidden="false" customHeight="false" outlineLevel="0" collapsed="false">
      <c r="C392" s="44"/>
      <c r="D392" s="45"/>
      <c r="F392" s="46"/>
      <c r="G392" s="44"/>
      <c r="H392" s="44"/>
      <c r="J392" s="47"/>
    </row>
    <row r="393" customFormat="false" ht="15" hidden="false" customHeight="false" outlineLevel="0" collapsed="false">
      <c r="C393" s="44"/>
      <c r="D393" s="45"/>
      <c r="F393" s="46"/>
      <c r="G393" s="44"/>
      <c r="H393" s="44"/>
      <c r="J393" s="47"/>
    </row>
    <row r="394" customFormat="false" ht="15" hidden="false" customHeight="false" outlineLevel="0" collapsed="false">
      <c r="C394" s="44"/>
      <c r="D394" s="45"/>
      <c r="F394" s="46"/>
      <c r="G394" s="44"/>
      <c r="H394" s="44"/>
      <c r="J394" s="47"/>
    </row>
    <row r="395" customFormat="false" ht="15" hidden="false" customHeight="false" outlineLevel="0" collapsed="false">
      <c r="C395" s="44"/>
      <c r="D395" s="45"/>
      <c r="F395" s="46"/>
      <c r="G395" s="44"/>
      <c r="H395" s="44"/>
      <c r="J395" s="47"/>
    </row>
    <row r="396" customFormat="false" ht="15" hidden="false" customHeight="false" outlineLevel="0" collapsed="false">
      <c r="C396" s="44"/>
      <c r="D396" s="45"/>
      <c r="F396" s="46"/>
      <c r="G396" s="44"/>
      <c r="H396" s="44"/>
      <c r="J396" s="47"/>
    </row>
    <row r="397" customFormat="false" ht="15" hidden="false" customHeight="false" outlineLevel="0" collapsed="false">
      <c r="C397" s="44"/>
      <c r="D397" s="45"/>
      <c r="F397" s="46"/>
      <c r="G397" s="44"/>
      <c r="H397" s="44"/>
      <c r="J397" s="47"/>
    </row>
    <row r="398" customFormat="false" ht="15" hidden="false" customHeight="false" outlineLevel="0" collapsed="false">
      <c r="C398" s="44"/>
      <c r="D398" s="45"/>
      <c r="F398" s="46"/>
      <c r="G398" s="44"/>
      <c r="H398" s="44"/>
      <c r="J398" s="47"/>
    </row>
    <row r="399" customFormat="false" ht="15" hidden="false" customHeight="false" outlineLevel="0" collapsed="false">
      <c r="C399" s="44"/>
      <c r="D399" s="45"/>
      <c r="F399" s="46"/>
      <c r="G399" s="44"/>
      <c r="H399" s="44"/>
      <c r="J399" s="47"/>
    </row>
    <row r="400" customFormat="false" ht="15" hidden="false" customHeight="false" outlineLevel="0" collapsed="false">
      <c r="C400" s="44"/>
      <c r="D400" s="45"/>
      <c r="F400" s="46"/>
      <c r="G400" s="44"/>
      <c r="H400" s="44"/>
      <c r="J400" s="47"/>
    </row>
    <row r="401" customFormat="false" ht="15" hidden="false" customHeight="false" outlineLevel="0" collapsed="false">
      <c r="C401" s="44"/>
      <c r="D401" s="45"/>
      <c r="F401" s="46"/>
      <c r="G401" s="44"/>
      <c r="H401" s="44"/>
      <c r="J401" s="47"/>
    </row>
    <row r="402" customFormat="false" ht="15" hidden="false" customHeight="false" outlineLevel="0" collapsed="false">
      <c r="C402" s="44"/>
      <c r="D402" s="45"/>
      <c r="F402" s="46"/>
      <c r="G402" s="44"/>
      <c r="H402" s="44"/>
      <c r="J402" s="47"/>
    </row>
    <row r="403" customFormat="false" ht="15" hidden="false" customHeight="false" outlineLevel="0" collapsed="false">
      <c r="C403" s="44"/>
      <c r="D403" s="45"/>
      <c r="F403" s="46"/>
      <c r="G403" s="44"/>
      <c r="H403" s="44"/>
      <c r="J403" s="47"/>
    </row>
    <row r="404" customFormat="false" ht="15" hidden="false" customHeight="false" outlineLevel="0" collapsed="false">
      <c r="C404" s="44"/>
      <c r="D404" s="45"/>
      <c r="F404" s="46"/>
      <c r="G404" s="44"/>
      <c r="H404" s="44"/>
      <c r="J404" s="47"/>
    </row>
    <row r="405" customFormat="false" ht="15" hidden="false" customHeight="false" outlineLevel="0" collapsed="false">
      <c r="C405" s="44"/>
      <c r="D405" s="45"/>
      <c r="F405" s="46"/>
      <c r="G405" s="44"/>
      <c r="H405" s="44"/>
      <c r="J405" s="47"/>
    </row>
    <row r="406" customFormat="false" ht="15" hidden="false" customHeight="false" outlineLevel="0" collapsed="false">
      <c r="C406" s="44"/>
      <c r="D406" s="45"/>
      <c r="F406" s="46"/>
      <c r="G406" s="44"/>
      <c r="H406" s="44"/>
      <c r="J406" s="47"/>
    </row>
    <row r="407" customFormat="false" ht="15" hidden="false" customHeight="false" outlineLevel="0" collapsed="false">
      <c r="C407" s="44"/>
      <c r="D407" s="45"/>
      <c r="F407" s="46"/>
      <c r="G407" s="44"/>
      <c r="H407" s="44"/>
      <c r="J407" s="47"/>
    </row>
    <row r="408" customFormat="false" ht="15" hidden="false" customHeight="false" outlineLevel="0" collapsed="false">
      <c r="C408" s="44"/>
      <c r="D408" s="45"/>
      <c r="F408" s="46"/>
      <c r="G408" s="44"/>
      <c r="H408" s="44"/>
      <c r="J408" s="47"/>
    </row>
    <row r="409" customFormat="false" ht="15" hidden="false" customHeight="false" outlineLevel="0" collapsed="false">
      <c r="C409" s="44"/>
      <c r="D409" s="45"/>
      <c r="F409" s="46"/>
      <c r="G409" s="44"/>
      <c r="H409" s="44"/>
      <c r="J409" s="47"/>
    </row>
    <row r="410" customFormat="false" ht="15" hidden="false" customHeight="false" outlineLevel="0" collapsed="false">
      <c r="C410" s="44"/>
      <c r="D410" s="45"/>
      <c r="F410" s="46"/>
      <c r="G410" s="44"/>
      <c r="H410" s="44"/>
      <c r="J410" s="47"/>
    </row>
    <row r="411" customFormat="false" ht="15" hidden="false" customHeight="false" outlineLevel="0" collapsed="false">
      <c r="C411" s="44"/>
      <c r="D411" s="45"/>
      <c r="F411" s="46"/>
      <c r="G411" s="44"/>
      <c r="H411" s="44"/>
      <c r="J411" s="47"/>
    </row>
    <row r="412" customFormat="false" ht="15" hidden="false" customHeight="false" outlineLevel="0" collapsed="false">
      <c r="C412" s="44"/>
      <c r="D412" s="45"/>
      <c r="F412" s="46"/>
      <c r="G412" s="44"/>
      <c r="H412" s="44"/>
      <c r="J412" s="47"/>
    </row>
    <row r="413" customFormat="false" ht="15" hidden="false" customHeight="false" outlineLevel="0" collapsed="false">
      <c r="C413" s="44"/>
      <c r="D413" s="45"/>
      <c r="F413" s="46"/>
      <c r="G413" s="44"/>
      <c r="H413" s="44"/>
      <c r="J413" s="47"/>
    </row>
    <row r="414" customFormat="false" ht="15" hidden="false" customHeight="false" outlineLevel="0" collapsed="false">
      <c r="C414" s="44"/>
      <c r="D414" s="45"/>
      <c r="F414" s="46"/>
      <c r="G414" s="44"/>
      <c r="H414" s="44"/>
      <c r="J414" s="47"/>
    </row>
    <row r="415" customFormat="false" ht="15" hidden="false" customHeight="false" outlineLevel="0" collapsed="false">
      <c r="C415" s="44"/>
      <c r="D415" s="45"/>
      <c r="F415" s="46"/>
      <c r="G415" s="44"/>
      <c r="H415" s="44"/>
      <c r="J415" s="47"/>
    </row>
    <row r="416" customFormat="false" ht="15" hidden="false" customHeight="false" outlineLevel="0" collapsed="false">
      <c r="C416" s="44"/>
      <c r="D416" s="45"/>
      <c r="F416" s="46"/>
      <c r="G416" s="44"/>
      <c r="H416" s="44"/>
      <c r="J416" s="47"/>
    </row>
    <row r="417" customFormat="false" ht="15" hidden="false" customHeight="false" outlineLevel="0" collapsed="false">
      <c r="C417" s="44"/>
      <c r="D417" s="45"/>
      <c r="F417" s="46"/>
      <c r="G417" s="44"/>
      <c r="H417" s="44"/>
      <c r="J417" s="47"/>
    </row>
    <row r="418" customFormat="false" ht="15" hidden="false" customHeight="false" outlineLevel="0" collapsed="false">
      <c r="C418" s="44"/>
      <c r="D418" s="45"/>
      <c r="F418" s="46"/>
      <c r="G418" s="44"/>
      <c r="H418" s="44"/>
      <c r="J418" s="47"/>
    </row>
    <row r="419" customFormat="false" ht="15" hidden="false" customHeight="false" outlineLevel="0" collapsed="false">
      <c r="C419" s="44"/>
      <c r="D419" s="45"/>
      <c r="F419" s="46"/>
      <c r="G419" s="44"/>
      <c r="H419" s="44"/>
      <c r="J419" s="47"/>
    </row>
    <row r="420" customFormat="false" ht="15" hidden="false" customHeight="false" outlineLevel="0" collapsed="false">
      <c r="C420" s="44"/>
      <c r="D420" s="45"/>
      <c r="F420" s="46"/>
      <c r="G420" s="44"/>
      <c r="H420" s="44"/>
      <c r="J420" s="47"/>
    </row>
    <row r="421" customFormat="false" ht="15" hidden="false" customHeight="false" outlineLevel="0" collapsed="false">
      <c r="C421" s="44"/>
      <c r="D421" s="45"/>
      <c r="F421" s="46"/>
      <c r="G421" s="44"/>
      <c r="H421" s="44"/>
      <c r="J421" s="47"/>
    </row>
    <row r="422" customFormat="false" ht="15" hidden="false" customHeight="false" outlineLevel="0" collapsed="false">
      <c r="C422" s="44"/>
      <c r="D422" s="45"/>
      <c r="F422" s="46"/>
      <c r="G422" s="44"/>
      <c r="H422" s="44"/>
      <c r="J422" s="47"/>
    </row>
    <row r="423" customFormat="false" ht="15" hidden="false" customHeight="false" outlineLevel="0" collapsed="false">
      <c r="C423" s="44"/>
      <c r="D423" s="45"/>
      <c r="F423" s="46"/>
      <c r="G423" s="44"/>
      <c r="H423" s="44"/>
      <c r="J423" s="47"/>
    </row>
    <row r="424" customFormat="false" ht="15" hidden="false" customHeight="false" outlineLevel="0" collapsed="false">
      <c r="C424" s="44"/>
      <c r="D424" s="45"/>
      <c r="F424" s="46"/>
      <c r="G424" s="44"/>
      <c r="H424" s="44"/>
      <c r="J424" s="47"/>
    </row>
    <row r="425" customFormat="false" ht="15" hidden="false" customHeight="false" outlineLevel="0" collapsed="false">
      <c r="C425" s="44"/>
      <c r="D425" s="45"/>
      <c r="F425" s="46"/>
      <c r="G425" s="44"/>
      <c r="H425" s="44"/>
      <c r="J425" s="47"/>
    </row>
    <row r="426" customFormat="false" ht="15" hidden="false" customHeight="false" outlineLevel="0" collapsed="false">
      <c r="C426" s="44"/>
      <c r="D426" s="45"/>
      <c r="F426" s="46"/>
      <c r="G426" s="44"/>
      <c r="H426" s="44"/>
      <c r="J426" s="47"/>
    </row>
    <row r="427" customFormat="false" ht="15" hidden="false" customHeight="false" outlineLevel="0" collapsed="false">
      <c r="C427" s="44"/>
      <c r="D427" s="45"/>
      <c r="F427" s="46"/>
      <c r="G427" s="44"/>
      <c r="H427" s="44"/>
      <c r="J427" s="47"/>
    </row>
    <row r="428" customFormat="false" ht="15" hidden="false" customHeight="false" outlineLevel="0" collapsed="false">
      <c r="C428" s="44"/>
      <c r="D428" s="45"/>
      <c r="F428" s="46"/>
      <c r="G428" s="44"/>
      <c r="H428" s="44"/>
      <c r="J428" s="47"/>
    </row>
    <row r="429" customFormat="false" ht="15" hidden="false" customHeight="false" outlineLevel="0" collapsed="false">
      <c r="C429" s="44"/>
      <c r="D429" s="45"/>
      <c r="F429" s="46"/>
      <c r="G429" s="44"/>
      <c r="H429" s="44"/>
      <c r="J429" s="47"/>
    </row>
    <row r="430" customFormat="false" ht="15" hidden="false" customHeight="false" outlineLevel="0" collapsed="false">
      <c r="C430" s="44"/>
      <c r="D430" s="45"/>
      <c r="F430" s="46"/>
      <c r="G430" s="44"/>
      <c r="H430" s="44"/>
      <c r="J430" s="47"/>
    </row>
    <row r="431" customFormat="false" ht="15" hidden="false" customHeight="false" outlineLevel="0" collapsed="false">
      <c r="C431" s="44"/>
      <c r="D431" s="45"/>
      <c r="F431" s="46"/>
      <c r="G431" s="44"/>
      <c r="H431" s="44"/>
      <c r="J431" s="47"/>
    </row>
    <row r="432" customFormat="false" ht="15" hidden="false" customHeight="false" outlineLevel="0" collapsed="false">
      <c r="C432" s="44"/>
      <c r="D432" s="45"/>
      <c r="F432" s="46"/>
      <c r="G432" s="44"/>
      <c r="H432" s="44"/>
      <c r="J432" s="47"/>
    </row>
    <row r="433" customFormat="false" ht="15" hidden="false" customHeight="false" outlineLevel="0" collapsed="false">
      <c r="C433" s="44"/>
      <c r="D433" s="45"/>
      <c r="F433" s="46"/>
      <c r="G433" s="44"/>
      <c r="H433" s="44"/>
      <c r="J433" s="47"/>
    </row>
    <row r="434" customFormat="false" ht="15" hidden="false" customHeight="false" outlineLevel="0" collapsed="false">
      <c r="C434" s="44"/>
      <c r="D434" s="45"/>
      <c r="F434" s="46"/>
      <c r="G434" s="44"/>
      <c r="H434" s="44"/>
      <c r="J434" s="47"/>
    </row>
    <row r="435" customFormat="false" ht="15" hidden="false" customHeight="false" outlineLevel="0" collapsed="false">
      <c r="C435" s="44"/>
      <c r="D435" s="45"/>
      <c r="F435" s="46"/>
      <c r="G435" s="44"/>
      <c r="H435" s="44"/>
      <c r="J435" s="47"/>
    </row>
    <row r="436" customFormat="false" ht="15" hidden="false" customHeight="false" outlineLevel="0" collapsed="false">
      <c r="C436" s="44"/>
      <c r="D436" s="45"/>
      <c r="F436" s="46"/>
      <c r="G436" s="44"/>
      <c r="H436" s="44"/>
      <c r="J436" s="47"/>
    </row>
    <row r="437" customFormat="false" ht="15" hidden="false" customHeight="false" outlineLevel="0" collapsed="false">
      <c r="C437" s="44"/>
      <c r="D437" s="45"/>
      <c r="F437" s="46"/>
      <c r="G437" s="44"/>
      <c r="H437" s="44"/>
      <c r="J437" s="47"/>
    </row>
    <row r="438" customFormat="false" ht="15" hidden="false" customHeight="false" outlineLevel="0" collapsed="false">
      <c r="C438" s="44"/>
      <c r="D438" s="45"/>
      <c r="F438" s="46"/>
      <c r="G438" s="44"/>
      <c r="H438" s="44"/>
      <c r="J438" s="47"/>
    </row>
    <row r="439" customFormat="false" ht="15" hidden="false" customHeight="false" outlineLevel="0" collapsed="false">
      <c r="C439" s="44"/>
      <c r="D439" s="45"/>
      <c r="F439" s="46"/>
      <c r="G439" s="44"/>
      <c r="H439" s="44"/>
      <c r="J439" s="47"/>
    </row>
    <row r="440" customFormat="false" ht="15" hidden="false" customHeight="false" outlineLevel="0" collapsed="false">
      <c r="C440" s="44"/>
      <c r="D440" s="45"/>
      <c r="F440" s="46"/>
      <c r="G440" s="44"/>
      <c r="H440" s="44"/>
      <c r="J440" s="47"/>
    </row>
    <row r="441" customFormat="false" ht="15" hidden="false" customHeight="false" outlineLevel="0" collapsed="false">
      <c r="C441" s="44"/>
      <c r="D441" s="45"/>
      <c r="F441" s="46"/>
      <c r="G441" s="44"/>
      <c r="H441" s="44"/>
      <c r="J441" s="47"/>
    </row>
    <row r="442" customFormat="false" ht="15" hidden="false" customHeight="false" outlineLevel="0" collapsed="false">
      <c r="C442" s="44"/>
      <c r="D442" s="45"/>
      <c r="F442" s="46"/>
      <c r="G442" s="44"/>
      <c r="H442" s="44"/>
      <c r="J442" s="47"/>
    </row>
    <row r="443" customFormat="false" ht="15" hidden="false" customHeight="false" outlineLevel="0" collapsed="false">
      <c r="C443" s="44"/>
      <c r="D443" s="45"/>
      <c r="F443" s="46"/>
      <c r="G443" s="44"/>
      <c r="H443" s="44"/>
      <c r="J443" s="47"/>
    </row>
    <row r="444" customFormat="false" ht="15" hidden="false" customHeight="false" outlineLevel="0" collapsed="false">
      <c r="C444" s="44"/>
      <c r="D444" s="45"/>
      <c r="F444" s="46"/>
      <c r="G444" s="44"/>
      <c r="H444" s="44"/>
      <c r="J444" s="47"/>
    </row>
    <row r="445" customFormat="false" ht="15" hidden="false" customHeight="false" outlineLevel="0" collapsed="false">
      <c r="C445" s="44"/>
      <c r="D445" s="45"/>
      <c r="F445" s="46"/>
      <c r="G445" s="44"/>
      <c r="H445" s="44"/>
      <c r="J445" s="47"/>
    </row>
    <row r="446" customFormat="false" ht="15" hidden="false" customHeight="false" outlineLevel="0" collapsed="false">
      <c r="C446" s="44"/>
      <c r="D446" s="45"/>
      <c r="F446" s="46"/>
      <c r="G446" s="44"/>
      <c r="H446" s="44"/>
      <c r="J446" s="47"/>
    </row>
    <row r="447" customFormat="false" ht="15" hidden="false" customHeight="false" outlineLevel="0" collapsed="false">
      <c r="C447" s="44"/>
      <c r="D447" s="45"/>
      <c r="F447" s="46"/>
      <c r="G447" s="44"/>
      <c r="H447" s="44"/>
      <c r="J447" s="47"/>
    </row>
    <row r="448" customFormat="false" ht="15" hidden="false" customHeight="false" outlineLevel="0" collapsed="false">
      <c r="C448" s="44"/>
      <c r="D448" s="45"/>
      <c r="F448" s="46"/>
      <c r="G448" s="44"/>
      <c r="H448" s="44"/>
      <c r="J448" s="47"/>
    </row>
    <row r="449" customFormat="false" ht="15" hidden="false" customHeight="false" outlineLevel="0" collapsed="false">
      <c r="C449" s="44"/>
      <c r="D449" s="45"/>
      <c r="F449" s="46"/>
      <c r="G449" s="44"/>
      <c r="H449" s="44"/>
      <c r="J449" s="47"/>
    </row>
    <row r="450" customFormat="false" ht="15" hidden="false" customHeight="false" outlineLevel="0" collapsed="false">
      <c r="C450" s="44"/>
      <c r="D450" s="45"/>
      <c r="F450" s="46"/>
      <c r="G450" s="44"/>
      <c r="H450" s="44"/>
      <c r="J450" s="47"/>
    </row>
    <row r="451" customFormat="false" ht="15" hidden="false" customHeight="false" outlineLevel="0" collapsed="false">
      <c r="C451" s="44"/>
      <c r="D451" s="45"/>
      <c r="F451" s="46"/>
      <c r="G451" s="44"/>
      <c r="H451" s="44"/>
      <c r="J451" s="47"/>
    </row>
    <row r="452" customFormat="false" ht="15" hidden="false" customHeight="false" outlineLevel="0" collapsed="false">
      <c r="C452" s="44"/>
      <c r="D452" s="45"/>
      <c r="F452" s="46"/>
      <c r="G452" s="44"/>
      <c r="H452" s="44"/>
      <c r="J452" s="47"/>
    </row>
    <row r="453" customFormat="false" ht="15" hidden="false" customHeight="false" outlineLevel="0" collapsed="false">
      <c r="C453" s="44"/>
      <c r="D453" s="45"/>
      <c r="F453" s="46"/>
      <c r="G453" s="44"/>
      <c r="H453" s="44"/>
      <c r="J453" s="47"/>
    </row>
    <row r="454" customFormat="false" ht="15" hidden="false" customHeight="false" outlineLevel="0" collapsed="false">
      <c r="C454" s="44"/>
      <c r="D454" s="45"/>
      <c r="F454" s="46"/>
      <c r="G454" s="44"/>
      <c r="H454" s="44"/>
      <c r="J454" s="47"/>
    </row>
    <row r="455" customFormat="false" ht="15" hidden="false" customHeight="false" outlineLevel="0" collapsed="false">
      <c r="C455" s="44"/>
      <c r="D455" s="45"/>
      <c r="F455" s="46"/>
      <c r="G455" s="44"/>
      <c r="H455" s="44"/>
      <c r="J455" s="47"/>
    </row>
    <row r="456" customFormat="false" ht="15" hidden="false" customHeight="false" outlineLevel="0" collapsed="false">
      <c r="C456" s="44"/>
      <c r="D456" s="45"/>
      <c r="F456" s="46"/>
      <c r="G456" s="44"/>
      <c r="H456" s="44"/>
      <c r="J456" s="47"/>
    </row>
    <row r="457" customFormat="false" ht="15" hidden="false" customHeight="false" outlineLevel="0" collapsed="false">
      <c r="C457" s="44"/>
      <c r="D457" s="45"/>
      <c r="F457" s="46"/>
      <c r="G457" s="44"/>
      <c r="H457" s="44"/>
      <c r="J457" s="47"/>
    </row>
    <row r="458" customFormat="false" ht="15" hidden="false" customHeight="false" outlineLevel="0" collapsed="false">
      <c r="C458" s="44"/>
      <c r="D458" s="45"/>
      <c r="F458" s="46"/>
      <c r="G458" s="44"/>
      <c r="H458" s="44"/>
      <c r="J458" s="47"/>
    </row>
    <row r="459" customFormat="false" ht="15" hidden="false" customHeight="false" outlineLevel="0" collapsed="false">
      <c r="C459" s="44"/>
      <c r="D459" s="45"/>
      <c r="F459" s="46"/>
      <c r="G459" s="44"/>
      <c r="H459" s="44"/>
      <c r="J459" s="47"/>
    </row>
    <row r="460" customFormat="false" ht="15" hidden="false" customHeight="false" outlineLevel="0" collapsed="false">
      <c r="C460" s="44"/>
      <c r="D460" s="45"/>
      <c r="F460" s="46"/>
      <c r="G460" s="44"/>
      <c r="H460" s="44"/>
      <c r="J460" s="47"/>
    </row>
    <row r="461" customFormat="false" ht="15" hidden="false" customHeight="false" outlineLevel="0" collapsed="false">
      <c r="C461" s="44"/>
      <c r="D461" s="45"/>
      <c r="F461" s="46"/>
      <c r="G461" s="44"/>
      <c r="H461" s="44"/>
      <c r="J461" s="47"/>
    </row>
    <row r="462" customFormat="false" ht="15" hidden="false" customHeight="false" outlineLevel="0" collapsed="false">
      <c r="C462" s="44"/>
      <c r="D462" s="45"/>
      <c r="F462" s="46"/>
      <c r="G462" s="44"/>
      <c r="H462" s="44"/>
      <c r="J462" s="47"/>
    </row>
    <row r="463" customFormat="false" ht="15" hidden="false" customHeight="false" outlineLevel="0" collapsed="false">
      <c r="C463" s="44"/>
      <c r="D463" s="45"/>
      <c r="F463" s="46"/>
      <c r="G463" s="44"/>
      <c r="H463" s="44"/>
      <c r="J463" s="47"/>
    </row>
    <row r="464" customFormat="false" ht="15" hidden="false" customHeight="false" outlineLevel="0" collapsed="false">
      <c r="C464" s="44"/>
      <c r="D464" s="45"/>
      <c r="F464" s="46"/>
      <c r="G464" s="44"/>
      <c r="H464" s="44"/>
      <c r="J464" s="47"/>
    </row>
    <row r="465" customFormat="false" ht="15" hidden="false" customHeight="false" outlineLevel="0" collapsed="false">
      <c r="C465" s="44"/>
      <c r="D465" s="45"/>
      <c r="F465" s="46"/>
      <c r="G465" s="44"/>
      <c r="H465" s="44"/>
      <c r="J465" s="47"/>
    </row>
    <row r="466" customFormat="false" ht="15" hidden="false" customHeight="false" outlineLevel="0" collapsed="false">
      <c r="C466" s="44"/>
      <c r="D466" s="45"/>
      <c r="F466" s="46"/>
      <c r="G466" s="44"/>
      <c r="H466" s="44"/>
      <c r="J466" s="47"/>
    </row>
    <row r="467" customFormat="false" ht="15" hidden="false" customHeight="false" outlineLevel="0" collapsed="false">
      <c r="C467" s="44"/>
      <c r="D467" s="45"/>
      <c r="F467" s="46"/>
      <c r="G467" s="44"/>
      <c r="H467" s="44"/>
      <c r="J467" s="47"/>
    </row>
    <row r="468" customFormat="false" ht="15" hidden="false" customHeight="false" outlineLevel="0" collapsed="false">
      <c r="C468" s="44"/>
      <c r="D468" s="45"/>
      <c r="F468" s="46"/>
      <c r="G468" s="44"/>
      <c r="H468" s="44"/>
      <c r="J468" s="47"/>
    </row>
    <row r="469" customFormat="false" ht="15" hidden="false" customHeight="false" outlineLevel="0" collapsed="false">
      <c r="C469" s="44"/>
      <c r="D469" s="45"/>
      <c r="F469" s="46"/>
      <c r="G469" s="44"/>
      <c r="H469" s="44"/>
      <c r="J469" s="47"/>
    </row>
    <row r="470" customFormat="false" ht="15" hidden="false" customHeight="false" outlineLevel="0" collapsed="false">
      <c r="C470" s="44"/>
      <c r="D470" s="45"/>
      <c r="F470" s="46"/>
      <c r="G470" s="44"/>
      <c r="H470" s="44"/>
      <c r="J470" s="47"/>
    </row>
    <row r="471" customFormat="false" ht="15" hidden="false" customHeight="false" outlineLevel="0" collapsed="false">
      <c r="C471" s="44"/>
      <c r="D471" s="45"/>
      <c r="F471" s="46"/>
      <c r="G471" s="44"/>
      <c r="H471" s="44"/>
      <c r="J471" s="47"/>
    </row>
    <row r="472" customFormat="false" ht="15" hidden="false" customHeight="false" outlineLevel="0" collapsed="false">
      <c r="C472" s="44"/>
      <c r="D472" s="45"/>
      <c r="F472" s="46"/>
      <c r="G472" s="44"/>
      <c r="H472" s="44"/>
      <c r="J472" s="47"/>
    </row>
    <row r="473" customFormat="false" ht="15" hidden="false" customHeight="false" outlineLevel="0" collapsed="false">
      <c r="C473" s="44"/>
      <c r="D473" s="45"/>
      <c r="F473" s="46"/>
      <c r="G473" s="44"/>
      <c r="H473" s="44"/>
      <c r="J473" s="47"/>
    </row>
    <row r="474" customFormat="false" ht="15" hidden="false" customHeight="false" outlineLevel="0" collapsed="false">
      <c r="C474" s="44"/>
      <c r="D474" s="45"/>
      <c r="F474" s="46"/>
      <c r="G474" s="44"/>
      <c r="H474" s="44"/>
      <c r="J474" s="47"/>
    </row>
    <row r="475" customFormat="false" ht="15" hidden="false" customHeight="false" outlineLevel="0" collapsed="false">
      <c r="C475" s="44"/>
      <c r="D475" s="45"/>
      <c r="F475" s="46"/>
      <c r="G475" s="44"/>
      <c r="H475" s="44"/>
      <c r="J475" s="47"/>
    </row>
    <row r="476" customFormat="false" ht="15" hidden="false" customHeight="false" outlineLevel="0" collapsed="false">
      <c r="C476" s="44"/>
      <c r="D476" s="45"/>
      <c r="F476" s="46"/>
      <c r="G476" s="44"/>
      <c r="H476" s="44"/>
      <c r="J476" s="47"/>
    </row>
    <row r="477" customFormat="false" ht="15" hidden="false" customHeight="false" outlineLevel="0" collapsed="false">
      <c r="C477" s="44"/>
      <c r="D477" s="45"/>
      <c r="F477" s="46"/>
      <c r="G477" s="44"/>
      <c r="H477" s="44"/>
      <c r="J477" s="47"/>
    </row>
    <row r="478" customFormat="false" ht="15" hidden="false" customHeight="false" outlineLevel="0" collapsed="false">
      <c r="C478" s="44"/>
      <c r="D478" s="45"/>
      <c r="F478" s="46"/>
      <c r="G478" s="44"/>
      <c r="H478" s="44"/>
      <c r="J478" s="47"/>
    </row>
    <row r="479" customFormat="false" ht="15" hidden="false" customHeight="false" outlineLevel="0" collapsed="false">
      <c r="C479" s="44"/>
      <c r="D479" s="45"/>
      <c r="F479" s="46"/>
      <c r="G479" s="44"/>
      <c r="H479" s="44"/>
      <c r="J479" s="47"/>
    </row>
    <row r="480" customFormat="false" ht="15" hidden="false" customHeight="false" outlineLevel="0" collapsed="false">
      <c r="C480" s="44"/>
      <c r="D480" s="45"/>
      <c r="F480" s="46"/>
      <c r="G480" s="44"/>
      <c r="H480" s="44"/>
      <c r="J480" s="47"/>
    </row>
    <row r="481" customFormat="false" ht="15" hidden="false" customHeight="false" outlineLevel="0" collapsed="false">
      <c r="C481" s="44"/>
      <c r="D481" s="45"/>
      <c r="F481" s="46"/>
      <c r="G481" s="44"/>
      <c r="H481" s="44"/>
      <c r="J481" s="47"/>
    </row>
    <row r="482" customFormat="false" ht="15" hidden="false" customHeight="false" outlineLevel="0" collapsed="false">
      <c r="C482" s="44"/>
      <c r="D482" s="45"/>
      <c r="F482" s="46"/>
      <c r="G482" s="44"/>
      <c r="H482" s="44"/>
      <c r="J482" s="47"/>
    </row>
    <row r="483" customFormat="false" ht="15" hidden="false" customHeight="false" outlineLevel="0" collapsed="false">
      <c r="C483" s="44"/>
      <c r="D483" s="45"/>
      <c r="F483" s="46"/>
      <c r="G483" s="44"/>
      <c r="H483" s="44"/>
      <c r="J483" s="47"/>
    </row>
    <row r="484" customFormat="false" ht="15" hidden="false" customHeight="false" outlineLevel="0" collapsed="false">
      <c r="C484" s="44"/>
      <c r="D484" s="45"/>
      <c r="F484" s="46"/>
      <c r="G484" s="44"/>
      <c r="H484" s="44"/>
      <c r="J484" s="47"/>
    </row>
    <row r="485" customFormat="false" ht="15" hidden="false" customHeight="false" outlineLevel="0" collapsed="false">
      <c r="C485" s="44"/>
      <c r="D485" s="45"/>
      <c r="F485" s="46"/>
      <c r="G485" s="44"/>
      <c r="H485" s="44"/>
      <c r="J485" s="47"/>
    </row>
    <row r="486" customFormat="false" ht="15" hidden="false" customHeight="false" outlineLevel="0" collapsed="false">
      <c r="C486" s="44"/>
      <c r="D486" s="45"/>
      <c r="F486" s="46"/>
      <c r="G486" s="44"/>
      <c r="H486" s="44"/>
      <c r="J486" s="47"/>
    </row>
    <row r="487" customFormat="false" ht="15" hidden="false" customHeight="false" outlineLevel="0" collapsed="false">
      <c r="C487" s="44"/>
      <c r="D487" s="45"/>
      <c r="F487" s="46"/>
      <c r="G487" s="44"/>
      <c r="H487" s="44"/>
      <c r="J487" s="47"/>
    </row>
    <row r="488" customFormat="false" ht="15" hidden="false" customHeight="false" outlineLevel="0" collapsed="false">
      <c r="C488" s="44"/>
      <c r="D488" s="45"/>
      <c r="F488" s="46"/>
      <c r="G488" s="44"/>
      <c r="H488" s="44"/>
      <c r="J488" s="47"/>
    </row>
    <row r="489" customFormat="false" ht="15" hidden="false" customHeight="false" outlineLevel="0" collapsed="false">
      <c r="C489" s="44"/>
      <c r="D489" s="45"/>
      <c r="F489" s="46"/>
      <c r="G489" s="44"/>
      <c r="H489" s="44"/>
      <c r="J489" s="47"/>
    </row>
    <row r="490" customFormat="false" ht="15" hidden="false" customHeight="false" outlineLevel="0" collapsed="false">
      <c r="C490" s="44"/>
      <c r="D490" s="45"/>
      <c r="F490" s="46"/>
      <c r="G490" s="44"/>
      <c r="H490" s="44"/>
      <c r="J490" s="47"/>
    </row>
    <row r="491" customFormat="false" ht="15" hidden="false" customHeight="false" outlineLevel="0" collapsed="false">
      <c r="C491" s="44"/>
      <c r="D491" s="45"/>
      <c r="F491" s="46"/>
      <c r="G491" s="44"/>
      <c r="H491" s="44"/>
      <c r="J491" s="47"/>
    </row>
    <row r="492" customFormat="false" ht="15" hidden="false" customHeight="false" outlineLevel="0" collapsed="false">
      <c r="C492" s="44"/>
      <c r="D492" s="45"/>
      <c r="F492" s="46"/>
      <c r="G492" s="44"/>
      <c r="H492" s="44"/>
      <c r="J492" s="47"/>
    </row>
    <row r="493" customFormat="false" ht="15" hidden="false" customHeight="false" outlineLevel="0" collapsed="false">
      <c r="C493" s="44"/>
      <c r="D493" s="45"/>
      <c r="F493" s="46"/>
      <c r="G493" s="44"/>
      <c r="H493" s="44"/>
      <c r="J493" s="47"/>
    </row>
    <row r="494" customFormat="false" ht="15" hidden="false" customHeight="false" outlineLevel="0" collapsed="false">
      <c r="C494" s="44"/>
      <c r="D494" s="45"/>
      <c r="F494" s="46"/>
      <c r="G494" s="44"/>
      <c r="H494" s="44"/>
      <c r="J494" s="47"/>
    </row>
    <row r="495" customFormat="false" ht="15" hidden="false" customHeight="false" outlineLevel="0" collapsed="false">
      <c r="C495" s="44"/>
      <c r="D495" s="45"/>
      <c r="F495" s="46"/>
      <c r="G495" s="44"/>
      <c r="H495" s="44"/>
      <c r="J495" s="47"/>
    </row>
    <row r="496" customFormat="false" ht="15" hidden="false" customHeight="false" outlineLevel="0" collapsed="false">
      <c r="C496" s="44"/>
      <c r="D496" s="45"/>
      <c r="F496" s="46"/>
      <c r="G496" s="44"/>
      <c r="H496" s="44"/>
      <c r="J496" s="47"/>
    </row>
    <row r="497" customFormat="false" ht="15" hidden="false" customHeight="false" outlineLevel="0" collapsed="false">
      <c r="C497" s="44"/>
      <c r="D497" s="45"/>
      <c r="F497" s="46"/>
      <c r="G497" s="44"/>
      <c r="H497" s="44"/>
      <c r="J497" s="47"/>
    </row>
    <row r="498" customFormat="false" ht="15" hidden="false" customHeight="false" outlineLevel="0" collapsed="false">
      <c r="C498" s="44"/>
      <c r="D498" s="45"/>
      <c r="F498" s="46"/>
      <c r="G498" s="44"/>
      <c r="H498" s="44"/>
      <c r="J498" s="47"/>
    </row>
    <row r="499" customFormat="false" ht="15" hidden="false" customHeight="false" outlineLevel="0" collapsed="false">
      <c r="C499" s="44"/>
      <c r="D499" s="45"/>
      <c r="F499" s="46"/>
      <c r="G499" s="44"/>
      <c r="H499" s="44"/>
      <c r="J499" s="47"/>
    </row>
    <row r="500" customFormat="false" ht="15" hidden="false" customHeight="false" outlineLevel="0" collapsed="false">
      <c r="C500" s="44"/>
      <c r="D500" s="45"/>
      <c r="F500" s="46"/>
      <c r="G500" s="44"/>
      <c r="H500" s="44"/>
      <c r="J500" s="47"/>
    </row>
    <row r="501" customFormat="false" ht="15" hidden="false" customHeight="false" outlineLevel="0" collapsed="false">
      <c r="C501" s="44"/>
      <c r="D501" s="45"/>
      <c r="F501" s="46"/>
      <c r="G501" s="44"/>
      <c r="H501" s="44"/>
      <c r="J501" s="47"/>
    </row>
    <row r="502" customFormat="false" ht="15" hidden="false" customHeight="false" outlineLevel="0" collapsed="false">
      <c r="C502" s="44"/>
      <c r="D502" s="45"/>
      <c r="F502" s="46"/>
      <c r="G502" s="44"/>
      <c r="H502" s="44"/>
      <c r="J502" s="47"/>
    </row>
    <row r="503" customFormat="false" ht="15" hidden="false" customHeight="false" outlineLevel="0" collapsed="false">
      <c r="C503" s="44"/>
      <c r="D503" s="45"/>
      <c r="F503" s="46"/>
      <c r="G503" s="44"/>
      <c r="H503" s="44"/>
      <c r="J503" s="47"/>
    </row>
    <row r="504" customFormat="false" ht="15" hidden="false" customHeight="false" outlineLevel="0" collapsed="false">
      <c r="C504" s="44"/>
      <c r="D504" s="45"/>
      <c r="F504" s="46"/>
      <c r="G504" s="44"/>
      <c r="H504" s="44"/>
      <c r="J504" s="47"/>
    </row>
    <row r="505" customFormat="false" ht="15" hidden="false" customHeight="false" outlineLevel="0" collapsed="false">
      <c r="C505" s="44"/>
      <c r="D505" s="45"/>
      <c r="F505" s="46"/>
      <c r="G505" s="44"/>
      <c r="H505" s="44"/>
      <c r="J505" s="47"/>
    </row>
    <row r="506" customFormat="false" ht="15" hidden="false" customHeight="false" outlineLevel="0" collapsed="false">
      <c r="C506" s="44"/>
      <c r="D506" s="45"/>
      <c r="F506" s="46"/>
      <c r="G506" s="44"/>
      <c r="H506" s="44"/>
      <c r="J506" s="47"/>
    </row>
    <row r="507" customFormat="false" ht="15" hidden="false" customHeight="false" outlineLevel="0" collapsed="false">
      <c r="C507" s="44"/>
      <c r="D507" s="45"/>
      <c r="F507" s="46"/>
      <c r="G507" s="44"/>
      <c r="H507" s="44"/>
      <c r="J507" s="47"/>
    </row>
    <row r="508" customFormat="false" ht="15" hidden="false" customHeight="false" outlineLevel="0" collapsed="false">
      <c r="C508" s="44"/>
      <c r="D508" s="45"/>
      <c r="F508" s="46"/>
      <c r="G508" s="44"/>
      <c r="H508" s="44"/>
      <c r="J508" s="47"/>
    </row>
    <row r="509" customFormat="false" ht="15" hidden="false" customHeight="false" outlineLevel="0" collapsed="false">
      <c r="C509" s="44"/>
      <c r="D509" s="45"/>
      <c r="F509" s="46"/>
      <c r="G509" s="44"/>
      <c r="H509" s="44"/>
      <c r="J509" s="47"/>
    </row>
    <row r="510" customFormat="false" ht="15" hidden="false" customHeight="false" outlineLevel="0" collapsed="false">
      <c r="C510" s="44"/>
      <c r="D510" s="45"/>
      <c r="F510" s="46"/>
      <c r="G510" s="44"/>
      <c r="H510" s="44"/>
      <c r="J510" s="47"/>
    </row>
    <row r="511" customFormat="false" ht="15" hidden="false" customHeight="false" outlineLevel="0" collapsed="false">
      <c r="C511" s="44"/>
      <c r="D511" s="45"/>
      <c r="F511" s="46"/>
      <c r="G511" s="44"/>
      <c r="H511" s="44"/>
      <c r="J511" s="47"/>
    </row>
    <row r="512" customFormat="false" ht="15" hidden="false" customHeight="false" outlineLevel="0" collapsed="false">
      <c r="C512" s="44"/>
      <c r="D512" s="45"/>
      <c r="F512" s="46"/>
      <c r="G512" s="44"/>
      <c r="H512" s="44"/>
      <c r="J512" s="47"/>
    </row>
    <row r="513" customFormat="false" ht="15" hidden="false" customHeight="false" outlineLevel="0" collapsed="false">
      <c r="C513" s="44"/>
      <c r="D513" s="45"/>
      <c r="F513" s="46"/>
      <c r="G513" s="44"/>
      <c r="H513" s="44"/>
      <c r="J513" s="47"/>
    </row>
    <row r="514" customFormat="false" ht="15" hidden="false" customHeight="false" outlineLevel="0" collapsed="false">
      <c r="C514" s="44"/>
      <c r="D514" s="45"/>
      <c r="F514" s="46"/>
      <c r="G514" s="44"/>
      <c r="H514" s="44"/>
      <c r="J514" s="47"/>
    </row>
    <row r="515" customFormat="false" ht="15" hidden="false" customHeight="false" outlineLevel="0" collapsed="false">
      <c r="C515" s="44"/>
      <c r="D515" s="45"/>
      <c r="F515" s="46"/>
      <c r="G515" s="44"/>
      <c r="H515" s="44"/>
      <c r="J515" s="47"/>
    </row>
    <row r="516" customFormat="false" ht="15" hidden="false" customHeight="false" outlineLevel="0" collapsed="false">
      <c r="C516" s="44"/>
      <c r="D516" s="45"/>
      <c r="F516" s="46"/>
      <c r="G516" s="44"/>
      <c r="H516" s="44"/>
      <c r="J516" s="47"/>
    </row>
    <row r="517" customFormat="false" ht="15" hidden="false" customHeight="false" outlineLevel="0" collapsed="false">
      <c r="C517" s="44"/>
      <c r="D517" s="45"/>
      <c r="F517" s="46"/>
      <c r="G517" s="44"/>
      <c r="H517" s="44"/>
      <c r="J517" s="47"/>
    </row>
    <row r="518" customFormat="false" ht="15" hidden="false" customHeight="false" outlineLevel="0" collapsed="false">
      <c r="C518" s="44"/>
      <c r="D518" s="45"/>
      <c r="F518" s="46"/>
      <c r="G518" s="44"/>
      <c r="H518" s="44"/>
      <c r="J518" s="47"/>
    </row>
    <row r="519" customFormat="false" ht="15" hidden="false" customHeight="false" outlineLevel="0" collapsed="false">
      <c r="C519" s="44"/>
      <c r="D519" s="45"/>
      <c r="F519" s="46"/>
      <c r="G519" s="44"/>
      <c r="H519" s="44"/>
      <c r="J519" s="47"/>
    </row>
    <row r="520" customFormat="false" ht="15" hidden="false" customHeight="false" outlineLevel="0" collapsed="false">
      <c r="C520" s="44"/>
      <c r="D520" s="45"/>
      <c r="F520" s="46"/>
      <c r="G520" s="44"/>
      <c r="H520" s="44"/>
      <c r="J520" s="47"/>
    </row>
    <row r="521" customFormat="false" ht="15" hidden="false" customHeight="false" outlineLevel="0" collapsed="false">
      <c r="C521" s="44"/>
      <c r="D521" s="45"/>
      <c r="F521" s="46"/>
      <c r="G521" s="44"/>
      <c r="H521" s="44"/>
      <c r="J521" s="47"/>
    </row>
    <row r="522" customFormat="false" ht="15" hidden="false" customHeight="false" outlineLevel="0" collapsed="false">
      <c r="C522" s="44"/>
      <c r="D522" s="45"/>
      <c r="F522" s="46"/>
      <c r="G522" s="44"/>
      <c r="H522" s="44"/>
      <c r="J522" s="47"/>
    </row>
    <row r="523" customFormat="false" ht="15" hidden="false" customHeight="false" outlineLevel="0" collapsed="false">
      <c r="C523" s="44"/>
      <c r="D523" s="45"/>
      <c r="F523" s="46"/>
      <c r="G523" s="44"/>
      <c r="H523" s="44"/>
      <c r="J523" s="47"/>
    </row>
    <row r="524" customFormat="false" ht="15" hidden="false" customHeight="false" outlineLevel="0" collapsed="false">
      <c r="C524" s="44"/>
      <c r="D524" s="45"/>
      <c r="F524" s="46"/>
      <c r="G524" s="44"/>
      <c r="H524" s="44"/>
      <c r="J524" s="47"/>
    </row>
    <row r="525" customFormat="false" ht="15" hidden="false" customHeight="false" outlineLevel="0" collapsed="false">
      <c r="C525" s="44"/>
      <c r="D525" s="45"/>
      <c r="F525" s="46"/>
      <c r="G525" s="44"/>
      <c r="H525" s="44"/>
      <c r="J525" s="47"/>
    </row>
    <row r="526" customFormat="false" ht="15" hidden="false" customHeight="false" outlineLevel="0" collapsed="false">
      <c r="C526" s="44"/>
      <c r="D526" s="45"/>
      <c r="F526" s="46"/>
      <c r="G526" s="44"/>
      <c r="H526" s="44"/>
      <c r="J526" s="47"/>
    </row>
    <row r="527" customFormat="false" ht="15" hidden="false" customHeight="false" outlineLevel="0" collapsed="false">
      <c r="C527" s="44"/>
      <c r="D527" s="45"/>
      <c r="F527" s="46"/>
      <c r="G527" s="44"/>
      <c r="H527" s="44"/>
      <c r="J527" s="47"/>
    </row>
    <row r="528" customFormat="false" ht="15" hidden="false" customHeight="false" outlineLevel="0" collapsed="false">
      <c r="C528" s="44"/>
      <c r="D528" s="45"/>
      <c r="F528" s="46"/>
      <c r="G528" s="44"/>
      <c r="H528" s="44"/>
      <c r="J528" s="47"/>
    </row>
    <row r="529" customFormat="false" ht="15" hidden="false" customHeight="false" outlineLevel="0" collapsed="false">
      <c r="C529" s="44"/>
      <c r="D529" s="45"/>
      <c r="F529" s="46"/>
      <c r="G529" s="44"/>
      <c r="H529" s="44"/>
      <c r="J529" s="47"/>
    </row>
    <row r="530" customFormat="false" ht="15" hidden="false" customHeight="false" outlineLevel="0" collapsed="false">
      <c r="C530" s="44"/>
      <c r="D530" s="45"/>
      <c r="F530" s="46"/>
      <c r="G530" s="44"/>
      <c r="H530" s="44"/>
      <c r="J530" s="47"/>
    </row>
    <row r="531" customFormat="false" ht="15" hidden="false" customHeight="false" outlineLevel="0" collapsed="false">
      <c r="C531" s="44"/>
      <c r="D531" s="45"/>
      <c r="F531" s="46"/>
      <c r="G531" s="44"/>
      <c r="H531" s="44"/>
      <c r="J531" s="47"/>
    </row>
    <row r="532" customFormat="false" ht="15" hidden="false" customHeight="false" outlineLevel="0" collapsed="false">
      <c r="C532" s="44"/>
      <c r="D532" s="45"/>
      <c r="F532" s="46"/>
      <c r="G532" s="44"/>
      <c r="H532" s="44"/>
      <c r="J532" s="47"/>
    </row>
    <row r="533" customFormat="false" ht="15" hidden="false" customHeight="false" outlineLevel="0" collapsed="false">
      <c r="C533" s="44"/>
      <c r="D533" s="45"/>
      <c r="F533" s="46"/>
      <c r="G533" s="44"/>
      <c r="H533" s="44"/>
      <c r="J533" s="47"/>
    </row>
    <row r="534" customFormat="false" ht="15" hidden="false" customHeight="false" outlineLevel="0" collapsed="false">
      <c r="C534" s="44"/>
      <c r="D534" s="45"/>
      <c r="F534" s="46"/>
      <c r="G534" s="44"/>
      <c r="H534" s="44"/>
      <c r="J534" s="47"/>
    </row>
    <row r="535" customFormat="false" ht="15" hidden="false" customHeight="false" outlineLevel="0" collapsed="false">
      <c r="C535" s="44"/>
      <c r="D535" s="45"/>
      <c r="F535" s="46"/>
      <c r="G535" s="44"/>
      <c r="H535" s="44"/>
      <c r="J535" s="47"/>
    </row>
    <row r="536" customFormat="false" ht="15" hidden="false" customHeight="false" outlineLevel="0" collapsed="false">
      <c r="C536" s="44"/>
      <c r="D536" s="45"/>
      <c r="F536" s="46"/>
      <c r="G536" s="44"/>
      <c r="H536" s="44"/>
      <c r="J536" s="47"/>
    </row>
    <row r="537" customFormat="false" ht="15" hidden="false" customHeight="false" outlineLevel="0" collapsed="false">
      <c r="C537" s="44"/>
      <c r="D537" s="45"/>
      <c r="F537" s="46"/>
      <c r="G537" s="44"/>
      <c r="H537" s="44"/>
      <c r="J537" s="47"/>
    </row>
    <row r="538" customFormat="false" ht="15" hidden="false" customHeight="false" outlineLevel="0" collapsed="false">
      <c r="C538" s="44"/>
      <c r="D538" s="45"/>
      <c r="F538" s="46"/>
      <c r="G538" s="44"/>
      <c r="H538" s="44"/>
      <c r="J538" s="47"/>
    </row>
    <row r="539" customFormat="false" ht="15" hidden="false" customHeight="false" outlineLevel="0" collapsed="false">
      <c r="C539" s="44"/>
      <c r="D539" s="45"/>
      <c r="F539" s="46"/>
      <c r="G539" s="44"/>
      <c r="H539" s="44"/>
      <c r="J539" s="47"/>
    </row>
    <row r="540" customFormat="false" ht="15" hidden="false" customHeight="false" outlineLevel="0" collapsed="false">
      <c r="C540" s="44"/>
      <c r="D540" s="45"/>
      <c r="F540" s="46"/>
      <c r="G540" s="44"/>
      <c r="H540" s="44"/>
      <c r="J540" s="47"/>
    </row>
    <row r="541" customFormat="false" ht="15" hidden="false" customHeight="false" outlineLevel="0" collapsed="false">
      <c r="C541" s="44"/>
      <c r="D541" s="45"/>
      <c r="F541" s="46"/>
      <c r="G541" s="44"/>
      <c r="H541" s="44"/>
      <c r="J541" s="47"/>
    </row>
    <row r="542" customFormat="false" ht="15" hidden="false" customHeight="false" outlineLevel="0" collapsed="false">
      <c r="C542" s="44"/>
      <c r="D542" s="45"/>
      <c r="F542" s="46"/>
      <c r="G542" s="44"/>
      <c r="H542" s="44"/>
      <c r="J542" s="47"/>
    </row>
    <row r="543" customFormat="false" ht="15" hidden="false" customHeight="false" outlineLevel="0" collapsed="false">
      <c r="C543" s="44"/>
      <c r="D543" s="45"/>
      <c r="F543" s="46"/>
      <c r="G543" s="44"/>
      <c r="H543" s="44"/>
      <c r="J543" s="47"/>
    </row>
    <row r="544" customFormat="false" ht="15" hidden="false" customHeight="false" outlineLevel="0" collapsed="false">
      <c r="C544" s="44"/>
      <c r="D544" s="45"/>
      <c r="F544" s="46"/>
      <c r="G544" s="44"/>
      <c r="H544" s="44"/>
      <c r="J544" s="47"/>
    </row>
    <row r="545" customFormat="false" ht="15" hidden="false" customHeight="false" outlineLevel="0" collapsed="false">
      <c r="C545" s="44"/>
      <c r="D545" s="45"/>
      <c r="F545" s="46"/>
      <c r="G545" s="44"/>
      <c r="H545" s="44"/>
      <c r="J545" s="47"/>
    </row>
    <row r="546" customFormat="false" ht="15" hidden="false" customHeight="false" outlineLevel="0" collapsed="false">
      <c r="C546" s="44"/>
      <c r="D546" s="45"/>
      <c r="F546" s="46"/>
      <c r="G546" s="44"/>
      <c r="H546" s="44"/>
      <c r="J546" s="47"/>
    </row>
    <row r="547" customFormat="false" ht="15" hidden="false" customHeight="false" outlineLevel="0" collapsed="false">
      <c r="C547" s="44"/>
      <c r="D547" s="45"/>
      <c r="F547" s="46"/>
      <c r="G547" s="44"/>
      <c r="H547" s="44"/>
      <c r="J547" s="47"/>
    </row>
    <row r="548" customFormat="false" ht="15" hidden="false" customHeight="false" outlineLevel="0" collapsed="false">
      <c r="C548" s="44"/>
      <c r="D548" s="45"/>
      <c r="F548" s="46"/>
      <c r="G548" s="44"/>
      <c r="H548" s="44"/>
      <c r="J548" s="47"/>
    </row>
    <row r="549" customFormat="false" ht="15" hidden="false" customHeight="false" outlineLevel="0" collapsed="false">
      <c r="C549" s="44"/>
      <c r="D549" s="45"/>
      <c r="F549" s="46"/>
      <c r="G549" s="44"/>
      <c r="H549" s="44"/>
      <c r="J549" s="47"/>
    </row>
    <row r="550" customFormat="false" ht="15" hidden="false" customHeight="false" outlineLevel="0" collapsed="false">
      <c r="C550" s="44"/>
      <c r="D550" s="45"/>
      <c r="F550" s="46"/>
      <c r="G550" s="44"/>
      <c r="H550" s="44"/>
      <c r="J550" s="47"/>
    </row>
    <row r="551" customFormat="false" ht="15" hidden="false" customHeight="false" outlineLevel="0" collapsed="false">
      <c r="C551" s="44"/>
      <c r="D551" s="45"/>
      <c r="F551" s="46"/>
      <c r="G551" s="44"/>
      <c r="H551" s="44"/>
      <c r="J551" s="47"/>
    </row>
    <row r="552" customFormat="false" ht="15" hidden="false" customHeight="false" outlineLevel="0" collapsed="false">
      <c r="C552" s="44"/>
      <c r="D552" s="45"/>
      <c r="F552" s="46"/>
      <c r="G552" s="44"/>
      <c r="H552" s="44"/>
      <c r="J552" s="47"/>
    </row>
    <row r="553" customFormat="false" ht="15" hidden="false" customHeight="false" outlineLevel="0" collapsed="false">
      <c r="C553" s="44"/>
      <c r="D553" s="45"/>
      <c r="F553" s="46"/>
      <c r="G553" s="44"/>
      <c r="H553" s="44"/>
      <c r="J553" s="47"/>
    </row>
    <row r="554" customFormat="false" ht="15" hidden="false" customHeight="false" outlineLevel="0" collapsed="false">
      <c r="C554" s="44"/>
      <c r="D554" s="45"/>
      <c r="F554" s="46"/>
      <c r="G554" s="44"/>
      <c r="H554" s="44"/>
      <c r="J554" s="47"/>
    </row>
    <row r="555" customFormat="false" ht="15" hidden="false" customHeight="false" outlineLevel="0" collapsed="false">
      <c r="C555" s="44"/>
      <c r="D555" s="45"/>
      <c r="F555" s="46"/>
      <c r="G555" s="44"/>
      <c r="H555" s="44"/>
      <c r="J555" s="47"/>
    </row>
    <row r="556" customFormat="false" ht="15" hidden="false" customHeight="false" outlineLevel="0" collapsed="false">
      <c r="C556" s="44"/>
      <c r="D556" s="45"/>
      <c r="F556" s="46"/>
      <c r="G556" s="44"/>
      <c r="H556" s="44"/>
      <c r="J556" s="47"/>
    </row>
    <row r="557" customFormat="false" ht="15" hidden="false" customHeight="false" outlineLevel="0" collapsed="false">
      <c r="C557" s="44"/>
      <c r="D557" s="45"/>
      <c r="F557" s="46"/>
      <c r="G557" s="44"/>
      <c r="H557" s="44"/>
      <c r="J557" s="47"/>
    </row>
    <row r="558" customFormat="false" ht="15" hidden="false" customHeight="false" outlineLevel="0" collapsed="false">
      <c r="C558" s="44"/>
      <c r="D558" s="45"/>
      <c r="F558" s="46"/>
      <c r="G558" s="44"/>
      <c r="H558" s="44"/>
      <c r="J558" s="47"/>
    </row>
    <row r="559" customFormat="false" ht="15" hidden="false" customHeight="false" outlineLevel="0" collapsed="false">
      <c r="C559" s="44"/>
      <c r="D559" s="45"/>
      <c r="F559" s="46"/>
      <c r="G559" s="44"/>
      <c r="H559" s="44"/>
      <c r="J559" s="47"/>
    </row>
    <row r="560" customFormat="false" ht="15" hidden="false" customHeight="false" outlineLevel="0" collapsed="false">
      <c r="C560" s="44"/>
      <c r="D560" s="45"/>
      <c r="F560" s="46"/>
      <c r="G560" s="44"/>
      <c r="H560" s="44"/>
      <c r="J560" s="47"/>
    </row>
    <row r="561" customFormat="false" ht="15" hidden="false" customHeight="false" outlineLevel="0" collapsed="false">
      <c r="C561" s="44"/>
      <c r="D561" s="45"/>
      <c r="F561" s="46"/>
      <c r="G561" s="44"/>
      <c r="H561" s="44"/>
      <c r="J561" s="47"/>
    </row>
    <row r="562" customFormat="false" ht="15" hidden="false" customHeight="false" outlineLevel="0" collapsed="false">
      <c r="C562" s="44"/>
      <c r="D562" s="45"/>
      <c r="F562" s="46"/>
      <c r="G562" s="44"/>
      <c r="H562" s="44"/>
      <c r="J562" s="47"/>
    </row>
    <row r="563" customFormat="false" ht="15" hidden="false" customHeight="false" outlineLevel="0" collapsed="false">
      <c r="C563" s="44"/>
      <c r="D563" s="45"/>
      <c r="F563" s="46"/>
      <c r="G563" s="44"/>
      <c r="H563" s="44"/>
      <c r="J563" s="47"/>
    </row>
    <row r="564" customFormat="false" ht="15" hidden="false" customHeight="false" outlineLevel="0" collapsed="false">
      <c r="C564" s="44"/>
      <c r="D564" s="45"/>
      <c r="F564" s="46"/>
      <c r="G564" s="44"/>
      <c r="H564" s="44"/>
      <c r="J564" s="47"/>
    </row>
    <row r="565" customFormat="false" ht="15" hidden="false" customHeight="false" outlineLevel="0" collapsed="false">
      <c r="C565" s="44"/>
      <c r="D565" s="45"/>
      <c r="F565" s="46"/>
      <c r="G565" s="44"/>
      <c r="H565" s="44"/>
      <c r="J565" s="47"/>
    </row>
    <row r="566" customFormat="false" ht="15" hidden="false" customHeight="false" outlineLevel="0" collapsed="false">
      <c r="C566" s="44"/>
      <c r="D566" s="45"/>
      <c r="F566" s="46"/>
      <c r="G566" s="44"/>
      <c r="H566" s="44"/>
      <c r="J566" s="47"/>
    </row>
    <row r="567" customFormat="false" ht="15" hidden="false" customHeight="false" outlineLevel="0" collapsed="false">
      <c r="C567" s="44"/>
      <c r="D567" s="45"/>
      <c r="F567" s="46"/>
      <c r="G567" s="44"/>
      <c r="H567" s="44"/>
      <c r="J567" s="47"/>
    </row>
    <row r="568" customFormat="false" ht="15" hidden="false" customHeight="false" outlineLevel="0" collapsed="false">
      <c r="C568" s="44"/>
      <c r="D568" s="45"/>
      <c r="F568" s="46"/>
      <c r="G568" s="44"/>
      <c r="H568" s="44"/>
      <c r="J568" s="47"/>
    </row>
    <row r="569" customFormat="false" ht="15" hidden="false" customHeight="false" outlineLevel="0" collapsed="false">
      <c r="C569" s="44"/>
      <c r="D569" s="45"/>
      <c r="F569" s="46"/>
      <c r="G569" s="44"/>
      <c r="H569" s="44"/>
      <c r="J569" s="47"/>
    </row>
    <row r="570" customFormat="false" ht="15" hidden="false" customHeight="false" outlineLevel="0" collapsed="false">
      <c r="C570" s="44"/>
      <c r="D570" s="45"/>
      <c r="F570" s="46"/>
      <c r="G570" s="44"/>
      <c r="H570" s="44"/>
      <c r="J570" s="47"/>
    </row>
    <row r="571" customFormat="false" ht="15" hidden="false" customHeight="false" outlineLevel="0" collapsed="false">
      <c r="C571" s="44"/>
      <c r="D571" s="45"/>
      <c r="F571" s="46"/>
      <c r="G571" s="44"/>
      <c r="H571" s="44"/>
      <c r="J571" s="47"/>
    </row>
    <row r="572" customFormat="false" ht="15" hidden="false" customHeight="false" outlineLevel="0" collapsed="false">
      <c r="C572" s="44"/>
      <c r="D572" s="45"/>
      <c r="F572" s="46"/>
      <c r="G572" s="44"/>
      <c r="H572" s="44"/>
      <c r="J572" s="47"/>
    </row>
    <row r="573" customFormat="false" ht="15" hidden="false" customHeight="false" outlineLevel="0" collapsed="false">
      <c r="C573" s="44"/>
      <c r="D573" s="45"/>
      <c r="F573" s="46"/>
      <c r="G573" s="44"/>
      <c r="H573" s="44"/>
      <c r="J573" s="47"/>
    </row>
    <row r="574" customFormat="false" ht="15" hidden="false" customHeight="false" outlineLevel="0" collapsed="false">
      <c r="C574" s="44"/>
      <c r="D574" s="45"/>
      <c r="F574" s="46"/>
      <c r="G574" s="44"/>
      <c r="H574" s="44"/>
      <c r="J574" s="47"/>
    </row>
    <row r="575" customFormat="false" ht="15" hidden="false" customHeight="false" outlineLevel="0" collapsed="false">
      <c r="C575" s="44"/>
      <c r="D575" s="45"/>
      <c r="F575" s="46"/>
      <c r="G575" s="44"/>
      <c r="H575" s="44"/>
      <c r="J575" s="47"/>
    </row>
    <row r="576" customFormat="false" ht="15" hidden="false" customHeight="false" outlineLevel="0" collapsed="false">
      <c r="C576" s="44"/>
      <c r="D576" s="45"/>
      <c r="F576" s="46"/>
      <c r="G576" s="44"/>
      <c r="H576" s="44"/>
      <c r="J576" s="47"/>
    </row>
    <row r="577" customFormat="false" ht="15" hidden="false" customHeight="false" outlineLevel="0" collapsed="false">
      <c r="C577" s="44"/>
      <c r="D577" s="45"/>
      <c r="F577" s="46"/>
      <c r="G577" s="44"/>
      <c r="H577" s="44"/>
      <c r="J577" s="47"/>
    </row>
    <row r="578" customFormat="false" ht="15" hidden="false" customHeight="false" outlineLevel="0" collapsed="false">
      <c r="C578" s="44"/>
      <c r="D578" s="45"/>
      <c r="F578" s="46"/>
      <c r="G578" s="44"/>
      <c r="H578" s="44"/>
      <c r="J578" s="47"/>
    </row>
    <row r="579" customFormat="false" ht="15" hidden="false" customHeight="false" outlineLevel="0" collapsed="false">
      <c r="C579" s="44"/>
      <c r="D579" s="45"/>
      <c r="F579" s="46"/>
      <c r="G579" s="44"/>
      <c r="H579" s="44"/>
      <c r="J579" s="47"/>
    </row>
    <row r="580" customFormat="false" ht="15" hidden="false" customHeight="false" outlineLevel="0" collapsed="false">
      <c r="C580" s="44"/>
      <c r="D580" s="45"/>
      <c r="F580" s="46"/>
      <c r="G580" s="44"/>
      <c r="H580" s="44"/>
      <c r="J580" s="47"/>
    </row>
    <row r="581" customFormat="false" ht="15" hidden="false" customHeight="false" outlineLevel="0" collapsed="false">
      <c r="C581" s="44"/>
      <c r="D581" s="45"/>
      <c r="F581" s="46"/>
      <c r="G581" s="44"/>
      <c r="H581" s="44"/>
      <c r="J581" s="47"/>
    </row>
    <row r="582" customFormat="false" ht="15" hidden="false" customHeight="false" outlineLevel="0" collapsed="false">
      <c r="C582" s="44"/>
      <c r="D582" s="45"/>
      <c r="F582" s="46"/>
      <c r="G582" s="44"/>
      <c r="H582" s="44"/>
      <c r="J582" s="47"/>
    </row>
    <row r="583" customFormat="false" ht="15" hidden="false" customHeight="false" outlineLevel="0" collapsed="false">
      <c r="C583" s="44"/>
      <c r="D583" s="45"/>
      <c r="F583" s="46"/>
      <c r="G583" s="44"/>
      <c r="H583" s="44"/>
      <c r="J583" s="47"/>
    </row>
    <row r="584" customFormat="false" ht="15" hidden="false" customHeight="false" outlineLevel="0" collapsed="false">
      <c r="C584" s="44"/>
      <c r="D584" s="45"/>
      <c r="F584" s="46"/>
      <c r="G584" s="44"/>
      <c r="H584" s="44"/>
      <c r="J584" s="47"/>
    </row>
    <row r="585" customFormat="false" ht="15" hidden="false" customHeight="false" outlineLevel="0" collapsed="false">
      <c r="C585" s="44"/>
      <c r="D585" s="45"/>
      <c r="F585" s="46"/>
      <c r="G585" s="44"/>
      <c r="H585" s="44"/>
      <c r="J585" s="47"/>
    </row>
    <row r="586" customFormat="false" ht="15" hidden="false" customHeight="false" outlineLevel="0" collapsed="false">
      <c r="C586" s="44"/>
      <c r="D586" s="45"/>
      <c r="F586" s="46"/>
      <c r="G586" s="44"/>
      <c r="H586" s="44"/>
      <c r="J586" s="47"/>
    </row>
    <row r="587" customFormat="false" ht="15" hidden="false" customHeight="false" outlineLevel="0" collapsed="false">
      <c r="C587" s="44"/>
      <c r="D587" s="45"/>
      <c r="F587" s="46"/>
      <c r="G587" s="44"/>
      <c r="H587" s="44"/>
      <c r="J587" s="47"/>
    </row>
    <row r="588" customFormat="false" ht="15" hidden="false" customHeight="false" outlineLevel="0" collapsed="false">
      <c r="C588" s="44"/>
      <c r="D588" s="45"/>
      <c r="F588" s="46"/>
      <c r="G588" s="44"/>
      <c r="H588" s="44"/>
      <c r="J588" s="47"/>
    </row>
    <row r="589" customFormat="false" ht="15" hidden="false" customHeight="false" outlineLevel="0" collapsed="false">
      <c r="C589" s="44"/>
      <c r="D589" s="45"/>
      <c r="F589" s="46"/>
      <c r="G589" s="44"/>
      <c r="H589" s="44"/>
      <c r="J589" s="47"/>
    </row>
    <row r="590" customFormat="false" ht="15" hidden="false" customHeight="false" outlineLevel="0" collapsed="false">
      <c r="C590" s="44"/>
      <c r="D590" s="45"/>
      <c r="F590" s="46"/>
      <c r="G590" s="44"/>
      <c r="H590" s="44"/>
      <c r="J590" s="47"/>
    </row>
    <row r="591" customFormat="false" ht="15" hidden="false" customHeight="false" outlineLevel="0" collapsed="false">
      <c r="C591" s="44"/>
      <c r="D591" s="45"/>
      <c r="F591" s="46"/>
      <c r="G591" s="44"/>
      <c r="H591" s="44"/>
      <c r="J591" s="47"/>
    </row>
    <row r="592" customFormat="false" ht="15" hidden="false" customHeight="false" outlineLevel="0" collapsed="false">
      <c r="C592" s="44"/>
      <c r="D592" s="45"/>
      <c r="F592" s="46"/>
      <c r="G592" s="44"/>
      <c r="H592" s="44"/>
      <c r="J592" s="47"/>
    </row>
    <row r="593" customFormat="false" ht="15" hidden="false" customHeight="false" outlineLevel="0" collapsed="false">
      <c r="C593" s="44"/>
      <c r="D593" s="45"/>
      <c r="F593" s="46"/>
      <c r="G593" s="44"/>
      <c r="H593" s="44"/>
      <c r="J593" s="47"/>
    </row>
    <row r="594" customFormat="false" ht="15" hidden="false" customHeight="false" outlineLevel="0" collapsed="false">
      <c r="C594" s="44"/>
      <c r="D594" s="45"/>
      <c r="F594" s="46"/>
      <c r="G594" s="44"/>
      <c r="H594" s="44"/>
      <c r="J594" s="47"/>
    </row>
    <row r="595" customFormat="false" ht="15" hidden="false" customHeight="false" outlineLevel="0" collapsed="false">
      <c r="C595" s="44"/>
      <c r="D595" s="45"/>
      <c r="F595" s="46"/>
      <c r="G595" s="44"/>
      <c r="H595" s="44"/>
      <c r="J595" s="47"/>
    </row>
    <row r="596" customFormat="false" ht="15" hidden="false" customHeight="false" outlineLevel="0" collapsed="false">
      <c r="C596" s="44"/>
      <c r="D596" s="45"/>
      <c r="F596" s="46"/>
      <c r="G596" s="44"/>
      <c r="H596" s="44"/>
      <c r="J596" s="47"/>
    </row>
    <row r="597" customFormat="false" ht="15" hidden="false" customHeight="false" outlineLevel="0" collapsed="false">
      <c r="C597" s="44"/>
      <c r="D597" s="45"/>
      <c r="F597" s="46"/>
      <c r="G597" s="44"/>
      <c r="H597" s="44"/>
      <c r="J597" s="47"/>
    </row>
    <row r="598" customFormat="false" ht="15" hidden="false" customHeight="false" outlineLevel="0" collapsed="false">
      <c r="C598" s="44"/>
      <c r="D598" s="45"/>
      <c r="F598" s="46"/>
      <c r="G598" s="44"/>
      <c r="H598" s="44"/>
      <c r="J598" s="47"/>
    </row>
    <row r="599" customFormat="false" ht="15" hidden="false" customHeight="false" outlineLevel="0" collapsed="false">
      <c r="C599" s="44"/>
      <c r="D599" s="45"/>
      <c r="F599" s="46"/>
      <c r="G599" s="44"/>
      <c r="H599" s="44"/>
      <c r="J599" s="47"/>
    </row>
    <row r="600" customFormat="false" ht="15" hidden="false" customHeight="false" outlineLevel="0" collapsed="false">
      <c r="C600" s="44"/>
      <c r="D600" s="45"/>
      <c r="F600" s="46"/>
      <c r="G600" s="44"/>
      <c r="H600" s="44"/>
      <c r="J600" s="47"/>
    </row>
    <row r="601" customFormat="false" ht="15" hidden="false" customHeight="false" outlineLevel="0" collapsed="false">
      <c r="C601" s="44"/>
      <c r="D601" s="45"/>
      <c r="F601" s="46"/>
      <c r="G601" s="44"/>
      <c r="H601" s="44"/>
      <c r="J601" s="47"/>
    </row>
    <row r="602" customFormat="false" ht="15" hidden="false" customHeight="false" outlineLevel="0" collapsed="false">
      <c r="C602" s="44"/>
      <c r="D602" s="45"/>
      <c r="F602" s="46"/>
      <c r="G602" s="44"/>
      <c r="H602" s="44"/>
      <c r="J602" s="47"/>
    </row>
    <row r="603" customFormat="false" ht="15" hidden="false" customHeight="false" outlineLevel="0" collapsed="false">
      <c r="C603" s="44"/>
      <c r="D603" s="45"/>
      <c r="F603" s="46"/>
      <c r="G603" s="44"/>
      <c r="H603" s="44"/>
      <c r="J603" s="47"/>
    </row>
    <row r="604" customFormat="false" ht="15" hidden="false" customHeight="false" outlineLevel="0" collapsed="false">
      <c r="C604" s="44"/>
      <c r="D604" s="45"/>
      <c r="F604" s="46"/>
      <c r="G604" s="44"/>
      <c r="H604" s="44"/>
      <c r="J604" s="47"/>
    </row>
    <row r="605" customFormat="false" ht="15" hidden="false" customHeight="false" outlineLevel="0" collapsed="false">
      <c r="C605" s="44"/>
      <c r="D605" s="45"/>
      <c r="F605" s="46"/>
      <c r="G605" s="44"/>
      <c r="H605" s="44"/>
      <c r="J605" s="47"/>
    </row>
    <row r="606" customFormat="false" ht="15" hidden="false" customHeight="false" outlineLevel="0" collapsed="false">
      <c r="C606" s="44"/>
      <c r="D606" s="45"/>
      <c r="F606" s="46"/>
      <c r="G606" s="44"/>
      <c r="H606" s="44"/>
      <c r="J606" s="47"/>
    </row>
    <row r="607" customFormat="false" ht="15" hidden="false" customHeight="false" outlineLevel="0" collapsed="false">
      <c r="C607" s="44"/>
      <c r="D607" s="45"/>
      <c r="F607" s="46"/>
      <c r="G607" s="44"/>
      <c r="H607" s="44"/>
      <c r="J607" s="47"/>
    </row>
    <row r="608" customFormat="false" ht="15" hidden="false" customHeight="false" outlineLevel="0" collapsed="false">
      <c r="C608" s="44"/>
      <c r="D608" s="45"/>
      <c r="F608" s="46"/>
      <c r="G608" s="44"/>
      <c r="H608" s="44"/>
      <c r="J608" s="47"/>
    </row>
    <row r="609" customFormat="false" ht="15" hidden="false" customHeight="false" outlineLevel="0" collapsed="false">
      <c r="C609" s="44"/>
      <c r="D609" s="45"/>
      <c r="F609" s="46"/>
      <c r="G609" s="44"/>
      <c r="H609" s="44"/>
      <c r="J609" s="47"/>
    </row>
    <row r="610" customFormat="false" ht="15" hidden="false" customHeight="false" outlineLevel="0" collapsed="false">
      <c r="C610" s="44"/>
      <c r="D610" s="45"/>
      <c r="F610" s="46"/>
      <c r="G610" s="44"/>
      <c r="H610" s="44"/>
      <c r="J610" s="47"/>
    </row>
    <row r="611" customFormat="false" ht="15" hidden="false" customHeight="false" outlineLevel="0" collapsed="false">
      <c r="C611" s="44"/>
      <c r="D611" s="45"/>
      <c r="F611" s="46"/>
      <c r="G611" s="44"/>
      <c r="H611" s="44"/>
      <c r="J611" s="47"/>
    </row>
    <row r="612" customFormat="false" ht="15" hidden="false" customHeight="false" outlineLevel="0" collapsed="false">
      <c r="C612" s="44"/>
      <c r="D612" s="45"/>
      <c r="F612" s="46"/>
      <c r="G612" s="44"/>
      <c r="H612" s="44"/>
      <c r="J612" s="47"/>
    </row>
    <row r="613" customFormat="false" ht="15" hidden="false" customHeight="false" outlineLevel="0" collapsed="false">
      <c r="C613" s="44"/>
      <c r="D613" s="45"/>
      <c r="F613" s="46"/>
      <c r="G613" s="44"/>
      <c r="H613" s="44"/>
      <c r="J613" s="47"/>
    </row>
    <row r="614" customFormat="false" ht="15" hidden="false" customHeight="false" outlineLevel="0" collapsed="false">
      <c r="C614" s="44"/>
      <c r="D614" s="45"/>
      <c r="F614" s="46"/>
      <c r="G614" s="44"/>
      <c r="H614" s="44"/>
      <c r="J614" s="47"/>
    </row>
    <row r="615" customFormat="false" ht="15" hidden="false" customHeight="false" outlineLevel="0" collapsed="false">
      <c r="C615" s="44"/>
      <c r="D615" s="45"/>
      <c r="F615" s="46"/>
      <c r="G615" s="44"/>
      <c r="H615" s="44"/>
      <c r="J615" s="47"/>
    </row>
    <row r="616" customFormat="false" ht="15" hidden="false" customHeight="false" outlineLevel="0" collapsed="false">
      <c r="C616" s="44"/>
      <c r="D616" s="45"/>
      <c r="F616" s="46"/>
      <c r="G616" s="44"/>
      <c r="H616" s="44"/>
      <c r="J616" s="47"/>
    </row>
    <row r="617" customFormat="false" ht="15" hidden="false" customHeight="false" outlineLevel="0" collapsed="false">
      <c r="C617" s="44"/>
      <c r="D617" s="45"/>
      <c r="F617" s="46"/>
      <c r="G617" s="44"/>
      <c r="H617" s="44"/>
      <c r="J617" s="47"/>
    </row>
    <row r="618" customFormat="false" ht="15" hidden="false" customHeight="false" outlineLevel="0" collapsed="false">
      <c r="C618" s="44"/>
      <c r="D618" s="45"/>
      <c r="F618" s="46"/>
      <c r="G618" s="44"/>
      <c r="H618" s="44"/>
      <c r="J618" s="47"/>
    </row>
    <row r="619" customFormat="false" ht="15" hidden="false" customHeight="false" outlineLevel="0" collapsed="false">
      <c r="C619" s="44"/>
      <c r="D619" s="45"/>
      <c r="F619" s="46"/>
      <c r="G619" s="44"/>
      <c r="H619" s="44"/>
      <c r="J619" s="47"/>
    </row>
    <row r="620" customFormat="false" ht="15" hidden="false" customHeight="false" outlineLevel="0" collapsed="false">
      <c r="C620" s="44"/>
      <c r="D620" s="45"/>
      <c r="F620" s="46"/>
      <c r="G620" s="44"/>
      <c r="H620" s="44"/>
      <c r="J620" s="47"/>
    </row>
    <row r="621" customFormat="false" ht="15" hidden="false" customHeight="false" outlineLevel="0" collapsed="false">
      <c r="C621" s="44"/>
      <c r="D621" s="45"/>
      <c r="F621" s="46"/>
      <c r="G621" s="44"/>
      <c r="H621" s="44"/>
      <c r="J621" s="47"/>
    </row>
    <row r="622" customFormat="false" ht="15" hidden="false" customHeight="false" outlineLevel="0" collapsed="false">
      <c r="C622" s="44"/>
      <c r="D622" s="45"/>
      <c r="F622" s="46"/>
      <c r="G622" s="44"/>
      <c r="H622" s="44"/>
      <c r="J622" s="47"/>
    </row>
    <row r="623" customFormat="false" ht="15" hidden="false" customHeight="false" outlineLevel="0" collapsed="false">
      <c r="C623" s="44"/>
      <c r="D623" s="45"/>
      <c r="F623" s="46"/>
      <c r="G623" s="44"/>
      <c r="H623" s="44"/>
      <c r="J623" s="47"/>
    </row>
    <row r="624" customFormat="false" ht="15" hidden="false" customHeight="false" outlineLevel="0" collapsed="false">
      <c r="C624" s="44"/>
      <c r="D624" s="45"/>
      <c r="F624" s="46"/>
      <c r="G624" s="44"/>
      <c r="H624" s="44"/>
      <c r="J624" s="47"/>
    </row>
    <row r="625" customFormat="false" ht="15" hidden="false" customHeight="false" outlineLevel="0" collapsed="false">
      <c r="C625" s="44"/>
      <c r="D625" s="45"/>
      <c r="F625" s="46"/>
      <c r="G625" s="44"/>
      <c r="H625" s="44"/>
      <c r="J625" s="47"/>
    </row>
    <row r="626" customFormat="false" ht="15" hidden="false" customHeight="false" outlineLevel="0" collapsed="false">
      <c r="C626" s="44"/>
      <c r="D626" s="45"/>
      <c r="F626" s="46"/>
      <c r="G626" s="44"/>
      <c r="H626" s="44"/>
      <c r="J626" s="47"/>
    </row>
    <row r="627" customFormat="false" ht="15" hidden="false" customHeight="false" outlineLevel="0" collapsed="false">
      <c r="C627" s="44"/>
      <c r="D627" s="45"/>
      <c r="F627" s="46"/>
      <c r="G627" s="44"/>
      <c r="H627" s="44"/>
      <c r="J627" s="47"/>
    </row>
    <row r="628" customFormat="false" ht="15" hidden="false" customHeight="false" outlineLevel="0" collapsed="false">
      <c r="C628" s="44"/>
      <c r="D628" s="45"/>
      <c r="F628" s="46"/>
      <c r="G628" s="44"/>
      <c r="H628" s="44"/>
      <c r="J628" s="47"/>
    </row>
    <row r="629" customFormat="false" ht="15" hidden="false" customHeight="false" outlineLevel="0" collapsed="false">
      <c r="C629" s="44"/>
      <c r="D629" s="45"/>
      <c r="F629" s="46"/>
      <c r="G629" s="44"/>
      <c r="H629" s="44"/>
      <c r="J629" s="47"/>
    </row>
    <row r="630" customFormat="false" ht="15" hidden="false" customHeight="false" outlineLevel="0" collapsed="false">
      <c r="C630" s="44"/>
      <c r="D630" s="45"/>
      <c r="F630" s="46"/>
      <c r="G630" s="44"/>
      <c r="H630" s="44"/>
      <c r="J630" s="47"/>
    </row>
    <row r="631" customFormat="false" ht="15" hidden="false" customHeight="false" outlineLevel="0" collapsed="false">
      <c r="C631" s="44"/>
      <c r="D631" s="45"/>
      <c r="F631" s="46"/>
      <c r="G631" s="44"/>
      <c r="H631" s="44"/>
      <c r="J631" s="47"/>
    </row>
    <row r="632" customFormat="false" ht="15" hidden="false" customHeight="false" outlineLevel="0" collapsed="false">
      <c r="C632" s="44"/>
      <c r="D632" s="45"/>
      <c r="F632" s="46"/>
      <c r="G632" s="44"/>
      <c r="H632" s="44"/>
      <c r="J632" s="47"/>
    </row>
    <row r="633" customFormat="false" ht="15" hidden="false" customHeight="false" outlineLevel="0" collapsed="false">
      <c r="C633" s="44"/>
      <c r="D633" s="45"/>
      <c r="F633" s="46"/>
      <c r="G633" s="44"/>
      <c r="H633" s="44"/>
      <c r="J633" s="47"/>
    </row>
    <row r="634" customFormat="false" ht="15" hidden="false" customHeight="false" outlineLevel="0" collapsed="false">
      <c r="C634" s="44"/>
      <c r="D634" s="45"/>
      <c r="F634" s="46"/>
      <c r="G634" s="44"/>
      <c r="H634" s="44"/>
      <c r="J634" s="47"/>
    </row>
    <row r="635" customFormat="false" ht="15" hidden="false" customHeight="false" outlineLevel="0" collapsed="false">
      <c r="C635" s="44"/>
      <c r="D635" s="45"/>
      <c r="F635" s="46"/>
      <c r="G635" s="44"/>
      <c r="H635" s="44"/>
      <c r="J635" s="47"/>
    </row>
    <row r="636" customFormat="false" ht="15" hidden="false" customHeight="false" outlineLevel="0" collapsed="false">
      <c r="C636" s="44"/>
      <c r="D636" s="45"/>
      <c r="F636" s="46"/>
      <c r="G636" s="44"/>
      <c r="H636" s="44"/>
      <c r="J636" s="47"/>
    </row>
    <row r="637" customFormat="false" ht="15" hidden="false" customHeight="false" outlineLevel="0" collapsed="false">
      <c r="C637" s="44"/>
      <c r="D637" s="45"/>
      <c r="F637" s="46"/>
      <c r="G637" s="44"/>
      <c r="H637" s="44"/>
      <c r="J637" s="47"/>
    </row>
    <row r="638" customFormat="false" ht="15" hidden="false" customHeight="false" outlineLevel="0" collapsed="false">
      <c r="C638" s="44"/>
      <c r="D638" s="45"/>
      <c r="F638" s="46"/>
      <c r="G638" s="44"/>
      <c r="H638" s="44"/>
      <c r="J638" s="47"/>
    </row>
    <row r="639" customFormat="false" ht="15" hidden="false" customHeight="false" outlineLevel="0" collapsed="false">
      <c r="C639" s="44"/>
      <c r="D639" s="45"/>
      <c r="F639" s="46"/>
      <c r="G639" s="44"/>
      <c r="H639" s="44"/>
      <c r="J639" s="47"/>
    </row>
    <row r="640" customFormat="false" ht="15" hidden="false" customHeight="false" outlineLevel="0" collapsed="false">
      <c r="C640" s="44"/>
      <c r="D640" s="45"/>
      <c r="F640" s="46"/>
      <c r="G640" s="44"/>
      <c r="H640" s="44"/>
      <c r="J640" s="47"/>
    </row>
    <row r="641" customFormat="false" ht="15" hidden="false" customHeight="false" outlineLevel="0" collapsed="false">
      <c r="C641" s="44"/>
      <c r="D641" s="45"/>
      <c r="F641" s="46"/>
      <c r="G641" s="44"/>
      <c r="H641" s="44"/>
      <c r="J641" s="47"/>
    </row>
    <row r="642" customFormat="false" ht="15" hidden="false" customHeight="false" outlineLevel="0" collapsed="false">
      <c r="C642" s="44"/>
      <c r="D642" s="45"/>
      <c r="F642" s="46"/>
      <c r="G642" s="44"/>
      <c r="H642" s="44"/>
      <c r="J642" s="47"/>
    </row>
    <row r="643" customFormat="false" ht="15" hidden="false" customHeight="false" outlineLevel="0" collapsed="false">
      <c r="C643" s="44"/>
      <c r="D643" s="45"/>
      <c r="F643" s="46"/>
      <c r="G643" s="44"/>
      <c r="H643" s="44"/>
      <c r="J643" s="47"/>
    </row>
    <row r="644" customFormat="false" ht="15" hidden="false" customHeight="false" outlineLevel="0" collapsed="false">
      <c r="C644" s="44"/>
      <c r="D644" s="45"/>
      <c r="F644" s="46"/>
      <c r="G644" s="44"/>
      <c r="H644" s="44"/>
      <c r="J644" s="47"/>
    </row>
    <row r="645" customFormat="false" ht="15" hidden="false" customHeight="false" outlineLevel="0" collapsed="false">
      <c r="C645" s="44"/>
      <c r="D645" s="45"/>
      <c r="F645" s="46"/>
      <c r="G645" s="44"/>
      <c r="H645" s="44"/>
      <c r="J645" s="47"/>
    </row>
    <row r="646" customFormat="false" ht="15" hidden="false" customHeight="false" outlineLevel="0" collapsed="false">
      <c r="C646" s="44"/>
      <c r="D646" s="45"/>
      <c r="F646" s="46"/>
      <c r="G646" s="44"/>
      <c r="H646" s="44"/>
      <c r="J646" s="47"/>
    </row>
    <row r="647" customFormat="false" ht="15" hidden="false" customHeight="false" outlineLevel="0" collapsed="false">
      <c r="C647" s="44"/>
      <c r="D647" s="45"/>
      <c r="F647" s="46"/>
      <c r="G647" s="44"/>
      <c r="H647" s="44"/>
      <c r="J647" s="47"/>
    </row>
    <row r="648" customFormat="false" ht="15" hidden="false" customHeight="false" outlineLevel="0" collapsed="false">
      <c r="C648" s="44"/>
      <c r="D648" s="45"/>
      <c r="F648" s="46"/>
      <c r="G648" s="44"/>
      <c r="H648" s="44"/>
      <c r="J648" s="47"/>
    </row>
    <row r="649" customFormat="false" ht="15" hidden="false" customHeight="false" outlineLevel="0" collapsed="false">
      <c r="C649" s="44"/>
      <c r="D649" s="45"/>
      <c r="F649" s="46"/>
      <c r="G649" s="44"/>
      <c r="H649" s="44"/>
      <c r="J649" s="47"/>
    </row>
    <row r="650" customFormat="false" ht="15" hidden="false" customHeight="false" outlineLevel="0" collapsed="false">
      <c r="C650" s="44"/>
      <c r="D650" s="45"/>
      <c r="F650" s="46"/>
      <c r="G650" s="44"/>
      <c r="H650" s="44"/>
      <c r="J650" s="47"/>
    </row>
    <row r="651" customFormat="false" ht="15" hidden="false" customHeight="false" outlineLevel="0" collapsed="false">
      <c r="C651" s="44"/>
      <c r="D651" s="45"/>
      <c r="F651" s="46"/>
      <c r="G651" s="44"/>
      <c r="H651" s="44"/>
      <c r="J651" s="47"/>
    </row>
    <row r="652" customFormat="false" ht="15" hidden="false" customHeight="false" outlineLevel="0" collapsed="false">
      <c r="C652" s="44"/>
      <c r="D652" s="45"/>
      <c r="F652" s="46"/>
      <c r="G652" s="44"/>
      <c r="H652" s="44"/>
      <c r="J652" s="47"/>
    </row>
    <row r="653" customFormat="false" ht="15" hidden="false" customHeight="false" outlineLevel="0" collapsed="false">
      <c r="C653" s="44"/>
      <c r="D653" s="45"/>
      <c r="F653" s="46"/>
      <c r="G653" s="44"/>
      <c r="H653" s="44"/>
      <c r="J653" s="47"/>
    </row>
    <row r="654" customFormat="false" ht="15" hidden="false" customHeight="false" outlineLevel="0" collapsed="false">
      <c r="C654" s="44"/>
      <c r="D654" s="45"/>
      <c r="F654" s="46"/>
      <c r="G654" s="44"/>
      <c r="H654" s="44"/>
      <c r="J654" s="47"/>
    </row>
    <row r="655" customFormat="false" ht="15" hidden="false" customHeight="false" outlineLevel="0" collapsed="false">
      <c r="C655" s="44"/>
      <c r="D655" s="45"/>
      <c r="F655" s="46"/>
      <c r="G655" s="44"/>
      <c r="H655" s="44"/>
      <c r="J655" s="47"/>
    </row>
    <row r="656" customFormat="false" ht="15" hidden="false" customHeight="false" outlineLevel="0" collapsed="false">
      <c r="C656" s="44"/>
      <c r="D656" s="45"/>
      <c r="F656" s="46"/>
      <c r="G656" s="44"/>
      <c r="H656" s="44"/>
      <c r="J656" s="47"/>
    </row>
    <row r="657" customFormat="false" ht="15" hidden="false" customHeight="false" outlineLevel="0" collapsed="false">
      <c r="C657" s="44"/>
      <c r="D657" s="45"/>
      <c r="F657" s="46"/>
      <c r="G657" s="44"/>
      <c r="H657" s="44"/>
      <c r="J657" s="47"/>
    </row>
    <row r="658" customFormat="false" ht="15" hidden="false" customHeight="false" outlineLevel="0" collapsed="false">
      <c r="C658" s="44"/>
      <c r="D658" s="45"/>
      <c r="F658" s="46"/>
      <c r="G658" s="44"/>
      <c r="H658" s="44"/>
      <c r="J658" s="47"/>
    </row>
    <row r="659" customFormat="false" ht="15" hidden="false" customHeight="false" outlineLevel="0" collapsed="false">
      <c r="C659" s="44"/>
      <c r="D659" s="45"/>
      <c r="F659" s="46"/>
      <c r="G659" s="44"/>
      <c r="H659" s="44"/>
      <c r="J659" s="47"/>
    </row>
    <row r="660" customFormat="false" ht="15" hidden="false" customHeight="false" outlineLevel="0" collapsed="false">
      <c r="C660" s="44"/>
      <c r="D660" s="45"/>
      <c r="F660" s="46"/>
      <c r="G660" s="44"/>
      <c r="H660" s="44"/>
      <c r="J660" s="47"/>
    </row>
    <row r="661" customFormat="false" ht="15" hidden="false" customHeight="false" outlineLevel="0" collapsed="false">
      <c r="C661" s="44"/>
      <c r="D661" s="45"/>
      <c r="F661" s="46"/>
      <c r="G661" s="44"/>
      <c r="H661" s="44"/>
      <c r="J661" s="47"/>
    </row>
    <row r="662" customFormat="false" ht="15" hidden="false" customHeight="false" outlineLevel="0" collapsed="false">
      <c r="C662" s="44"/>
      <c r="D662" s="45"/>
      <c r="F662" s="46"/>
      <c r="G662" s="44"/>
      <c r="H662" s="44"/>
      <c r="J662" s="47"/>
    </row>
    <row r="663" customFormat="false" ht="15" hidden="false" customHeight="false" outlineLevel="0" collapsed="false">
      <c r="C663" s="44"/>
      <c r="D663" s="45"/>
      <c r="F663" s="46"/>
      <c r="G663" s="44"/>
      <c r="H663" s="44"/>
      <c r="J663" s="47"/>
    </row>
    <row r="664" customFormat="false" ht="15" hidden="false" customHeight="false" outlineLevel="0" collapsed="false">
      <c r="C664" s="44"/>
      <c r="D664" s="45"/>
      <c r="F664" s="46"/>
      <c r="G664" s="44"/>
      <c r="H664" s="44"/>
      <c r="J664" s="47"/>
    </row>
    <row r="665" customFormat="false" ht="15" hidden="false" customHeight="false" outlineLevel="0" collapsed="false">
      <c r="C665" s="44"/>
      <c r="D665" s="45"/>
      <c r="F665" s="46"/>
      <c r="G665" s="44"/>
      <c r="H665" s="44"/>
      <c r="J665" s="47"/>
    </row>
    <row r="666" customFormat="false" ht="15" hidden="false" customHeight="false" outlineLevel="0" collapsed="false">
      <c r="C666" s="44"/>
      <c r="D666" s="45"/>
      <c r="F666" s="46"/>
      <c r="G666" s="44"/>
      <c r="H666" s="44"/>
      <c r="J666" s="47"/>
    </row>
    <row r="667" customFormat="false" ht="15" hidden="false" customHeight="false" outlineLevel="0" collapsed="false">
      <c r="C667" s="44"/>
      <c r="D667" s="45"/>
      <c r="F667" s="46"/>
      <c r="G667" s="44"/>
      <c r="H667" s="44"/>
      <c r="J667" s="47"/>
    </row>
    <row r="668" customFormat="false" ht="15" hidden="false" customHeight="false" outlineLevel="0" collapsed="false">
      <c r="C668" s="44"/>
      <c r="D668" s="45"/>
      <c r="F668" s="46"/>
      <c r="G668" s="44"/>
      <c r="H668" s="44"/>
      <c r="J668" s="47"/>
    </row>
    <row r="669" customFormat="false" ht="15" hidden="false" customHeight="false" outlineLevel="0" collapsed="false">
      <c r="C669" s="44"/>
      <c r="D669" s="45"/>
      <c r="F669" s="46"/>
      <c r="G669" s="44"/>
      <c r="H669" s="44"/>
      <c r="J669" s="47"/>
    </row>
    <row r="670" customFormat="false" ht="15" hidden="false" customHeight="false" outlineLevel="0" collapsed="false">
      <c r="C670" s="44"/>
      <c r="D670" s="45"/>
      <c r="F670" s="46"/>
      <c r="G670" s="44"/>
      <c r="H670" s="44"/>
      <c r="J670" s="47"/>
    </row>
    <row r="671" customFormat="false" ht="15" hidden="false" customHeight="false" outlineLevel="0" collapsed="false">
      <c r="C671" s="44"/>
      <c r="D671" s="45"/>
      <c r="F671" s="46"/>
      <c r="G671" s="44"/>
      <c r="H671" s="44"/>
      <c r="J671" s="47"/>
    </row>
    <row r="672" customFormat="false" ht="15" hidden="false" customHeight="false" outlineLevel="0" collapsed="false">
      <c r="C672" s="44"/>
      <c r="D672" s="45"/>
      <c r="F672" s="46"/>
      <c r="G672" s="44"/>
      <c r="H672" s="44"/>
      <c r="J672" s="47"/>
    </row>
    <row r="673" customFormat="false" ht="15" hidden="false" customHeight="false" outlineLevel="0" collapsed="false">
      <c r="C673" s="44"/>
      <c r="D673" s="45"/>
      <c r="F673" s="46"/>
      <c r="G673" s="44"/>
      <c r="H673" s="44"/>
      <c r="J673" s="47"/>
    </row>
    <row r="674" customFormat="false" ht="15" hidden="false" customHeight="false" outlineLevel="0" collapsed="false">
      <c r="C674" s="44"/>
      <c r="D674" s="45"/>
      <c r="F674" s="46"/>
      <c r="G674" s="44"/>
      <c r="H674" s="44"/>
      <c r="J674" s="47"/>
    </row>
    <row r="675" customFormat="false" ht="15" hidden="false" customHeight="false" outlineLevel="0" collapsed="false">
      <c r="C675" s="44"/>
      <c r="D675" s="45"/>
      <c r="F675" s="46"/>
      <c r="G675" s="44"/>
      <c r="H675" s="44"/>
      <c r="J675" s="47"/>
    </row>
    <row r="676" customFormat="false" ht="15" hidden="false" customHeight="false" outlineLevel="0" collapsed="false">
      <c r="C676" s="44"/>
      <c r="D676" s="45"/>
      <c r="F676" s="46"/>
      <c r="G676" s="44"/>
      <c r="H676" s="44"/>
      <c r="J676" s="47"/>
    </row>
    <row r="677" customFormat="false" ht="15" hidden="false" customHeight="false" outlineLevel="0" collapsed="false">
      <c r="C677" s="44"/>
      <c r="D677" s="45"/>
      <c r="F677" s="46"/>
      <c r="G677" s="44"/>
      <c r="H677" s="44"/>
      <c r="J677" s="47"/>
    </row>
    <row r="678" customFormat="false" ht="15" hidden="false" customHeight="false" outlineLevel="0" collapsed="false">
      <c r="C678" s="44"/>
      <c r="D678" s="45"/>
      <c r="F678" s="46"/>
      <c r="G678" s="44"/>
      <c r="H678" s="44"/>
      <c r="J678" s="47"/>
    </row>
    <row r="679" customFormat="false" ht="15" hidden="false" customHeight="false" outlineLevel="0" collapsed="false">
      <c r="C679" s="44"/>
      <c r="D679" s="45"/>
      <c r="F679" s="46"/>
      <c r="G679" s="44"/>
      <c r="H679" s="44"/>
      <c r="J679" s="47"/>
    </row>
    <row r="680" customFormat="false" ht="15" hidden="false" customHeight="false" outlineLevel="0" collapsed="false">
      <c r="C680" s="44"/>
      <c r="D680" s="45"/>
      <c r="F680" s="46"/>
      <c r="G680" s="44"/>
      <c r="H680" s="44"/>
      <c r="J680" s="47"/>
    </row>
    <row r="681" customFormat="false" ht="15" hidden="false" customHeight="false" outlineLevel="0" collapsed="false">
      <c r="C681" s="44"/>
      <c r="D681" s="45"/>
      <c r="F681" s="46"/>
      <c r="G681" s="44"/>
      <c r="H681" s="44"/>
      <c r="J681" s="47"/>
    </row>
    <row r="682" customFormat="false" ht="15" hidden="false" customHeight="false" outlineLevel="0" collapsed="false">
      <c r="C682" s="44"/>
      <c r="D682" s="45"/>
      <c r="F682" s="46"/>
      <c r="G682" s="44"/>
      <c r="H682" s="44"/>
      <c r="J682" s="47"/>
    </row>
    <row r="683" customFormat="false" ht="15" hidden="false" customHeight="false" outlineLevel="0" collapsed="false">
      <c r="C683" s="44"/>
      <c r="D683" s="45"/>
      <c r="F683" s="46"/>
      <c r="G683" s="44"/>
      <c r="H683" s="44"/>
      <c r="J683" s="47"/>
    </row>
    <row r="684" customFormat="false" ht="15" hidden="false" customHeight="false" outlineLevel="0" collapsed="false">
      <c r="C684" s="44"/>
      <c r="D684" s="45"/>
      <c r="F684" s="46"/>
      <c r="G684" s="44"/>
      <c r="H684" s="44"/>
      <c r="J684" s="47"/>
    </row>
    <row r="685" customFormat="false" ht="15" hidden="false" customHeight="false" outlineLevel="0" collapsed="false">
      <c r="C685" s="44"/>
      <c r="D685" s="45"/>
      <c r="F685" s="46"/>
      <c r="G685" s="44"/>
      <c r="H685" s="44"/>
      <c r="J685" s="47"/>
    </row>
    <row r="686" customFormat="false" ht="15" hidden="false" customHeight="false" outlineLevel="0" collapsed="false">
      <c r="C686" s="44"/>
      <c r="D686" s="45"/>
      <c r="F686" s="46"/>
      <c r="G686" s="44"/>
      <c r="H686" s="44"/>
      <c r="J686" s="47"/>
    </row>
    <row r="687" customFormat="false" ht="15" hidden="false" customHeight="false" outlineLevel="0" collapsed="false">
      <c r="C687" s="44"/>
      <c r="D687" s="45"/>
      <c r="F687" s="46"/>
      <c r="G687" s="44"/>
      <c r="H687" s="44"/>
      <c r="J687" s="47"/>
    </row>
    <row r="688" customFormat="false" ht="15" hidden="false" customHeight="false" outlineLevel="0" collapsed="false">
      <c r="C688" s="44"/>
      <c r="D688" s="45"/>
      <c r="F688" s="46"/>
      <c r="G688" s="44"/>
      <c r="H688" s="44"/>
      <c r="J688" s="47"/>
    </row>
    <row r="689" customFormat="false" ht="15" hidden="false" customHeight="false" outlineLevel="0" collapsed="false">
      <c r="C689" s="44"/>
      <c r="D689" s="45"/>
      <c r="F689" s="46"/>
      <c r="G689" s="44"/>
      <c r="H689" s="44"/>
      <c r="J689" s="47"/>
    </row>
    <row r="690" customFormat="false" ht="15" hidden="false" customHeight="false" outlineLevel="0" collapsed="false">
      <c r="C690" s="44"/>
      <c r="D690" s="45"/>
      <c r="F690" s="46"/>
      <c r="G690" s="44"/>
      <c r="H690" s="44"/>
      <c r="J690" s="47"/>
    </row>
    <row r="691" customFormat="false" ht="15" hidden="false" customHeight="false" outlineLevel="0" collapsed="false">
      <c r="C691" s="44"/>
      <c r="D691" s="45"/>
      <c r="F691" s="46"/>
      <c r="G691" s="44"/>
      <c r="H691" s="44"/>
      <c r="J691" s="47"/>
    </row>
    <row r="692" customFormat="false" ht="15" hidden="false" customHeight="false" outlineLevel="0" collapsed="false">
      <c r="C692" s="44"/>
      <c r="D692" s="45"/>
      <c r="F692" s="46"/>
      <c r="G692" s="44"/>
      <c r="H692" s="44"/>
      <c r="J692" s="47"/>
    </row>
    <row r="693" customFormat="false" ht="15" hidden="false" customHeight="false" outlineLevel="0" collapsed="false">
      <c r="C693" s="44"/>
      <c r="D693" s="45"/>
      <c r="F693" s="46"/>
      <c r="G693" s="44"/>
      <c r="H693" s="44"/>
      <c r="J693" s="47"/>
    </row>
    <row r="694" customFormat="false" ht="15" hidden="false" customHeight="false" outlineLevel="0" collapsed="false">
      <c r="C694" s="44"/>
      <c r="D694" s="45"/>
      <c r="F694" s="46"/>
      <c r="G694" s="44"/>
      <c r="H694" s="44"/>
      <c r="J694" s="47"/>
    </row>
    <row r="695" customFormat="false" ht="15" hidden="false" customHeight="false" outlineLevel="0" collapsed="false">
      <c r="C695" s="44"/>
      <c r="D695" s="45"/>
      <c r="F695" s="46"/>
      <c r="G695" s="44"/>
      <c r="H695" s="44"/>
      <c r="J695" s="47"/>
    </row>
    <row r="696" customFormat="false" ht="15" hidden="false" customHeight="false" outlineLevel="0" collapsed="false">
      <c r="C696" s="44"/>
      <c r="D696" s="45"/>
      <c r="F696" s="46"/>
      <c r="G696" s="44"/>
      <c r="H696" s="44"/>
      <c r="J696" s="47"/>
    </row>
    <row r="697" customFormat="false" ht="15" hidden="false" customHeight="false" outlineLevel="0" collapsed="false">
      <c r="C697" s="44"/>
      <c r="D697" s="45"/>
      <c r="F697" s="46"/>
      <c r="G697" s="44"/>
      <c r="H697" s="44"/>
      <c r="J697" s="47"/>
    </row>
    <row r="698" customFormat="false" ht="15" hidden="false" customHeight="false" outlineLevel="0" collapsed="false">
      <c r="C698" s="44"/>
      <c r="D698" s="45"/>
      <c r="F698" s="46"/>
      <c r="G698" s="44"/>
      <c r="H698" s="44"/>
      <c r="J698" s="47"/>
    </row>
    <row r="699" customFormat="false" ht="15" hidden="false" customHeight="false" outlineLevel="0" collapsed="false">
      <c r="C699" s="44"/>
      <c r="D699" s="45"/>
      <c r="F699" s="46"/>
      <c r="G699" s="44"/>
      <c r="H699" s="44"/>
      <c r="J699" s="47"/>
    </row>
    <row r="700" customFormat="false" ht="15" hidden="false" customHeight="false" outlineLevel="0" collapsed="false">
      <c r="C700" s="44"/>
      <c r="D700" s="45"/>
      <c r="F700" s="46"/>
      <c r="G700" s="44"/>
      <c r="H700" s="44"/>
      <c r="J700" s="47"/>
    </row>
    <row r="701" customFormat="false" ht="15" hidden="false" customHeight="false" outlineLevel="0" collapsed="false">
      <c r="C701" s="44"/>
      <c r="D701" s="45"/>
      <c r="F701" s="46"/>
      <c r="G701" s="44"/>
      <c r="H701" s="44"/>
      <c r="J701" s="47"/>
    </row>
    <row r="702" customFormat="false" ht="15" hidden="false" customHeight="false" outlineLevel="0" collapsed="false">
      <c r="C702" s="44"/>
      <c r="D702" s="45"/>
      <c r="F702" s="46"/>
      <c r="G702" s="44"/>
      <c r="H702" s="44"/>
      <c r="J702" s="47"/>
    </row>
    <row r="703" customFormat="false" ht="15" hidden="false" customHeight="false" outlineLevel="0" collapsed="false">
      <c r="C703" s="44"/>
      <c r="D703" s="45"/>
      <c r="F703" s="46"/>
      <c r="G703" s="44"/>
      <c r="H703" s="44"/>
      <c r="J703" s="47"/>
    </row>
    <row r="704" customFormat="false" ht="15" hidden="false" customHeight="false" outlineLevel="0" collapsed="false">
      <c r="C704" s="44"/>
      <c r="D704" s="45"/>
      <c r="F704" s="46"/>
      <c r="G704" s="44"/>
      <c r="H704" s="44"/>
      <c r="J704" s="47"/>
    </row>
    <row r="705" customFormat="false" ht="15" hidden="false" customHeight="false" outlineLevel="0" collapsed="false">
      <c r="C705" s="44"/>
      <c r="D705" s="45"/>
      <c r="F705" s="46"/>
      <c r="G705" s="44"/>
      <c r="H705" s="44"/>
      <c r="J705" s="47"/>
    </row>
    <row r="706" customFormat="false" ht="15" hidden="false" customHeight="false" outlineLevel="0" collapsed="false">
      <c r="C706" s="44"/>
      <c r="D706" s="45"/>
      <c r="F706" s="46"/>
      <c r="G706" s="44"/>
      <c r="H706" s="44"/>
      <c r="J706" s="47"/>
    </row>
    <row r="707" customFormat="false" ht="15" hidden="false" customHeight="false" outlineLevel="0" collapsed="false">
      <c r="C707" s="44"/>
      <c r="D707" s="45"/>
      <c r="F707" s="46"/>
      <c r="G707" s="44"/>
      <c r="H707" s="44"/>
      <c r="J707" s="47"/>
    </row>
    <row r="708" customFormat="false" ht="15" hidden="false" customHeight="false" outlineLevel="0" collapsed="false">
      <c r="C708" s="44"/>
      <c r="D708" s="45"/>
      <c r="F708" s="46"/>
      <c r="G708" s="44"/>
      <c r="H708" s="44"/>
      <c r="J708" s="47"/>
    </row>
    <row r="709" customFormat="false" ht="15" hidden="false" customHeight="false" outlineLevel="0" collapsed="false">
      <c r="C709" s="44"/>
      <c r="D709" s="45"/>
      <c r="F709" s="46"/>
      <c r="G709" s="44"/>
      <c r="H709" s="44"/>
      <c r="J709" s="47"/>
    </row>
    <row r="710" customFormat="false" ht="15" hidden="false" customHeight="false" outlineLevel="0" collapsed="false">
      <c r="C710" s="44"/>
      <c r="D710" s="45"/>
      <c r="F710" s="46"/>
      <c r="G710" s="44"/>
      <c r="H710" s="44"/>
      <c r="J710" s="47"/>
    </row>
    <row r="711" customFormat="false" ht="15" hidden="false" customHeight="false" outlineLevel="0" collapsed="false">
      <c r="C711" s="44"/>
      <c r="D711" s="45"/>
      <c r="F711" s="46"/>
      <c r="G711" s="44"/>
      <c r="H711" s="44"/>
      <c r="J711" s="47"/>
    </row>
    <row r="712" customFormat="false" ht="15" hidden="false" customHeight="false" outlineLevel="0" collapsed="false">
      <c r="C712" s="44"/>
      <c r="D712" s="45"/>
      <c r="F712" s="46"/>
      <c r="G712" s="44"/>
      <c r="H712" s="44"/>
      <c r="J712" s="47"/>
    </row>
    <row r="713" customFormat="false" ht="15" hidden="false" customHeight="false" outlineLevel="0" collapsed="false">
      <c r="C713" s="44"/>
      <c r="D713" s="45"/>
      <c r="F713" s="46"/>
      <c r="G713" s="44"/>
      <c r="H713" s="44"/>
      <c r="J713" s="47"/>
    </row>
    <row r="714" customFormat="false" ht="15" hidden="false" customHeight="false" outlineLevel="0" collapsed="false">
      <c r="C714" s="44"/>
      <c r="D714" s="45"/>
      <c r="F714" s="46"/>
      <c r="G714" s="44"/>
      <c r="H714" s="44"/>
      <c r="J714" s="47"/>
    </row>
    <row r="715" customFormat="false" ht="15" hidden="false" customHeight="false" outlineLevel="0" collapsed="false">
      <c r="C715" s="44"/>
      <c r="D715" s="45"/>
      <c r="F715" s="46"/>
      <c r="G715" s="44"/>
      <c r="H715" s="44"/>
      <c r="J715" s="47"/>
    </row>
    <row r="716" customFormat="false" ht="15" hidden="false" customHeight="false" outlineLevel="0" collapsed="false">
      <c r="C716" s="44"/>
      <c r="D716" s="45"/>
      <c r="F716" s="46"/>
      <c r="G716" s="44"/>
      <c r="H716" s="44"/>
      <c r="J716" s="47"/>
    </row>
    <row r="717" customFormat="false" ht="15" hidden="false" customHeight="false" outlineLevel="0" collapsed="false">
      <c r="C717" s="44"/>
      <c r="D717" s="45"/>
      <c r="F717" s="46"/>
      <c r="G717" s="44"/>
      <c r="H717" s="44"/>
      <c r="J717" s="47"/>
    </row>
    <row r="718" customFormat="false" ht="15" hidden="false" customHeight="false" outlineLevel="0" collapsed="false">
      <c r="C718" s="44"/>
      <c r="D718" s="45"/>
      <c r="F718" s="46"/>
      <c r="G718" s="44"/>
      <c r="H718" s="44"/>
      <c r="J718" s="47"/>
    </row>
    <row r="719" customFormat="false" ht="15" hidden="false" customHeight="false" outlineLevel="0" collapsed="false">
      <c r="C719" s="44"/>
      <c r="D719" s="45"/>
      <c r="F719" s="46"/>
      <c r="G719" s="44"/>
      <c r="H719" s="44"/>
      <c r="J719" s="47"/>
    </row>
    <row r="720" customFormat="false" ht="15" hidden="false" customHeight="false" outlineLevel="0" collapsed="false">
      <c r="C720" s="44"/>
      <c r="D720" s="45"/>
      <c r="F720" s="46"/>
      <c r="G720" s="44"/>
      <c r="H720" s="44"/>
      <c r="J720" s="47"/>
    </row>
    <row r="721" customFormat="false" ht="15" hidden="false" customHeight="false" outlineLevel="0" collapsed="false">
      <c r="C721" s="44"/>
      <c r="D721" s="45"/>
      <c r="F721" s="46"/>
      <c r="G721" s="44"/>
      <c r="H721" s="44"/>
      <c r="J721" s="47"/>
    </row>
    <row r="722" customFormat="false" ht="15" hidden="false" customHeight="false" outlineLevel="0" collapsed="false">
      <c r="C722" s="44"/>
      <c r="D722" s="45"/>
      <c r="F722" s="46"/>
      <c r="G722" s="44"/>
      <c r="H722" s="44"/>
      <c r="J722" s="47"/>
    </row>
    <row r="723" customFormat="false" ht="15" hidden="false" customHeight="false" outlineLevel="0" collapsed="false">
      <c r="C723" s="44"/>
      <c r="D723" s="45"/>
      <c r="F723" s="46"/>
      <c r="G723" s="44"/>
      <c r="H723" s="44"/>
      <c r="J723" s="47"/>
    </row>
    <row r="724" customFormat="false" ht="15" hidden="false" customHeight="false" outlineLevel="0" collapsed="false">
      <c r="C724" s="44"/>
      <c r="D724" s="45"/>
      <c r="F724" s="46"/>
      <c r="G724" s="44"/>
      <c r="H724" s="44"/>
      <c r="J724" s="47"/>
    </row>
    <row r="725" customFormat="false" ht="15" hidden="false" customHeight="false" outlineLevel="0" collapsed="false">
      <c r="C725" s="44"/>
      <c r="D725" s="45"/>
      <c r="F725" s="46"/>
      <c r="G725" s="44"/>
      <c r="H725" s="44"/>
      <c r="J725" s="47"/>
    </row>
    <row r="726" customFormat="false" ht="15" hidden="false" customHeight="false" outlineLevel="0" collapsed="false">
      <c r="C726" s="44"/>
      <c r="D726" s="45"/>
      <c r="F726" s="46"/>
      <c r="G726" s="44"/>
      <c r="H726" s="44"/>
      <c r="J726" s="47"/>
    </row>
    <row r="727" customFormat="false" ht="15" hidden="false" customHeight="false" outlineLevel="0" collapsed="false">
      <c r="C727" s="44"/>
      <c r="D727" s="45"/>
      <c r="F727" s="46"/>
      <c r="G727" s="44"/>
      <c r="H727" s="44"/>
      <c r="J727" s="47"/>
    </row>
    <row r="728" customFormat="false" ht="15" hidden="false" customHeight="false" outlineLevel="0" collapsed="false">
      <c r="C728" s="44"/>
      <c r="D728" s="45"/>
      <c r="F728" s="46"/>
      <c r="G728" s="44"/>
      <c r="H728" s="44"/>
      <c r="J728" s="47"/>
    </row>
    <row r="729" customFormat="false" ht="15" hidden="false" customHeight="false" outlineLevel="0" collapsed="false">
      <c r="C729" s="44"/>
      <c r="D729" s="45"/>
      <c r="F729" s="46"/>
      <c r="G729" s="44"/>
      <c r="H729" s="44"/>
      <c r="J729" s="47"/>
    </row>
    <row r="730" customFormat="false" ht="15" hidden="false" customHeight="false" outlineLevel="0" collapsed="false">
      <c r="C730" s="44"/>
      <c r="D730" s="45"/>
      <c r="F730" s="46"/>
      <c r="G730" s="44"/>
      <c r="H730" s="44"/>
      <c r="J730" s="47"/>
    </row>
    <row r="731" customFormat="false" ht="15" hidden="false" customHeight="false" outlineLevel="0" collapsed="false">
      <c r="C731" s="44"/>
      <c r="D731" s="45"/>
      <c r="F731" s="46"/>
      <c r="G731" s="44"/>
      <c r="H731" s="44"/>
      <c r="J731" s="47"/>
    </row>
    <row r="732" customFormat="false" ht="15" hidden="false" customHeight="false" outlineLevel="0" collapsed="false">
      <c r="C732" s="44"/>
      <c r="D732" s="45"/>
      <c r="F732" s="46"/>
      <c r="G732" s="44"/>
      <c r="H732" s="44"/>
      <c r="J732" s="47"/>
    </row>
    <row r="733" customFormat="false" ht="15" hidden="false" customHeight="false" outlineLevel="0" collapsed="false">
      <c r="C733" s="44"/>
      <c r="D733" s="45"/>
      <c r="F733" s="46"/>
      <c r="G733" s="44"/>
      <c r="H733" s="44"/>
      <c r="J733" s="47"/>
    </row>
    <row r="734" customFormat="false" ht="15" hidden="false" customHeight="false" outlineLevel="0" collapsed="false">
      <c r="C734" s="44"/>
      <c r="D734" s="45"/>
      <c r="F734" s="46"/>
      <c r="G734" s="44"/>
      <c r="H734" s="44"/>
      <c r="J734" s="47"/>
    </row>
    <row r="735" customFormat="false" ht="15" hidden="false" customHeight="false" outlineLevel="0" collapsed="false">
      <c r="C735" s="44"/>
      <c r="D735" s="45"/>
      <c r="F735" s="46"/>
      <c r="G735" s="44"/>
      <c r="H735" s="44"/>
      <c r="J735" s="47"/>
    </row>
    <row r="736" customFormat="false" ht="15" hidden="false" customHeight="false" outlineLevel="0" collapsed="false">
      <c r="C736" s="44"/>
      <c r="D736" s="45"/>
      <c r="F736" s="46"/>
      <c r="G736" s="44"/>
      <c r="H736" s="44"/>
      <c r="J736" s="47"/>
    </row>
    <row r="737" customFormat="false" ht="15" hidden="false" customHeight="false" outlineLevel="0" collapsed="false">
      <c r="C737" s="44"/>
      <c r="D737" s="45"/>
      <c r="F737" s="46"/>
      <c r="G737" s="44"/>
      <c r="H737" s="44"/>
      <c r="J737" s="47"/>
    </row>
    <row r="738" customFormat="false" ht="15" hidden="false" customHeight="false" outlineLevel="0" collapsed="false">
      <c r="C738" s="44"/>
      <c r="D738" s="45"/>
      <c r="F738" s="46"/>
      <c r="G738" s="44"/>
      <c r="H738" s="44"/>
      <c r="J738" s="47"/>
    </row>
    <row r="739" customFormat="false" ht="15" hidden="false" customHeight="false" outlineLevel="0" collapsed="false">
      <c r="C739" s="44"/>
      <c r="D739" s="45"/>
      <c r="F739" s="46"/>
      <c r="G739" s="44"/>
      <c r="H739" s="44"/>
      <c r="J739" s="47"/>
    </row>
    <row r="740" customFormat="false" ht="15" hidden="false" customHeight="false" outlineLevel="0" collapsed="false">
      <c r="C740" s="44"/>
      <c r="D740" s="45"/>
      <c r="F740" s="46"/>
      <c r="G740" s="44"/>
      <c r="H740" s="44"/>
      <c r="J740" s="47"/>
    </row>
    <row r="741" customFormat="false" ht="15" hidden="false" customHeight="false" outlineLevel="0" collapsed="false">
      <c r="C741" s="44"/>
      <c r="D741" s="45"/>
      <c r="F741" s="46"/>
      <c r="G741" s="44"/>
      <c r="H741" s="44"/>
      <c r="J741" s="47"/>
    </row>
    <row r="742" customFormat="false" ht="15" hidden="false" customHeight="false" outlineLevel="0" collapsed="false">
      <c r="C742" s="44"/>
      <c r="D742" s="45"/>
      <c r="F742" s="46"/>
      <c r="G742" s="44"/>
      <c r="H742" s="44"/>
      <c r="J742" s="47"/>
    </row>
    <row r="743" customFormat="false" ht="15" hidden="false" customHeight="false" outlineLevel="0" collapsed="false">
      <c r="C743" s="44"/>
      <c r="D743" s="45"/>
      <c r="F743" s="46"/>
      <c r="G743" s="44"/>
      <c r="H743" s="44"/>
      <c r="J743" s="47"/>
    </row>
    <row r="744" customFormat="false" ht="15" hidden="false" customHeight="false" outlineLevel="0" collapsed="false">
      <c r="C744" s="44"/>
      <c r="D744" s="45"/>
      <c r="F744" s="46"/>
      <c r="G744" s="44"/>
      <c r="H744" s="44"/>
      <c r="J744" s="47"/>
    </row>
    <row r="745" customFormat="false" ht="15" hidden="false" customHeight="false" outlineLevel="0" collapsed="false">
      <c r="C745" s="44"/>
      <c r="D745" s="45"/>
      <c r="F745" s="46"/>
      <c r="G745" s="44"/>
      <c r="H745" s="44"/>
      <c r="J745" s="47"/>
    </row>
    <row r="746" customFormat="false" ht="15" hidden="false" customHeight="false" outlineLevel="0" collapsed="false">
      <c r="C746" s="44"/>
      <c r="D746" s="45"/>
      <c r="F746" s="46"/>
      <c r="G746" s="44"/>
      <c r="H746" s="44"/>
      <c r="J746" s="47"/>
    </row>
    <row r="747" customFormat="false" ht="15" hidden="false" customHeight="false" outlineLevel="0" collapsed="false">
      <c r="C747" s="44"/>
      <c r="D747" s="45"/>
      <c r="F747" s="46"/>
      <c r="G747" s="44"/>
      <c r="H747" s="44"/>
      <c r="J747" s="47"/>
    </row>
    <row r="748" customFormat="false" ht="15" hidden="false" customHeight="false" outlineLevel="0" collapsed="false">
      <c r="C748" s="44"/>
      <c r="D748" s="45"/>
      <c r="F748" s="46"/>
      <c r="G748" s="44"/>
      <c r="H748" s="44"/>
      <c r="J748" s="47"/>
    </row>
    <row r="749" customFormat="false" ht="15" hidden="false" customHeight="false" outlineLevel="0" collapsed="false">
      <c r="C749" s="44"/>
      <c r="D749" s="45"/>
      <c r="F749" s="46"/>
      <c r="G749" s="44"/>
      <c r="H749" s="44"/>
      <c r="J749" s="47"/>
    </row>
    <row r="750" customFormat="false" ht="15" hidden="false" customHeight="false" outlineLevel="0" collapsed="false">
      <c r="C750" s="44"/>
      <c r="D750" s="45"/>
      <c r="F750" s="46"/>
      <c r="G750" s="44"/>
      <c r="H750" s="44"/>
      <c r="J750" s="47"/>
    </row>
    <row r="751" customFormat="false" ht="15" hidden="false" customHeight="false" outlineLevel="0" collapsed="false">
      <c r="C751" s="44"/>
      <c r="D751" s="45"/>
      <c r="F751" s="46"/>
      <c r="G751" s="44"/>
      <c r="H751" s="44"/>
      <c r="J751" s="47"/>
    </row>
    <row r="752" customFormat="false" ht="15" hidden="false" customHeight="false" outlineLevel="0" collapsed="false">
      <c r="C752" s="44"/>
      <c r="D752" s="45"/>
      <c r="F752" s="46"/>
      <c r="G752" s="44"/>
      <c r="H752" s="44"/>
      <c r="J752" s="47"/>
    </row>
    <row r="753" customFormat="false" ht="15" hidden="false" customHeight="false" outlineLevel="0" collapsed="false">
      <c r="C753" s="44"/>
      <c r="D753" s="45"/>
      <c r="F753" s="46"/>
      <c r="G753" s="44"/>
      <c r="H753" s="44"/>
      <c r="J753" s="47"/>
    </row>
    <row r="754" customFormat="false" ht="15" hidden="false" customHeight="false" outlineLevel="0" collapsed="false">
      <c r="C754" s="44"/>
      <c r="D754" s="45"/>
      <c r="F754" s="46"/>
      <c r="G754" s="44"/>
      <c r="H754" s="44"/>
      <c r="J754" s="47"/>
    </row>
    <row r="755" customFormat="false" ht="15" hidden="false" customHeight="false" outlineLevel="0" collapsed="false">
      <c r="C755" s="44"/>
      <c r="D755" s="45"/>
      <c r="F755" s="46"/>
      <c r="G755" s="44"/>
      <c r="H755" s="44"/>
      <c r="J755" s="47"/>
    </row>
    <row r="756" customFormat="false" ht="15" hidden="false" customHeight="false" outlineLevel="0" collapsed="false">
      <c r="C756" s="44"/>
      <c r="D756" s="45"/>
      <c r="F756" s="46"/>
      <c r="G756" s="44"/>
      <c r="H756" s="44"/>
      <c r="J756" s="47"/>
    </row>
    <row r="757" customFormat="false" ht="15" hidden="false" customHeight="false" outlineLevel="0" collapsed="false">
      <c r="C757" s="44"/>
      <c r="D757" s="45"/>
      <c r="F757" s="46"/>
      <c r="G757" s="44"/>
      <c r="H757" s="44"/>
      <c r="J757" s="47"/>
    </row>
    <row r="758" customFormat="false" ht="15" hidden="false" customHeight="false" outlineLevel="0" collapsed="false">
      <c r="C758" s="44"/>
      <c r="D758" s="45"/>
      <c r="F758" s="46"/>
      <c r="G758" s="44"/>
      <c r="H758" s="44"/>
      <c r="J758" s="47"/>
    </row>
    <row r="759" customFormat="false" ht="15" hidden="false" customHeight="false" outlineLevel="0" collapsed="false">
      <c r="C759" s="44"/>
      <c r="D759" s="45"/>
      <c r="F759" s="46"/>
      <c r="G759" s="44"/>
      <c r="H759" s="44"/>
      <c r="J759" s="47"/>
    </row>
    <row r="760" customFormat="false" ht="15" hidden="false" customHeight="false" outlineLevel="0" collapsed="false">
      <c r="C760" s="44"/>
      <c r="D760" s="45"/>
      <c r="F760" s="46"/>
      <c r="G760" s="44"/>
      <c r="H760" s="44"/>
      <c r="J760" s="47"/>
    </row>
    <row r="761" customFormat="false" ht="15" hidden="false" customHeight="false" outlineLevel="0" collapsed="false">
      <c r="C761" s="44"/>
      <c r="D761" s="45"/>
      <c r="F761" s="46"/>
      <c r="G761" s="44"/>
      <c r="H761" s="44"/>
      <c r="J761" s="47"/>
    </row>
    <row r="762" customFormat="false" ht="15" hidden="false" customHeight="false" outlineLevel="0" collapsed="false">
      <c r="C762" s="44"/>
      <c r="D762" s="45"/>
      <c r="F762" s="46"/>
      <c r="G762" s="44"/>
      <c r="H762" s="44"/>
      <c r="J762" s="47"/>
    </row>
    <row r="763" customFormat="false" ht="15" hidden="false" customHeight="false" outlineLevel="0" collapsed="false">
      <c r="C763" s="44"/>
      <c r="D763" s="45"/>
      <c r="F763" s="46"/>
      <c r="G763" s="44"/>
      <c r="H763" s="44"/>
      <c r="J763" s="47"/>
    </row>
    <row r="764" customFormat="false" ht="15" hidden="false" customHeight="false" outlineLevel="0" collapsed="false">
      <c r="C764" s="44"/>
      <c r="D764" s="45"/>
      <c r="F764" s="46"/>
      <c r="G764" s="44"/>
      <c r="H764" s="44"/>
      <c r="J764" s="47"/>
    </row>
    <row r="765" customFormat="false" ht="15" hidden="false" customHeight="false" outlineLevel="0" collapsed="false">
      <c r="C765" s="44"/>
      <c r="D765" s="45"/>
      <c r="F765" s="46"/>
      <c r="G765" s="44"/>
      <c r="H765" s="44"/>
      <c r="J765" s="47"/>
    </row>
    <row r="766" customFormat="false" ht="15" hidden="false" customHeight="false" outlineLevel="0" collapsed="false">
      <c r="C766" s="44"/>
      <c r="D766" s="45"/>
      <c r="F766" s="46"/>
      <c r="G766" s="44"/>
      <c r="H766" s="44"/>
      <c r="J766" s="47"/>
    </row>
    <row r="767" customFormat="false" ht="15" hidden="false" customHeight="false" outlineLevel="0" collapsed="false">
      <c r="C767" s="44"/>
      <c r="D767" s="45"/>
      <c r="F767" s="46"/>
      <c r="G767" s="44"/>
      <c r="H767" s="44"/>
      <c r="J767" s="47"/>
    </row>
    <row r="768" customFormat="false" ht="15" hidden="false" customHeight="false" outlineLevel="0" collapsed="false">
      <c r="C768" s="44"/>
      <c r="D768" s="45"/>
      <c r="F768" s="46"/>
      <c r="G768" s="44"/>
      <c r="H768" s="44"/>
      <c r="J768" s="47"/>
    </row>
    <row r="769" customFormat="false" ht="15" hidden="false" customHeight="false" outlineLevel="0" collapsed="false">
      <c r="C769" s="44"/>
      <c r="D769" s="45"/>
      <c r="F769" s="46"/>
      <c r="G769" s="44"/>
      <c r="H769" s="44"/>
      <c r="J769" s="47"/>
    </row>
    <row r="770" customFormat="false" ht="15" hidden="false" customHeight="false" outlineLevel="0" collapsed="false">
      <c r="C770" s="44"/>
      <c r="D770" s="45"/>
      <c r="F770" s="46"/>
      <c r="G770" s="44"/>
      <c r="H770" s="44"/>
      <c r="J770" s="47"/>
    </row>
    <row r="771" customFormat="false" ht="15" hidden="false" customHeight="false" outlineLevel="0" collapsed="false">
      <c r="C771" s="44"/>
      <c r="D771" s="45"/>
      <c r="F771" s="46"/>
      <c r="G771" s="44"/>
      <c r="H771" s="44"/>
      <c r="J771" s="47"/>
    </row>
    <row r="772" customFormat="false" ht="15" hidden="false" customHeight="false" outlineLevel="0" collapsed="false">
      <c r="C772" s="44"/>
      <c r="D772" s="45"/>
      <c r="F772" s="46"/>
      <c r="G772" s="44"/>
      <c r="H772" s="44"/>
      <c r="J772" s="47"/>
    </row>
    <row r="773" customFormat="false" ht="15" hidden="false" customHeight="false" outlineLevel="0" collapsed="false">
      <c r="C773" s="44"/>
      <c r="D773" s="45"/>
      <c r="F773" s="46"/>
      <c r="G773" s="44"/>
      <c r="H773" s="44"/>
      <c r="J773" s="47"/>
    </row>
    <row r="774" customFormat="false" ht="15" hidden="false" customHeight="false" outlineLevel="0" collapsed="false">
      <c r="C774" s="44"/>
      <c r="D774" s="45"/>
      <c r="F774" s="46"/>
      <c r="G774" s="44"/>
      <c r="H774" s="44"/>
      <c r="J774" s="47"/>
    </row>
    <row r="775" customFormat="false" ht="15" hidden="false" customHeight="false" outlineLevel="0" collapsed="false">
      <c r="C775" s="44"/>
      <c r="D775" s="45"/>
      <c r="F775" s="46"/>
      <c r="G775" s="44"/>
      <c r="H775" s="44"/>
      <c r="J775" s="47"/>
    </row>
    <row r="776" customFormat="false" ht="15" hidden="false" customHeight="false" outlineLevel="0" collapsed="false">
      <c r="C776" s="44"/>
      <c r="D776" s="45"/>
      <c r="F776" s="46"/>
      <c r="G776" s="44"/>
      <c r="H776" s="44"/>
      <c r="J776" s="47"/>
    </row>
    <row r="777" customFormat="false" ht="15" hidden="false" customHeight="false" outlineLevel="0" collapsed="false">
      <c r="C777" s="44"/>
      <c r="D777" s="45"/>
      <c r="F777" s="46"/>
      <c r="G777" s="44"/>
      <c r="H777" s="44"/>
      <c r="J777" s="47"/>
    </row>
    <row r="778" customFormat="false" ht="15" hidden="false" customHeight="false" outlineLevel="0" collapsed="false">
      <c r="C778" s="44"/>
      <c r="D778" s="45"/>
      <c r="F778" s="46"/>
      <c r="G778" s="44"/>
      <c r="H778" s="44"/>
      <c r="J778" s="47"/>
    </row>
    <row r="779" customFormat="false" ht="15" hidden="false" customHeight="false" outlineLevel="0" collapsed="false">
      <c r="C779" s="44"/>
      <c r="D779" s="45"/>
      <c r="F779" s="46"/>
      <c r="G779" s="44"/>
      <c r="H779" s="44"/>
      <c r="J779" s="47"/>
    </row>
    <row r="780" customFormat="false" ht="15" hidden="false" customHeight="false" outlineLevel="0" collapsed="false">
      <c r="C780" s="44"/>
      <c r="D780" s="45"/>
      <c r="F780" s="46"/>
      <c r="G780" s="44"/>
      <c r="H780" s="44"/>
      <c r="J780" s="47"/>
    </row>
    <row r="781" customFormat="false" ht="15" hidden="false" customHeight="false" outlineLevel="0" collapsed="false">
      <c r="C781" s="44"/>
      <c r="D781" s="45"/>
      <c r="F781" s="46"/>
      <c r="G781" s="44"/>
      <c r="H781" s="44"/>
      <c r="J781" s="47"/>
    </row>
    <row r="782" customFormat="false" ht="15" hidden="false" customHeight="false" outlineLevel="0" collapsed="false">
      <c r="C782" s="44"/>
      <c r="D782" s="45"/>
      <c r="F782" s="46"/>
      <c r="G782" s="44"/>
      <c r="H782" s="44"/>
      <c r="J782" s="47"/>
    </row>
    <row r="783" customFormat="false" ht="15" hidden="false" customHeight="false" outlineLevel="0" collapsed="false">
      <c r="C783" s="44"/>
      <c r="D783" s="45"/>
      <c r="F783" s="46"/>
      <c r="G783" s="44"/>
      <c r="H783" s="44"/>
      <c r="J783" s="47"/>
    </row>
    <row r="784" customFormat="false" ht="15" hidden="false" customHeight="false" outlineLevel="0" collapsed="false">
      <c r="C784" s="44"/>
      <c r="D784" s="45"/>
      <c r="F784" s="46"/>
      <c r="G784" s="44"/>
      <c r="H784" s="44"/>
      <c r="J784" s="47"/>
    </row>
    <row r="785" customFormat="false" ht="15" hidden="false" customHeight="false" outlineLevel="0" collapsed="false">
      <c r="C785" s="44"/>
      <c r="D785" s="45"/>
      <c r="F785" s="46"/>
      <c r="G785" s="44"/>
      <c r="H785" s="44"/>
      <c r="J785" s="47"/>
    </row>
    <row r="786" customFormat="false" ht="15" hidden="false" customHeight="false" outlineLevel="0" collapsed="false">
      <c r="C786" s="44"/>
      <c r="D786" s="45"/>
      <c r="F786" s="46"/>
      <c r="G786" s="44"/>
      <c r="H786" s="44"/>
      <c r="J786" s="47"/>
    </row>
    <row r="787" customFormat="false" ht="15" hidden="false" customHeight="false" outlineLevel="0" collapsed="false">
      <c r="C787" s="44"/>
      <c r="D787" s="45"/>
      <c r="F787" s="46"/>
      <c r="G787" s="44"/>
      <c r="H787" s="44"/>
      <c r="J787" s="47"/>
    </row>
    <row r="788" customFormat="false" ht="15" hidden="false" customHeight="false" outlineLevel="0" collapsed="false">
      <c r="C788" s="44"/>
      <c r="D788" s="45"/>
      <c r="F788" s="46"/>
      <c r="G788" s="44"/>
      <c r="H788" s="44"/>
      <c r="J788" s="47"/>
    </row>
    <row r="789" customFormat="false" ht="15" hidden="false" customHeight="false" outlineLevel="0" collapsed="false">
      <c r="C789" s="44"/>
      <c r="D789" s="45"/>
      <c r="F789" s="46"/>
      <c r="G789" s="44"/>
      <c r="H789" s="44"/>
      <c r="J789" s="47"/>
    </row>
    <row r="790" customFormat="false" ht="15" hidden="false" customHeight="false" outlineLevel="0" collapsed="false">
      <c r="C790" s="44"/>
      <c r="D790" s="45"/>
      <c r="F790" s="46"/>
      <c r="G790" s="44"/>
      <c r="H790" s="44"/>
      <c r="J790" s="47"/>
    </row>
    <row r="791" customFormat="false" ht="15" hidden="false" customHeight="false" outlineLevel="0" collapsed="false">
      <c r="C791" s="44"/>
      <c r="D791" s="45"/>
      <c r="F791" s="46"/>
      <c r="G791" s="44"/>
      <c r="H791" s="44"/>
      <c r="J791" s="47"/>
    </row>
    <row r="792" customFormat="false" ht="15" hidden="false" customHeight="false" outlineLevel="0" collapsed="false">
      <c r="C792" s="44"/>
      <c r="D792" s="45"/>
      <c r="F792" s="46"/>
      <c r="G792" s="44"/>
      <c r="H792" s="44"/>
      <c r="J792" s="47"/>
    </row>
    <row r="793" customFormat="false" ht="15" hidden="false" customHeight="false" outlineLevel="0" collapsed="false">
      <c r="C793" s="44"/>
      <c r="D793" s="45"/>
      <c r="F793" s="46"/>
      <c r="G793" s="44"/>
      <c r="H793" s="44"/>
      <c r="J793" s="47"/>
    </row>
    <row r="794" customFormat="false" ht="15" hidden="false" customHeight="false" outlineLevel="0" collapsed="false">
      <c r="C794" s="44"/>
      <c r="D794" s="45"/>
      <c r="F794" s="46"/>
      <c r="G794" s="44"/>
      <c r="H794" s="44"/>
      <c r="J794" s="47"/>
    </row>
    <row r="795" customFormat="false" ht="15" hidden="false" customHeight="false" outlineLevel="0" collapsed="false">
      <c r="C795" s="44"/>
      <c r="D795" s="45"/>
      <c r="F795" s="46"/>
      <c r="G795" s="44"/>
      <c r="H795" s="44"/>
      <c r="J795" s="47"/>
    </row>
    <row r="796" customFormat="false" ht="15" hidden="false" customHeight="false" outlineLevel="0" collapsed="false">
      <c r="C796" s="44"/>
      <c r="D796" s="45"/>
      <c r="F796" s="46"/>
      <c r="G796" s="44"/>
      <c r="H796" s="44"/>
      <c r="J796" s="47"/>
    </row>
    <row r="797" customFormat="false" ht="15" hidden="false" customHeight="false" outlineLevel="0" collapsed="false">
      <c r="C797" s="44"/>
      <c r="D797" s="45"/>
      <c r="F797" s="46"/>
      <c r="G797" s="44"/>
      <c r="H797" s="44"/>
      <c r="J797" s="47"/>
    </row>
    <row r="798" customFormat="false" ht="15" hidden="false" customHeight="false" outlineLevel="0" collapsed="false">
      <c r="C798" s="44"/>
      <c r="D798" s="45"/>
      <c r="F798" s="46"/>
      <c r="G798" s="44"/>
      <c r="H798" s="44"/>
      <c r="J798" s="47"/>
    </row>
    <row r="799" customFormat="false" ht="15" hidden="false" customHeight="false" outlineLevel="0" collapsed="false">
      <c r="C799" s="44"/>
      <c r="D799" s="45"/>
      <c r="F799" s="46"/>
      <c r="G799" s="44"/>
      <c r="H799" s="44"/>
      <c r="J799" s="47"/>
    </row>
    <row r="800" customFormat="false" ht="15" hidden="false" customHeight="false" outlineLevel="0" collapsed="false">
      <c r="C800" s="44"/>
      <c r="D800" s="45"/>
      <c r="F800" s="46"/>
      <c r="G800" s="44"/>
      <c r="H800" s="44"/>
      <c r="J800" s="47"/>
    </row>
    <row r="801" customFormat="false" ht="15" hidden="false" customHeight="false" outlineLevel="0" collapsed="false">
      <c r="C801" s="44"/>
      <c r="D801" s="45"/>
      <c r="F801" s="46"/>
      <c r="G801" s="44"/>
      <c r="H801" s="44"/>
      <c r="J801" s="47"/>
    </row>
    <row r="802" customFormat="false" ht="15" hidden="false" customHeight="false" outlineLevel="0" collapsed="false">
      <c r="C802" s="44"/>
      <c r="D802" s="45"/>
      <c r="F802" s="46"/>
      <c r="G802" s="44"/>
      <c r="H802" s="44"/>
      <c r="J802" s="47"/>
    </row>
    <row r="803" customFormat="false" ht="15" hidden="false" customHeight="false" outlineLevel="0" collapsed="false">
      <c r="C803" s="44"/>
      <c r="D803" s="45"/>
      <c r="F803" s="46"/>
      <c r="G803" s="44"/>
      <c r="H803" s="44"/>
      <c r="J803" s="47"/>
    </row>
    <row r="804" customFormat="false" ht="15" hidden="false" customHeight="false" outlineLevel="0" collapsed="false">
      <c r="C804" s="44"/>
      <c r="D804" s="45"/>
      <c r="F804" s="46"/>
      <c r="G804" s="44"/>
      <c r="H804" s="44"/>
      <c r="J804" s="47"/>
    </row>
    <row r="805" customFormat="false" ht="15" hidden="false" customHeight="false" outlineLevel="0" collapsed="false">
      <c r="C805" s="44"/>
      <c r="D805" s="45"/>
      <c r="F805" s="46"/>
      <c r="G805" s="44"/>
      <c r="H805" s="44"/>
      <c r="J805" s="47"/>
    </row>
    <row r="806" customFormat="false" ht="15" hidden="false" customHeight="false" outlineLevel="0" collapsed="false">
      <c r="C806" s="44"/>
      <c r="D806" s="45"/>
      <c r="F806" s="46"/>
      <c r="G806" s="44"/>
      <c r="H806" s="44"/>
      <c r="J806" s="47"/>
    </row>
    <row r="807" customFormat="false" ht="15" hidden="false" customHeight="false" outlineLevel="0" collapsed="false">
      <c r="C807" s="44"/>
      <c r="D807" s="45"/>
      <c r="F807" s="46"/>
      <c r="G807" s="44"/>
      <c r="H807" s="44"/>
      <c r="J807" s="47"/>
    </row>
    <row r="808" customFormat="false" ht="15" hidden="false" customHeight="false" outlineLevel="0" collapsed="false">
      <c r="C808" s="44"/>
      <c r="D808" s="45"/>
      <c r="F808" s="46"/>
      <c r="G808" s="44"/>
      <c r="H808" s="44"/>
      <c r="J808" s="47"/>
    </row>
    <row r="809" customFormat="false" ht="15" hidden="false" customHeight="false" outlineLevel="0" collapsed="false">
      <c r="C809" s="44"/>
      <c r="D809" s="45"/>
      <c r="F809" s="46"/>
      <c r="G809" s="44"/>
      <c r="H809" s="44"/>
      <c r="J809" s="47"/>
    </row>
    <row r="810" customFormat="false" ht="15" hidden="false" customHeight="false" outlineLevel="0" collapsed="false">
      <c r="C810" s="44"/>
      <c r="D810" s="45"/>
      <c r="F810" s="46"/>
      <c r="G810" s="44"/>
      <c r="H810" s="44"/>
      <c r="J810" s="47"/>
    </row>
    <row r="811" customFormat="false" ht="15" hidden="false" customHeight="false" outlineLevel="0" collapsed="false">
      <c r="C811" s="44"/>
      <c r="D811" s="45"/>
      <c r="F811" s="46"/>
      <c r="G811" s="44"/>
      <c r="H811" s="44"/>
      <c r="J811" s="47"/>
    </row>
    <row r="812" customFormat="false" ht="15" hidden="false" customHeight="false" outlineLevel="0" collapsed="false">
      <c r="C812" s="44"/>
      <c r="D812" s="45"/>
      <c r="F812" s="46"/>
      <c r="G812" s="44"/>
      <c r="H812" s="44"/>
      <c r="J812" s="47"/>
    </row>
    <row r="813" customFormat="false" ht="15" hidden="false" customHeight="false" outlineLevel="0" collapsed="false">
      <c r="C813" s="44"/>
      <c r="D813" s="45"/>
      <c r="F813" s="46"/>
      <c r="G813" s="44"/>
      <c r="H813" s="44"/>
      <c r="J813" s="47"/>
    </row>
    <row r="814" customFormat="false" ht="15" hidden="false" customHeight="false" outlineLevel="0" collapsed="false">
      <c r="C814" s="44"/>
      <c r="D814" s="45"/>
      <c r="F814" s="46"/>
      <c r="G814" s="44"/>
      <c r="H814" s="44"/>
      <c r="J814" s="47"/>
    </row>
    <row r="815" customFormat="false" ht="15" hidden="false" customHeight="false" outlineLevel="0" collapsed="false">
      <c r="C815" s="44"/>
      <c r="D815" s="45"/>
      <c r="F815" s="46"/>
      <c r="G815" s="44"/>
      <c r="H815" s="44"/>
      <c r="J815" s="47"/>
    </row>
    <row r="816" customFormat="false" ht="15" hidden="false" customHeight="false" outlineLevel="0" collapsed="false">
      <c r="C816" s="44"/>
      <c r="D816" s="45"/>
      <c r="F816" s="46"/>
      <c r="G816" s="44"/>
      <c r="H816" s="44"/>
      <c r="J816" s="47"/>
    </row>
    <row r="817" customFormat="false" ht="15" hidden="false" customHeight="false" outlineLevel="0" collapsed="false">
      <c r="C817" s="44"/>
      <c r="D817" s="45"/>
      <c r="F817" s="46"/>
      <c r="G817" s="44"/>
      <c r="H817" s="44"/>
      <c r="J817" s="47"/>
    </row>
    <row r="818" customFormat="false" ht="15" hidden="false" customHeight="false" outlineLevel="0" collapsed="false">
      <c r="C818" s="44"/>
      <c r="D818" s="45"/>
      <c r="F818" s="46"/>
      <c r="G818" s="44"/>
      <c r="H818" s="44"/>
      <c r="J818" s="47"/>
    </row>
    <row r="819" customFormat="false" ht="15" hidden="false" customHeight="false" outlineLevel="0" collapsed="false">
      <c r="C819" s="44"/>
      <c r="D819" s="45"/>
      <c r="F819" s="46"/>
      <c r="G819" s="44"/>
      <c r="H819" s="44"/>
      <c r="J819" s="47"/>
    </row>
    <row r="820" customFormat="false" ht="15" hidden="false" customHeight="false" outlineLevel="0" collapsed="false">
      <c r="C820" s="44"/>
      <c r="D820" s="45"/>
      <c r="F820" s="46"/>
      <c r="G820" s="44"/>
      <c r="H820" s="44"/>
      <c r="J820" s="47"/>
    </row>
    <row r="821" customFormat="false" ht="15" hidden="false" customHeight="false" outlineLevel="0" collapsed="false">
      <c r="C821" s="44"/>
      <c r="D821" s="45"/>
      <c r="F821" s="46"/>
      <c r="G821" s="44"/>
      <c r="H821" s="44"/>
      <c r="J821" s="47"/>
    </row>
    <row r="822" customFormat="false" ht="15" hidden="false" customHeight="false" outlineLevel="0" collapsed="false">
      <c r="C822" s="44"/>
      <c r="D822" s="45"/>
      <c r="F822" s="46"/>
      <c r="G822" s="44"/>
      <c r="H822" s="44"/>
      <c r="J822" s="47"/>
    </row>
    <row r="823" customFormat="false" ht="15" hidden="false" customHeight="false" outlineLevel="0" collapsed="false">
      <c r="C823" s="44"/>
      <c r="D823" s="45"/>
      <c r="F823" s="46"/>
      <c r="G823" s="44"/>
      <c r="H823" s="44"/>
      <c r="J823" s="47"/>
    </row>
    <row r="824" customFormat="false" ht="15" hidden="false" customHeight="false" outlineLevel="0" collapsed="false">
      <c r="C824" s="44"/>
      <c r="D824" s="45"/>
      <c r="F824" s="46"/>
      <c r="G824" s="44"/>
      <c r="H824" s="44"/>
      <c r="J824" s="47"/>
    </row>
    <row r="825" customFormat="false" ht="15" hidden="false" customHeight="false" outlineLevel="0" collapsed="false">
      <c r="C825" s="44"/>
      <c r="D825" s="45"/>
      <c r="F825" s="46"/>
      <c r="G825" s="44"/>
      <c r="H825" s="44"/>
      <c r="J825" s="47"/>
    </row>
    <row r="826" customFormat="false" ht="15" hidden="false" customHeight="false" outlineLevel="0" collapsed="false">
      <c r="C826" s="44"/>
      <c r="D826" s="45"/>
      <c r="F826" s="46"/>
      <c r="G826" s="44"/>
      <c r="H826" s="44"/>
      <c r="J826" s="47"/>
    </row>
    <row r="827" customFormat="false" ht="15" hidden="false" customHeight="false" outlineLevel="0" collapsed="false">
      <c r="C827" s="44"/>
      <c r="D827" s="45"/>
      <c r="F827" s="46"/>
      <c r="G827" s="44"/>
      <c r="H827" s="44"/>
      <c r="J827" s="47"/>
    </row>
    <row r="828" customFormat="false" ht="15" hidden="false" customHeight="false" outlineLevel="0" collapsed="false">
      <c r="C828" s="44"/>
      <c r="D828" s="45"/>
      <c r="F828" s="46"/>
      <c r="G828" s="44"/>
      <c r="H828" s="44"/>
      <c r="J828" s="47"/>
    </row>
    <row r="829" customFormat="false" ht="15" hidden="false" customHeight="false" outlineLevel="0" collapsed="false">
      <c r="C829" s="44"/>
      <c r="D829" s="45"/>
      <c r="F829" s="46"/>
      <c r="G829" s="44"/>
      <c r="H829" s="44"/>
      <c r="J829" s="47"/>
    </row>
    <row r="830" customFormat="false" ht="15" hidden="false" customHeight="false" outlineLevel="0" collapsed="false">
      <c r="C830" s="44"/>
      <c r="D830" s="45"/>
      <c r="F830" s="46"/>
      <c r="G830" s="44"/>
      <c r="H830" s="44"/>
      <c r="J830" s="47"/>
    </row>
    <row r="831" customFormat="false" ht="15" hidden="false" customHeight="false" outlineLevel="0" collapsed="false">
      <c r="C831" s="44"/>
      <c r="D831" s="45"/>
      <c r="F831" s="46"/>
      <c r="G831" s="44"/>
      <c r="H831" s="44"/>
      <c r="J831" s="47"/>
    </row>
    <row r="832" customFormat="false" ht="15" hidden="false" customHeight="false" outlineLevel="0" collapsed="false">
      <c r="C832" s="44"/>
      <c r="D832" s="45"/>
      <c r="F832" s="46"/>
      <c r="G832" s="44"/>
      <c r="H832" s="44"/>
      <c r="J832" s="47"/>
    </row>
    <row r="833" customFormat="false" ht="15" hidden="false" customHeight="false" outlineLevel="0" collapsed="false">
      <c r="C833" s="44"/>
      <c r="D833" s="45"/>
      <c r="F833" s="46"/>
      <c r="G833" s="44"/>
      <c r="H833" s="44"/>
      <c r="J833" s="47"/>
    </row>
    <row r="834" customFormat="false" ht="15" hidden="false" customHeight="false" outlineLevel="0" collapsed="false">
      <c r="C834" s="44"/>
      <c r="D834" s="45"/>
      <c r="F834" s="46"/>
      <c r="G834" s="44"/>
      <c r="H834" s="44"/>
      <c r="J834" s="47"/>
    </row>
    <row r="835" customFormat="false" ht="15" hidden="false" customHeight="false" outlineLevel="0" collapsed="false">
      <c r="C835" s="44"/>
      <c r="D835" s="45"/>
      <c r="F835" s="46"/>
      <c r="G835" s="44"/>
      <c r="H835" s="44"/>
      <c r="J835" s="47"/>
    </row>
    <row r="836" customFormat="false" ht="15" hidden="false" customHeight="false" outlineLevel="0" collapsed="false">
      <c r="C836" s="44"/>
      <c r="D836" s="45"/>
      <c r="F836" s="46"/>
      <c r="G836" s="44"/>
      <c r="H836" s="44"/>
      <c r="J836" s="47"/>
    </row>
    <row r="837" customFormat="false" ht="15" hidden="false" customHeight="false" outlineLevel="0" collapsed="false">
      <c r="C837" s="44"/>
      <c r="D837" s="45"/>
      <c r="F837" s="46"/>
      <c r="G837" s="44"/>
      <c r="H837" s="44"/>
      <c r="J837" s="47"/>
    </row>
    <row r="838" customFormat="false" ht="15" hidden="false" customHeight="false" outlineLevel="0" collapsed="false">
      <c r="C838" s="44"/>
      <c r="D838" s="45"/>
      <c r="F838" s="46"/>
      <c r="G838" s="44"/>
      <c r="H838" s="44"/>
      <c r="J838" s="47"/>
    </row>
    <row r="839" customFormat="false" ht="15" hidden="false" customHeight="false" outlineLevel="0" collapsed="false">
      <c r="C839" s="44"/>
      <c r="D839" s="45"/>
      <c r="F839" s="46"/>
      <c r="G839" s="44"/>
      <c r="H839" s="44"/>
      <c r="J839" s="47"/>
    </row>
    <row r="840" customFormat="false" ht="15" hidden="false" customHeight="false" outlineLevel="0" collapsed="false">
      <c r="C840" s="44"/>
      <c r="D840" s="45"/>
      <c r="F840" s="46"/>
      <c r="G840" s="44"/>
      <c r="H840" s="44"/>
      <c r="J840" s="47"/>
    </row>
    <row r="841" customFormat="false" ht="15" hidden="false" customHeight="false" outlineLevel="0" collapsed="false">
      <c r="C841" s="44"/>
      <c r="D841" s="45"/>
      <c r="F841" s="46"/>
      <c r="G841" s="44"/>
      <c r="H841" s="44"/>
      <c r="J841" s="47"/>
    </row>
    <row r="842" customFormat="false" ht="15" hidden="false" customHeight="false" outlineLevel="0" collapsed="false">
      <c r="C842" s="44"/>
      <c r="D842" s="45"/>
      <c r="F842" s="46"/>
      <c r="G842" s="44"/>
      <c r="H842" s="44"/>
      <c r="J842" s="47"/>
    </row>
    <row r="843" customFormat="false" ht="15" hidden="false" customHeight="false" outlineLevel="0" collapsed="false">
      <c r="C843" s="44"/>
      <c r="D843" s="45"/>
      <c r="F843" s="46"/>
      <c r="G843" s="44"/>
      <c r="H843" s="44"/>
      <c r="J843" s="47"/>
    </row>
    <row r="844" customFormat="false" ht="15" hidden="false" customHeight="false" outlineLevel="0" collapsed="false">
      <c r="C844" s="44"/>
      <c r="D844" s="45"/>
      <c r="F844" s="46"/>
      <c r="G844" s="44"/>
      <c r="H844" s="44"/>
      <c r="J844" s="47"/>
    </row>
    <row r="845" customFormat="false" ht="15" hidden="false" customHeight="false" outlineLevel="0" collapsed="false">
      <c r="C845" s="44"/>
      <c r="D845" s="45"/>
      <c r="F845" s="46"/>
      <c r="G845" s="44"/>
      <c r="H845" s="44"/>
      <c r="J845" s="47"/>
    </row>
    <row r="846" customFormat="false" ht="15" hidden="false" customHeight="false" outlineLevel="0" collapsed="false">
      <c r="C846" s="44"/>
      <c r="D846" s="45"/>
      <c r="F846" s="46"/>
      <c r="G846" s="44"/>
      <c r="H846" s="44"/>
      <c r="J846" s="47"/>
    </row>
    <row r="847" customFormat="false" ht="15" hidden="false" customHeight="false" outlineLevel="0" collapsed="false">
      <c r="C847" s="44"/>
      <c r="D847" s="45"/>
      <c r="F847" s="46"/>
      <c r="G847" s="44"/>
      <c r="H847" s="44"/>
      <c r="J847" s="47"/>
    </row>
    <row r="848" customFormat="false" ht="15" hidden="false" customHeight="false" outlineLevel="0" collapsed="false">
      <c r="C848" s="44"/>
      <c r="D848" s="45"/>
      <c r="F848" s="46"/>
      <c r="G848" s="44"/>
      <c r="H848" s="44"/>
      <c r="J848" s="47"/>
    </row>
    <row r="849" customFormat="false" ht="15" hidden="false" customHeight="false" outlineLevel="0" collapsed="false">
      <c r="C849" s="44"/>
      <c r="D849" s="45"/>
      <c r="F849" s="46"/>
      <c r="G849" s="44"/>
      <c r="H849" s="44"/>
      <c r="J849" s="47"/>
    </row>
    <row r="850" customFormat="false" ht="15" hidden="false" customHeight="false" outlineLevel="0" collapsed="false">
      <c r="C850" s="44"/>
      <c r="D850" s="45"/>
      <c r="F850" s="46"/>
      <c r="G850" s="44"/>
      <c r="H850" s="44"/>
      <c r="J850" s="47"/>
    </row>
    <row r="851" customFormat="false" ht="15" hidden="false" customHeight="false" outlineLevel="0" collapsed="false">
      <c r="C851" s="44"/>
      <c r="D851" s="45"/>
      <c r="F851" s="46"/>
      <c r="G851" s="44"/>
      <c r="H851" s="44"/>
      <c r="J851" s="47"/>
    </row>
    <row r="852" customFormat="false" ht="15" hidden="false" customHeight="false" outlineLevel="0" collapsed="false">
      <c r="C852" s="44"/>
      <c r="D852" s="45"/>
      <c r="F852" s="46"/>
      <c r="G852" s="44"/>
      <c r="H852" s="44"/>
      <c r="J852" s="47"/>
    </row>
    <row r="853" customFormat="false" ht="15" hidden="false" customHeight="false" outlineLevel="0" collapsed="false">
      <c r="C853" s="44"/>
      <c r="D853" s="45"/>
      <c r="F853" s="46"/>
      <c r="G853" s="44"/>
      <c r="H853" s="44"/>
      <c r="J853" s="47"/>
    </row>
    <row r="854" customFormat="false" ht="15" hidden="false" customHeight="false" outlineLevel="0" collapsed="false">
      <c r="C854" s="44"/>
      <c r="D854" s="45"/>
      <c r="F854" s="46"/>
      <c r="G854" s="44"/>
      <c r="H854" s="44"/>
      <c r="J854" s="47"/>
    </row>
    <row r="855" customFormat="false" ht="15" hidden="false" customHeight="false" outlineLevel="0" collapsed="false">
      <c r="C855" s="44"/>
      <c r="D855" s="45"/>
      <c r="F855" s="46"/>
      <c r="G855" s="44"/>
      <c r="H855" s="44"/>
      <c r="J855" s="47"/>
    </row>
    <row r="856" customFormat="false" ht="15" hidden="false" customHeight="false" outlineLevel="0" collapsed="false">
      <c r="C856" s="44"/>
      <c r="D856" s="45"/>
      <c r="F856" s="46"/>
      <c r="G856" s="44"/>
      <c r="H856" s="44"/>
      <c r="J856" s="47"/>
    </row>
    <row r="857" customFormat="false" ht="15" hidden="false" customHeight="false" outlineLevel="0" collapsed="false">
      <c r="C857" s="44"/>
      <c r="D857" s="45"/>
      <c r="F857" s="46"/>
      <c r="G857" s="44"/>
      <c r="H857" s="44"/>
      <c r="J857" s="47"/>
    </row>
    <row r="858" customFormat="false" ht="15" hidden="false" customHeight="false" outlineLevel="0" collapsed="false">
      <c r="C858" s="44"/>
      <c r="D858" s="45"/>
      <c r="F858" s="46"/>
      <c r="G858" s="44"/>
      <c r="H858" s="44"/>
      <c r="J858" s="47"/>
    </row>
    <row r="859" customFormat="false" ht="15" hidden="false" customHeight="false" outlineLevel="0" collapsed="false">
      <c r="C859" s="44"/>
      <c r="D859" s="45"/>
      <c r="F859" s="46"/>
      <c r="G859" s="44"/>
      <c r="H859" s="44"/>
      <c r="J859" s="47"/>
    </row>
    <row r="860" customFormat="false" ht="15" hidden="false" customHeight="false" outlineLevel="0" collapsed="false">
      <c r="C860" s="44"/>
      <c r="D860" s="45"/>
      <c r="F860" s="46"/>
      <c r="G860" s="44"/>
      <c r="H860" s="44"/>
      <c r="J860" s="47"/>
    </row>
    <row r="861" customFormat="false" ht="15" hidden="false" customHeight="false" outlineLevel="0" collapsed="false">
      <c r="C861" s="44"/>
      <c r="D861" s="45"/>
      <c r="F861" s="46"/>
      <c r="G861" s="44"/>
      <c r="H861" s="44"/>
      <c r="J861" s="47"/>
    </row>
    <row r="862" customFormat="false" ht="15" hidden="false" customHeight="false" outlineLevel="0" collapsed="false">
      <c r="C862" s="44"/>
      <c r="D862" s="45"/>
      <c r="F862" s="46"/>
      <c r="G862" s="44"/>
      <c r="H862" s="44"/>
      <c r="J862" s="47"/>
    </row>
    <row r="863" customFormat="false" ht="15" hidden="false" customHeight="false" outlineLevel="0" collapsed="false">
      <c r="C863" s="44"/>
      <c r="D863" s="45"/>
      <c r="F863" s="46"/>
      <c r="G863" s="44"/>
      <c r="H863" s="44"/>
      <c r="J863" s="47"/>
    </row>
    <row r="864" customFormat="false" ht="15" hidden="false" customHeight="false" outlineLevel="0" collapsed="false">
      <c r="C864" s="44"/>
      <c r="D864" s="45"/>
      <c r="F864" s="46"/>
      <c r="G864" s="44"/>
      <c r="H864" s="44"/>
      <c r="J864" s="47"/>
    </row>
    <row r="865" customFormat="false" ht="15" hidden="false" customHeight="false" outlineLevel="0" collapsed="false">
      <c r="C865" s="44"/>
      <c r="D865" s="45"/>
      <c r="F865" s="46"/>
      <c r="G865" s="44"/>
      <c r="H865" s="44"/>
      <c r="J865" s="47"/>
    </row>
    <row r="866" customFormat="false" ht="15" hidden="false" customHeight="false" outlineLevel="0" collapsed="false">
      <c r="C866" s="44"/>
      <c r="D866" s="45"/>
      <c r="F866" s="46"/>
      <c r="G866" s="44"/>
      <c r="H866" s="44"/>
      <c r="J866" s="47"/>
    </row>
    <row r="867" customFormat="false" ht="15" hidden="false" customHeight="false" outlineLevel="0" collapsed="false">
      <c r="C867" s="44"/>
      <c r="D867" s="45"/>
      <c r="F867" s="46"/>
      <c r="G867" s="44"/>
      <c r="H867" s="44"/>
      <c r="J867" s="47"/>
    </row>
    <row r="868" customFormat="false" ht="15" hidden="false" customHeight="false" outlineLevel="0" collapsed="false">
      <c r="C868" s="44"/>
      <c r="D868" s="45"/>
      <c r="F868" s="46"/>
      <c r="G868" s="44"/>
      <c r="H868" s="44"/>
      <c r="J868" s="47"/>
    </row>
    <row r="869" customFormat="false" ht="15" hidden="false" customHeight="false" outlineLevel="0" collapsed="false">
      <c r="C869" s="44"/>
      <c r="D869" s="45"/>
      <c r="F869" s="46"/>
      <c r="G869" s="44"/>
      <c r="H869" s="44"/>
      <c r="J869" s="47"/>
    </row>
    <row r="870" customFormat="false" ht="15" hidden="false" customHeight="false" outlineLevel="0" collapsed="false">
      <c r="C870" s="44"/>
      <c r="D870" s="45"/>
      <c r="F870" s="46"/>
      <c r="G870" s="44"/>
      <c r="H870" s="44"/>
      <c r="J870" s="47"/>
    </row>
    <row r="871" customFormat="false" ht="15" hidden="false" customHeight="false" outlineLevel="0" collapsed="false">
      <c r="C871" s="44"/>
      <c r="D871" s="45"/>
      <c r="F871" s="46"/>
      <c r="G871" s="44"/>
      <c r="H871" s="44"/>
      <c r="J871" s="47"/>
    </row>
    <row r="872" customFormat="false" ht="15" hidden="false" customHeight="false" outlineLevel="0" collapsed="false">
      <c r="C872" s="44"/>
      <c r="D872" s="45"/>
      <c r="F872" s="46"/>
      <c r="G872" s="44"/>
      <c r="H872" s="44"/>
      <c r="J872" s="47"/>
    </row>
    <row r="873" customFormat="false" ht="15" hidden="false" customHeight="false" outlineLevel="0" collapsed="false">
      <c r="C873" s="44"/>
      <c r="D873" s="45"/>
      <c r="F873" s="46"/>
      <c r="G873" s="44"/>
      <c r="H873" s="44"/>
      <c r="J873" s="47"/>
    </row>
    <row r="874" customFormat="false" ht="15" hidden="false" customHeight="false" outlineLevel="0" collapsed="false">
      <c r="C874" s="44"/>
      <c r="D874" s="45"/>
      <c r="F874" s="46"/>
      <c r="G874" s="44"/>
      <c r="H874" s="44"/>
      <c r="J874" s="47"/>
    </row>
    <row r="875" customFormat="false" ht="15" hidden="false" customHeight="false" outlineLevel="0" collapsed="false">
      <c r="C875" s="44"/>
      <c r="D875" s="45"/>
      <c r="F875" s="46"/>
      <c r="G875" s="44"/>
      <c r="H875" s="44"/>
      <c r="J875" s="47"/>
    </row>
    <row r="876" customFormat="false" ht="15" hidden="false" customHeight="false" outlineLevel="0" collapsed="false">
      <c r="C876" s="44"/>
      <c r="D876" s="45"/>
      <c r="F876" s="46"/>
      <c r="G876" s="44"/>
      <c r="H876" s="44"/>
      <c r="J876" s="47"/>
    </row>
    <row r="877" customFormat="false" ht="15" hidden="false" customHeight="false" outlineLevel="0" collapsed="false">
      <c r="C877" s="44"/>
      <c r="D877" s="45"/>
      <c r="F877" s="46"/>
      <c r="G877" s="44"/>
      <c r="H877" s="44"/>
      <c r="J877" s="47"/>
    </row>
    <row r="878" customFormat="false" ht="15" hidden="false" customHeight="false" outlineLevel="0" collapsed="false">
      <c r="C878" s="44"/>
      <c r="D878" s="45"/>
      <c r="F878" s="46"/>
      <c r="G878" s="44"/>
      <c r="H878" s="44"/>
      <c r="J878" s="47"/>
    </row>
    <row r="879" customFormat="false" ht="15" hidden="false" customHeight="false" outlineLevel="0" collapsed="false">
      <c r="C879" s="44"/>
      <c r="D879" s="45"/>
      <c r="F879" s="46"/>
      <c r="G879" s="44"/>
      <c r="H879" s="44"/>
      <c r="J879" s="47"/>
    </row>
    <row r="880" customFormat="false" ht="15" hidden="false" customHeight="false" outlineLevel="0" collapsed="false">
      <c r="C880" s="44"/>
      <c r="D880" s="45"/>
      <c r="F880" s="46"/>
      <c r="G880" s="44"/>
      <c r="H880" s="44"/>
      <c r="J880" s="47"/>
    </row>
    <row r="881" customFormat="false" ht="15" hidden="false" customHeight="false" outlineLevel="0" collapsed="false">
      <c r="C881" s="44"/>
      <c r="D881" s="45"/>
      <c r="F881" s="46"/>
      <c r="G881" s="44"/>
      <c r="H881" s="44"/>
      <c r="J881" s="47"/>
    </row>
    <row r="882" customFormat="false" ht="15" hidden="false" customHeight="false" outlineLevel="0" collapsed="false">
      <c r="C882" s="44"/>
      <c r="D882" s="45"/>
      <c r="F882" s="46"/>
      <c r="G882" s="44"/>
      <c r="H882" s="44"/>
      <c r="J882" s="47"/>
    </row>
    <row r="883" customFormat="false" ht="15" hidden="false" customHeight="false" outlineLevel="0" collapsed="false">
      <c r="C883" s="44"/>
      <c r="D883" s="45"/>
      <c r="F883" s="46"/>
      <c r="G883" s="44"/>
      <c r="H883" s="44"/>
      <c r="J883" s="47"/>
    </row>
    <row r="884" customFormat="false" ht="15" hidden="false" customHeight="false" outlineLevel="0" collapsed="false">
      <c r="C884" s="44"/>
      <c r="D884" s="45"/>
      <c r="F884" s="46"/>
      <c r="G884" s="44"/>
      <c r="H884" s="44"/>
      <c r="J884" s="47"/>
    </row>
    <row r="885" customFormat="false" ht="15" hidden="false" customHeight="false" outlineLevel="0" collapsed="false">
      <c r="C885" s="44"/>
      <c r="D885" s="45"/>
      <c r="F885" s="46"/>
      <c r="G885" s="44"/>
      <c r="H885" s="44"/>
      <c r="J885" s="47"/>
    </row>
    <row r="886" customFormat="false" ht="15" hidden="false" customHeight="false" outlineLevel="0" collapsed="false">
      <c r="C886" s="44"/>
      <c r="D886" s="45"/>
      <c r="F886" s="46"/>
      <c r="G886" s="44"/>
      <c r="H886" s="44"/>
      <c r="J886" s="47"/>
    </row>
    <row r="887" customFormat="false" ht="15" hidden="false" customHeight="false" outlineLevel="0" collapsed="false">
      <c r="C887" s="44"/>
      <c r="D887" s="45"/>
      <c r="F887" s="46"/>
      <c r="G887" s="44"/>
      <c r="H887" s="44"/>
      <c r="J887" s="47"/>
    </row>
    <row r="888" customFormat="false" ht="15" hidden="false" customHeight="false" outlineLevel="0" collapsed="false">
      <c r="C888" s="44"/>
      <c r="D888" s="45"/>
      <c r="F888" s="46"/>
      <c r="G888" s="44"/>
      <c r="H888" s="44"/>
      <c r="J888" s="47"/>
    </row>
    <row r="889" customFormat="false" ht="15" hidden="false" customHeight="false" outlineLevel="0" collapsed="false">
      <c r="C889" s="44"/>
      <c r="D889" s="45"/>
      <c r="F889" s="46"/>
      <c r="G889" s="44"/>
      <c r="H889" s="44"/>
      <c r="J889" s="47"/>
    </row>
    <row r="890" customFormat="false" ht="15" hidden="false" customHeight="false" outlineLevel="0" collapsed="false">
      <c r="C890" s="44"/>
      <c r="D890" s="45"/>
      <c r="F890" s="46"/>
      <c r="G890" s="44"/>
      <c r="H890" s="44"/>
      <c r="J890" s="47"/>
    </row>
    <row r="891" customFormat="false" ht="15" hidden="false" customHeight="false" outlineLevel="0" collapsed="false">
      <c r="C891" s="44"/>
      <c r="D891" s="45"/>
      <c r="F891" s="46"/>
      <c r="G891" s="44"/>
      <c r="H891" s="44"/>
      <c r="J891" s="47"/>
    </row>
    <row r="892" customFormat="false" ht="15" hidden="false" customHeight="false" outlineLevel="0" collapsed="false">
      <c r="C892" s="44"/>
      <c r="D892" s="45"/>
      <c r="F892" s="46"/>
      <c r="G892" s="44"/>
      <c r="H892" s="44"/>
      <c r="J892" s="47"/>
    </row>
    <row r="893" customFormat="false" ht="15" hidden="false" customHeight="false" outlineLevel="0" collapsed="false">
      <c r="C893" s="44"/>
      <c r="D893" s="45"/>
      <c r="F893" s="46"/>
      <c r="G893" s="44"/>
      <c r="H893" s="44"/>
      <c r="J893" s="47"/>
    </row>
    <row r="894" customFormat="false" ht="15" hidden="false" customHeight="false" outlineLevel="0" collapsed="false">
      <c r="C894" s="44"/>
      <c r="D894" s="45"/>
      <c r="F894" s="46"/>
      <c r="G894" s="44"/>
      <c r="H894" s="44"/>
      <c r="J894" s="47"/>
    </row>
    <row r="895" customFormat="false" ht="15" hidden="false" customHeight="false" outlineLevel="0" collapsed="false">
      <c r="C895" s="44"/>
      <c r="D895" s="45"/>
      <c r="F895" s="46"/>
      <c r="G895" s="44"/>
      <c r="H895" s="44"/>
      <c r="J895" s="47"/>
    </row>
    <row r="896" customFormat="false" ht="15" hidden="false" customHeight="false" outlineLevel="0" collapsed="false">
      <c r="C896" s="44"/>
      <c r="D896" s="45"/>
      <c r="F896" s="46"/>
      <c r="G896" s="44"/>
      <c r="H896" s="44"/>
      <c r="J896" s="47"/>
    </row>
    <row r="897" customFormat="false" ht="15" hidden="false" customHeight="false" outlineLevel="0" collapsed="false">
      <c r="C897" s="44"/>
      <c r="D897" s="45"/>
      <c r="F897" s="46"/>
      <c r="G897" s="44"/>
      <c r="H897" s="44"/>
      <c r="J897" s="47"/>
    </row>
    <row r="898" customFormat="false" ht="15" hidden="false" customHeight="false" outlineLevel="0" collapsed="false">
      <c r="C898" s="44"/>
      <c r="D898" s="45"/>
      <c r="F898" s="46"/>
      <c r="G898" s="44"/>
      <c r="H898" s="44"/>
      <c r="J898" s="47"/>
    </row>
    <row r="899" customFormat="false" ht="15" hidden="false" customHeight="false" outlineLevel="0" collapsed="false">
      <c r="C899" s="44"/>
      <c r="D899" s="45"/>
      <c r="F899" s="46"/>
      <c r="G899" s="44"/>
      <c r="H899" s="44"/>
      <c r="J899" s="47"/>
    </row>
    <row r="900" customFormat="false" ht="15" hidden="false" customHeight="false" outlineLevel="0" collapsed="false">
      <c r="C900" s="44"/>
      <c r="D900" s="45"/>
      <c r="F900" s="46"/>
      <c r="G900" s="44"/>
      <c r="H900" s="44"/>
      <c r="J900" s="47"/>
    </row>
    <row r="901" customFormat="false" ht="15" hidden="false" customHeight="false" outlineLevel="0" collapsed="false">
      <c r="C901" s="44"/>
      <c r="D901" s="45"/>
      <c r="F901" s="46"/>
      <c r="G901" s="44"/>
      <c r="H901" s="44"/>
      <c r="J901" s="47"/>
    </row>
    <row r="902" customFormat="false" ht="15" hidden="false" customHeight="false" outlineLevel="0" collapsed="false">
      <c r="C902" s="44"/>
      <c r="D902" s="45"/>
      <c r="F902" s="46"/>
      <c r="G902" s="44"/>
      <c r="H902" s="44"/>
      <c r="J902" s="47"/>
    </row>
    <row r="903" customFormat="false" ht="15" hidden="false" customHeight="false" outlineLevel="0" collapsed="false">
      <c r="C903" s="44"/>
      <c r="D903" s="45"/>
      <c r="F903" s="46"/>
      <c r="G903" s="44"/>
      <c r="H903" s="44"/>
      <c r="J903" s="47"/>
    </row>
    <row r="904" customFormat="false" ht="15" hidden="false" customHeight="false" outlineLevel="0" collapsed="false">
      <c r="C904" s="44"/>
      <c r="D904" s="45"/>
      <c r="F904" s="46"/>
      <c r="G904" s="44"/>
      <c r="H904" s="44"/>
      <c r="J904" s="47"/>
    </row>
    <row r="905" customFormat="false" ht="15" hidden="false" customHeight="false" outlineLevel="0" collapsed="false">
      <c r="C905" s="44"/>
      <c r="D905" s="45"/>
      <c r="F905" s="46"/>
      <c r="G905" s="44"/>
      <c r="H905" s="44"/>
      <c r="J905" s="47"/>
    </row>
    <row r="906" customFormat="false" ht="15" hidden="false" customHeight="false" outlineLevel="0" collapsed="false">
      <c r="C906" s="44"/>
      <c r="D906" s="45"/>
      <c r="F906" s="46"/>
      <c r="G906" s="44"/>
      <c r="H906" s="44"/>
      <c r="J906" s="47"/>
    </row>
    <row r="907" customFormat="false" ht="15" hidden="false" customHeight="false" outlineLevel="0" collapsed="false">
      <c r="C907" s="44"/>
      <c r="D907" s="45"/>
      <c r="F907" s="46"/>
      <c r="G907" s="44"/>
      <c r="H907" s="44"/>
      <c r="J907" s="47"/>
    </row>
    <row r="908" customFormat="false" ht="15" hidden="false" customHeight="false" outlineLevel="0" collapsed="false">
      <c r="C908" s="44"/>
      <c r="D908" s="45"/>
      <c r="F908" s="46"/>
      <c r="G908" s="44"/>
      <c r="H908" s="44"/>
      <c r="J908" s="47"/>
    </row>
    <row r="909" customFormat="false" ht="15" hidden="false" customHeight="false" outlineLevel="0" collapsed="false">
      <c r="C909" s="44"/>
      <c r="D909" s="45"/>
      <c r="F909" s="46"/>
      <c r="G909" s="44"/>
      <c r="H909" s="44"/>
      <c r="J909" s="47"/>
    </row>
    <row r="910" customFormat="false" ht="15" hidden="false" customHeight="false" outlineLevel="0" collapsed="false">
      <c r="C910" s="44"/>
      <c r="D910" s="45"/>
      <c r="F910" s="46"/>
      <c r="G910" s="44"/>
      <c r="H910" s="44"/>
      <c r="J910" s="47"/>
    </row>
    <row r="911" customFormat="false" ht="15" hidden="false" customHeight="false" outlineLevel="0" collapsed="false">
      <c r="C911" s="44"/>
      <c r="D911" s="45"/>
      <c r="F911" s="46"/>
      <c r="G911" s="44"/>
      <c r="H911" s="44"/>
      <c r="J911" s="47"/>
    </row>
    <row r="912" customFormat="false" ht="15" hidden="false" customHeight="false" outlineLevel="0" collapsed="false">
      <c r="C912" s="44"/>
      <c r="D912" s="45"/>
      <c r="F912" s="46"/>
      <c r="G912" s="44"/>
      <c r="H912" s="44"/>
      <c r="J912" s="47"/>
    </row>
    <row r="913" customFormat="false" ht="15" hidden="false" customHeight="false" outlineLevel="0" collapsed="false">
      <c r="C913" s="44"/>
      <c r="D913" s="45"/>
      <c r="F913" s="46"/>
      <c r="G913" s="44"/>
      <c r="H913" s="44"/>
      <c r="J913" s="47"/>
    </row>
    <row r="914" customFormat="false" ht="15" hidden="false" customHeight="false" outlineLevel="0" collapsed="false">
      <c r="C914" s="44"/>
      <c r="D914" s="45"/>
      <c r="F914" s="46"/>
      <c r="G914" s="44"/>
      <c r="H914" s="44"/>
      <c r="J914" s="47"/>
    </row>
    <row r="915" customFormat="false" ht="15" hidden="false" customHeight="false" outlineLevel="0" collapsed="false">
      <c r="C915" s="44"/>
      <c r="D915" s="45"/>
      <c r="F915" s="46"/>
      <c r="G915" s="44"/>
      <c r="H915" s="44"/>
      <c r="J915" s="47"/>
    </row>
    <row r="916" customFormat="false" ht="15" hidden="false" customHeight="false" outlineLevel="0" collapsed="false">
      <c r="C916" s="44"/>
      <c r="D916" s="45"/>
      <c r="F916" s="46"/>
      <c r="G916" s="44"/>
      <c r="H916" s="44"/>
      <c r="J916" s="47"/>
    </row>
    <row r="917" customFormat="false" ht="15" hidden="false" customHeight="false" outlineLevel="0" collapsed="false">
      <c r="C917" s="44"/>
      <c r="D917" s="45"/>
      <c r="F917" s="46"/>
      <c r="G917" s="44"/>
      <c r="H917" s="44"/>
      <c r="J917" s="47"/>
    </row>
    <row r="918" customFormat="false" ht="15" hidden="false" customHeight="false" outlineLevel="0" collapsed="false">
      <c r="C918" s="44"/>
      <c r="D918" s="45"/>
      <c r="F918" s="46"/>
      <c r="G918" s="44"/>
      <c r="H918" s="44"/>
      <c r="J918" s="47"/>
    </row>
    <row r="919" customFormat="false" ht="15" hidden="false" customHeight="false" outlineLevel="0" collapsed="false">
      <c r="C919" s="44"/>
      <c r="D919" s="45"/>
      <c r="F919" s="46"/>
      <c r="G919" s="44"/>
      <c r="H919" s="44"/>
      <c r="J919" s="47"/>
    </row>
    <row r="920" customFormat="false" ht="15" hidden="false" customHeight="false" outlineLevel="0" collapsed="false">
      <c r="C920" s="44"/>
      <c r="D920" s="45"/>
      <c r="F920" s="46"/>
      <c r="G920" s="44"/>
      <c r="H920" s="44"/>
      <c r="J920" s="47"/>
    </row>
    <row r="921" customFormat="false" ht="15" hidden="false" customHeight="false" outlineLevel="0" collapsed="false">
      <c r="C921" s="44"/>
      <c r="D921" s="45"/>
      <c r="F921" s="46"/>
      <c r="G921" s="44"/>
      <c r="H921" s="44"/>
      <c r="J921" s="47"/>
    </row>
    <row r="922" customFormat="false" ht="15" hidden="false" customHeight="false" outlineLevel="0" collapsed="false">
      <c r="C922" s="44"/>
      <c r="D922" s="45"/>
      <c r="F922" s="46"/>
      <c r="G922" s="44"/>
      <c r="H922" s="44"/>
      <c r="J922" s="47"/>
    </row>
    <row r="923" customFormat="false" ht="15" hidden="false" customHeight="false" outlineLevel="0" collapsed="false">
      <c r="C923" s="44"/>
      <c r="D923" s="45"/>
      <c r="F923" s="46"/>
      <c r="G923" s="44"/>
      <c r="H923" s="44"/>
      <c r="J923" s="47"/>
    </row>
    <row r="924" customFormat="false" ht="15" hidden="false" customHeight="false" outlineLevel="0" collapsed="false">
      <c r="C924" s="44"/>
      <c r="D924" s="45"/>
      <c r="F924" s="46"/>
      <c r="G924" s="44"/>
      <c r="H924" s="44"/>
      <c r="J924" s="47"/>
    </row>
    <row r="925" customFormat="false" ht="15" hidden="false" customHeight="false" outlineLevel="0" collapsed="false">
      <c r="C925" s="44"/>
      <c r="D925" s="45"/>
      <c r="F925" s="46"/>
      <c r="G925" s="44"/>
      <c r="H925" s="44"/>
      <c r="J925" s="47"/>
    </row>
    <row r="926" customFormat="false" ht="15" hidden="false" customHeight="false" outlineLevel="0" collapsed="false">
      <c r="C926" s="44"/>
      <c r="D926" s="45"/>
      <c r="F926" s="46"/>
      <c r="G926" s="44"/>
      <c r="H926" s="44"/>
      <c r="J926" s="47"/>
    </row>
    <row r="927" customFormat="false" ht="15" hidden="false" customHeight="false" outlineLevel="0" collapsed="false">
      <c r="C927" s="44"/>
      <c r="D927" s="45"/>
      <c r="F927" s="46"/>
      <c r="G927" s="44"/>
      <c r="H927" s="44"/>
      <c r="J927" s="47"/>
    </row>
    <row r="928" customFormat="false" ht="15" hidden="false" customHeight="false" outlineLevel="0" collapsed="false">
      <c r="C928" s="44"/>
      <c r="D928" s="45"/>
      <c r="F928" s="46"/>
      <c r="G928" s="44"/>
      <c r="H928" s="44"/>
      <c r="J928" s="47"/>
    </row>
    <row r="929" customFormat="false" ht="15" hidden="false" customHeight="false" outlineLevel="0" collapsed="false">
      <c r="C929" s="44"/>
      <c r="D929" s="45"/>
      <c r="F929" s="46"/>
      <c r="G929" s="44"/>
      <c r="H929" s="44"/>
      <c r="J929" s="47"/>
    </row>
    <row r="930" customFormat="false" ht="15" hidden="false" customHeight="false" outlineLevel="0" collapsed="false">
      <c r="C930" s="44"/>
      <c r="D930" s="45"/>
      <c r="F930" s="46"/>
      <c r="G930" s="44"/>
      <c r="H930" s="44"/>
      <c r="J930" s="47"/>
    </row>
    <row r="931" customFormat="false" ht="15" hidden="false" customHeight="false" outlineLevel="0" collapsed="false">
      <c r="C931" s="44"/>
      <c r="D931" s="45"/>
      <c r="F931" s="46"/>
      <c r="G931" s="44"/>
      <c r="H931" s="44"/>
      <c r="J931" s="47"/>
    </row>
    <row r="932" customFormat="false" ht="15" hidden="false" customHeight="false" outlineLevel="0" collapsed="false">
      <c r="C932" s="44"/>
      <c r="D932" s="45"/>
      <c r="F932" s="46"/>
      <c r="G932" s="44"/>
      <c r="H932" s="44"/>
      <c r="J932" s="47"/>
    </row>
    <row r="933" customFormat="false" ht="15" hidden="false" customHeight="false" outlineLevel="0" collapsed="false">
      <c r="C933" s="44"/>
      <c r="D933" s="45"/>
      <c r="F933" s="46"/>
      <c r="G933" s="44"/>
      <c r="H933" s="44"/>
      <c r="J933" s="47"/>
    </row>
    <row r="934" customFormat="false" ht="15" hidden="false" customHeight="false" outlineLevel="0" collapsed="false">
      <c r="C934" s="44"/>
      <c r="D934" s="45"/>
      <c r="F934" s="46"/>
      <c r="G934" s="44"/>
      <c r="H934" s="44"/>
      <c r="J934" s="47"/>
    </row>
    <row r="935" customFormat="false" ht="15" hidden="false" customHeight="false" outlineLevel="0" collapsed="false">
      <c r="C935" s="44"/>
      <c r="D935" s="45"/>
      <c r="F935" s="46"/>
      <c r="G935" s="44"/>
      <c r="H935" s="44"/>
      <c r="J935" s="47"/>
    </row>
    <row r="936" customFormat="false" ht="15" hidden="false" customHeight="false" outlineLevel="0" collapsed="false">
      <c r="C936" s="44"/>
      <c r="D936" s="45"/>
      <c r="F936" s="46"/>
      <c r="G936" s="44"/>
      <c r="H936" s="44"/>
      <c r="J936" s="47"/>
    </row>
    <row r="937" customFormat="false" ht="15" hidden="false" customHeight="false" outlineLevel="0" collapsed="false">
      <c r="C937" s="44"/>
      <c r="D937" s="45"/>
      <c r="F937" s="46"/>
      <c r="G937" s="44"/>
      <c r="H937" s="44"/>
      <c r="J937" s="47"/>
    </row>
    <row r="938" customFormat="false" ht="15" hidden="false" customHeight="false" outlineLevel="0" collapsed="false">
      <c r="C938" s="44"/>
      <c r="D938" s="45"/>
      <c r="F938" s="46"/>
      <c r="G938" s="44"/>
      <c r="H938" s="44"/>
      <c r="J938" s="47"/>
    </row>
    <row r="939" customFormat="false" ht="15" hidden="false" customHeight="false" outlineLevel="0" collapsed="false">
      <c r="C939" s="44"/>
      <c r="D939" s="45"/>
      <c r="F939" s="46"/>
      <c r="G939" s="44"/>
      <c r="H939" s="44"/>
      <c r="J939" s="47"/>
    </row>
    <row r="940" customFormat="false" ht="15" hidden="false" customHeight="false" outlineLevel="0" collapsed="false">
      <c r="C940" s="44"/>
      <c r="D940" s="45"/>
      <c r="F940" s="46"/>
      <c r="G940" s="44"/>
      <c r="H940" s="44"/>
      <c r="J940" s="47"/>
    </row>
    <row r="941" customFormat="false" ht="15" hidden="false" customHeight="false" outlineLevel="0" collapsed="false">
      <c r="C941" s="44"/>
      <c r="D941" s="45"/>
      <c r="F941" s="46"/>
      <c r="G941" s="44"/>
      <c r="H941" s="44"/>
      <c r="J941" s="47"/>
    </row>
    <row r="942" customFormat="false" ht="15" hidden="false" customHeight="false" outlineLevel="0" collapsed="false">
      <c r="C942" s="44"/>
      <c r="D942" s="45"/>
      <c r="F942" s="46"/>
      <c r="G942" s="44"/>
      <c r="H942" s="44"/>
      <c r="J942" s="47"/>
    </row>
    <row r="943" customFormat="false" ht="15" hidden="false" customHeight="false" outlineLevel="0" collapsed="false">
      <c r="C943" s="44"/>
      <c r="D943" s="45"/>
      <c r="F943" s="46"/>
      <c r="G943" s="44"/>
      <c r="H943" s="44"/>
      <c r="J943" s="47"/>
    </row>
    <row r="944" customFormat="false" ht="15" hidden="false" customHeight="false" outlineLevel="0" collapsed="false">
      <c r="C944" s="44"/>
      <c r="D944" s="45"/>
      <c r="F944" s="46"/>
      <c r="G944" s="44"/>
      <c r="H944" s="44"/>
      <c r="J944" s="47"/>
    </row>
    <row r="945" customFormat="false" ht="15" hidden="false" customHeight="false" outlineLevel="0" collapsed="false">
      <c r="C945" s="44"/>
      <c r="D945" s="45"/>
      <c r="F945" s="46"/>
      <c r="G945" s="44"/>
      <c r="H945" s="44"/>
      <c r="J945" s="47"/>
    </row>
    <row r="946" customFormat="false" ht="15" hidden="false" customHeight="false" outlineLevel="0" collapsed="false">
      <c r="C946" s="44"/>
      <c r="D946" s="45"/>
      <c r="F946" s="46"/>
      <c r="G946" s="44"/>
      <c r="H946" s="44"/>
      <c r="J946" s="47"/>
    </row>
    <row r="947" customFormat="false" ht="15" hidden="false" customHeight="false" outlineLevel="0" collapsed="false">
      <c r="C947" s="44"/>
      <c r="D947" s="45"/>
      <c r="F947" s="46"/>
      <c r="G947" s="44"/>
      <c r="H947" s="44"/>
      <c r="J947" s="47"/>
    </row>
    <row r="948" customFormat="false" ht="15" hidden="false" customHeight="false" outlineLevel="0" collapsed="false">
      <c r="C948" s="44"/>
      <c r="D948" s="45"/>
      <c r="F948" s="46"/>
      <c r="G948" s="44"/>
      <c r="H948" s="44"/>
      <c r="J948" s="47"/>
    </row>
    <row r="949" customFormat="false" ht="15" hidden="false" customHeight="false" outlineLevel="0" collapsed="false">
      <c r="C949" s="44"/>
      <c r="D949" s="45"/>
      <c r="F949" s="46"/>
      <c r="G949" s="44"/>
      <c r="H949" s="44"/>
      <c r="J949" s="47"/>
    </row>
    <row r="950" customFormat="false" ht="15" hidden="false" customHeight="false" outlineLevel="0" collapsed="false">
      <c r="C950" s="44"/>
      <c r="D950" s="45"/>
      <c r="F950" s="46"/>
      <c r="G950" s="44"/>
      <c r="H950" s="44"/>
      <c r="J950" s="47"/>
    </row>
    <row r="951" customFormat="false" ht="15" hidden="false" customHeight="false" outlineLevel="0" collapsed="false">
      <c r="C951" s="44"/>
      <c r="D951" s="45"/>
      <c r="F951" s="46"/>
      <c r="G951" s="44"/>
      <c r="H951" s="44"/>
      <c r="J951" s="47"/>
    </row>
    <row r="952" customFormat="false" ht="15" hidden="false" customHeight="false" outlineLevel="0" collapsed="false">
      <c r="C952" s="44"/>
      <c r="D952" s="45"/>
      <c r="F952" s="46"/>
      <c r="G952" s="44"/>
      <c r="H952" s="44"/>
      <c r="J952" s="47"/>
    </row>
    <row r="953" customFormat="false" ht="15" hidden="false" customHeight="false" outlineLevel="0" collapsed="false">
      <c r="C953" s="44"/>
      <c r="D953" s="45"/>
      <c r="F953" s="46"/>
      <c r="G953" s="44"/>
      <c r="H953" s="44"/>
      <c r="J953" s="47"/>
    </row>
    <row r="954" customFormat="false" ht="15" hidden="false" customHeight="false" outlineLevel="0" collapsed="false">
      <c r="C954" s="44"/>
      <c r="D954" s="45"/>
      <c r="F954" s="46"/>
      <c r="G954" s="44"/>
      <c r="H954" s="44"/>
      <c r="J954" s="47"/>
    </row>
    <row r="955" customFormat="false" ht="15" hidden="false" customHeight="false" outlineLevel="0" collapsed="false">
      <c r="C955" s="44"/>
      <c r="D955" s="45"/>
      <c r="F955" s="46"/>
      <c r="G955" s="44"/>
      <c r="H955" s="44"/>
      <c r="J955" s="47"/>
    </row>
    <row r="956" customFormat="false" ht="15" hidden="false" customHeight="false" outlineLevel="0" collapsed="false">
      <c r="C956" s="44"/>
      <c r="D956" s="45"/>
      <c r="F956" s="46"/>
      <c r="G956" s="44"/>
      <c r="H956" s="44"/>
      <c r="J956" s="47"/>
    </row>
    <row r="957" customFormat="false" ht="15" hidden="false" customHeight="false" outlineLevel="0" collapsed="false">
      <c r="C957" s="44"/>
      <c r="D957" s="45"/>
      <c r="F957" s="46"/>
      <c r="G957" s="44"/>
      <c r="H957" s="44"/>
      <c r="J957" s="47"/>
    </row>
    <row r="958" customFormat="false" ht="15" hidden="false" customHeight="false" outlineLevel="0" collapsed="false">
      <c r="C958" s="44"/>
      <c r="D958" s="45"/>
      <c r="F958" s="46"/>
      <c r="G958" s="44"/>
      <c r="H958" s="44"/>
      <c r="J958" s="47"/>
    </row>
    <row r="959" customFormat="false" ht="15" hidden="false" customHeight="false" outlineLevel="0" collapsed="false">
      <c r="C959" s="44"/>
      <c r="D959" s="45"/>
      <c r="F959" s="46"/>
      <c r="G959" s="44"/>
      <c r="H959" s="44"/>
      <c r="J959" s="47"/>
    </row>
    <row r="960" customFormat="false" ht="15" hidden="false" customHeight="false" outlineLevel="0" collapsed="false">
      <c r="C960" s="44"/>
      <c r="D960" s="45"/>
      <c r="F960" s="46"/>
      <c r="G960" s="44"/>
      <c r="H960" s="44"/>
      <c r="J960" s="47"/>
    </row>
    <row r="961" customFormat="false" ht="15" hidden="false" customHeight="false" outlineLevel="0" collapsed="false">
      <c r="C961" s="44"/>
      <c r="D961" s="45"/>
      <c r="F961" s="46"/>
      <c r="G961" s="44"/>
      <c r="H961" s="44"/>
      <c r="J961" s="47"/>
    </row>
    <row r="962" customFormat="false" ht="15" hidden="false" customHeight="false" outlineLevel="0" collapsed="false">
      <c r="C962" s="44"/>
      <c r="D962" s="45"/>
      <c r="F962" s="46"/>
      <c r="G962" s="44"/>
      <c r="H962" s="44"/>
      <c r="J962" s="47"/>
    </row>
    <row r="963" customFormat="false" ht="15" hidden="false" customHeight="false" outlineLevel="0" collapsed="false">
      <c r="C963" s="44"/>
      <c r="D963" s="45"/>
      <c r="F963" s="46"/>
      <c r="G963" s="44"/>
      <c r="H963" s="44"/>
      <c r="J963" s="47"/>
    </row>
    <row r="964" customFormat="false" ht="15" hidden="false" customHeight="false" outlineLevel="0" collapsed="false">
      <c r="C964" s="44"/>
      <c r="D964" s="45"/>
      <c r="F964" s="46"/>
      <c r="G964" s="44"/>
      <c r="H964" s="44"/>
      <c r="J964" s="47"/>
    </row>
    <row r="965" customFormat="false" ht="15" hidden="false" customHeight="false" outlineLevel="0" collapsed="false">
      <c r="C965" s="44"/>
      <c r="D965" s="45"/>
      <c r="F965" s="46"/>
      <c r="G965" s="44"/>
      <c r="H965" s="44"/>
      <c r="J965" s="47"/>
    </row>
    <row r="966" customFormat="false" ht="15" hidden="false" customHeight="false" outlineLevel="0" collapsed="false">
      <c r="C966" s="44"/>
      <c r="D966" s="45"/>
      <c r="F966" s="46"/>
      <c r="G966" s="44"/>
      <c r="H966" s="44"/>
      <c r="J966" s="47"/>
    </row>
    <row r="967" customFormat="false" ht="15" hidden="false" customHeight="false" outlineLevel="0" collapsed="false">
      <c r="C967" s="44"/>
      <c r="D967" s="45"/>
      <c r="F967" s="46"/>
      <c r="G967" s="44"/>
      <c r="H967" s="44"/>
      <c r="J967" s="47"/>
    </row>
    <row r="968" customFormat="false" ht="15" hidden="false" customHeight="false" outlineLevel="0" collapsed="false">
      <c r="C968" s="44"/>
      <c r="D968" s="45"/>
      <c r="F968" s="46"/>
      <c r="G968" s="44"/>
      <c r="H968" s="44"/>
      <c r="J968" s="47"/>
    </row>
    <row r="969" customFormat="false" ht="15" hidden="false" customHeight="false" outlineLevel="0" collapsed="false">
      <c r="C969" s="44"/>
      <c r="D969" s="45"/>
      <c r="F969" s="46"/>
      <c r="G969" s="44"/>
      <c r="H969" s="44"/>
      <c r="J969" s="47"/>
    </row>
    <row r="970" customFormat="false" ht="15" hidden="false" customHeight="false" outlineLevel="0" collapsed="false">
      <c r="C970" s="44"/>
      <c r="D970" s="45"/>
      <c r="F970" s="46"/>
      <c r="G970" s="44"/>
      <c r="H970" s="44"/>
      <c r="J970" s="47"/>
    </row>
    <row r="971" customFormat="false" ht="15" hidden="false" customHeight="false" outlineLevel="0" collapsed="false">
      <c r="C971" s="44"/>
      <c r="D971" s="45"/>
      <c r="F971" s="46"/>
      <c r="G971" s="44"/>
      <c r="H971" s="44"/>
      <c r="J971" s="47"/>
    </row>
    <row r="972" customFormat="false" ht="15" hidden="false" customHeight="false" outlineLevel="0" collapsed="false">
      <c r="C972" s="44"/>
      <c r="D972" s="45"/>
      <c r="F972" s="46"/>
      <c r="G972" s="44"/>
      <c r="H972" s="44"/>
      <c r="J972" s="47"/>
    </row>
    <row r="973" customFormat="false" ht="15" hidden="false" customHeight="false" outlineLevel="0" collapsed="false">
      <c r="C973" s="44"/>
      <c r="D973" s="45"/>
      <c r="F973" s="46"/>
      <c r="G973" s="44"/>
      <c r="H973" s="44"/>
      <c r="J973" s="47"/>
    </row>
    <row r="974" customFormat="false" ht="15" hidden="false" customHeight="false" outlineLevel="0" collapsed="false">
      <c r="C974" s="44"/>
      <c r="D974" s="45"/>
      <c r="F974" s="46"/>
      <c r="G974" s="44"/>
      <c r="H974" s="44"/>
      <c r="J974" s="47"/>
    </row>
    <row r="975" customFormat="false" ht="15" hidden="false" customHeight="false" outlineLevel="0" collapsed="false">
      <c r="C975" s="44"/>
      <c r="D975" s="45"/>
      <c r="F975" s="46"/>
      <c r="G975" s="44"/>
      <c r="H975" s="44"/>
      <c r="J975" s="47"/>
    </row>
    <row r="976" customFormat="false" ht="15" hidden="false" customHeight="false" outlineLevel="0" collapsed="false">
      <c r="C976" s="44"/>
      <c r="D976" s="45"/>
      <c r="F976" s="46"/>
      <c r="G976" s="44"/>
      <c r="H976" s="44"/>
      <c r="J976" s="47"/>
    </row>
    <row r="977" customFormat="false" ht="15" hidden="false" customHeight="false" outlineLevel="0" collapsed="false">
      <c r="C977" s="44"/>
      <c r="D977" s="45"/>
      <c r="F977" s="46"/>
      <c r="G977" s="44"/>
      <c r="H977" s="44"/>
      <c r="J977" s="47"/>
    </row>
    <row r="978" customFormat="false" ht="15" hidden="false" customHeight="false" outlineLevel="0" collapsed="false">
      <c r="C978" s="44"/>
      <c r="D978" s="45"/>
      <c r="F978" s="46"/>
      <c r="G978" s="44"/>
      <c r="H978" s="44"/>
      <c r="J978" s="47"/>
    </row>
    <row r="979" customFormat="false" ht="15" hidden="false" customHeight="false" outlineLevel="0" collapsed="false">
      <c r="C979" s="44"/>
      <c r="D979" s="45"/>
      <c r="F979" s="46"/>
      <c r="G979" s="44"/>
      <c r="H979" s="44"/>
      <c r="J979" s="47"/>
    </row>
    <row r="980" customFormat="false" ht="15" hidden="false" customHeight="false" outlineLevel="0" collapsed="false">
      <c r="C980" s="44"/>
      <c r="D980" s="45"/>
      <c r="F980" s="46"/>
      <c r="G980" s="44"/>
      <c r="H980" s="44"/>
      <c r="J980" s="47"/>
    </row>
    <row r="981" customFormat="false" ht="15" hidden="false" customHeight="false" outlineLevel="0" collapsed="false">
      <c r="C981" s="44"/>
      <c r="D981" s="45"/>
      <c r="F981" s="46"/>
      <c r="G981" s="44"/>
      <c r="H981" s="44"/>
      <c r="J981" s="47"/>
    </row>
    <row r="982" customFormat="false" ht="15" hidden="false" customHeight="false" outlineLevel="0" collapsed="false">
      <c r="C982" s="44"/>
      <c r="D982" s="45"/>
      <c r="F982" s="46"/>
      <c r="G982" s="44"/>
      <c r="H982" s="44"/>
      <c r="J982" s="47"/>
    </row>
    <row r="983" customFormat="false" ht="15" hidden="false" customHeight="false" outlineLevel="0" collapsed="false">
      <c r="C983" s="44"/>
      <c r="D983" s="45"/>
      <c r="F983" s="46"/>
      <c r="G983" s="44"/>
      <c r="H983" s="44"/>
      <c r="J983" s="47"/>
    </row>
    <row r="984" customFormat="false" ht="15" hidden="false" customHeight="false" outlineLevel="0" collapsed="false">
      <c r="C984" s="44"/>
      <c r="D984" s="45"/>
      <c r="F984" s="46"/>
      <c r="G984" s="44"/>
      <c r="H984" s="44"/>
      <c r="J984" s="47"/>
    </row>
    <row r="985" customFormat="false" ht="15" hidden="false" customHeight="false" outlineLevel="0" collapsed="false">
      <c r="C985" s="44"/>
      <c r="D985" s="45"/>
      <c r="F985" s="46"/>
      <c r="G985" s="44"/>
      <c r="H985" s="44"/>
      <c r="J985" s="47"/>
    </row>
    <row r="986" customFormat="false" ht="15" hidden="false" customHeight="false" outlineLevel="0" collapsed="false">
      <c r="C986" s="44"/>
      <c r="D986" s="45"/>
      <c r="F986" s="46"/>
      <c r="G986" s="44"/>
      <c r="H986" s="44"/>
      <c r="J986" s="47"/>
    </row>
    <row r="987" customFormat="false" ht="15" hidden="false" customHeight="false" outlineLevel="0" collapsed="false">
      <c r="C987" s="44"/>
      <c r="D987" s="45"/>
      <c r="F987" s="46"/>
      <c r="G987" s="44"/>
      <c r="H987" s="44"/>
      <c r="J987" s="47"/>
    </row>
    <row r="988" customFormat="false" ht="15" hidden="false" customHeight="false" outlineLevel="0" collapsed="false">
      <c r="C988" s="44"/>
      <c r="D988" s="45"/>
      <c r="F988" s="46"/>
      <c r="G988" s="44"/>
      <c r="H988" s="44"/>
      <c r="J988" s="47"/>
    </row>
    <row r="989" customFormat="false" ht="15" hidden="false" customHeight="false" outlineLevel="0" collapsed="false">
      <c r="C989" s="44"/>
      <c r="D989" s="45"/>
      <c r="F989" s="46"/>
      <c r="G989" s="44"/>
      <c r="H989" s="44"/>
      <c r="J989" s="47"/>
    </row>
    <row r="990" customFormat="false" ht="15" hidden="false" customHeight="false" outlineLevel="0" collapsed="false">
      <c r="C990" s="44"/>
      <c r="D990" s="45"/>
      <c r="F990" s="46"/>
      <c r="G990" s="44"/>
      <c r="H990" s="44"/>
      <c r="J990" s="47"/>
    </row>
    <row r="991" customFormat="false" ht="15" hidden="false" customHeight="false" outlineLevel="0" collapsed="false">
      <c r="C991" s="44"/>
      <c r="D991" s="45"/>
      <c r="F991" s="46"/>
      <c r="G991" s="44"/>
      <c r="H991" s="44"/>
      <c r="J991" s="47"/>
    </row>
    <row r="992" customFormat="false" ht="15" hidden="false" customHeight="false" outlineLevel="0" collapsed="false">
      <c r="C992" s="44"/>
      <c r="D992" s="45"/>
      <c r="F992" s="46"/>
      <c r="G992" s="44"/>
      <c r="H992" s="44"/>
      <c r="J992" s="47"/>
    </row>
    <row r="993" customFormat="false" ht="15" hidden="false" customHeight="false" outlineLevel="0" collapsed="false">
      <c r="C993" s="44"/>
      <c r="D993" s="45"/>
      <c r="F993" s="46"/>
      <c r="G993" s="44"/>
      <c r="H993" s="44"/>
      <c r="J993" s="47"/>
    </row>
    <row r="994" customFormat="false" ht="15" hidden="false" customHeight="false" outlineLevel="0" collapsed="false">
      <c r="C994" s="44"/>
      <c r="D994" s="45"/>
      <c r="F994" s="46"/>
      <c r="G994" s="44"/>
      <c r="H994" s="44"/>
      <c r="J994" s="47"/>
    </row>
    <row r="995" customFormat="false" ht="15" hidden="false" customHeight="false" outlineLevel="0" collapsed="false">
      <c r="C995" s="44"/>
      <c r="D995" s="45"/>
      <c r="F995" s="46"/>
      <c r="G995" s="44"/>
      <c r="H995" s="44"/>
      <c r="J995" s="47"/>
    </row>
    <row r="996" customFormat="false" ht="15" hidden="false" customHeight="false" outlineLevel="0" collapsed="false">
      <c r="C996" s="44"/>
      <c r="D996" s="45"/>
      <c r="F996" s="46"/>
      <c r="G996" s="44"/>
      <c r="H996" s="44"/>
      <c r="J996" s="47"/>
    </row>
    <row r="997" customFormat="false" ht="15" hidden="false" customHeight="false" outlineLevel="0" collapsed="false">
      <c r="C997" s="44"/>
      <c r="D997" s="45"/>
      <c r="F997" s="46"/>
      <c r="G997" s="44"/>
      <c r="H997" s="44"/>
      <c r="J997" s="47"/>
    </row>
    <row r="998" customFormat="false" ht="15" hidden="false" customHeight="false" outlineLevel="0" collapsed="false">
      <c r="C998" s="44"/>
      <c r="D998" s="45"/>
      <c r="F998" s="46"/>
      <c r="G998" s="44"/>
      <c r="H998" s="44"/>
      <c r="J998" s="47"/>
    </row>
    <row r="999" customFormat="false" ht="15" hidden="false" customHeight="false" outlineLevel="0" collapsed="false">
      <c r="C999" s="44"/>
      <c r="D999" s="45"/>
      <c r="F999" s="46"/>
      <c r="G999" s="44"/>
      <c r="H999" s="44"/>
      <c r="J999" s="47"/>
    </row>
    <row r="1000" customFormat="false" ht="15" hidden="false" customHeight="false" outlineLevel="0" collapsed="false">
      <c r="C1000" s="44"/>
      <c r="D1000" s="45"/>
      <c r="F1000" s="46"/>
      <c r="G1000" s="44"/>
      <c r="H1000" s="44"/>
      <c r="J1000" s="47"/>
    </row>
    <row r="1001" customFormat="false" ht="15" hidden="false" customHeight="false" outlineLevel="0" collapsed="false">
      <c r="C1001" s="44"/>
      <c r="D1001" s="45"/>
      <c r="F1001" s="46"/>
      <c r="G1001" s="44"/>
      <c r="H1001" s="44"/>
      <c r="J1001" s="47"/>
    </row>
    <row r="1002" customFormat="false" ht="15" hidden="false" customHeight="false" outlineLevel="0" collapsed="false">
      <c r="C1002" s="44"/>
      <c r="D1002" s="45"/>
      <c r="F1002" s="46"/>
      <c r="G1002" s="44"/>
      <c r="H1002" s="44"/>
      <c r="J1002" s="47"/>
    </row>
    <row r="1003" customFormat="false" ht="15" hidden="false" customHeight="false" outlineLevel="0" collapsed="false">
      <c r="C1003" s="44"/>
      <c r="D1003" s="45"/>
      <c r="F1003" s="46"/>
      <c r="G1003" s="44"/>
      <c r="H1003" s="44"/>
      <c r="J1003" s="47"/>
    </row>
    <row r="1004" customFormat="false" ht="15" hidden="false" customHeight="false" outlineLevel="0" collapsed="false">
      <c r="C1004" s="44"/>
      <c r="D1004" s="45"/>
      <c r="F1004" s="46"/>
      <c r="G1004" s="44"/>
      <c r="H1004" s="44"/>
      <c r="J1004" s="47"/>
    </row>
    <row r="1005" customFormat="false" ht="15" hidden="false" customHeight="false" outlineLevel="0" collapsed="false">
      <c r="C1005" s="44"/>
      <c r="D1005" s="45"/>
      <c r="F1005" s="46"/>
      <c r="G1005" s="44"/>
      <c r="H1005" s="44"/>
      <c r="J1005" s="47"/>
    </row>
  </sheetData>
  <conditionalFormatting sqref="C6:J5005">
    <cfRule type="expression" priority="2" aboveAverage="0" equalAverage="0" bottom="0" percent="0" rank="0" text="" dxfId="2">
      <formula>AND(LEN(TRIM($C6&amp;$D6&amp;$E6&amp;$F6&amp;$G6&amp;$H6&amp;$I6&amp;$J6))&gt;0,OR(LEN(TRIM($C6))=0,LEN(TRIM($D6))=0,LEN(TRIM($E6))=0,LEN(TRIM($F6))=0,AND(LEFT($E6,4)="Perc",OR(LEN(TRIM($G6))=0,LEN(TRIM($H6))=0,LEN(TRIM($I6))=0,LEN(TRIM($J6))=0))))</formula>
    </cfRule>
  </conditionalFormatting>
  <conditionalFormatting sqref="J6:J5005">
    <cfRule type="expression" priority="3" aboveAverage="0" equalAverage="0" bottom="0" percent="0" rank="0" text="" dxfId="1">
      <formula>AND(LEN(TRIM(J6))&gt;0,NOT(ISNUMBER(--J6)))</formula>
    </cfRule>
  </conditionalFormatting>
  <dataValidations count="7">
    <dataValidation allowBlank="true" error="El campo debe contener 11 digitos numericos" errorStyle="stop" errorTitle="Dato invalido" operator="between" showDropDown="false" showErrorMessage="true" showInputMessage="false" sqref="G6:H1006" type="whole">
      <formula1>10000000000</formula1>
      <formula2>99999999999</formula2>
    </dataValidation>
    <dataValidation allowBlank="true" error="El campo debe tener como maximo 9.999.999.999.999,99 y no puede ser negativo" errorStyle="stop" errorTitle="Dato invalido" operator="between" showDropDown="false" showErrorMessage="true" showInputMessage="false" sqref="D6:D1006" type="decimal">
      <formula1>0</formula1>
      <formula2>999999999999999</formula2>
    </dataValidation>
    <dataValidation allowBlank="true" error="El campo debe tener como maximo 20 caracteres" errorStyle="stop" errorTitle="Dato invalido" operator="lessThanOrEqual" showDropDown="false" showErrorMessage="true" showInputMessage="false" sqref="I6:I1006" type="textLength">
      <formula1>20</formula1>
      <formula2>0</formula2>
    </dataValidation>
    <dataValidation allowBlank="true" error="El campo debe ir de 1 a 12" errorStyle="stop" errorTitle="Dato invalido" operator="between" showDropDown="false" showErrorMessage="true" showInputMessage="false" sqref="C6:C1006" type="whole">
      <formula1>1</formula1>
      <formula2>12</formula2>
    </dataValidation>
    <dataValidation allowBlank="true" error="Seleccione un valor de la lista" errorStyle="stop" errorTitle="Dato invalido" operator="between" showDropDown="false" showErrorMessage="true" showInputMessage="false" sqref="E6:E1006" type="list">
      <formula1>Listas!$B$2:$B$3</formula1>
      <formula2>0</formula2>
    </dataValidation>
    <dataValidation allowBlank="true" error="Ingresar el periodo como fecha (AAAA/MM), posterior a 05/2021" errorStyle="stop" errorTitle="Dato invalido" operator="between" showDropDown="false" showErrorMessage="true" showInputMessage="false" sqref="F6:F1006" type="date">
      <formula1>44317</formula1>
      <formula2>73415</formula2>
    </dataValidation>
    <dataValidation allowBlank="true" error="El campo requiere 22 caracteres numericos" errorStyle="stop" errorTitle="Dato invalido" operator="equal" showDropDown="false" showErrorMessage="true" showInputMessage="false" sqref="J6:J1006" type="textLength">
      <formula1>22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B1:K10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18"/>
    <col collapsed="false" customWidth="true" hidden="false" outlineLevel="0" max="4" min="4" style="0" width="34"/>
    <col collapsed="false" customWidth="true" hidden="false" outlineLevel="0" max="5" min="5" style="0" width="18"/>
    <col collapsed="false" customWidth="true" hidden="false" outlineLevel="0" max="7" min="6" style="0" width="20"/>
    <col collapsed="false" customWidth="true" hidden="false" outlineLevel="0" max="8" min="8" style="0" width="18"/>
    <col collapsed="false" customWidth="true" hidden="false" outlineLevel="0" max="9" min="9" style="0" width="26"/>
    <col collapsed="false" customWidth="true" hidden="false" outlineLevel="0" max="11" min="11" style="0" width="34"/>
  </cols>
  <sheetData>
    <row r="1" customFormat="false" ht="18" hidden="false" customHeight="true" outlineLevel="0" collapsed="false">
      <c r="B1" s="6" t="s">
        <v>335</v>
      </c>
      <c r="C1" s="6"/>
      <c r="D1" s="6"/>
      <c r="E1" s="6"/>
      <c r="F1" s="6"/>
      <c r="G1" s="6"/>
      <c r="H1" s="6"/>
      <c r="I1" s="6"/>
    </row>
    <row r="2" customFormat="false" ht="21.75" hidden="false" customHeight="true" outlineLevel="0" collapsed="false">
      <c r="C2" s="7" t="s">
        <v>296</v>
      </c>
    </row>
    <row r="3" customFormat="false" ht="15" hidden="false" customHeight="false" outlineLevel="0" collapsed="false">
      <c r="C3" s="15" t="str">
        <f aca="false">"PERÍODO  "&amp;'Datos iniciales'!$D$10&amp;"      |      TIPO EJERCICIO  "&amp;'Datos iniciales'!$D$12&amp;"      |      SECUENCIA  "&amp;'Datos iniciales'!$D$11</f>
        <v>PERÍODO        |      TIPO EJERCICIO  Regular      |      SECUENCIA  Original</v>
      </c>
    </row>
    <row r="5" customFormat="false" ht="31.5" hidden="false" customHeight="true" outlineLevel="0" collapsed="false">
      <c r="C5" s="26" t="s">
        <v>120</v>
      </c>
      <c r="D5" s="26" t="s">
        <v>328</v>
      </c>
      <c r="E5" s="26" t="s">
        <v>329</v>
      </c>
      <c r="F5" s="26" t="s">
        <v>330</v>
      </c>
      <c r="G5" s="26" t="s">
        <v>331</v>
      </c>
      <c r="H5" s="26" t="s">
        <v>332</v>
      </c>
      <c r="I5" s="26" t="s">
        <v>336</v>
      </c>
      <c r="K5" s="26" t="s">
        <v>337</v>
      </c>
    </row>
    <row r="6" customFormat="false" ht="15" hidden="false" customHeight="false" outlineLevel="0" collapsed="false">
      <c r="C6" s="45"/>
      <c r="E6" s="46"/>
      <c r="F6" s="44"/>
      <c r="G6" s="44"/>
      <c r="I6" s="47"/>
      <c r="K6" s="16" t="n">
        <f aca="false">SUM(C6:C5005)</f>
        <v>0</v>
      </c>
    </row>
    <row r="7" customFormat="false" ht="15" hidden="false" customHeight="false" outlineLevel="0" collapsed="false">
      <c r="C7" s="45"/>
      <c r="E7" s="46"/>
      <c r="F7" s="44"/>
      <c r="G7" s="44"/>
      <c r="I7" s="47"/>
    </row>
    <row r="8" customFormat="false" ht="15" hidden="false" customHeight="false" outlineLevel="0" collapsed="false">
      <c r="C8" s="45"/>
      <c r="E8" s="46"/>
      <c r="F8" s="44"/>
      <c r="G8" s="44"/>
      <c r="I8" s="47"/>
    </row>
    <row r="9" customFormat="false" ht="15" hidden="false" customHeight="false" outlineLevel="0" collapsed="false">
      <c r="C9" s="45"/>
      <c r="E9" s="46"/>
      <c r="F9" s="44"/>
      <c r="G9" s="44"/>
      <c r="I9" s="47"/>
    </row>
    <row r="10" customFormat="false" ht="15" hidden="false" customHeight="false" outlineLevel="0" collapsed="false">
      <c r="C10" s="45"/>
      <c r="E10" s="46"/>
      <c r="F10" s="44"/>
      <c r="G10" s="44"/>
      <c r="I10" s="47"/>
    </row>
    <row r="11" customFormat="false" ht="15" hidden="false" customHeight="false" outlineLevel="0" collapsed="false">
      <c r="C11" s="45"/>
      <c r="E11" s="46"/>
      <c r="F11" s="44"/>
      <c r="G11" s="44"/>
      <c r="I11" s="47"/>
    </row>
    <row r="12" customFormat="false" ht="15" hidden="false" customHeight="false" outlineLevel="0" collapsed="false">
      <c r="C12" s="45"/>
      <c r="E12" s="46"/>
      <c r="F12" s="44"/>
      <c r="G12" s="44"/>
      <c r="I12" s="47"/>
    </row>
    <row r="13" customFormat="false" ht="15" hidden="false" customHeight="false" outlineLevel="0" collapsed="false">
      <c r="C13" s="45"/>
      <c r="E13" s="46"/>
      <c r="F13" s="44"/>
      <c r="G13" s="44"/>
      <c r="I13" s="47"/>
    </row>
    <row r="14" customFormat="false" ht="15" hidden="false" customHeight="false" outlineLevel="0" collapsed="false">
      <c r="C14" s="45"/>
      <c r="E14" s="46"/>
      <c r="F14" s="44"/>
      <c r="G14" s="44"/>
      <c r="I14" s="47"/>
    </row>
    <row r="15" customFormat="false" ht="15" hidden="false" customHeight="false" outlineLevel="0" collapsed="false">
      <c r="C15" s="45"/>
      <c r="E15" s="46"/>
      <c r="F15" s="44"/>
      <c r="G15" s="44"/>
      <c r="I15" s="47"/>
    </row>
    <row r="16" customFormat="false" ht="15" hidden="false" customHeight="false" outlineLevel="0" collapsed="false">
      <c r="C16" s="45"/>
      <c r="E16" s="46"/>
      <c r="F16" s="44"/>
      <c r="G16" s="44"/>
      <c r="I16" s="47"/>
    </row>
    <row r="17" customFormat="false" ht="15" hidden="false" customHeight="false" outlineLevel="0" collapsed="false">
      <c r="C17" s="45"/>
      <c r="E17" s="46"/>
      <c r="F17" s="44"/>
      <c r="G17" s="44"/>
      <c r="I17" s="47"/>
    </row>
    <row r="18" customFormat="false" ht="15" hidden="false" customHeight="false" outlineLevel="0" collapsed="false">
      <c r="C18" s="45"/>
      <c r="E18" s="46"/>
      <c r="F18" s="44"/>
      <c r="G18" s="44"/>
      <c r="I18" s="47"/>
    </row>
    <row r="19" customFormat="false" ht="15" hidden="false" customHeight="false" outlineLevel="0" collapsed="false">
      <c r="C19" s="45"/>
      <c r="E19" s="46"/>
      <c r="F19" s="44"/>
      <c r="G19" s="44"/>
      <c r="I19" s="47"/>
    </row>
    <row r="20" customFormat="false" ht="15" hidden="false" customHeight="false" outlineLevel="0" collapsed="false">
      <c r="C20" s="45"/>
      <c r="E20" s="46"/>
      <c r="F20" s="44"/>
      <c r="G20" s="44"/>
      <c r="I20" s="47"/>
    </row>
    <row r="21" customFormat="false" ht="15" hidden="false" customHeight="false" outlineLevel="0" collapsed="false">
      <c r="C21" s="45"/>
      <c r="E21" s="46"/>
      <c r="F21" s="44"/>
      <c r="G21" s="44"/>
      <c r="I21" s="47"/>
    </row>
    <row r="22" customFormat="false" ht="15" hidden="false" customHeight="false" outlineLevel="0" collapsed="false">
      <c r="C22" s="45"/>
      <c r="E22" s="46"/>
      <c r="F22" s="44"/>
      <c r="G22" s="44"/>
      <c r="I22" s="47"/>
    </row>
    <row r="23" customFormat="false" ht="15" hidden="false" customHeight="false" outlineLevel="0" collapsed="false">
      <c r="C23" s="45"/>
      <c r="E23" s="46"/>
      <c r="F23" s="44"/>
      <c r="G23" s="44"/>
      <c r="I23" s="47"/>
    </row>
    <row r="24" customFormat="false" ht="15" hidden="false" customHeight="false" outlineLevel="0" collapsed="false">
      <c r="C24" s="45"/>
      <c r="E24" s="46"/>
      <c r="F24" s="44"/>
      <c r="G24" s="44"/>
      <c r="I24" s="47"/>
    </row>
    <row r="25" customFormat="false" ht="15" hidden="false" customHeight="false" outlineLevel="0" collapsed="false">
      <c r="C25" s="45"/>
      <c r="E25" s="46"/>
      <c r="F25" s="44"/>
      <c r="G25" s="44"/>
      <c r="I25" s="47"/>
    </row>
    <row r="26" customFormat="false" ht="15" hidden="false" customHeight="false" outlineLevel="0" collapsed="false">
      <c r="C26" s="45"/>
      <c r="E26" s="46"/>
      <c r="F26" s="44"/>
      <c r="G26" s="44"/>
      <c r="I26" s="47"/>
    </row>
    <row r="27" customFormat="false" ht="15" hidden="false" customHeight="false" outlineLevel="0" collapsed="false">
      <c r="C27" s="45"/>
      <c r="E27" s="46"/>
      <c r="F27" s="44"/>
      <c r="G27" s="44"/>
      <c r="I27" s="47"/>
    </row>
    <row r="28" customFormat="false" ht="15" hidden="false" customHeight="false" outlineLevel="0" collapsed="false">
      <c r="C28" s="45"/>
      <c r="E28" s="46"/>
      <c r="F28" s="44"/>
      <c r="G28" s="44"/>
      <c r="I28" s="47"/>
    </row>
    <row r="29" customFormat="false" ht="15" hidden="false" customHeight="false" outlineLevel="0" collapsed="false">
      <c r="C29" s="45"/>
      <c r="E29" s="46"/>
      <c r="F29" s="44"/>
      <c r="G29" s="44"/>
      <c r="I29" s="47"/>
    </row>
    <row r="30" customFormat="false" ht="15" hidden="false" customHeight="false" outlineLevel="0" collapsed="false">
      <c r="C30" s="45"/>
      <c r="E30" s="46"/>
      <c r="F30" s="44"/>
      <c r="G30" s="44"/>
      <c r="I30" s="47"/>
    </row>
    <row r="31" customFormat="false" ht="15" hidden="false" customHeight="false" outlineLevel="0" collapsed="false">
      <c r="C31" s="45"/>
      <c r="E31" s="46"/>
      <c r="F31" s="44"/>
      <c r="G31" s="44"/>
      <c r="I31" s="47"/>
    </row>
    <row r="32" customFormat="false" ht="15" hidden="false" customHeight="false" outlineLevel="0" collapsed="false">
      <c r="C32" s="45"/>
      <c r="E32" s="46"/>
      <c r="F32" s="44"/>
      <c r="G32" s="44"/>
      <c r="I32" s="47"/>
    </row>
    <row r="33" customFormat="false" ht="15" hidden="false" customHeight="false" outlineLevel="0" collapsed="false">
      <c r="C33" s="45"/>
      <c r="E33" s="46"/>
      <c r="F33" s="44"/>
      <c r="G33" s="44"/>
      <c r="I33" s="47"/>
    </row>
    <row r="34" customFormat="false" ht="15" hidden="false" customHeight="false" outlineLevel="0" collapsed="false">
      <c r="C34" s="45"/>
      <c r="E34" s="46"/>
      <c r="F34" s="44"/>
      <c r="G34" s="44"/>
      <c r="I34" s="47"/>
    </row>
    <row r="35" customFormat="false" ht="15" hidden="false" customHeight="false" outlineLevel="0" collapsed="false">
      <c r="C35" s="45"/>
      <c r="E35" s="46"/>
      <c r="F35" s="44"/>
      <c r="G35" s="44"/>
      <c r="I35" s="47"/>
    </row>
    <row r="36" customFormat="false" ht="15" hidden="false" customHeight="false" outlineLevel="0" collapsed="false">
      <c r="C36" s="45"/>
      <c r="E36" s="46"/>
      <c r="F36" s="44"/>
      <c r="G36" s="44"/>
      <c r="I36" s="47"/>
    </row>
    <row r="37" customFormat="false" ht="15" hidden="false" customHeight="false" outlineLevel="0" collapsed="false">
      <c r="C37" s="45"/>
      <c r="E37" s="46"/>
      <c r="F37" s="44"/>
      <c r="G37" s="44"/>
      <c r="I37" s="47"/>
    </row>
    <row r="38" customFormat="false" ht="15" hidden="false" customHeight="false" outlineLevel="0" collapsed="false">
      <c r="C38" s="45"/>
      <c r="E38" s="46"/>
      <c r="F38" s="44"/>
      <c r="G38" s="44"/>
      <c r="I38" s="47"/>
    </row>
    <row r="39" customFormat="false" ht="15" hidden="false" customHeight="false" outlineLevel="0" collapsed="false">
      <c r="C39" s="45"/>
      <c r="E39" s="46"/>
      <c r="F39" s="44"/>
      <c r="G39" s="44"/>
      <c r="I39" s="47"/>
    </row>
    <row r="40" customFormat="false" ht="15" hidden="false" customHeight="false" outlineLevel="0" collapsed="false">
      <c r="C40" s="45"/>
      <c r="E40" s="46"/>
      <c r="F40" s="44"/>
      <c r="G40" s="44"/>
      <c r="I40" s="47"/>
    </row>
    <row r="41" customFormat="false" ht="15" hidden="false" customHeight="false" outlineLevel="0" collapsed="false">
      <c r="C41" s="45"/>
      <c r="E41" s="46"/>
      <c r="F41" s="44"/>
      <c r="G41" s="44"/>
      <c r="I41" s="47"/>
    </row>
    <row r="42" customFormat="false" ht="15" hidden="false" customHeight="false" outlineLevel="0" collapsed="false">
      <c r="C42" s="45"/>
      <c r="E42" s="46"/>
      <c r="F42" s="44"/>
      <c r="G42" s="44"/>
      <c r="I42" s="47"/>
    </row>
    <row r="43" customFormat="false" ht="15" hidden="false" customHeight="false" outlineLevel="0" collapsed="false">
      <c r="C43" s="45"/>
      <c r="E43" s="46"/>
      <c r="F43" s="44"/>
      <c r="G43" s="44"/>
      <c r="I43" s="47"/>
    </row>
    <row r="44" customFormat="false" ht="15" hidden="false" customHeight="false" outlineLevel="0" collapsed="false">
      <c r="C44" s="45"/>
      <c r="E44" s="46"/>
      <c r="F44" s="44"/>
      <c r="G44" s="44"/>
      <c r="I44" s="47"/>
    </row>
    <row r="45" customFormat="false" ht="15" hidden="false" customHeight="false" outlineLevel="0" collapsed="false">
      <c r="C45" s="45"/>
      <c r="E45" s="46"/>
      <c r="F45" s="44"/>
      <c r="G45" s="44"/>
      <c r="I45" s="47"/>
    </row>
    <row r="46" customFormat="false" ht="15" hidden="false" customHeight="false" outlineLevel="0" collapsed="false">
      <c r="C46" s="45"/>
      <c r="E46" s="46"/>
      <c r="F46" s="44"/>
      <c r="G46" s="44"/>
      <c r="I46" s="47"/>
    </row>
    <row r="47" customFormat="false" ht="15" hidden="false" customHeight="false" outlineLevel="0" collapsed="false">
      <c r="C47" s="45"/>
      <c r="E47" s="46"/>
      <c r="F47" s="44"/>
      <c r="G47" s="44"/>
      <c r="I47" s="47"/>
    </row>
    <row r="48" customFormat="false" ht="15" hidden="false" customHeight="false" outlineLevel="0" collapsed="false">
      <c r="C48" s="45"/>
      <c r="E48" s="46"/>
      <c r="F48" s="44"/>
      <c r="G48" s="44"/>
      <c r="I48" s="47"/>
    </row>
    <row r="49" customFormat="false" ht="15" hidden="false" customHeight="false" outlineLevel="0" collapsed="false">
      <c r="C49" s="45"/>
      <c r="E49" s="46"/>
      <c r="F49" s="44"/>
      <c r="G49" s="44"/>
      <c r="I49" s="47"/>
    </row>
    <row r="50" customFormat="false" ht="15" hidden="false" customHeight="false" outlineLevel="0" collapsed="false">
      <c r="C50" s="45"/>
      <c r="E50" s="46"/>
      <c r="F50" s="44"/>
      <c r="G50" s="44"/>
      <c r="I50" s="47"/>
    </row>
    <row r="51" customFormat="false" ht="15" hidden="false" customHeight="false" outlineLevel="0" collapsed="false">
      <c r="C51" s="45"/>
      <c r="E51" s="46"/>
      <c r="F51" s="44"/>
      <c r="G51" s="44"/>
      <c r="I51" s="47"/>
    </row>
    <row r="52" customFormat="false" ht="15" hidden="false" customHeight="false" outlineLevel="0" collapsed="false">
      <c r="C52" s="45"/>
      <c r="E52" s="46"/>
      <c r="F52" s="44"/>
      <c r="G52" s="44"/>
      <c r="I52" s="47"/>
    </row>
    <row r="53" customFormat="false" ht="15" hidden="false" customHeight="false" outlineLevel="0" collapsed="false">
      <c r="C53" s="45"/>
      <c r="E53" s="46"/>
      <c r="F53" s="44"/>
      <c r="G53" s="44"/>
      <c r="I53" s="47"/>
    </row>
    <row r="54" customFormat="false" ht="15" hidden="false" customHeight="false" outlineLevel="0" collapsed="false">
      <c r="C54" s="45"/>
      <c r="E54" s="46"/>
      <c r="F54" s="44"/>
      <c r="G54" s="44"/>
      <c r="I54" s="47"/>
    </row>
    <row r="55" customFormat="false" ht="15" hidden="false" customHeight="false" outlineLevel="0" collapsed="false">
      <c r="C55" s="45"/>
      <c r="E55" s="46"/>
      <c r="F55" s="44"/>
      <c r="G55" s="44"/>
      <c r="I55" s="47"/>
    </row>
    <row r="56" customFormat="false" ht="15" hidden="false" customHeight="false" outlineLevel="0" collapsed="false">
      <c r="C56" s="45"/>
      <c r="E56" s="46"/>
      <c r="F56" s="44"/>
      <c r="G56" s="44"/>
      <c r="I56" s="47"/>
    </row>
    <row r="57" customFormat="false" ht="15" hidden="false" customHeight="false" outlineLevel="0" collapsed="false">
      <c r="C57" s="45"/>
      <c r="E57" s="46"/>
      <c r="F57" s="44"/>
      <c r="G57" s="44"/>
      <c r="I57" s="47"/>
    </row>
    <row r="58" customFormat="false" ht="15" hidden="false" customHeight="false" outlineLevel="0" collapsed="false">
      <c r="C58" s="45"/>
      <c r="E58" s="46"/>
      <c r="F58" s="44"/>
      <c r="G58" s="44"/>
      <c r="I58" s="47"/>
    </row>
    <row r="59" customFormat="false" ht="15" hidden="false" customHeight="false" outlineLevel="0" collapsed="false">
      <c r="C59" s="45"/>
      <c r="E59" s="46"/>
      <c r="F59" s="44"/>
      <c r="G59" s="44"/>
      <c r="I59" s="47"/>
    </row>
    <row r="60" customFormat="false" ht="15" hidden="false" customHeight="false" outlineLevel="0" collapsed="false">
      <c r="C60" s="45"/>
      <c r="E60" s="46"/>
      <c r="F60" s="44"/>
      <c r="G60" s="44"/>
      <c r="I60" s="47"/>
    </row>
    <row r="61" customFormat="false" ht="15" hidden="false" customHeight="false" outlineLevel="0" collapsed="false">
      <c r="C61" s="45"/>
      <c r="E61" s="46"/>
      <c r="F61" s="44"/>
      <c r="G61" s="44"/>
      <c r="I61" s="47"/>
    </row>
    <row r="62" customFormat="false" ht="15" hidden="false" customHeight="false" outlineLevel="0" collapsed="false">
      <c r="C62" s="45"/>
      <c r="E62" s="46"/>
      <c r="F62" s="44"/>
      <c r="G62" s="44"/>
      <c r="I62" s="47"/>
    </row>
    <row r="63" customFormat="false" ht="15" hidden="false" customHeight="false" outlineLevel="0" collapsed="false">
      <c r="C63" s="45"/>
      <c r="E63" s="46"/>
      <c r="F63" s="44"/>
      <c r="G63" s="44"/>
      <c r="I63" s="47"/>
    </row>
    <row r="64" customFormat="false" ht="15" hidden="false" customHeight="false" outlineLevel="0" collapsed="false">
      <c r="C64" s="45"/>
      <c r="E64" s="46"/>
      <c r="F64" s="44"/>
      <c r="G64" s="44"/>
      <c r="I64" s="47"/>
    </row>
    <row r="65" customFormat="false" ht="15" hidden="false" customHeight="false" outlineLevel="0" collapsed="false">
      <c r="C65" s="45"/>
      <c r="E65" s="46"/>
      <c r="F65" s="44"/>
      <c r="G65" s="44"/>
      <c r="I65" s="47"/>
    </row>
    <row r="66" customFormat="false" ht="15" hidden="false" customHeight="false" outlineLevel="0" collapsed="false">
      <c r="C66" s="45"/>
      <c r="E66" s="46"/>
      <c r="F66" s="44"/>
      <c r="G66" s="44"/>
      <c r="I66" s="47"/>
    </row>
    <row r="67" customFormat="false" ht="15" hidden="false" customHeight="false" outlineLevel="0" collapsed="false">
      <c r="C67" s="45"/>
      <c r="E67" s="46"/>
      <c r="F67" s="44"/>
      <c r="G67" s="44"/>
      <c r="I67" s="47"/>
    </row>
    <row r="68" customFormat="false" ht="15" hidden="false" customHeight="false" outlineLevel="0" collapsed="false">
      <c r="C68" s="45"/>
      <c r="E68" s="46"/>
      <c r="F68" s="44"/>
      <c r="G68" s="44"/>
      <c r="I68" s="47"/>
    </row>
    <row r="69" customFormat="false" ht="15" hidden="false" customHeight="false" outlineLevel="0" collapsed="false">
      <c r="C69" s="45"/>
      <c r="E69" s="46"/>
      <c r="F69" s="44"/>
      <c r="G69" s="44"/>
      <c r="I69" s="47"/>
    </row>
    <row r="70" customFormat="false" ht="15" hidden="false" customHeight="false" outlineLevel="0" collapsed="false">
      <c r="C70" s="45"/>
      <c r="E70" s="46"/>
      <c r="F70" s="44"/>
      <c r="G70" s="44"/>
      <c r="I70" s="47"/>
    </row>
    <row r="71" customFormat="false" ht="15" hidden="false" customHeight="false" outlineLevel="0" collapsed="false">
      <c r="C71" s="45"/>
      <c r="E71" s="46"/>
      <c r="F71" s="44"/>
      <c r="G71" s="44"/>
      <c r="I71" s="47"/>
    </row>
    <row r="72" customFormat="false" ht="15" hidden="false" customHeight="false" outlineLevel="0" collapsed="false">
      <c r="C72" s="45"/>
      <c r="E72" s="46"/>
      <c r="F72" s="44"/>
      <c r="G72" s="44"/>
      <c r="I72" s="47"/>
    </row>
    <row r="73" customFormat="false" ht="15" hidden="false" customHeight="false" outlineLevel="0" collapsed="false">
      <c r="C73" s="45"/>
      <c r="E73" s="46"/>
      <c r="F73" s="44"/>
      <c r="G73" s="44"/>
      <c r="I73" s="47"/>
    </row>
    <row r="74" customFormat="false" ht="15" hidden="false" customHeight="false" outlineLevel="0" collapsed="false">
      <c r="C74" s="45"/>
      <c r="E74" s="46"/>
      <c r="F74" s="44"/>
      <c r="G74" s="44"/>
      <c r="I74" s="47"/>
    </row>
    <row r="75" customFormat="false" ht="15" hidden="false" customHeight="false" outlineLevel="0" collapsed="false">
      <c r="C75" s="45"/>
      <c r="E75" s="46"/>
      <c r="F75" s="44"/>
      <c r="G75" s="44"/>
      <c r="I75" s="47"/>
    </row>
    <row r="76" customFormat="false" ht="15" hidden="false" customHeight="false" outlineLevel="0" collapsed="false">
      <c r="C76" s="45"/>
      <c r="E76" s="46"/>
      <c r="F76" s="44"/>
      <c r="G76" s="44"/>
      <c r="I76" s="47"/>
    </row>
    <row r="77" customFormat="false" ht="15" hidden="false" customHeight="false" outlineLevel="0" collapsed="false">
      <c r="C77" s="45"/>
      <c r="E77" s="46"/>
      <c r="F77" s="44"/>
      <c r="G77" s="44"/>
      <c r="I77" s="47"/>
    </row>
    <row r="78" customFormat="false" ht="15" hidden="false" customHeight="false" outlineLevel="0" collapsed="false">
      <c r="C78" s="45"/>
      <c r="E78" s="46"/>
      <c r="F78" s="44"/>
      <c r="G78" s="44"/>
      <c r="I78" s="47"/>
    </row>
    <row r="79" customFormat="false" ht="15" hidden="false" customHeight="false" outlineLevel="0" collapsed="false">
      <c r="C79" s="45"/>
      <c r="E79" s="46"/>
      <c r="F79" s="44"/>
      <c r="G79" s="44"/>
      <c r="I79" s="47"/>
    </row>
    <row r="80" customFormat="false" ht="15" hidden="false" customHeight="false" outlineLevel="0" collapsed="false">
      <c r="C80" s="45"/>
      <c r="E80" s="46"/>
      <c r="F80" s="44"/>
      <c r="G80" s="44"/>
      <c r="I80" s="47"/>
    </row>
    <row r="81" customFormat="false" ht="15" hidden="false" customHeight="false" outlineLevel="0" collapsed="false">
      <c r="C81" s="45"/>
      <c r="E81" s="46"/>
      <c r="F81" s="44"/>
      <c r="G81" s="44"/>
      <c r="I81" s="47"/>
    </row>
    <row r="82" customFormat="false" ht="15" hidden="false" customHeight="false" outlineLevel="0" collapsed="false">
      <c r="C82" s="45"/>
      <c r="E82" s="46"/>
      <c r="F82" s="44"/>
      <c r="G82" s="44"/>
      <c r="I82" s="47"/>
    </row>
    <row r="83" customFormat="false" ht="15" hidden="false" customHeight="false" outlineLevel="0" collapsed="false">
      <c r="C83" s="45"/>
      <c r="E83" s="46"/>
      <c r="F83" s="44"/>
      <c r="G83" s="44"/>
      <c r="I83" s="47"/>
    </row>
    <row r="84" customFormat="false" ht="15" hidden="false" customHeight="false" outlineLevel="0" collapsed="false">
      <c r="C84" s="45"/>
      <c r="E84" s="46"/>
      <c r="F84" s="44"/>
      <c r="G84" s="44"/>
      <c r="I84" s="47"/>
    </row>
    <row r="85" customFormat="false" ht="15" hidden="false" customHeight="false" outlineLevel="0" collapsed="false">
      <c r="C85" s="45"/>
      <c r="E85" s="46"/>
      <c r="F85" s="44"/>
      <c r="G85" s="44"/>
      <c r="I85" s="47"/>
    </row>
    <row r="86" customFormat="false" ht="15" hidden="false" customHeight="false" outlineLevel="0" collapsed="false">
      <c r="C86" s="45"/>
      <c r="E86" s="46"/>
      <c r="F86" s="44"/>
      <c r="G86" s="44"/>
      <c r="I86" s="47"/>
    </row>
    <row r="87" customFormat="false" ht="15" hidden="false" customHeight="false" outlineLevel="0" collapsed="false">
      <c r="C87" s="45"/>
      <c r="E87" s="46"/>
      <c r="F87" s="44"/>
      <c r="G87" s="44"/>
      <c r="I87" s="47"/>
    </row>
    <row r="88" customFormat="false" ht="15" hidden="false" customHeight="false" outlineLevel="0" collapsed="false">
      <c r="C88" s="45"/>
      <c r="E88" s="46"/>
      <c r="F88" s="44"/>
      <c r="G88" s="44"/>
      <c r="I88" s="47"/>
    </row>
    <row r="89" customFormat="false" ht="15" hidden="false" customHeight="false" outlineLevel="0" collapsed="false">
      <c r="C89" s="45"/>
      <c r="E89" s="46"/>
      <c r="F89" s="44"/>
      <c r="G89" s="44"/>
      <c r="I89" s="47"/>
    </row>
    <row r="90" customFormat="false" ht="15" hidden="false" customHeight="false" outlineLevel="0" collapsed="false">
      <c r="C90" s="45"/>
      <c r="E90" s="46"/>
      <c r="F90" s="44"/>
      <c r="G90" s="44"/>
      <c r="I90" s="47"/>
    </row>
    <row r="91" customFormat="false" ht="15" hidden="false" customHeight="false" outlineLevel="0" collapsed="false">
      <c r="C91" s="45"/>
      <c r="E91" s="46"/>
      <c r="F91" s="44"/>
      <c r="G91" s="44"/>
      <c r="I91" s="47"/>
    </row>
    <row r="92" customFormat="false" ht="15" hidden="false" customHeight="false" outlineLevel="0" collapsed="false">
      <c r="C92" s="45"/>
      <c r="E92" s="46"/>
      <c r="F92" s="44"/>
      <c r="G92" s="44"/>
      <c r="I92" s="47"/>
    </row>
    <row r="93" customFormat="false" ht="15" hidden="false" customHeight="false" outlineLevel="0" collapsed="false">
      <c r="C93" s="45"/>
      <c r="E93" s="46"/>
      <c r="F93" s="44"/>
      <c r="G93" s="44"/>
      <c r="I93" s="47"/>
    </row>
    <row r="94" customFormat="false" ht="15" hidden="false" customHeight="false" outlineLevel="0" collapsed="false">
      <c r="C94" s="45"/>
      <c r="E94" s="46"/>
      <c r="F94" s="44"/>
      <c r="G94" s="44"/>
      <c r="I94" s="47"/>
    </row>
    <row r="95" customFormat="false" ht="15" hidden="false" customHeight="false" outlineLevel="0" collapsed="false">
      <c r="C95" s="45"/>
      <c r="E95" s="46"/>
      <c r="F95" s="44"/>
      <c r="G95" s="44"/>
      <c r="I95" s="47"/>
    </row>
    <row r="96" customFormat="false" ht="15" hidden="false" customHeight="false" outlineLevel="0" collapsed="false">
      <c r="C96" s="45"/>
      <c r="E96" s="46"/>
      <c r="F96" s="44"/>
      <c r="G96" s="44"/>
      <c r="I96" s="47"/>
    </row>
    <row r="97" customFormat="false" ht="15" hidden="false" customHeight="false" outlineLevel="0" collapsed="false">
      <c r="C97" s="45"/>
      <c r="E97" s="46"/>
      <c r="F97" s="44"/>
      <c r="G97" s="44"/>
      <c r="I97" s="47"/>
    </row>
    <row r="98" customFormat="false" ht="15" hidden="false" customHeight="false" outlineLevel="0" collapsed="false">
      <c r="C98" s="45"/>
      <c r="E98" s="46"/>
      <c r="F98" s="44"/>
      <c r="G98" s="44"/>
      <c r="I98" s="47"/>
    </row>
    <row r="99" customFormat="false" ht="15" hidden="false" customHeight="false" outlineLevel="0" collapsed="false">
      <c r="C99" s="45"/>
      <c r="E99" s="46"/>
      <c r="F99" s="44"/>
      <c r="G99" s="44"/>
      <c r="I99" s="47"/>
    </row>
    <row r="100" customFormat="false" ht="15" hidden="false" customHeight="false" outlineLevel="0" collapsed="false">
      <c r="C100" s="45"/>
      <c r="E100" s="46"/>
      <c r="F100" s="44"/>
      <c r="G100" s="44"/>
      <c r="I100" s="47"/>
    </row>
    <row r="101" customFormat="false" ht="15" hidden="false" customHeight="false" outlineLevel="0" collapsed="false">
      <c r="C101" s="45"/>
      <c r="E101" s="46"/>
      <c r="F101" s="44"/>
      <c r="G101" s="44"/>
      <c r="I101" s="47"/>
    </row>
    <row r="102" customFormat="false" ht="15" hidden="false" customHeight="false" outlineLevel="0" collapsed="false">
      <c r="C102" s="45"/>
      <c r="E102" s="46"/>
      <c r="F102" s="44"/>
      <c r="G102" s="44"/>
      <c r="I102" s="47"/>
    </row>
    <row r="103" customFormat="false" ht="15" hidden="false" customHeight="false" outlineLevel="0" collapsed="false">
      <c r="C103" s="45"/>
      <c r="E103" s="46"/>
      <c r="F103" s="44"/>
      <c r="G103" s="44"/>
      <c r="I103" s="47"/>
    </row>
    <row r="104" customFormat="false" ht="15" hidden="false" customHeight="false" outlineLevel="0" collapsed="false">
      <c r="C104" s="45"/>
      <c r="E104" s="46"/>
      <c r="F104" s="44"/>
      <c r="G104" s="44"/>
      <c r="I104" s="47"/>
    </row>
    <row r="105" customFormat="false" ht="15" hidden="false" customHeight="false" outlineLevel="0" collapsed="false">
      <c r="C105" s="45"/>
      <c r="E105" s="46"/>
      <c r="F105" s="44"/>
      <c r="G105" s="44"/>
      <c r="I105" s="47"/>
    </row>
    <row r="106" customFormat="false" ht="15" hidden="false" customHeight="false" outlineLevel="0" collapsed="false">
      <c r="C106" s="45"/>
      <c r="E106" s="46"/>
      <c r="F106" s="44"/>
      <c r="G106" s="44"/>
      <c r="I106" s="47"/>
    </row>
    <row r="107" customFormat="false" ht="15" hidden="false" customHeight="false" outlineLevel="0" collapsed="false">
      <c r="C107" s="45"/>
      <c r="E107" s="46"/>
      <c r="F107" s="44"/>
      <c r="G107" s="44"/>
      <c r="I107" s="47"/>
    </row>
    <row r="108" customFormat="false" ht="15" hidden="false" customHeight="false" outlineLevel="0" collapsed="false">
      <c r="C108" s="45"/>
      <c r="E108" s="46"/>
      <c r="F108" s="44"/>
      <c r="G108" s="44"/>
      <c r="I108" s="47"/>
    </row>
    <row r="109" customFormat="false" ht="15" hidden="false" customHeight="false" outlineLevel="0" collapsed="false">
      <c r="C109" s="45"/>
      <c r="E109" s="46"/>
      <c r="F109" s="44"/>
      <c r="G109" s="44"/>
      <c r="I109" s="47"/>
    </row>
    <row r="110" customFormat="false" ht="15" hidden="false" customHeight="false" outlineLevel="0" collapsed="false">
      <c r="C110" s="45"/>
      <c r="E110" s="46"/>
      <c r="F110" s="44"/>
      <c r="G110" s="44"/>
      <c r="I110" s="47"/>
    </row>
    <row r="111" customFormat="false" ht="15" hidden="false" customHeight="false" outlineLevel="0" collapsed="false">
      <c r="C111" s="45"/>
      <c r="E111" s="46"/>
      <c r="F111" s="44"/>
      <c r="G111" s="44"/>
      <c r="I111" s="47"/>
    </row>
    <row r="112" customFormat="false" ht="15" hidden="false" customHeight="false" outlineLevel="0" collapsed="false">
      <c r="C112" s="45"/>
      <c r="E112" s="46"/>
      <c r="F112" s="44"/>
      <c r="G112" s="44"/>
      <c r="I112" s="47"/>
    </row>
    <row r="113" customFormat="false" ht="15" hidden="false" customHeight="false" outlineLevel="0" collapsed="false">
      <c r="C113" s="45"/>
      <c r="E113" s="46"/>
      <c r="F113" s="44"/>
      <c r="G113" s="44"/>
      <c r="I113" s="47"/>
    </row>
    <row r="114" customFormat="false" ht="15" hidden="false" customHeight="false" outlineLevel="0" collapsed="false">
      <c r="C114" s="45"/>
      <c r="E114" s="46"/>
      <c r="F114" s="44"/>
      <c r="G114" s="44"/>
      <c r="I114" s="47"/>
    </row>
    <row r="115" customFormat="false" ht="15" hidden="false" customHeight="false" outlineLevel="0" collapsed="false">
      <c r="C115" s="45"/>
      <c r="E115" s="46"/>
      <c r="F115" s="44"/>
      <c r="G115" s="44"/>
      <c r="I115" s="47"/>
    </row>
    <row r="116" customFormat="false" ht="15" hidden="false" customHeight="false" outlineLevel="0" collapsed="false">
      <c r="C116" s="45"/>
      <c r="E116" s="46"/>
      <c r="F116" s="44"/>
      <c r="G116" s="44"/>
      <c r="I116" s="47"/>
    </row>
    <row r="117" customFormat="false" ht="15" hidden="false" customHeight="false" outlineLevel="0" collapsed="false">
      <c r="C117" s="45"/>
      <c r="E117" s="46"/>
      <c r="F117" s="44"/>
      <c r="G117" s="44"/>
      <c r="I117" s="47"/>
    </row>
    <row r="118" customFormat="false" ht="15" hidden="false" customHeight="false" outlineLevel="0" collapsed="false">
      <c r="C118" s="45"/>
      <c r="E118" s="46"/>
      <c r="F118" s="44"/>
      <c r="G118" s="44"/>
      <c r="I118" s="47"/>
    </row>
    <row r="119" customFormat="false" ht="15" hidden="false" customHeight="false" outlineLevel="0" collapsed="false">
      <c r="C119" s="45"/>
      <c r="E119" s="46"/>
      <c r="F119" s="44"/>
      <c r="G119" s="44"/>
      <c r="I119" s="47"/>
    </row>
    <row r="120" customFormat="false" ht="15" hidden="false" customHeight="false" outlineLevel="0" collapsed="false">
      <c r="C120" s="45"/>
      <c r="E120" s="46"/>
      <c r="F120" s="44"/>
      <c r="G120" s="44"/>
      <c r="I120" s="47"/>
    </row>
    <row r="121" customFormat="false" ht="15" hidden="false" customHeight="false" outlineLevel="0" collapsed="false">
      <c r="C121" s="45"/>
      <c r="E121" s="46"/>
      <c r="F121" s="44"/>
      <c r="G121" s="44"/>
      <c r="I121" s="47"/>
    </row>
    <row r="122" customFormat="false" ht="15" hidden="false" customHeight="false" outlineLevel="0" collapsed="false">
      <c r="C122" s="45"/>
      <c r="E122" s="46"/>
      <c r="F122" s="44"/>
      <c r="G122" s="44"/>
      <c r="I122" s="47"/>
    </row>
    <row r="123" customFormat="false" ht="15" hidden="false" customHeight="false" outlineLevel="0" collapsed="false">
      <c r="C123" s="45"/>
      <c r="E123" s="46"/>
      <c r="F123" s="44"/>
      <c r="G123" s="44"/>
      <c r="I123" s="47"/>
    </row>
    <row r="124" customFormat="false" ht="15" hidden="false" customHeight="false" outlineLevel="0" collapsed="false">
      <c r="C124" s="45"/>
      <c r="E124" s="46"/>
      <c r="F124" s="44"/>
      <c r="G124" s="44"/>
      <c r="I124" s="47"/>
    </row>
    <row r="125" customFormat="false" ht="15" hidden="false" customHeight="false" outlineLevel="0" collapsed="false">
      <c r="C125" s="45"/>
      <c r="E125" s="46"/>
      <c r="F125" s="44"/>
      <c r="G125" s="44"/>
      <c r="I125" s="47"/>
    </row>
    <row r="126" customFormat="false" ht="15" hidden="false" customHeight="false" outlineLevel="0" collapsed="false">
      <c r="C126" s="45"/>
      <c r="E126" s="46"/>
      <c r="F126" s="44"/>
      <c r="G126" s="44"/>
      <c r="I126" s="47"/>
    </row>
    <row r="127" customFormat="false" ht="15" hidden="false" customHeight="false" outlineLevel="0" collapsed="false">
      <c r="C127" s="45"/>
      <c r="E127" s="46"/>
      <c r="F127" s="44"/>
      <c r="G127" s="44"/>
      <c r="I127" s="47"/>
    </row>
    <row r="128" customFormat="false" ht="15" hidden="false" customHeight="false" outlineLevel="0" collapsed="false">
      <c r="C128" s="45"/>
      <c r="E128" s="46"/>
      <c r="F128" s="44"/>
      <c r="G128" s="44"/>
      <c r="I128" s="47"/>
    </row>
    <row r="129" customFormat="false" ht="15" hidden="false" customHeight="false" outlineLevel="0" collapsed="false">
      <c r="C129" s="45"/>
      <c r="E129" s="46"/>
      <c r="F129" s="44"/>
      <c r="G129" s="44"/>
      <c r="I129" s="47"/>
    </row>
    <row r="130" customFormat="false" ht="15" hidden="false" customHeight="false" outlineLevel="0" collapsed="false">
      <c r="C130" s="45"/>
      <c r="E130" s="46"/>
      <c r="F130" s="44"/>
      <c r="G130" s="44"/>
      <c r="I130" s="47"/>
    </row>
    <row r="131" customFormat="false" ht="15" hidden="false" customHeight="false" outlineLevel="0" collapsed="false">
      <c r="C131" s="45"/>
      <c r="E131" s="46"/>
      <c r="F131" s="44"/>
      <c r="G131" s="44"/>
      <c r="I131" s="47"/>
    </row>
    <row r="132" customFormat="false" ht="15" hidden="false" customHeight="false" outlineLevel="0" collapsed="false">
      <c r="C132" s="45"/>
      <c r="E132" s="46"/>
      <c r="F132" s="44"/>
      <c r="G132" s="44"/>
      <c r="I132" s="47"/>
    </row>
    <row r="133" customFormat="false" ht="15" hidden="false" customHeight="false" outlineLevel="0" collapsed="false">
      <c r="C133" s="45"/>
      <c r="E133" s="46"/>
      <c r="F133" s="44"/>
      <c r="G133" s="44"/>
      <c r="I133" s="47"/>
    </row>
    <row r="134" customFormat="false" ht="15" hidden="false" customHeight="false" outlineLevel="0" collapsed="false">
      <c r="C134" s="45"/>
      <c r="E134" s="46"/>
      <c r="F134" s="44"/>
      <c r="G134" s="44"/>
      <c r="I134" s="47"/>
    </row>
    <row r="135" customFormat="false" ht="15" hidden="false" customHeight="false" outlineLevel="0" collapsed="false">
      <c r="C135" s="45"/>
      <c r="E135" s="46"/>
      <c r="F135" s="44"/>
      <c r="G135" s="44"/>
      <c r="I135" s="47"/>
    </row>
    <row r="136" customFormat="false" ht="15" hidden="false" customHeight="false" outlineLevel="0" collapsed="false">
      <c r="C136" s="45"/>
      <c r="E136" s="46"/>
      <c r="F136" s="44"/>
      <c r="G136" s="44"/>
      <c r="I136" s="47"/>
    </row>
    <row r="137" customFormat="false" ht="15" hidden="false" customHeight="false" outlineLevel="0" collapsed="false">
      <c r="C137" s="45"/>
      <c r="E137" s="46"/>
      <c r="F137" s="44"/>
      <c r="G137" s="44"/>
      <c r="I137" s="47"/>
    </row>
    <row r="138" customFormat="false" ht="15" hidden="false" customHeight="false" outlineLevel="0" collapsed="false">
      <c r="C138" s="45"/>
      <c r="E138" s="46"/>
      <c r="F138" s="44"/>
      <c r="G138" s="44"/>
      <c r="I138" s="47"/>
    </row>
    <row r="139" customFormat="false" ht="15" hidden="false" customHeight="false" outlineLevel="0" collapsed="false">
      <c r="C139" s="45"/>
      <c r="E139" s="46"/>
      <c r="F139" s="44"/>
      <c r="G139" s="44"/>
      <c r="I139" s="47"/>
    </row>
    <row r="140" customFormat="false" ht="15" hidden="false" customHeight="false" outlineLevel="0" collapsed="false">
      <c r="C140" s="45"/>
      <c r="E140" s="46"/>
      <c r="F140" s="44"/>
      <c r="G140" s="44"/>
      <c r="I140" s="47"/>
    </row>
    <row r="141" customFormat="false" ht="15" hidden="false" customHeight="false" outlineLevel="0" collapsed="false">
      <c r="C141" s="45"/>
      <c r="E141" s="46"/>
      <c r="F141" s="44"/>
      <c r="G141" s="44"/>
      <c r="I141" s="47"/>
    </row>
    <row r="142" customFormat="false" ht="15" hidden="false" customHeight="false" outlineLevel="0" collapsed="false">
      <c r="C142" s="45"/>
      <c r="E142" s="46"/>
      <c r="F142" s="44"/>
      <c r="G142" s="44"/>
      <c r="I142" s="47"/>
    </row>
    <row r="143" customFormat="false" ht="15" hidden="false" customHeight="false" outlineLevel="0" collapsed="false">
      <c r="C143" s="45"/>
      <c r="E143" s="46"/>
      <c r="F143" s="44"/>
      <c r="G143" s="44"/>
      <c r="I143" s="47"/>
    </row>
    <row r="144" customFormat="false" ht="15" hidden="false" customHeight="false" outlineLevel="0" collapsed="false">
      <c r="C144" s="45"/>
      <c r="E144" s="46"/>
      <c r="F144" s="44"/>
      <c r="G144" s="44"/>
      <c r="I144" s="47"/>
    </row>
    <row r="145" customFormat="false" ht="15" hidden="false" customHeight="false" outlineLevel="0" collapsed="false">
      <c r="C145" s="45"/>
      <c r="E145" s="46"/>
      <c r="F145" s="44"/>
      <c r="G145" s="44"/>
      <c r="I145" s="47"/>
    </row>
    <row r="146" customFormat="false" ht="15" hidden="false" customHeight="false" outlineLevel="0" collapsed="false">
      <c r="C146" s="45"/>
      <c r="E146" s="46"/>
      <c r="F146" s="44"/>
      <c r="G146" s="44"/>
      <c r="I146" s="47"/>
    </row>
    <row r="147" customFormat="false" ht="15" hidden="false" customHeight="false" outlineLevel="0" collapsed="false">
      <c r="C147" s="45"/>
      <c r="E147" s="46"/>
      <c r="F147" s="44"/>
      <c r="G147" s="44"/>
      <c r="I147" s="47"/>
    </row>
    <row r="148" customFormat="false" ht="15" hidden="false" customHeight="false" outlineLevel="0" collapsed="false">
      <c r="C148" s="45"/>
      <c r="E148" s="46"/>
      <c r="F148" s="44"/>
      <c r="G148" s="44"/>
      <c r="I148" s="47"/>
    </row>
    <row r="149" customFormat="false" ht="15" hidden="false" customHeight="false" outlineLevel="0" collapsed="false">
      <c r="C149" s="45"/>
      <c r="E149" s="46"/>
      <c r="F149" s="44"/>
      <c r="G149" s="44"/>
      <c r="I149" s="47"/>
    </row>
    <row r="150" customFormat="false" ht="15" hidden="false" customHeight="false" outlineLevel="0" collapsed="false">
      <c r="C150" s="45"/>
      <c r="E150" s="46"/>
      <c r="F150" s="44"/>
      <c r="G150" s="44"/>
      <c r="I150" s="47"/>
    </row>
    <row r="151" customFormat="false" ht="15" hidden="false" customHeight="false" outlineLevel="0" collapsed="false">
      <c r="C151" s="45"/>
      <c r="E151" s="46"/>
      <c r="F151" s="44"/>
      <c r="G151" s="44"/>
      <c r="I151" s="47"/>
    </row>
    <row r="152" customFormat="false" ht="15" hidden="false" customHeight="false" outlineLevel="0" collapsed="false">
      <c r="C152" s="45"/>
      <c r="E152" s="46"/>
      <c r="F152" s="44"/>
      <c r="G152" s="44"/>
      <c r="I152" s="47"/>
    </row>
    <row r="153" customFormat="false" ht="15" hidden="false" customHeight="false" outlineLevel="0" collapsed="false">
      <c r="C153" s="45"/>
      <c r="E153" s="46"/>
      <c r="F153" s="44"/>
      <c r="G153" s="44"/>
      <c r="I153" s="47"/>
    </row>
    <row r="154" customFormat="false" ht="15" hidden="false" customHeight="false" outlineLevel="0" collapsed="false">
      <c r="C154" s="45"/>
      <c r="E154" s="46"/>
      <c r="F154" s="44"/>
      <c r="G154" s="44"/>
      <c r="I154" s="47"/>
    </row>
    <row r="155" customFormat="false" ht="15" hidden="false" customHeight="false" outlineLevel="0" collapsed="false">
      <c r="C155" s="45"/>
      <c r="E155" s="46"/>
      <c r="F155" s="44"/>
      <c r="G155" s="44"/>
      <c r="I155" s="47"/>
    </row>
    <row r="156" customFormat="false" ht="15" hidden="false" customHeight="false" outlineLevel="0" collapsed="false">
      <c r="C156" s="45"/>
      <c r="E156" s="46"/>
      <c r="F156" s="44"/>
      <c r="G156" s="44"/>
      <c r="I156" s="47"/>
    </row>
    <row r="157" customFormat="false" ht="15" hidden="false" customHeight="false" outlineLevel="0" collapsed="false">
      <c r="C157" s="45"/>
      <c r="E157" s="46"/>
      <c r="F157" s="44"/>
      <c r="G157" s="44"/>
      <c r="I157" s="47"/>
    </row>
    <row r="158" customFormat="false" ht="15" hidden="false" customHeight="false" outlineLevel="0" collapsed="false">
      <c r="C158" s="45"/>
      <c r="E158" s="46"/>
      <c r="F158" s="44"/>
      <c r="G158" s="44"/>
      <c r="I158" s="47"/>
    </row>
    <row r="159" customFormat="false" ht="15" hidden="false" customHeight="false" outlineLevel="0" collapsed="false">
      <c r="C159" s="45"/>
      <c r="E159" s="46"/>
      <c r="F159" s="44"/>
      <c r="G159" s="44"/>
      <c r="I159" s="47"/>
    </row>
    <row r="160" customFormat="false" ht="15" hidden="false" customHeight="false" outlineLevel="0" collapsed="false">
      <c r="C160" s="45"/>
      <c r="E160" s="46"/>
      <c r="F160" s="44"/>
      <c r="G160" s="44"/>
      <c r="I160" s="47"/>
    </row>
    <row r="161" customFormat="false" ht="15" hidden="false" customHeight="false" outlineLevel="0" collapsed="false">
      <c r="C161" s="45"/>
      <c r="E161" s="46"/>
      <c r="F161" s="44"/>
      <c r="G161" s="44"/>
      <c r="I161" s="47"/>
    </row>
    <row r="162" customFormat="false" ht="15" hidden="false" customHeight="false" outlineLevel="0" collapsed="false">
      <c r="C162" s="45"/>
      <c r="E162" s="46"/>
      <c r="F162" s="44"/>
      <c r="G162" s="44"/>
      <c r="I162" s="47"/>
    </row>
    <row r="163" customFormat="false" ht="15" hidden="false" customHeight="false" outlineLevel="0" collapsed="false">
      <c r="C163" s="45"/>
      <c r="E163" s="46"/>
      <c r="F163" s="44"/>
      <c r="G163" s="44"/>
      <c r="I163" s="47"/>
    </row>
    <row r="164" customFormat="false" ht="15" hidden="false" customHeight="false" outlineLevel="0" collapsed="false">
      <c r="C164" s="45"/>
      <c r="E164" s="46"/>
      <c r="F164" s="44"/>
      <c r="G164" s="44"/>
      <c r="I164" s="47"/>
    </row>
    <row r="165" customFormat="false" ht="15" hidden="false" customHeight="false" outlineLevel="0" collapsed="false">
      <c r="C165" s="45"/>
      <c r="E165" s="46"/>
      <c r="F165" s="44"/>
      <c r="G165" s="44"/>
      <c r="I165" s="47"/>
    </row>
    <row r="166" customFormat="false" ht="15" hidden="false" customHeight="false" outlineLevel="0" collapsed="false">
      <c r="C166" s="45"/>
      <c r="E166" s="46"/>
      <c r="F166" s="44"/>
      <c r="G166" s="44"/>
      <c r="I166" s="47"/>
    </row>
    <row r="167" customFormat="false" ht="15" hidden="false" customHeight="false" outlineLevel="0" collapsed="false">
      <c r="C167" s="45"/>
      <c r="E167" s="46"/>
      <c r="F167" s="44"/>
      <c r="G167" s="44"/>
      <c r="I167" s="47"/>
    </row>
    <row r="168" customFormat="false" ht="15" hidden="false" customHeight="false" outlineLevel="0" collapsed="false">
      <c r="C168" s="45"/>
      <c r="E168" s="46"/>
      <c r="F168" s="44"/>
      <c r="G168" s="44"/>
      <c r="I168" s="47"/>
    </row>
    <row r="169" customFormat="false" ht="15" hidden="false" customHeight="false" outlineLevel="0" collapsed="false">
      <c r="C169" s="45"/>
      <c r="E169" s="46"/>
      <c r="F169" s="44"/>
      <c r="G169" s="44"/>
      <c r="I169" s="47"/>
    </row>
    <row r="170" customFormat="false" ht="15" hidden="false" customHeight="false" outlineLevel="0" collapsed="false">
      <c r="C170" s="45"/>
      <c r="E170" s="46"/>
      <c r="F170" s="44"/>
      <c r="G170" s="44"/>
      <c r="I170" s="47"/>
    </row>
    <row r="171" customFormat="false" ht="15" hidden="false" customHeight="false" outlineLevel="0" collapsed="false">
      <c r="C171" s="45"/>
      <c r="E171" s="46"/>
      <c r="F171" s="44"/>
      <c r="G171" s="44"/>
      <c r="I171" s="47"/>
    </row>
    <row r="172" customFormat="false" ht="15" hidden="false" customHeight="false" outlineLevel="0" collapsed="false">
      <c r="C172" s="45"/>
      <c r="E172" s="46"/>
      <c r="F172" s="44"/>
      <c r="G172" s="44"/>
      <c r="I172" s="47"/>
    </row>
    <row r="173" customFormat="false" ht="15" hidden="false" customHeight="false" outlineLevel="0" collapsed="false">
      <c r="C173" s="45"/>
      <c r="E173" s="46"/>
      <c r="F173" s="44"/>
      <c r="G173" s="44"/>
      <c r="I173" s="47"/>
    </row>
    <row r="174" customFormat="false" ht="15" hidden="false" customHeight="false" outlineLevel="0" collapsed="false">
      <c r="C174" s="45"/>
      <c r="E174" s="46"/>
      <c r="F174" s="44"/>
      <c r="G174" s="44"/>
      <c r="I174" s="47"/>
    </row>
    <row r="175" customFormat="false" ht="15" hidden="false" customHeight="false" outlineLevel="0" collapsed="false">
      <c r="C175" s="45"/>
      <c r="E175" s="46"/>
      <c r="F175" s="44"/>
      <c r="G175" s="44"/>
      <c r="I175" s="47"/>
    </row>
    <row r="176" customFormat="false" ht="15" hidden="false" customHeight="false" outlineLevel="0" collapsed="false">
      <c r="C176" s="45"/>
      <c r="E176" s="46"/>
      <c r="F176" s="44"/>
      <c r="G176" s="44"/>
      <c r="I176" s="47"/>
    </row>
    <row r="177" customFormat="false" ht="15" hidden="false" customHeight="false" outlineLevel="0" collapsed="false">
      <c r="C177" s="45"/>
      <c r="E177" s="46"/>
      <c r="F177" s="44"/>
      <c r="G177" s="44"/>
      <c r="I177" s="47"/>
    </row>
    <row r="178" customFormat="false" ht="15" hidden="false" customHeight="false" outlineLevel="0" collapsed="false">
      <c r="C178" s="45"/>
      <c r="E178" s="46"/>
      <c r="F178" s="44"/>
      <c r="G178" s="44"/>
      <c r="I178" s="47"/>
    </row>
    <row r="179" customFormat="false" ht="15" hidden="false" customHeight="false" outlineLevel="0" collapsed="false">
      <c r="C179" s="45"/>
      <c r="E179" s="46"/>
      <c r="F179" s="44"/>
      <c r="G179" s="44"/>
      <c r="I179" s="47"/>
    </row>
    <row r="180" customFormat="false" ht="15" hidden="false" customHeight="false" outlineLevel="0" collapsed="false">
      <c r="C180" s="45"/>
      <c r="E180" s="46"/>
      <c r="F180" s="44"/>
      <c r="G180" s="44"/>
      <c r="I180" s="47"/>
    </row>
    <row r="181" customFormat="false" ht="15" hidden="false" customHeight="false" outlineLevel="0" collapsed="false">
      <c r="C181" s="45"/>
      <c r="E181" s="46"/>
      <c r="F181" s="44"/>
      <c r="G181" s="44"/>
      <c r="I181" s="47"/>
    </row>
    <row r="182" customFormat="false" ht="15" hidden="false" customHeight="false" outlineLevel="0" collapsed="false">
      <c r="C182" s="45"/>
      <c r="E182" s="46"/>
      <c r="F182" s="44"/>
      <c r="G182" s="44"/>
      <c r="I182" s="47"/>
    </row>
    <row r="183" customFormat="false" ht="15" hidden="false" customHeight="false" outlineLevel="0" collapsed="false">
      <c r="C183" s="45"/>
      <c r="E183" s="46"/>
      <c r="F183" s="44"/>
      <c r="G183" s="44"/>
      <c r="I183" s="47"/>
    </row>
    <row r="184" customFormat="false" ht="15" hidden="false" customHeight="false" outlineLevel="0" collapsed="false">
      <c r="C184" s="45"/>
      <c r="E184" s="46"/>
      <c r="F184" s="44"/>
      <c r="G184" s="44"/>
      <c r="I184" s="47"/>
    </row>
    <row r="185" customFormat="false" ht="15" hidden="false" customHeight="false" outlineLevel="0" collapsed="false">
      <c r="C185" s="45"/>
      <c r="E185" s="46"/>
      <c r="F185" s="44"/>
      <c r="G185" s="44"/>
      <c r="I185" s="47"/>
    </row>
    <row r="186" customFormat="false" ht="15" hidden="false" customHeight="false" outlineLevel="0" collapsed="false">
      <c r="C186" s="45"/>
      <c r="E186" s="46"/>
      <c r="F186" s="44"/>
      <c r="G186" s="44"/>
      <c r="I186" s="47"/>
    </row>
    <row r="187" customFormat="false" ht="15" hidden="false" customHeight="false" outlineLevel="0" collapsed="false">
      <c r="C187" s="45"/>
      <c r="E187" s="46"/>
      <c r="F187" s="44"/>
      <c r="G187" s="44"/>
      <c r="I187" s="47"/>
    </row>
    <row r="188" customFormat="false" ht="15" hidden="false" customHeight="false" outlineLevel="0" collapsed="false">
      <c r="C188" s="45"/>
      <c r="E188" s="46"/>
      <c r="F188" s="44"/>
      <c r="G188" s="44"/>
      <c r="I188" s="47"/>
    </row>
    <row r="189" customFormat="false" ht="15" hidden="false" customHeight="false" outlineLevel="0" collapsed="false">
      <c r="C189" s="45"/>
      <c r="E189" s="46"/>
      <c r="F189" s="44"/>
      <c r="G189" s="44"/>
      <c r="I189" s="47"/>
    </row>
    <row r="190" customFormat="false" ht="15" hidden="false" customHeight="false" outlineLevel="0" collapsed="false">
      <c r="C190" s="45"/>
      <c r="E190" s="46"/>
      <c r="F190" s="44"/>
      <c r="G190" s="44"/>
      <c r="I190" s="47"/>
    </row>
    <row r="191" customFormat="false" ht="15" hidden="false" customHeight="false" outlineLevel="0" collapsed="false">
      <c r="C191" s="45"/>
      <c r="E191" s="46"/>
      <c r="F191" s="44"/>
      <c r="G191" s="44"/>
      <c r="I191" s="47"/>
    </row>
    <row r="192" customFormat="false" ht="15" hidden="false" customHeight="false" outlineLevel="0" collapsed="false">
      <c r="C192" s="45"/>
      <c r="E192" s="46"/>
      <c r="F192" s="44"/>
      <c r="G192" s="44"/>
      <c r="I192" s="47"/>
    </row>
    <row r="193" customFormat="false" ht="15" hidden="false" customHeight="false" outlineLevel="0" collapsed="false">
      <c r="C193" s="45"/>
      <c r="E193" s="46"/>
      <c r="F193" s="44"/>
      <c r="G193" s="44"/>
      <c r="I193" s="47"/>
    </row>
    <row r="194" customFormat="false" ht="15" hidden="false" customHeight="false" outlineLevel="0" collapsed="false">
      <c r="C194" s="45"/>
      <c r="E194" s="46"/>
      <c r="F194" s="44"/>
      <c r="G194" s="44"/>
      <c r="I194" s="47"/>
    </row>
    <row r="195" customFormat="false" ht="15" hidden="false" customHeight="false" outlineLevel="0" collapsed="false">
      <c r="C195" s="45"/>
      <c r="E195" s="46"/>
      <c r="F195" s="44"/>
      <c r="G195" s="44"/>
      <c r="I195" s="47"/>
    </row>
    <row r="196" customFormat="false" ht="15" hidden="false" customHeight="false" outlineLevel="0" collapsed="false">
      <c r="C196" s="45"/>
      <c r="E196" s="46"/>
      <c r="F196" s="44"/>
      <c r="G196" s="44"/>
      <c r="I196" s="47"/>
    </row>
    <row r="197" customFormat="false" ht="15" hidden="false" customHeight="false" outlineLevel="0" collapsed="false">
      <c r="C197" s="45"/>
      <c r="E197" s="46"/>
      <c r="F197" s="44"/>
      <c r="G197" s="44"/>
      <c r="I197" s="47"/>
    </row>
    <row r="198" customFormat="false" ht="15" hidden="false" customHeight="false" outlineLevel="0" collapsed="false">
      <c r="C198" s="45"/>
      <c r="E198" s="46"/>
      <c r="F198" s="44"/>
      <c r="G198" s="44"/>
      <c r="I198" s="47"/>
    </row>
    <row r="199" customFormat="false" ht="15" hidden="false" customHeight="false" outlineLevel="0" collapsed="false">
      <c r="C199" s="45"/>
      <c r="E199" s="46"/>
      <c r="F199" s="44"/>
      <c r="G199" s="44"/>
      <c r="I199" s="47"/>
    </row>
    <row r="200" customFormat="false" ht="15" hidden="false" customHeight="false" outlineLevel="0" collapsed="false">
      <c r="C200" s="45"/>
      <c r="E200" s="46"/>
      <c r="F200" s="44"/>
      <c r="G200" s="44"/>
      <c r="I200" s="47"/>
    </row>
    <row r="201" customFormat="false" ht="15" hidden="false" customHeight="false" outlineLevel="0" collapsed="false">
      <c r="C201" s="45"/>
      <c r="E201" s="46"/>
      <c r="F201" s="44"/>
      <c r="G201" s="44"/>
      <c r="I201" s="47"/>
    </row>
    <row r="202" customFormat="false" ht="15" hidden="false" customHeight="false" outlineLevel="0" collapsed="false">
      <c r="C202" s="45"/>
      <c r="E202" s="46"/>
      <c r="F202" s="44"/>
      <c r="G202" s="44"/>
      <c r="I202" s="47"/>
    </row>
    <row r="203" customFormat="false" ht="15" hidden="false" customHeight="false" outlineLevel="0" collapsed="false">
      <c r="C203" s="45"/>
      <c r="E203" s="46"/>
      <c r="F203" s="44"/>
      <c r="G203" s="44"/>
      <c r="I203" s="47"/>
    </row>
    <row r="204" customFormat="false" ht="15" hidden="false" customHeight="false" outlineLevel="0" collapsed="false">
      <c r="C204" s="45"/>
      <c r="E204" s="46"/>
      <c r="F204" s="44"/>
      <c r="G204" s="44"/>
      <c r="I204" s="47"/>
    </row>
    <row r="205" customFormat="false" ht="15" hidden="false" customHeight="false" outlineLevel="0" collapsed="false">
      <c r="C205" s="45"/>
      <c r="E205" s="46"/>
      <c r="F205" s="44"/>
      <c r="G205" s="44"/>
      <c r="I205" s="47"/>
    </row>
    <row r="206" customFormat="false" ht="15" hidden="false" customHeight="false" outlineLevel="0" collapsed="false">
      <c r="C206" s="45"/>
      <c r="E206" s="46"/>
      <c r="F206" s="44"/>
      <c r="G206" s="44"/>
      <c r="I206" s="47"/>
    </row>
    <row r="207" customFormat="false" ht="15" hidden="false" customHeight="false" outlineLevel="0" collapsed="false">
      <c r="C207" s="45"/>
      <c r="E207" s="46"/>
      <c r="F207" s="44"/>
      <c r="G207" s="44"/>
      <c r="I207" s="47"/>
    </row>
    <row r="208" customFormat="false" ht="15" hidden="false" customHeight="false" outlineLevel="0" collapsed="false">
      <c r="C208" s="45"/>
      <c r="E208" s="46"/>
      <c r="F208" s="44"/>
      <c r="G208" s="44"/>
      <c r="I208" s="47"/>
    </row>
    <row r="209" customFormat="false" ht="15" hidden="false" customHeight="false" outlineLevel="0" collapsed="false">
      <c r="C209" s="45"/>
      <c r="E209" s="46"/>
      <c r="F209" s="44"/>
      <c r="G209" s="44"/>
      <c r="I209" s="47"/>
    </row>
    <row r="210" customFormat="false" ht="15" hidden="false" customHeight="false" outlineLevel="0" collapsed="false">
      <c r="C210" s="45"/>
      <c r="E210" s="46"/>
      <c r="F210" s="44"/>
      <c r="G210" s="44"/>
      <c r="I210" s="47"/>
    </row>
    <row r="211" customFormat="false" ht="15" hidden="false" customHeight="false" outlineLevel="0" collapsed="false">
      <c r="C211" s="45"/>
      <c r="E211" s="46"/>
      <c r="F211" s="44"/>
      <c r="G211" s="44"/>
      <c r="I211" s="47"/>
    </row>
    <row r="212" customFormat="false" ht="15" hidden="false" customHeight="false" outlineLevel="0" collapsed="false">
      <c r="C212" s="45"/>
      <c r="E212" s="46"/>
      <c r="F212" s="44"/>
      <c r="G212" s="44"/>
      <c r="I212" s="47"/>
    </row>
    <row r="213" customFormat="false" ht="15" hidden="false" customHeight="false" outlineLevel="0" collapsed="false">
      <c r="C213" s="45"/>
      <c r="E213" s="46"/>
      <c r="F213" s="44"/>
      <c r="G213" s="44"/>
      <c r="I213" s="47"/>
    </row>
    <row r="214" customFormat="false" ht="15" hidden="false" customHeight="false" outlineLevel="0" collapsed="false">
      <c r="C214" s="45"/>
      <c r="E214" s="46"/>
      <c r="F214" s="44"/>
      <c r="G214" s="44"/>
      <c r="I214" s="47"/>
    </row>
    <row r="215" customFormat="false" ht="15" hidden="false" customHeight="false" outlineLevel="0" collapsed="false">
      <c r="C215" s="45"/>
      <c r="E215" s="46"/>
      <c r="F215" s="44"/>
      <c r="G215" s="44"/>
      <c r="I215" s="47"/>
    </row>
    <row r="216" customFormat="false" ht="15" hidden="false" customHeight="false" outlineLevel="0" collapsed="false">
      <c r="C216" s="45"/>
      <c r="E216" s="46"/>
      <c r="F216" s="44"/>
      <c r="G216" s="44"/>
      <c r="I216" s="47"/>
    </row>
    <row r="217" customFormat="false" ht="15" hidden="false" customHeight="false" outlineLevel="0" collapsed="false">
      <c r="C217" s="45"/>
      <c r="E217" s="46"/>
      <c r="F217" s="44"/>
      <c r="G217" s="44"/>
      <c r="I217" s="47"/>
    </row>
    <row r="218" customFormat="false" ht="15" hidden="false" customHeight="false" outlineLevel="0" collapsed="false">
      <c r="C218" s="45"/>
      <c r="E218" s="46"/>
      <c r="F218" s="44"/>
      <c r="G218" s="44"/>
      <c r="I218" s="47"/>
    </row>
    <row r="219" customFormat="false" ht="15" hidden="false" customHeight="false" outlineLevel="0" collapsed="false">
      <c r="C219" s="45"/>
      <c r="E219" s="46"/>
      <c r="F219" s="44"/>
      <c r="G219" s="44"/>
      <c r="I219" s="47"/>
    </row>
    <row r="220" customFormat="false" ht="15" hidden="false" customHeight="false" outlineLevel="0" collapsed="false">
      <c r="C220" s="45"/>
      <c r="E220" s="46"/>
      <c r="F220" s="44"/>
      <c r="G220" s="44"/>
      <c r="I220" s="47"/>
    </row>
    <row r="221" customFormat="false" ht="15" hidden="false" customHeight="false" outlineLevel="0" collapsed="false">
      <c r="C221" s="45"/>
      <c r="E221" s="46"/>
      <c r="F221" s="44"/>
      <c r="G221" s="44"/>
      <c r="I221" s="47"/>
    </row>
    <row r="222" customFormat="false" ht="15" hidden="false" customHeight="false" outlineLevel="0" collapsed="false">
      <c r="C222" s="45"/>
      <c r="E222" s="46"/>
      <c r="F222" s="44"/>
      <c r="G222" s="44"/>
      <c r="I222" s="47"/>
    </row>
    <row r="223" customFormat="false" ht="15" hidden="false" customHeight="false" outlineLevel="0" collapsed="false">
      <c r="C223" s="45"/>
      <c r="E223" s="46"/>
      <c r="F223" s="44"/>
      <c r="G223" s="44"/>
      <c r="I223" s="47"/>
    </row>
    <row r="224" customFormat="false" ht="15" hidden="false" customHeight="false" outlineLevel="0" collapsed="false">
      <c r="C224" s="45"/>
      <c r="E224" s="46"/>
      <c r="F224" s="44"/>
      <c r="G224" s="44"/>
      <c r="I224" s="47"/>
    </row>
    <row r="225" customFormat="false" ht="15" hidden="false" customHeight="false" outlineLevel="0" collapsed="false">
      <c r="C225" s="45"/>
      <c r="E225" s="46"/>
      <c r="F225" s="44"/>
      <c r="G225" s="44"/>
      <c r="I225" s="47"/>
    </row>
    <row r="226" customFormat="false" ht="15" hidden="false" customHeight="false" outlineLevel="0" collapsed="false">
      <c r="C226" s="45"/>
      <c r="E226" s="46"/>
      <c r="F226" s="44"/>
      <c r="G226" s="44"/>
      <c r="I226" s="47"/>
    </row>
    <row r="227" customFormat="false" ht="15" hidden="false" customHeight="false" outlineLevel="0" collapsed="false">
      <c r="C227" s="45"/>
      <c r="E227" s="46"/>
      <c r="F227" s="44"/>
      <c r="G227" s="44"/>
      <c r="I227" s="47"/>
    </row>
    <row r="228" customFormat="false" ht="15" hidden="false" customHeight="false" outlineLevel="0" collapsed="false">
      <c r="C228" s="45"/>
      <c r="E228" s="46"/>
      <c r="F228" s="44"/>
      <c r="G228" s="44"/>
      <c r="I228" s="47"/>
    </row>
    <row r="229" customFormat="false" ht="15" hidden="false" customHeight="false" outlineLevel="0" collapsed="false">
      <c r="C229" s="45"/>
      <c r="E229" s="46"/>
      <c r="F229" s="44"/>
      <c r="G229" s="44"/>
      <c r="I229" s="47"/>
    </row>
    <row r="230" customFormat="false" ht="15" hidden="false" customHeight="false" outlineLevel="0" collapsed="false">
      <c r="C230" s="45"/>
      <c r="E230" s="46"/>
      <c r="F230" s="44"/>
      <c r="G230" s="44"/>
      <c r="I230" s="47"/>
    </row>
    <row r="231" customFormat="false" ht="15" hidden="false" customHeight="false" outlineLevel="0" collapsed="false">
      <c r="C231" s="45"/>
      <c r="E231" s="46"/>
      <c r="F231" s="44"/>
      <c r="G231" s="44"/>
      <c r="I231" s="47"/>
    </row>
    <row r="232" customFormat="false" ht="15" hidden="false" customHeight="false" outlineLevel="0" collapsed="false">
      <c r="C232" s="45"/>
      <c r="E232" s="46"/>
      <c r="F232" s="44"/>
      <c r="G232" s="44"/>
      <c r="I232" s="47"/>
    </row>
    <row r="233" customFormat="false" ht="15" hidden="false" customHeight="false" outlineLevel="0" collapsed="false">
      <c r="C233" s="45"/>
      <c r="E233" s="46"/>
      <c r="F233" s="44"/>
      <c r="G233" s="44"/>
      <c r="I233" s="47"/>
    </row>
    <row r="234" customFormat="false" ht="15" hidden="false" customHeight="false" outlineLevel="0" collapsed="false">
      <c r="C234" s="45"/>
      <c r="E234" s="46"/>
      <c r="F234" s="44"/>
      <c r="G234" s="44"/>
      <c r="I234" s="47"/>
    </row>
    <row r="235" customFormat="false" ht="15" hidden="false" customHeight="false" outlineLevel="0" collapsed="false">
      <c r="C235" s="45"/>
      <c r="E235" s="46"/>
      <c r="F235" s="44"/>
      <c r="G235" s="44"/>
      <c r="I235" s="47"/>
    </row>
    <row r="236" customFormat="false" ht="15" hidden="false" customHeight="false" outlineLevel="0" collapsed="false">
      <c r="C236" s="45"/>
      <c r="E236" s="46"/>
      <c r="F236" s="44"/>
      <c r="G236" s="44"/>
      <c r="I236" s="47"/>
    </row>
    <row r="237" customFormat="false" ht="15" hidden="false" customHeight="false" outlineLevel="0" collapsed="false">
      <c r="C237" s="45"/>
      <c r="E237" s="46"/>
      <c r="F237" s="44"/>
      <c r="G237" s="44"/>
      <c r="I237" s="47"/>
    </row>
    <row r="238" customFormat="false" ht="15" hidden="false" customHeight="false" outlineLevel="0" collapsed="false">
      <c r="C238" s="45"/>
      <c r="E238" s="46"/>
      <c r="F238" s="44"/>
      <c r="G238" s="44"/>
      <c r="I238" s="47"/>
    </row>
    <row r="239" customFormat="false" ht="15" hidden="false" customHeight="false" outlineLevel="0" collapsed="false">
      <c r="C239" s="45"/>
      <c r="E239" s="46"/>
      <c r="F239" s="44"/>
      <c r="G239" s="44"/>
      <c r="I239" s="47"/>
    </row>
    <row r="240" customFormat="false" ht="15" hidden="false" customHeight="false" outlineLevel="0" collapsed="false">
      <c r="C240" s="45"/>
      <c r="E240" s="46"/>
      <c r="F240" s="44"/>
      <c r="G240" s="44"/>
      <c r="I240" s="47"/>
    </row>
    <row r="241" customFormat="false" ht="15" hidden="false" customHeight="false" outlineLevel="0" collapsed="false">
      <c r="C241" s="45"/>
      <c r="E241" s="46"/>
      <c r="F241" s="44"/>
      <c r="G241" s="44"/>
      <c r="I241" s="47"/>
    </row>
    <row r="242" customFormat="false" ht="15" hidden="false" customHeight="false" outlineLevel="0" collapsed="false">
      <c r="C242" s="45"/>
      <c r="E242" s="46"/>
      <c r="F242" s="44"/>
      <c r="G242" s="44"/>
      <c r="I242" s="47"/>
    </row>
    <row r="243" customFormat="false" ht="15" hidden="false" customHeight="false" outlineLevel="0" collapsed="false">
      <c r="C243" s="45"/>
      <c r="E243" s="46"/>
      <c r="F243" s="44"/>
      <c r="G243" s="44"/>
      <c r="I243" s="47"/>
    </row>
    <row r="244" customFormat="false" ht="15" hidden="false" customHeight="false" outlineLevel="0" collapsed="false">
      <c r="C244" s="45"/>
      <c r="E244" s="46"/>
      <c r="F244" s="44"/>
      <c r="G244" s="44"/>
      <c r="I244" s="47"/>
    </row>
    <row r="245" customFormat="false" ht="15" hidden="false" customHeight="false" outlineLevel="0" collapsed="false">
      <c r="C245" s="45"/>
      <c r="E245" s="46"/>
      <c r="F245" s="44"/>
      <c r="G245" s="44"/>
      <c r="I245" s="47"/>
    </row>
    <row r="246" customFormat="false" ht="15" hidden="false" customHeight="false" outlineLevel="0" collapsed="false">
      <c r="C246" s="45"/>
      <c r="E246" s="46"/>
      <c r="F246" s="44"/>
      <c r="G246" s="44"/>
      <c r="I246" s="47"/>
    </row>
    <row r="247" customFormat="false" ht="15" hidden="false" customHeight="false" outlineLevel="0" collapsed="false">
      <c r="C247" s="45"/>
      <c r="E247" s="46"/>
      <c r="F247" s="44"/>
      <c r="G247" s="44"/>
      <c r="I247" s="47"/>
    </row>
    <row r="248" customFormat="false" ht="15" hidden="false" customHeight="false" outlineLevel="0" collapsed="false">
      <c r="C248" s="45"/>
      <c r="E248" s="46"/>
      <c r="F248" s="44"/>
      <c r="G248" s="44"/>
      <c r="I248" s="47"/>
    </row>
    <row r="249" customFormat="false" ht="15" hidden="false" customHeight="false" outlineLevel="0" collapsed="false">
      <c r="C249" s="45"/>
      <c r="E249" s="46"/>
      <c r="F249" s="44"/>
      <c r="G249" s="44"/>
      <c r="I249" s="47"/>
    </row>
    <row r="250" customFormat="false" ht="15" hidden="false" customHeight="false" outlineLevel="0" collapsed="false">
      <c r="C250" s="45"/>
      <c r="E250" s="46"/>
      <c r="F250" s="44"/>
      <c r="G250" s="44"/>
      <c r="I250" s="47"/>
    </row>
    <row r="251" customFormat="false" ht="15" hidden="false" customHeight="false" outlineLevel="0" collapsed="false">
      <c r="C251" s="45"/>
      <c r="E251" s="46"/>
      <c r="F251" s="44"/>
      <c r="G251" s="44"/>
      <c r="I251" s="47"/>
    </row>
    <row r="252" customFormat="false" ht="15" hidden="false" customHeight="false" outlineLevel="0" collapsed="false">
      <c r="C252" s="45"/>
      <c r="E252" s="46"/>
      <c r="F252" s="44"/>
      <c r="G252" s="44"/>
      <c r="I252" s="47"/>
    </row>
    <row r="253" customFormat="false" ht="15" hidden="false" customHeight="false" outlineLevel="0" collapsed="false">
      <c r="C253" s="45"/>
      <c r="E253" s="46"/>
      <c r="F253" s="44"/>
      <c r="G253" s="44"/>
      <c r="I253" s="47"/>
    </row>
    <row r="254" customFormat="false" ht="15" hidden="false" customHeight="false" outlineLevel="0" collapsed="false">
      <c r="C254" s="45"/>
      <c r="E254" s="46"/>
      <c r="F254" s="44"/>
      <c r="G254" s="44"/>
      <c r="I254" s="47"/>
    </row>
    <row r="255" customFormat="false" ht="15" hidden="false" customHeight="false" outlineLevel="0" collapsed="false">
      <c r="C255" s="45"/>
      <c r="E255" s="46"/>
      <c r="F255" s="44"/>
      <c r="G255" s="44"/>
      <c r="I255" s="47"/>
    </row>
    <row r="256" customFormat="false" ht="15" hidden="false" customHeight="false" outlineLevel="0" collapsed="false">
      <c r="C256" s="45"/>
      <c r="E256" s="46"/>
      <c r="F256" s="44"/>
      <c r="G256" s="44"/>
      <c r="I256" s="47"/>
    </row>
    <row r="257" customFormat="false" ht="15" hidden="false" customHeight="false" outlineLevel="0" collapsed="false">
      <c r="C257" s="45"/>
      <c r="E257" s="46"/>
      <c r="F257" s="44"/>
      <c r="G257" s="44"/>
      <c r="I257" s="47"/>
    </row>
    <row r="258" customFormat="false" ht="15" hidden="false" customHeight="false" outlineLevel="0" collapsed="false">
      <c r="C258" s="45"/>
      <c r="E258" s="46"/>
      <c r="F258" s="44"/>
      <c r="G258" s="44"/>
      <c r="I258" s="47"/>
    </row>
    <row r="259" customFormat="false" ht="15" hidden="false" customHeight="false" outlineLevel="0" collapsed="false">
      <c r="C259" s="45"/>
      <c r="E259" s="46"/>
      <c r="F259" s="44"/>
      <c r="G259" s="44"/>
      <c r="I259" s="47"/>
    </row>
    <row r="260" customFormat="false" ht="15" hidden="false" customHeight="false" outlineLevel="0" collapsed="false">
      <c r="C260" s="45"/>
      <c r="E260" s="46"/>
      <c r="F260" s="44"/>
      <c r="G260" s="44"/>
      <c r="I260" s="47"/>
    </row>
    <row r="261" customFormat="false" ht="15" hidden="false" customHeight="false" outlineLevel="0" collapsed="false">
      <c r="C261" s="45"/>
      <c r="E261" s="46"/>
      <c r="F261" s="44"/>
      <c r="G261" s="44"/>
      <c r="I261" s="47"/>
    </row>
    <row r="262" customFormat="false" ht="15" hidden="false" customHeight="false" outlineLevel="0" collapsed="false">
      <c r="C262" s="45"/>
      <c r="E262" s="46"/>
      <c r="F262" s="44"/>
      <c r="G262" s="44"/>
      <c r="I262" s="47"/>
    </row>
    <row r="263" customFormat="false" ht="15" hidden="false" customHeight="false" outlineLevel="0" collapsed="false">
      <c r="C263" s="45"/>
      <c r="E263" s="46"/>
      <c r="F263" s="44"/>
      <c r="G263" s="44"/>
      <c r="I263" s="47"/>
    </row>
    <row r="264" customFormat="false" ht="15" hidden="false" customHeight="false" outlineLevel="0" collapsed="false">
      <c r="C264" s="45"/>
      <c r="E264" s="46"/>
      <c r="F264" s="44"/>
      <c r="G264" s="44"/>
      <c r="I264" s="47"/>
    </row>
    <row r="265" customFormat="false" ht="15" hidden="false" customHeight="false" outlineLevel="0" collapsed="false">
      <c r="C265" s="45"/>
      <c r="E265" s="46"/>
      <c r="F265" s="44"/>
      <c r="G265" s="44"/>
      <c r="I265" s="47"/>
    </row>
    <row r="266" customFormat="false" ht="15" hidden="false" customHeight="false" outlineLevel="0" collapsed="false">
      <c r="C266" s="45"/>
      <c r="E266" s="46"/>
      <c r="F266" s="44"/>
      <c r="G266" s="44"/>
      <c r="I266" s="47"/>
    </row>
    <row r="267" customFormat="false" ht="15" hidden="false" customHeight="false" outlineLevel="0" collapsed="false">
      <c r="C267" s="45"/>
      <c r="E267" s="46"/>
      <c r="F267" s="44"/>
      <c r="G267" s="44"/>
      <c r="I267" s="47"/>
    </row>
    <row r="268" customFormat="false" ht="15" hidden="false" customHeight="false" outlineLevel="0" collapsed="false">
      <c r="C268" s="45"/>
      <c r="E268" s="46"/>
      <c r="F268" s="44"/>
      <c r="G268" s="44"/>
      <c r="I268" s="47"/>
    </row>
    <row r="269" customFormat="false" ht="15" hidden="false" customHeight="false" outlineLevel="0" collapsed="false">
      <c r="C269" s="45"/>
      <c r="E269" s="46"/>
      <c r="F269" s="44"/>
      <c r="G269" s="44"/>
      <c r="I269" s="47"/>
    </row>
    <row r="270" customFormat="false" ht="15" hidden="false" customHeight="false" outlineLevel="0" collapsed="false">
      <c r="C270" s="45"/>
      <c r="E270" s="46"/>
      <c r="F270" s="44"/>
      <c r="G270" s="44"/>
      <c r="I270" s="47"/>
    </row>
    <row r="271" customFormat="false" ht="15" hidden="false" customHeight="false" outlineLevel="0" collapsed="false">
      <c r="C271" s="45"/>
      <c r="E271" s="46"/>
      <c r="F271" s="44"/>
      <c r="G271" s="44"/>
      <c r="I271" s="47"/>
    </row>
    <row r="272" customFormat="false" ht="15" hidden="false" customHeight="false" outlineLevel="0" collapsed="false">
      <c r="C272" s="45"/>
      <c r="E272" s="46"/>
      <c r="F272" s="44"/>
      <c r="G272" s="44"/>
      <c r="I272" s="47"/>
    </row>
    <row r="273" customFormat="false" ht="15" hidden="false" customHeight="false" outlineLevel="0" collapsed="false">
      <c r="C273" s="45"/>
      <c r="E273" s="46"/>
      <c r="F273" s="44"/>
      <c r="G273" s="44"/>
      <c r="I273" s="47"/>
    </row>
    <row r="274" customFormat="false" ht="15" hidden="false" customHeight="false" outlineLevel="0" collapsed="false">
      <c r="C274" s="45"/>
      <c r="E274" s="46"/>
      <c r="F274" s="44"/>
      <c r="G274" s="44"/>
      <c r="I274" s="47"/>
    </row>
    <row r="275" customFormat="false" ht="15" hidden="false" customHeight="false" outlineLevel="0" collapsed="false">
      <c r="C275" s="45"/>
      <c r="E275" s="46"/>
      <c r="F275" s="44"/>
      <c r="G275" s="44"/>
      <c r="I275" s="47"/>
    </row>
    <row r="276" customFormat="false" ht="15" hidden="false" customHeight="false" outlineLevel="0" collapsed="false">
      <c r="C276" s="45"/>
      <c r="E276" s="46"/>
      <c r="F276" s="44"/>
      <c r="G276" s="44"/>
      <c r="I276" s="47"/>
    </row>
    <row r="277" customFormat="false" ht="15" hidden="false" customHeight="false" outlineLevel="0" collapsed="false">
      <c r="C277" s="45"/>
      <c r="E277" s="46"/>
      <c r="F277" s="44"/>
      <c r="G277" s="44"/>
      <c r="I277" s="47"/>
    </row>
    <row r="278" customFormat="false" ht="15" hidden="false" customHeight="false" outlineLevel="0" collapsed="false">
      <c r="C278" s="45"/>
      <c r="E278" s="46"/>
      <c r="F278" s="44"/>
      <c r="G278" s="44"/>
      <c r="I278" s="47"/>
    </row>
    <row r="279" customFormat="false" ht="15" hidden="false" customHeight="false" outlineLevel="0" collapsed="false">
      <c r="C279" s="45"/>
      <c r="E279" s="46"/>
      <c r="F279" s="44"/>
      <c r="G279" s="44"/>
      <c r="I279" s="47"/>
    </row>
    <row r="280" customFormat="false" ht="15" hidden="false" customHeight="false" outlineLevel="0" collapsed="false">
      <c r="C280" s="45"/>
      <c r="E280" s="46"/>
      <c r="F280" s="44"/>
      <c r="G280" s="44"/>
      <c r="I280" s="47"/>
    </row>
    <row r="281" customFormat="false" ht="15" hidden="false" customHeight="false" outlineLevel="0" collapsed="false">
      <c r="C281" s="45"/>
      <c r="E281" s="46"/>
      <c r="F281" s="44"/>
      <c r="G281" s="44"/>
      <c r="I281" s="47"/>
    </row>
    <row r="282" customFormat="false" ht="15" hidden="false" customHeight="false" outlineLevel="0" collapsed="false">
      <c r="C282" s="45"/>
      <c r="E282" s="46"/>
      <c r="F282" s="44"/>
      <c r="G282" s="44"/>
      <c r="I282" s="47"/>
    </row>
    <row r="283" customFormat="false" ht="15" hidden="false" customHeight="false" outlineLevel="0" collapsed="false">
      <c r="C283" s="45"/>
      <c r="E283" s="46"/>
      <c r="F283" s="44"/>
      <c r="G283" s="44"/>
      <c r="I283" s="47"/>
    </row>
    <row r="284" customFormat="false" ht="15" hidden="false" customHeight="false" outlineLevel="0" collapsed="false">
      <c r="C284" s="45"/>
      <c r="E284" s="46"/>
      <c r="F284" s="44"/>
      <c r="G284" s="44"/>
      <c r="I284" s="47"/>
    </row>
    <row r="285" customFormat="false" ht="15" hidden="false" customHeight="false" outlineLevel="0" collapsed="false">
      <c r="C285" s="45"/>
      <c r="E285" s="46"/>
      <c r="F285" s="44"/>
      <c r="G285" s="44"/>
      <c r="I285" s="47"/>
    </row>
    <row r="286" customFormat="false" ht="15" hidden="false" customHeight="false" outlineLevel="0" collapsed="false">
      <c r="C286" s="45"/>
      <c r="E286" s="46"/>
      <c r="F286" s="44"/>
      <c r="G286" s="44"/>
      <c r="I286" s="47"/>
    </row>
    <row r="287" customFormat="false" ht="15" hidden="false" customHeight="false" outlineLevel="0" collapsed="false">
      <c r="C287" s="45"/>
      <c r="E287" s="46"/>
      <c r="F287" s="44"/>
      <c r="G287" s="44"/>
      <c r="I287" s="47"/>
    </row>
    <row r="288" customFormat="false" ht="15" hidden="false" customHeight="false" outlineLevel="0" collapsed="false">
      <c r="C288" s="45"/>
      <c r="E288" s="46"/>
      <c r="F288" s="44"/>
      <c r="G288" s="44"/>
      <c r="I288" s="47"/>
    </row>
    <row r="289" customFormat="false" ht="15" hidden="false" customHeight="false" outlineLevel="0" collapsed="false">
      <c r="C289" s="45"/>
      <c r="E289" s="46"/>
      <c r="F289" s="44"/>
      <c r="G289" s="44"/>
      <c r="I289" s="47"/>
    </row>
    <row r="290" customFormat="false" ht="15" hidden="false" customHeight="false" outlineLevel="0" collapsed="false">
      <c r="C290" s="45"/>
      <c r="E290" s="46"/>
      <c r="F290" s="44"/>
      <c r="G290" s="44"/>
      <c r="I290" s="47"/>
    </row>
    <row r="291" customFormat="false" ht="15" hidden="false" customHeight="false" outlineLevel="0" collapsed="false">
      <c r="C291" s="45"/>
      <c r="E291" s="46"/>
      <c r="F291" s="44"/>
      <c r="G291" s="44"/>
      <c r="I291" s="47"/>
    </row>
    <row r="292" customFormat="false" ht="15" hidden="false" customHeight="false" outlineLevel="0" collapsed="false">
      <c r="C292" s="45"/>
      <c r="E292" s="46"/>
      <c r="F292" s="44"/>
      <c r="G292" s="44"/>
      <c r="I292" s="47"/>
    </row>
    <row r="293" customFormat="false" ht="15" hidden="false" customHeight="false" outlineLevel="0" collapsed="false">
      <c r="C293" s="45"/>
      <c r="E293" s="46"/>
      <c r="F293" s="44"/>
      <c r="G293" s="44"/>
      <c r="I293" s="47"/>
    </row>
    <row r="294" customFormat="false" ht="15" hidden="false" customHeight="false" outlineLevel="0" collapsed="false">
      <c r="C294" s="45"/>
      <c r="E294" s="46"/>
      <c r="F294" s="44"/>
      <c r="G294" s="44"/>
      <c r="I294" s="47"/>
    </row>
    <row r="295" customFormat="false" ht="15" hidden="false" customHeight="false" outlineLevel="0" collapsed="false">
      <c r="C295" s="45"/>
      <c r="E295" s="46"/>
      <c r="F295" s="44"/>
      <c r="G295" s="44"/>
      <c r="I295" s="47"/>
    </row>
    <row r="296" customFormat="false" ht="15" hidden="false" customHeight="false" outlineLevel="0" collapsed="false">
      <c r="C296" s="45"/>
      <c r="E296" s="46"/>
      <c r="F296" s="44"/>
      <c r="G296" s="44"/>
      <c r="I296" s="47"/>
    </row>
    <row r="297" customFormat="false" ht="15" hidden="false" customHeight="false" outlineLevel="0" collapsed="false">
      <c r="C297" s="45"/>
      <c r="E297" s="46"/>
      <c r="F297" s="44"/>
      <c r="G297" s="44"/>
      <c r="I297" s="47"/>
    </row>
    <row r="298" customFormat="false" ht="15" hidden="false" customHeight="false" outlineLevel="0" collapsed="false">
      <c r="C298" s="45"/>
      <c r="E298" s="46"/>
      <c r="F298" s="44"/>
      <c r="G298" s="44"/>
      <c r="I298" s="47"/>
    </row>
    <row r="299" customFormat="false" ht="15" hidden="false" customHeight="false" outlineLevel="0" collapsed="false">
      <c r="C299" s="45"/>
      <c r="E299" s="46"/>
      <c r="F299" s="44"/>
      <c r="G299" s="44"/>
      <c r="I299" s="47"/>
    </row>
    <row r="300" customFormat="false" ht="15" hidden="false" customHeight="false" outlineLevel="0" collapsed="false">
      <c r="C300" s="45"/>
      <c r="E300" s="46"/>
      <c r="F300" s="44"/>
      <c r="G300" s="44"/>
      <c r="I300" s="47"/>
    </row>
    <row r="301" customFormat="false" ht="15" hidden="false" customHeight="false" outlineLevel="0" collapsed="false">
      <c r="C301" s="45"/>
      <c r="E301" s="46"/>
      <c r="F301" s="44"/>
      <c r="G301" s="44"/>
      <c r="I301" s="47"/>
    </row>
    <row r="302" customFormat="false" ht="15" hidden="false" customHeight="false" outlineLevel="0" collapsed="false">
      <c r="C302" s="45"/>
      <c r="E302" s="46"/>
      <c r="F302" s="44"/>
      <c r="G302" s="44"/>
      <c r="I302" s="47"/>
    </row>
    <row r="303" customFormat="false" ht="15" hidden="false" customHeight="false" outlineLevel="0" collapsed="false">
      <c r="C303" s="45"/>
      <c r="E303" s="46"/>
      <c r="F303" s="44"/>
      <c r="G303" s="44"/>
      <c r="I303" s="47"/>
    </row>
    <row r="304" customFormat="false" ht="15" hidden="false" customHeight="false" outlineLevel="0" collapsed="false">
      <c r="C304" s="45"/>
      <c r="E304" s="46"/>
      <c r="F304" s="44"/>
      <c r="G304" s="44"/>
      <c r="I304" s="47"/>
    </row>
    <row r="305" customFormat="false" ht="15" hidden="false" customHeight="false" outlineLevel="0" collapsed="false">
      <c r="C305" s="45"/>
      <c r="E305" s="46"/>
      <c r="F305" s="44"/>
      <c r="G305" s="44"/>
      <c r="I305" s="47"/>
    </row>
    <row r="306" customFormat="false" ht="15" hidden="false" customHeight="false" outlineLevel="0" collapsed="false">
      <c r="C306" s="45"/>
      <c r="E306" s="46"/>
      <c r="F306" s="44"/>
      <c r="G306" s="44"/>
      <c r="I306" s="47"/>
    </row>
    <row r="307" customFormat="false" ht="15" hidden="false" customHeight="false" outlineLevel="0" collapsed="false">
      <c r="C307" s="45"/>
      <c r="E307" s="46"/>
      <c r="F307" s="44"/>
      <c r="G307" s="44"/>
      <c r="I307" s="47"/>
    </row>
    <row r="308" customFormat="false" ht="15" hidden="false" customHeight="false" outlineLevel="0" collapsed="false">
      <c r="C308" s="45"/>
      <c r="E308" s="46"/>
      <c r="F308" s="44"/>
      <c r="G308" s="44"/>
      <c r="I308" s="47"/>
    </row>
    <row r="309" customFormat="false" ht="15" hidden="false" customHeight="false" outlineLevel="0" collapsed="false">
      <c r="C309" s="45"/>
      <c r="E309" s="46"/>
      <c r="F309" s="44"/>
      <c r="G309" s="44"/>
      <c r="I309" s="47"/>
    </row>
    <row r="310" customFormat="false" ht="15" hidden="false" customHeight="false" outlineLevel="0" collapsed="false">
      <c r="C310" s="45"/>
      <c r="E310" s="46"/>
      <c r="F310" s="44"/>
      <c r="G310" s="44"/>
      <c r="I310" s="47"/>
    </row>
    <row r="311" customFormat="false" ht="15" hidden="false" customHeight="false" outlineLevel="0" collapsed="false">
      <c r="C311" s="45"/>
      <c r="E311" s="46"/>
      <c r="F311" s="44"/>
      <c r="G311" s="44"/>
      <c r="I311" s="47"/>
    </row>
    <row r="312" customFormat="false" ht="15" hidden="false" customHeight="false" outlineLevel="0" collapsed="false">
      <c r="C312" s="45"/>
      <c r="E312" s="46"/>
      <c r="F312" s="44"/>
      <c r="G312" s="44"/>
      <c r="I312" s="47"/>
    </row>
    <row r="313" customFormat="false" ht="15" hidden="false" customHeight="false" outlineLevel="0" collapsed="false">
      <c r="C313" s="45"/>
      <c r="E313" s="46"/>
      <c r="F313" s="44"/>
      <c r="G313" s="44"/>
      <c r="I313" s="47"/>
    </row>
    <row r="314" customFormat="false" ht="15" hidden="false" customHeight="false" outlineLevel="0" collapsed="false">
      <c r="C314" s="45"/>
      <c r="E314" s="46"/>
      <c r="F314" s="44"/>
      <c r="G314" s="44"/>
      <c r="I314" s="47"/>
    </row>
    <row r="315" customFormat="false" ht="15" hidden="false" customHeight="false" outlineLevel="0" collapsed="false">
      <c r="C315" s="45"/>
      <c r="E315" s="46"/>
      <c r="F315" s="44"/>
      <c r="G315" s="44"/>
      <c r="I315" s="47"/>
    </row>
    <row r="316" customFormat="false" ht="15" hidden="false" customHeight="false" outlineLevel="0" collapsed="false">
      <c r="C316" s="45"/>
      <c r="E316" s="46"/>
      <c r="F316" s="44"/>
      <c r="G316" s="44"/>
      <c r="I316" s="47"/>
    </row>
    <row r="317" customFormat="false" ht="15" hidden="false" customHeight="false" outlineLevel="0" collapsed="false">
      <c r="C317" s="45"/>
      <c r="E317" s="46"/>
      <c r="F317" s="44"/>
      <c r="G317" s="44"/>
      <c r="I317" s="47"/>
    </row>
    <row r="318" customFormat="false" ht="15" hidden="false" customHeight="false" outlineLevel="0" collapsed="false">
      <c r="C318" s="45"/>
      <c r="E318" s="46"/>
      <c r="F318" s="44"/>
      <c r="G318" s="44"/>
      <c r="I318" s="47"/>
    </row>
    <row r="319" customFormat="false" ht="15" hidden="false" customHeight="false" outlineLevel="0" collapsed="false">
      <c r="C319" s="45"/>
      <c r="E319" s="46"/>
      <c r="F319" s="44"/>
      <c r="G319" s="44"/>
      <c r="I319" s="47"/>
    </row>
    <row r="320" customFormat="false" ht="15" hidden="false" customHeight="false" outlineLevel="0" collapsed="false">
      <c r="C320" s="45"/>
      <c r="E320" s="46"/>
      <c r="F320" s="44"/>
      <c r="G320" s="44"/>
      <c r="I320" s="47"/>
    </row>
    <row r="321" customFormat="false" ht="15" hidden="false" customHeight="false" outlineLevel="0" collapsed="false">
      <c r="C321" s="45"/>
      <c r="E321" s="46"/>
      <c r="F321" s="44"/>
      <c r="G321" s="44"/>
      <c r="I321" s="47"/>
    </row>
    <row r="322" customFormat="false" ht="15" hidden="false" customHeight="false" outlineLevel="0" collapsed="false">
      <c r="C322" s="45"/>
      <c r="E322" s="46"/>
      <c r="F322" s="44"/>
      <c r="G322" s="44"/>
      <c r="I322" s="47"/>
    </row>
    <row r="323" customFormat="false" ht="15" hidden="false" customHeight="false" outlineLevel="0" collapsed="false">
      <c r="C323" s="45"/>
      <c r="E323" s="46"/>
      <c r="F323" s="44"/>
      <c r="G323" s="44"/>
      <c r="I323" s="47"/>
    </row>
    <row r="324" customFormat="false" ht="15" hidden="false" customHeight="false" outlineLevel="0" collapsed="false">
      <c r="C324" s="45"/>
      <c r="E324" s="46"/>
      <c r="F324" s="44"/>
      <c r="G324" s="44"/>
      <c r="I324" s="47"/>
    </row>
    <row r="325" customFormat="false" ht="15" hidden="false" customHeight="false" outlineLevel="0" collapsed="false">
      <c r="C325" s="45"/>
      <c r="E325" s="46"/>
      <c r="F325" s="44"/>
      <c r="G325" s="44"/>
      <c r="I325" s="47"/>
    </row>
    <row r="326" customFormat="false" ht="15" hidden="false" customHeight="false" outlineLevel="0" collapsed="false">
      <c r="C326" s="45"/>
      <c r="E326" s="46"/>
      <c r="F326" s="44"/>
      <c r="G326" s="44"/>
      <c r="I326" s="47"/>
    </row>
    <row r="327" customFormat="false" ht="15" hidden="false" customHeight="false" outlineLevel="0" collapsed="false">
      <c r="C327" s="45"/>
      <c r="E327" s="46"/>
      <c r="F327" s="44"/>
      <c r="G327" s="44"/>
      <c r="I327" s="47"/>
    </row>
    <row r="328" customFormat="false" ht="15" hidden="false" customHeight="false" outlineLevel="0" collapsed="false">
      <c r="C328" s="45"/>
      <c r="E328" s="46"/>
      <c r="F328" s="44"/>
      <c r="G328" s="44"/>
      <c r="I328" s="47"/>
    </row>
    <row r="329" customFormat="false" ht="15" hidden="false" customHeight="false" outlineLevel="0" collapsed="false">
      <c r="C329" s="45"/>
      <c r="E329" s="46"/>
      <c r="F329" s="44"/>
      <c r="G329" s="44"/>
      <c r="I329" s="47"/>
    </row>
    <row r="330" customFormat="false" ht="15" hidden="false" customHeight="false" outlineLevel="0" collapsed="false">
      <c r="C330" s="45"/>
      <c r="E330" s="46"/>
      <c r="F330" s="44"/>
      <c r="G330" s="44"/>
      <c r="I330" s="47"/>
    </row>
    <row r="331" customFormat="false" ht="15" hidden="false" customHeight="false" outlineLevel="0" collapsed="false">
      <c r="C331" s="45"/>
      <c r="E331" s="46"/>
      <c r="F331" s="44"/>
      <c r="G331" s="44"/>
      <c r="I331" s="47"/>
    </row>
    <row r="332" customFormat="false" ht="15" hidden="false" customHeight="false" outlineLevel="0" collapsed="false">
      <c r="C332" s="45"/>
      <c r="E332" s="46"/>
      <c r="F332" s="44"/>
      <c r="G332" s="44"/>
      <c r="I332" s="47"/>
    </row>
    <row r="333" customFormat="false" ht="15" hidden="false" customHeight="false" outlineLevel="0" collapsed="false">
      <c r="C333" s="45"/>
      <c r="E333" s="46"/>
      <c r="F333" s="44"/>
      <c r="G333" s="44"/>
      <c r="I333" s="47"/>
    </row>
    <row r="334" customFormat="false" ht="15" hidden="false" customHeight="false" outlineLevel="0" collapsed="false">
      <c r="C334" s="45"/>
      <c r="E334" s="46"/>
      <c r="F334" s="44"/>
      <c r="G334" s="44"/>
      <c r="I334" s="47"/>
    </row>
    <row r="335" customFormat="false" ht="15" hidden="false" customHeight="false" outlineLevel="0" collapsed="false">
      <c r="C335" s="45"/>
      <c r="E335" s="46"/>
      <c r="F335" s="44"/>
      <c r="G335" s="44"/>
      <c r="I335" s="47"/>
    </row>
    <row r="336" customFormat="false" ht="15" hidden="false" customHeight="false" outlineLevel="0" collapsed="false">
      <c r="C336" s="45"/>
      <c r="E336" s="46"/>
      <c r="F336" s="44"/>
      <c r="G336" s="44"/>
      <c r="I336" s="47"/>
    </row>
    <row r="337" customFormat="false" ht="15" hidden="false" customHeight="false" outlineLevel="0" collapsed="false">
      <c r="C337" s="45"/>
      <c r="E337" s="46"/>
      <c r="F337" s="44"/>
      <c r="G337" s="44"/>
      <c r="I337" s="47"/>
    </row>
    <row r="338" customFormat="false" ht="15" hidden="false" customHeight="false" outlineLevel="0" collapsed="false">
      <c r="C338" s="45"/>
      <c r="E338" s="46"/>
      <c r="F338" s="44"/>
      <c r="G338" s="44"/>
      <c r="I338" s="47"/>
    </row>
    <row r="339" customFormat="false" ht="15" hidden="false" customHeight="false" outlineLevel="0" collapsed="false">
      <c r="C339" s="45"/>
      <c r="E339" s="46"/>
      <c r="F339" s="44"/>
      <c r="G339" s="44"/>
      <c r="I339" s="47"/>
    </row>
    <row r="340" customFormat="false" ht="15" hidden="false" customHeight="false" outlineLevel="0" collapsed="false">
      <c r="C340" s="45"/>
      <c r="E340" s="46"/>
      <c r="F340" s="44"/>
      <c r="G340" s="44"/>
      <c r="I340" s="47"/>
    </row>
    <row r="341" customFormat="false" ht="15" hidden="false" customHeight="false" outlineLevel="0" collapsed="false">
      <c r="C341" s="45"/>
      <c r="E341" s="46"/>
      <c r="F341" s="44"/>
      <c r="G341" s="44"/>
      <c r="I341" s="47"/>
    </row>
    <row r="342" customFormat="false" ht="15" hidden="false" customHeight="false" outlineLevel="0" collapsed="false">
      <c r="C342" s="45"/>
      <c r="E342" s="46"/>
      <c r="F342" s="44"/>
      <c r="G342" s="44"/>
      <c r="I342" s="47"/>
    </row>
    <row r="343" customFormat="false" ht="15" hidden="false" customHeight="false" outlineLevel="0" collapsed="false">
      <c r="C343" s="45"/>
      <c r="E343" s="46"/>
      <c r="F343" s="44"/>
      <c r="G343" s="44"/>
      <c r="I343" s="47"/>
    </row>
    <row r="344" customFormat="false" ht="15" hidden="false" customHeight="false" outlineLevel="0" collapsed="false">
      <c r="C344" s="45"/>
      <c r="E344" s="46"/>
      <c r="F344" s="44"/>
      <c r="G344" s="44"/>
      <c r="I344" s="47"/>
    </row>
    <row r="345" customFormat="false" ht="15" hidden="false" customHeight="false" outlineLevel="0" collapsed="false">
      <c r="C345" s="45"/>
      <c r="E345" s="46"/>
      <c r="F345" s="44"/>
      <c r="G345" s="44"/>
      <c r="I345" s="47"/>
    </row>
    <row r="346" customFormat="false" ht="15" hidden="false" customHeight="false" outlineLevel="0" collapsed="false">
      <c r="C346" s="45"/>
      <c r="E346" s="46"/>
      <c r="F346" s="44"/>
      <c r="G346" s="44"/>
      <c r="I346" s="47"/>
    </row>
    <row r="347" customFormat="false" ht="15" hidden="false" customHeight="false" outlineLevel="0" collapsed="false">
      <c r="C347" s="45"/>
      <c r="E347" s="46"/>
      <c r="F347" s="44"/>
      <c r="G347" s="44"/>
      <c r="I347" s="47"/>
    </row>
    <row r="348" customFormat="false" ht="15" hidden="false" customHeight="false" outlineLevel="0" collapsed="false">
      <c r="C348" s="45"/>
      <c r="E348" s="46"/>
      <c r="F348" s="44"/>
      <c r="G348" s="44"/>
      <c r="I348" s="47"/>
    </row>
    <row r="349" customFormat="false" ht="15" hidden="false" customHeight="false" outlineLevel="0" collapsed="false">
      <c r="C349" s="45"/>
      <c r="E349" s="46"/>
      <c r="F349" s="44"/>
      <c r="G349" s="44"/>
      <c r="I349" s="47"/>
    </row>
    <row r="350" customFormat="false" ht="15" hidden="false" customHeight="false" outlineLevel="0" collapsed="false">
      <c r="C350" s="45"/>
      <c r="E350" s="46"/>
      <c r="F350" s="44"/>
      <c r="G350" s="44"/>
      <c r="I350" s="47"/>
    </row>
    <row r="351" customFormat="false" ht="15" hidden="false" customHeight="false" outlineLevel="0" collapsed="false">
      <c r="C351" s="45"/>
      <c r="E351" s="46"/>
      <c r="F351" s="44"/>
      <c r="G351" s="44"/>
      <c r="I351" s="47"/>
    </row>
    <row r="352" customFormat="false" ht="15" hidden="false" customHeight="false" outlineLevel="0" collapsed="false">
      <c r="C352" s="45"/>
      <c r="E352" s="46"/>
      <c r="F352" s="44"/>
      <c r="G352" s="44"/>
      <c r="I352" s="47"/>
    </row>
    <row r="353" customFormat="false" ht="15" hidden="false" customHeight="false" outlineLevel="0" collapsed="false">
      <c r="C353" s="45"/>
      <c r="E353" s="46"/>
      <c r="F353" s="44"/>
      <c r="G353" s="44"/>
      <c r="I353" s="47"/>
    </row>
    <row r="354" customFormat="false" ht="15" hidden="false" customHeight="false" outlineLevel="0" collapsed="false">
      <c r="C354" s="45"/>
      <c r="E354" s="46"/>
      <c r="F354" s="44"/>
      <c r="G354" s="44"/>
      <c r="I354" s="47"/>
    </row>
    <row r="355" customFormat="false" ht="15" hidden="false" customHeight="false" outlineLevel="0" collapsed="false">
      <c r="C355" s="45"/>
      <c r="E355" s="46"/>
      <c r="F355" s="44"/>
      <c r="G355" s="44"/>
      <c r="I355" s="47"/>
    </row>
    <row r="356" customFormat="false" ht="15" hidden="false" customHeight="false" outlineLevel="0" collapsed="false">
      <c r="C356" s="45"/>
      <c r="E356" s="46"/>
      <c r="F356" s="44"/>
      <c r="G356" s="44"/>
      <c r="I356" s="47"/>
    </row>
    <row r="357" customFormat="false" ht="15" hidden="false" customHeight="false" outlineLevel="0" collapsed="false">
      <c r="C357" s="45"/>
      <c r="E357" s="46"/>
      <c r="F357" s="44"/>
      <c r="G357" s="44"/>
      <c r="I357" s="47"/>
    </row>
    <row r="358" customFormat="false" ht="15" hidden="false" customHeight="false" outlineLevel="0" collapsed="false">
      <c r="C358" s="45"/>
      <c r="E358" s="46"/>
      <c r="F358" s="44"/>
      <c r="G358" s="44"/>
      <c r="I358" s="47"/>
    </row>
    <row r="359" customFormat="false" ht="15" hidden="false" customHeight="false" outlineLevel="0" collapsed="false">
      <c r="C359" s="45"/>
      <c r="E359" s="46"/>
      <c r="F359" s="44"/>
      <c r="G359" s="44"/>
      <c r="I359" s="47"/>
    </row>
    <row r="360" customFormat="false" ht="15" hidden="false" customHeight="false" outlineLevel="0" collapsed="false">
      <c r="C360" s="45"/>
      <c r="E360" s="46"/>
      <c r="F360" s="44"/>
      <c r="G360" s="44"/>
      <c r="I360" s="47"/>
    </row>
    <row r="361" customFormat="false" ht="15" hidden="false" customHeight="false" outlineLevel="0" collapsed="false">
      <c r="C361" s="45"/>
      <c r="E361" s="46"/>
      <c r="F361" s="44"/>
      <c r="G361" s="44"/>
      <c r="I361" s="47"/>
    </row>
    <row r="362" customFormat="false" ht="15" hidden="false" customHeight="false" outlineLevel="0" collapsed="false">
      <c r="C362" s="45"/>
      <c r="E362" s="46"/>
      <c r="F362" s="44"/>
      <c r="G362" s="44"/>
      <c r="I362" s="47"/>
    </row>
    <row r="363" customFormat="false" ht="15" hidden="false" customHeight="false" outlineLevel="0" collapsed="false">
      <c r="C363" s="45"/>
      <c r="E363" s="46"/>
      <c r="F363" s="44"/>
      <c r="G363" s="44"/>
      <c r="I363" s="47"/>
    </row>
    <row r="364" customFormat="false" ht="15" hidden="false" customHeight="false" outlineLevel="0" collapsed="false">
      <c r="C364" s="45"/>
      <c r="E364" s="46"/>
      <c r="F364" s="44"/>
      <c r="G364" s="44"/>
      <c r="I364" s="47"/>
    </row>
    <row r="365" customFormat="false" ht="15" hidden="false" customHeight="false" outlineLevel="0" collapsed="false">
      <c r="C365" s="45"/>
      <c r="E365" s="46"/>
      <c r="F365" s="44"/>
      <c r="G365" s="44"/>
      <c r="I365" s="47"/>
    </row>
    <row r="366" customFormat="false" ht="15" hidden="false" customHeight="false" outlineLevel="0" collapsed="false">
      <c r="C366" s="45"/>
      <c r="E366" s="46"/>
      <c r="F366" s="44"/>
      <c r="G366" s="44"/>
      <c r="I366" s="47"/>
    </row>
    <row r="367" customFormat="false" ht="15" hidden="false" customHeight="false" outlineLevel="0" collapsed="false">
      <c r="C367" s="45"/>
      <c r="E367" s="46"/>
      <c r="F367" s="44"/>
      <c r="G367" s="44"/>
      <c r="I367" s="47"/>
    </row>
    <row r="368" customFormat="false" ht="15" hidden="false" customHeight="false" outlineLevel="0" collapsed="false">
      <c r="C368" s="45"/>
      <c r="E368" s="46"/>
      <c r="F368" s="44"/>
      <c r="G368" s="44"/>
      <c r="I368" s="47"/>
    </row>
    <row r="369" customFormat="false" ht="15" hidden="false" customHeight="false" outlineLevel="0" collapsed="false">
      <c r="C369" s="45"/>
      <c r="E369" s="46"/>
      <c r="F369" s="44"/>
      <c r="G369" s="44"/>
      <c r="I369" s="47"/>
    </row>
    <row r="370" customFormat="false" ht="15" hidden="false" customHeight="false" outlineLevel="0" collapsed="false">
      <c r="C370" s="45"/>
      <c r="E370" s="46"/>
      <c r="F370" s="44"/>
      <c r="G370" s="44"/>
      <c r="I370" s="47"/>
    </row>
    <row r="371" customFormat="false" ht="15" hidden="false" customHeight="false" outlineLevel="0" collapsed="false">
      <c r="C371" s="45"/>
      <c r="E371" s="46"/>
      <c r="F371" s="44"/>
      <c r="G371" s="44"/>
      <c r="I371" s="47"/>
    </row>
    <row r="372" customFormat="false" ht="15" hidden="false" customHeight="false" outlineLevel="0" collapsed="false">
      <c r="C372" s="45"/>
      <c r="E372" s="46"/>
      <c r="F372" s="44"/>
      <c r="G372" s="44"/>
      <c r="I372" s="47"/>
    </row>
    <row r="373" customFormat="false" ht="15" hidden="false" customHeight="false" outlineLevel="0" collapsed="false">
      <c r="C373" s="45"/>
      <c r="E373" s="46"/>
      <c r="F373" s="44"/>
      <c r="G373" s="44"/>
      <c r="I373" s="47"/>
    </row>
    <row r="374" customFormat="false" ht="15" hidden="false" customHeight="false" outlineLevel="0" collapsed="false">
      <c r="C374" s="45"/>
      <c r="E374" s="46"/>
      <c r="F374" s="44"/>
      <c r="G374" s="44"/>
      <c r="I374" s="47"/>
    </row>
    <row r="375" customFormat="false" ht="15" hidden="false" customHeight="false" outlineLevel="0" collapsed="false">
      <c r="C375" s="45"/>
      <c r="E375" s="46"/>
      <c r="F375" s="44"/>
      <c r="G375" s="44"/>
      <c r="I375" s="47"/>
    </row>
    <row r="376" customFormat="false" ht="15" hidden="false" customHeight="false" outlineLevel="0" collapsed="false">
      <c r="C376" s="45"/>
      <c r="E376" s="46"/>
      <c r="F376" s="44"/>
      <c r="G376" s="44"/>
      <c r="I376" s="47"/>
    </row>
    <row r="377" customFormat="false" ht="15" hidden="false" customHeight="false" outlineLevel="0" collapsed="false">
      <c r="C377" s="45"/>
      <c r="E377" s="46"/>
      <c r="F377" s="44"/>
      <c r="G377" s="44"/>
      <c r="I377" s="47"/>
    </row>
    <row r="378" customFormat="false" ht="15" hidden="false" customHeight="false" outlineLevel="0" collapsed="false">
      <c r="C378" s="45"/>
      <c r="E378" s="46"/>
      <c r="F378" s="44"/>
      <c r="G378" s="44"/>
      <c r="I378" s="47"/>
    </row>
    <row r="379" customFormat="false" ht="15" hidden="false" customHeight="false" outlineLevel="0" collapsed="false">
      <c r="C379" s="45"/>
      <c r="E379" s="46"/>
      <c r="F379" s="44"/>
      <c r="G379" s="44"/>
      <c r="I379" s="47"/>
    </row>
    <row r="380" customFormat="false" ht="15" hidden="false" customHeight="false" outlineLevel="0" collapsed="false">
      <c r="C380" s="45"/>
      <c r="E380" s="46"/>
      <c r="F380" s="44"/>
      <c r="G380" s="44"/>
      <c r="I380" s="47"/>
    </row>
    <row r="381" customFormat="false" ht="15" hidden="false" customHeight="false" outlineLevel="0" collapsed="false">
      <c r="C381" s="45"/>
      <c r="E381" s="46"/>
      <c r="F381" s="44"/>
      <c r="G381" s="44"/>
      <c r="I381" s="47"/>
    </row>
    <row r="382" customFormat="false" ht="15" hidden="false" customHeight="false" outlineLevel="0" collapsed="false">
      <c r="C382" s="45"/>
      <c r="E382" s="46"/>
      <c r="F382" s="44"/>
      <c r="G382" s="44"/>
      <c r="I382" s="47"/>
    </row>
    <row r="383" customFormat="false" ht="15" hidden="false" customHeight="false" outlineLevel="0" collapsed="false">
      <c r="C383" s="45"/>
      <c r="E383" s="46"/>
      <c r="F383" s="44"/>
      <c r="G383" s="44"/>
      <c r="I383" s="47"/>
    </row>
    <row r="384" customFormat="false" ht="15" hidden="false" customHeight="false" outlineLevel="0" collapsed="false">
      <c r="C384" s="45"/>
      <c r="E384" s="46"/>
      <c r="F384" s="44"/>
      <c r="G384" s="44"/>
      <c r="I384" s="47"/>
    </row>
    <row r="385" customFormat="false" ht="15" hidden="false" customHeight="false" outlineLevel="0" collapsed="false">
      <c r="C385" s="45"/>
      <c r="E385" s="46"/>
      <c r="F385" s="44"/>
      <c r="G385" s="44"/>
      <c r="I385" s="47"/>
    </row>
    <row r="386" customFormat="false" ht="15" hidden="false" customHeight="false" outlineLevel="0" collapsed="false">
      <c r="C386" s="45"/>
      <c r="E386" s="46"/>
      <c r="F386" s="44"/>
      <c r="G386" s="44"/>
      <c r="I386" s="47"/>
    </row>
    <row r="387" customFormat="false" ht="15" hidden="false" customHeight="false" outlineLevel="0" collapsed="false">
      <c r="C387" s="45"/>
      <c r="E387" s="46"/>
      <c r="F387" s="44"/>
      <c r="G387" s="44"/>
      <c r="I387" s="47"/>
    </row>
    <row r="388" customFormat="false" ht="15" hidden="false" customHeight="false" outlineLevel="0" collapsed="false">
      <c r="C388" s="45"/>
      <c r="E388" s="46"/>
      <c r="F388" s="44"/>
      <c r="G388" s="44"/>
      <c r="I388" s="47"/>
    </row>
    <row r="389" customFormat="false" ht="15" hidden="false" customHeight="false" outlineLevel="0" collapsed="false">
      <c r="C389" s="45"/>
      <c r="E389" s="46"/>
      <c r="F389" s="44"/>
      <c r="G389" s="44"/>
      <c r="I389" s="47"/>
    </row>
    <row r="390" customFormat="false" ht="15" hidden="false" customHeight="false" outlineLevel="0" collapsed="false">
      <c r="C390" s="45"/>
      <c r="E390" s="46"/>
      <c r="F390" s="44"/>
      <c r="G390" s="44"/>
      <c r="I390" s="47"/>
    </row>
    <row r="391" customFormat="false" ht="15" hidden="false" customHeight="false" outlineLevel="0" collapsed="false">
      <c r="C391" s="45"/>
      <c r="E391" s="46"/>
      <c r="F391" s="44"/>
      <c r="G391" s="44"/>
      <c r="I391" s="47"/>
    </row>
    <row r="392" customFormat="false" ht="15" hidden="false" customHeight="false" outlineLevel="0" collapsed="false">
      <c r="C392" s="45"/>
      <c r="E392" s="46"/>
      <c r="F392" s="44"/>
      <c r="G392" s="44"/>
      <c r="I392" s="47"/>
    </row>
    <row r="393" customFormat="false" ht="15" hidden="false" customHeight="false" outlineLevel="0" collapsed="false">
      <c r="C393" s="45"/>
      <c r="E393" s="46"/>
      <c r="F393" s="44"/>
      <c r="G393" s="44"/>
      <c r="I393" s="47"/>
    </row>
    <row r="394" customFormat="false" ht="15" hidden="false" customHeight="false" outlineLevel="0" collapsed="false">
      <c r="C394" s="45"/>
      <c r="E394" s="46"/>
      <c r="F394" s="44"/>
      <c r="G394" s="44"/>
      <c r="I394" s="47"/>
    </row>
    <row r="395" customFormat="false" ht="15" hidden="false" customHeight="false" outlineLevel="0" collapsed="false">
      <c r="C395" s="45"/>
      <c r="E395" s="46"/>
      <c r="F395" s="44"/>
      <c r="G395" s="44"/>
      <c r="I395" s="47"/>
    </row>
    <row r="396" customFormat="false" ht="15" hidden="false" customHeight="false" outlineLevel="0" collapsed="false">
      <c r="C396" s="45"/>
      <c r="E396" s="46"/>
      <c r="F396" s="44"/>
      <c r="G396" s="44"/>
      <c r="I396" s="47"/>
    </row>
    <row r="397" customFormat="false" ht="15" hidden="false" customHeight="false" outlineLevel="0" collapsed="false">
      <c r="C397" s="45"/>
      <c r="E397" s="46"/>
      <c r="F397" s="44"/>
      <c r="G397" s="44"/>
      <c r="I397" s="47"/>
    </row>
    <row r="398" customFormat="false" ht="15" hidden="false" customHeight="false" outlineLevel="0" collapsed="false">
      <c r="C398" s="45"/>
      <c r="E398" s="46"/>
      <c r="F398" s="44"/>
      <c r="G398" s="44"/>
      <c r="I398" s="47"/>
    </row>
    <row r="399" customFormat="false" ht="15" hidden="false" customHeight="false" outlineLevel="0" collapsed="false">
      <c r="C399" s="45"/>
      <c r="E399" s="46"/>
      <c r="F399" s="44"/>
      <c r="G399" s="44"/>
      <c r="I399" s="47"/>
    </row>
    <row r="400" customFormat="false" ht="15" hidden="false" customHeight="false" outlineLevel="0" collapsed="false">
      <c r="C400" s="45"/>
      <c r="E400" s="46"/>
      <c r="F400" s="44"/>
      <c r="G400" s="44"/>
      <c r="I400" s="47"/>
    </row>
    <row r="401" customFormat="false" ht="15" hidden="false" customHeight="false" outlineLevel="0" collapsed="false">
      <c r="C401" s="45"/>
      <c r="E401" s="46"/>
      <c r="F401" s="44"/>
      <c r="G401" s="44"/>
      <c r="I401" s="47"/>
    </row>
    <row r="402" customFormat="false" ht="15" hidden="false" customHeight="false" outlineLevel="0" collapsed="false">
      <c r="C402" s="45"/>
      <c r="E402" s="46"/>
      <c r="F402" s="44"/>
      <c r="G402" s="44"/>
      <c r="I402" s="47"/>
    </row>
    <row r="403" customFormat="false" ht="15" hidden="false" customHeight="false" outlineLevel="0" collapsed="false">
      <c r="C403" s="45"/>
      <c r="E403" s="46"/>
      <c r="F403" s="44"/>
      <c r="G403" s="44"/>
      <c r="I403" s="47"/>
    </row>
    <row r="404" customFormat="false" ht="15" hidden="false" customHeight="false" outlineLevel="0" collapsed="false">
      <c r="C404" s="45"/>
      <c r="E404" s="46"/>
      <c r="F404" s="44"/>
      <c r="G404" s="44"/>
      <c r="I404" s="47"/>
    </row>
    <row r="405" customFormat="false" ht="15" hidden="false" customHeight="false" outlineLevel="0" collapsed="false">
      <c r="C405" s="45"/>
      <c r="E405" s="46"/>
      <c r="F405" s="44"/>
      <c r="G405" s="44"/>
      <c r="I405" s="47"/>
    </row>
    <row r="406" customFormat="false" ht="15" hidden="false" customHeight="false" outlineLevel="0" collapsed="false">
      <c r="C406" s="45"/>
      <c r="E406" s="46"/>
      <c r="F406" s="44"/>
      <c r="G406" s="44"/>
      <c r="I406" s="47"/>
    </row>
    <row r="407" customFormat="false" ht="15" hidden="false" customHeight="false" outlineLevel="0" collapsed="false">
      <c r="C407" s="45"/>
      <c r="E407" s="46"/>
      <c r="F407" s="44"/>
      <c r="G407" s="44"/>
      <c r="I407" s="47"/>
    </row>
    <row r="408" customFormat="false" ht="15" hidden="false" customHeight="false" outlineLevel="0" collapsed="false">
      <c r="C408" s="45"/>
      <c r="E408" s="46"/>
      <c r="F408" s="44"/>
      <c r="G408" s="44"/>
      <c r="I408" s="47"/>
    </row>
    <row r="409" customFormat="false" ht="15" hidden="false" customHeight="false" outlineLevel="0" collapsed="false">
      <c r="C409" s="45"/>
      <c r="E409" s="46"/>
      <c r="F409" s="44"/>
      <c r="G409" s="44"/>
      <c r="I409" s="47"/>
    </row>
    <row r="410" customFormat="false" ht="15" hidden="false" customHeight="false" outlineLevel="0" collapsed="false">
      <c r="C410" s="45"/>
      <c r="E410" s="46"/>
      <c r="F410" s="44"/>
      <c r="G410" s="44"/>
      <c r="I410" s="47"/>
    </row>
    <row r="411" customFormat="false" ht="15" hidden="false" customHeight="false" outlineLevel="0" collapsed="false">
      <c r="C411" s="45"/>
      <c r="E411" s="46"/>
      <c r="F411" s="44"/>
      <c r="G411" s="44"/>
      <c r="I411" s="47"/>
    </row>
    <row r="412" customFormat="false" ht="15" hidden="false" customHeight="false" outlineLevel="0" collapsed="false">
      <c r="C412" s="45"/>
      <c r="E412" s="46"/>
      <c r="F412" s="44"/>
      <c r="G412" s="44"/>
      <c r="I412" s="47"/>
    </row>
    <row r="413" customFormat="false" ht="15" hidden="false" customHeight="false" outlineLevel="0" collapsed="false">
      <c r="C413" s="45"/>
      <c r="E413" s="46"/>
      <c r="F413" s="44"/>
      <c r="G413" s="44"/>
      <c r="I413" s="47"/>
    </row>
    <row r="414" customFormat="false" ht="15" hidden="false" customHeight="false" outlineLevel="0" collapsed="false">
      <c r="C414" s="45"/>
      <c r="E414" s="46"/>
      <c r="F414" s="44"/>
      <c r="G414" s="44"/>
      <c r="I414" s="47"/>
    </row>
    <row r="415" customFormat="false" ht="15" hidden="false" customHeight="false" outlineLevel="0" collapsed="false">
      <c r="C415" s="45"/>
      <c r="E415" s="46"/>
      <c r="F415" s="44"/>
      <c r="G415" s="44"/>
      <c r="I415" s="47"/>
    </row>
    <row r="416" customFormat="false" ht="15" hidden="false" customHeight="false" outlineLevel="0" collapsed="false">
      <c r="C416" s="45"/>
      <c r="E416" s="46"/>
      <c r="F416" s="44"/>
      <c r="G416" s="44"/>
      <c r="I416" s="47"/>
    </row>
    <row r="417" customFormat="false" ht="15" hidden="false" customHeight="false" outlineLevel="0" collapsed="false">
      <c r="C417" s="45"/>
      <c r="E417" s="46"/>
      <c r="F417" s="44"/>
      <c r="G417" s="44"/>
      <c r="I417" s="47"/>
    </row>
    <row r="418" customFormat="false" ht="15" hidden="false" customHeight="false" outlineLevel="0" collapsed="false">
      <c r="C418" s="45"/>
      <c r="E418" s="46"/>
      <c r="F418" s="44"/>
      <c r="G418" s="44"/>
      <c r="I418" s="47"/>
    </row>
    <row r="419" customFormat="false" ht="15" hidden="false" customHeight="false" outlineLevel="0" collapsed="false">
      <c r="C419" s="45"/>
      <c r="E419" s="46"/>
      <c r="F419" s="44"/>
      <c r="G419" s="44"/>
      <c r="I419" s="47"/>
    </row>
    <row r="420" customFormat="false" ht="15" hidden="false" customHeight="false" outlineLevel="0" collapsed="false">
      <c r="C420" s="45"/>
      <c r="E420" s="46"/>
      <c r="F420" s="44"/>
      <c r="G420" s="44"/>
      <c r="I420" s="47"/>
    </row>
    <row r="421" customFormat="false" ht="15" hidden="false" customHeight="false" outlineLevel="0" collapsed="false">
      <c r="C421" s="45"/>
      <c r="E421" s="46"/>
      <c r="F421" s="44"/>
      <c r="G421" s="44"/>
      <c r="I421" s="47"/>
    </row>
    <row r="422" customFormat="false" ht="15" hidden="false" customHeight="false" outlineLevel="0" collapsed="false">
      <c r="C422" s="45"/>
      <c r="E422" s="46"/>
      <c r="F422" s="44"/>
      <c r="G422" s="44"/>
      <c r="I422" s="47"/>
    </row>
    <row r="423" customFormat="false" ht="15" hidden="false" customHeight="false" outlineLevel="0" collapsed="false">
      <c r="C423" s="45"/>
      <c r="E423" s="46"/>
      <c r="F423" s="44"/>
      <c r="G423" s="44"/>
      <c r="I423" s="47"/>
    </row>
    <row r="424" customFormat="false" ht="15" hidden="false" customHeight="false" outlineLevel="0" collapsed="false">
      <c r="C424" s="45"/>
      <c r="E424" s="46"/>
      <c r="F424" s="44"/>
      <c r="G424" s="44"/>
      <c r="I424" s="47"/>
    </row>
    <row r="425" customFormat="false" ht="15" hidden="false" customHeight="false" outlineLevel="0" collapsed="false">
      <c r="C425" s="45"/>
      <c r="E425" s="46"/>
      <c r="F425" s="44"/>
      <c r="G425" s="44"/>
      <c r="I425" s="47"/>
    </row>
    <row r="426" customFormat="false" ht="15" hidden="false" customHeight="false" outlineLevel="0" collapsed="false">
      <c r="C426" s="45"/>
      <c r="E426" s="46"/>
      <c r="F426" s="44"/>
      <c r="G426" s="44"/>
      <c r="I426" s="47"/>
    </row>
    <row r="427" customFormat="false" ht="15" hidden="false" customHeight="false" outlineLevel="0" collapsed="false">
      <c r="C427" s="45"/>
      <c r="E427" s="46"/>
      <c r="F427" s="44"/>
      <c r="G427" s="44"/>
      <c r="I427" s="47"/>
    </row>
    <row r="428" customFormat="false" ht="15" hidden="false" customHeight="false" outlineLevel="0" collapsed="false">
      <c r="C428" s="45"/>
      <c r="E428" s="46"/>
      <c r="F428" s="44"/>
      <c r="G428" s="44"/>
      <c r="I428" s="47"/>
    </row>
    <row r="429" customFormat="false" ht="15" hidden="false" customHeight="false" outlineLevel="0" collapsed="false">
      <c r="C429" s="45"/>
      <c r="E429" s="46"/>
      <c r="F429" s="44"/>
      <c r="G429" s="44"/>
      <c r="I429" s="47"/>
    </row>
    <row r="430" customFormat="false" ht="15" hidden="false" customHeight="false" outlineLevel="0" collapsed="false">
      <c r="C430" s="45"/>
      <c r="E430" s="46"/>
      <c r="F430" s="44"/>
      <c r="G430" s="44"/>
      <c r="I430" s="47"/>
    </row>
    <row r="431" customFormat="false" ht="15" hidden="false" customHeight="false" outlineLevel="0" collapsed="false">
      <c r="C431" s="45"/>
      <c r="E431" s="46"/>
      <c r="F431" s="44"/>
      <c r="G431" s="44"/>
      <c r="I431" s="47"/>
    </row>
    <row r="432" customFormat="false" ht="15" hidden="false" customHeight="false" outlineLevel="0" collapsed="false">
      <c r="C432" s="45"/>
      <c r="E432" s="46"/>
      <c r="F432" s="44"/>
      <c r="G432" s="44"/>
      <c r="I432" s="47"/>
    </row>
    <row r="433" customFormat="false" ht="15" hidden="false" customHeight="false" outlineLevel="0" collapsed="false">
      <c r="C433" s="45"/>
      <c r="E433" s="46"/>
      <c r="F433" s="44"/>
      <c r="G433" s="44"/>
      <c r="I433" s="47"/>
    </row>
    <row r="434" customFormat="false" ht="15" hidden="false" customHeight="false" outlineLevel="0" collapsed="false">
      <c r="C434" s="45"/>
      <c r="E434" s="46"/>
      <c r="F434" s="44"/>
      <c r="G434" s="44"/>
      <c r="I434" s="47"/>
    </row>
    <row r="435" customFormat="false" ht="15" hidden="false" customHeight="false" outlineLevel="0" collapsed="false">
      <c r="C435" s="45"/>
      <c r="E435" s="46"/>
      <c r="F435" s="44"/>
      <c r="G435" s="44"/>
      <c r="I435" s="47"/>
    </row>
    <row r="436" customFormat="false" ht="15" hidden="false" customHeight="false" outlineLevel="0" collapsed="false">
      <c r="C436" s="45"/>
      <c r="E436" s="46"/>
      <c r="F436" s="44"/>
      <c r="G436" s="44"/>
      <c r="I436" s="47"/>
    </row>
    <row r="437" customFormat="false" ht="15" hidden="false" customHeight="false" outlineLevel="0" collapsed="false">
      <c r="C437" s="45"/>
      <c r="E437" s="46"/>
      <c r="F437" s="44"/>
      <c r="G437" s="44"/>
      <c r="I437" s="47"/>
    </row>
    <row r="438" customFormat="false" ht="15" hidden="false" customHeight="false" outlineLevel="0" collapsed="false">
      <c r="C438" s="45"/>
      <c r="E438" s="46"/>
      <c r="F438" s="44"/>
      <c r="G438" s="44"/>
      <c r="I438" s="47"/>
    </row>
    <row r="439" customFormat="false" ht="15" hidden="false" customHeight="false" outlineLevel="0" collapsed="false">
      <c r="C439" s="45"/>
      <c r="E439" s="46"/>
      <c r="F439" s="44"/>
      <c r="G439" s="44"/>
      <c r="I439" s="47"/>
    </row>
    <row r="440" customFormat="false" ht="15" hidden="false" customHeight="false" outlineLevel="0" collapsed="false">
      <c r="C440" s="45"/>
      <c r="E440" s="46"/>
      <c r="F440" s="44"/>
      <c r="G440" s="44"/>
      <c r="I440" s="47"/>
    </row>
    <row r="441" customFormat="false" ht="15" hidden="false" customHeight="false" outlineLevel="0" collapsed="false">
      <c r="C441" s="45"/>
      <c r="E441" s="46"/>
      <c r="F441" s="44"/>
      <c r="G441" s="44"/>
      <c r="I441" s="47"/>
    </row>
    <row r="442" customFormat="false" ht="15" hidden="false" customHeight="false" outlineLevel="0" collapsed="false">
      <c r="C442" s="45"/>
      <c r="E442" s="46"/>
      <c r="F442" s="44"/>
      <c r="G442" s="44"/>
      <c r="I442" s="47"/>
    </row>
    <row r="443" customFormat="false" ht="15" hidden="false" customHeight="false" outlineLevel="0" collapsed="false">
      <c r="C443" s="45"/>
      <c r="E443" s="46"/>
      <c r="F443" s="44"/>
      <c r="G443" s="44"/>
      <c r="I443" s="47"/>
    </row>
    <row r="444" customFormat="false" ht="15" hidden="false" customHeight="false" outlineLevel="0" collapsed="false">
      <c r="C444" s="45"/>
      <c r="E444" s="46"/>
      <c r="F444" s="44"/>
      <c r="G444" s="44"/>
      <c r="I444" s="47"/>
    </row>
    <row r="445" customFormat="false" ht="15" hidden="false" customHeight="false" outlineLevel="0" collapsed="false">
      <c r="C445" s="45"/>
      <c r="E445" s="46"/>
      <c r="F445" s="44"/>
      <c r="G445" s="44"/>
      <c r="I445" s="47"/>
    </row>
    <row r="446" customFormat="false" ht="15" hidden="false" customHeight="false" outlineLevel="0" collapsed="false">
      <c r="C446" s="45"/>
      <c r="E446" s="46"/>
      <c r="F446" s="44"/>
      <c r="G446" s="44"/>
      <c r="I446" s="47"/>
    </row>
    <row r="447" customFormat="false" ht="15" hidden="false" customHeight="false" outlineLevel="0" collapsed="false">
      <c r="C447" s="45"/>
      <c r="E447" s="46"/>
      <c r="F447" s="44"/>
      <c r="G447" s="44"/>
      <c r="I447" s="47"/>
    </row>
    <row r="448" customFormat="false" ht="15" hidden="false" customHeight="false" outlineLevel="0" collapsed="false">
      <c r="C448" s="45"/>
      <c r="E448" s="46"/>
      <c r="F448" s="44"/>
      <c r="G448" s="44"/>
      <c r="I448" s="47"/>
    </row>
    <row r="449" customFormat="false" ht="15" hidden="false" customHeight="false" outlineLevel="0" collapsed="false">
      <c r="C449" s="45"/>
      <c r="E449" s="46"/>
      <c r="F449" s="44"/>
      <c r="G449" s="44"/>
      <c r="I449" s="47"/>
    </row>
    <row r="450" customFormat="false" ht="15" hidden="false" customHeight="false" outlineLevel="0" collapsed="false">
      <c r="C450" s="45"/>
      <c r="E450" s="46"/>
      <c r="F450" s="44"/>
      <c r="G450" s="44"/>
      <c r="I450" s="47"/>
    </row>
    <row r="451" customFormat="false" ht="15" hidden="false" customHeight="false" outlineLevel="0" collapsed="false">
      <c r="C451" s="45"/>
      <c r="E451" s="46"/>
      <c r="F451" s="44"/>
      <c r="G451" s="44"/>
      <c r="I451" s="47"/>
    </row>
    <row r="452" customFormat="false" ht="15" hidden="false" customHeight="false" outlineLevel="0" collapsed="false">
      <c r="C452" s="45"/>
      <c r="E452" s="46"/>
      <c r="F452" s="44"/>
      <c r="G452" s="44"/>
      <c r="I452" s="47"/>
    </row>
    <row r="453" customFormat="false" ht="15" hidden="false" customHeight="false" outlineLevel="0" collapsed="false">
      <c r="C453" s="45"/>
      <c r="E453" s="46"/>
      <c r="F453" s="44"/>
      <c r="G453" s="44"/>
      <c r="I453" s="47"/>
    </row>
    <row r="454" customFormat="false" ht="15" hidden="false" customHeight="false" outlineLevel="0" collapsed="false">
      <c r="C454" s="45"/>
      <c r="E454" s="46"/>
      <c r="F454" s="44"/>
      <c r="G454" s="44"/>
      <c r="I454" s="47"/>
    </row>
    <row r="455" customFormat="false" ht="15" hidden="false" customHeight="false" outlineLevel="0" collapsed="false">
      <c r="C455" s="45"/>
      <c r="E455" s="46"/>
      <c r="F455" s="44"/>
      <c r="G455" s="44"/>
      <c r="I455" s="47"/>
    </row>
    <row r="456" customFormat="false" ht="15" hidden="false" customHeight="false" outlineLevel="0" collapsed="false">
      <c r="C456" s="45"/>
      <c r="E456" s="46"/>
      <c r="F456" s="44"/>
      <c r="G456" s="44"/>
      <c r="I456" s="47"/>
    </row>
    <row r="457" customFormat="false" ht="15" hidden="false" customHeight="false" outlineLevel="0" collapsed="false">
      <c r="C457" s="45"/>
      <c r="E457" s="46"/>
      <c r="F457" s="44"/>
      <c r="G457" s="44"/>
      <c r="I457" s="47"/>
    </row>
    <row r="458" customFormat="false" ht="15" hidden="false" customHeight="false" outlineLevel="0" collapsed="false">
      <c r="C458" s="45"/>
      <c r="E458" s="46"/>
      <c r="F458" s="44"/>
      <c r="G458" s="44"/>
      <c r="I458" s="47"/>
    </row>
    <row r="459" customFormat="false" ht="15" hidden="false" customHeight="false" outlineLevel="0" collapsed="false">
      <c r="C459" s="45"/>
      <c r="E459" s="46"/>
      <c r="F459" s="44"/>
      <c r="G459" s="44"/>
      <c r="I459" s="47"/>
    </row>
    <row r="460" customFormat="false" ht="15" hidden="false" customHeight="false" outlineLevel="0" collapsed="false">
      <c r="C460" s="45"/>
      <c r="E460" s="46"/>
      <c r="F460" s="44"/>
      <c r="G460" s="44"/>
      <c r="I460" s="47"/>
    </row>
    <row r="461" customFormat="false" ht="15" hidden="false" customHeight="false" outlineLevel="0" collapsed="false">
      <c r="C461" s="45"/>
      <c r="E461" s="46"/>
      <c r="F461" s="44"/>
      <c r="G461" s="44"/>
      <c r="I461" s="47"/>
    </row>
    <row r="462" customFormat="false" ht="15" hidden="false" customHeight="false" outlineLevel="0" collapsed="false">
      <c r="C462" s="45"/>
      <c r="E462" s="46"/>
      <c r="F462" s="44"/>
      <c r="G462" s="44"/>
      <c r="I462" s="47"/>
    </row>
    <row r="463" customFormat="false" ht="15" hidden="false" customHeight="false" outlineLevel="0" collapsed="false">
      <c r="C463" s="45"/>
      <c r="E463" s="46"/>
      <c r="F463" s="44"/>
      <c r="G463" s="44"/>
      <c r="I463" s="47"/>
    </row>
    <row r="464" customFormat="false" ht="15" hidden="false" customHeight="false" outlineLevel="0" collapsed="false">
      <c r="C464" s="45"/>
      <c r="E464" s="46"/>
      <c r="F464" s="44"/>
      <c r="G464" s="44"/>
      <c r="I464" s="47"/>
    </row>
    <row r="465" customFormat="false" ht="15" hidden="false" customHeight="false" outlineLevel="0" collapsed="false">
      <c r="C465" s="45"/>
      <c r="E465" s="46"/>
      <c r="F465" s="44"/>
      <c r="G465" s="44"/>
      <c r="I465" s="47"/>
    </row>
    <row r="466" customFormat="false" ht="15" hidden="false" customHeight="false" outlineLevel="0" collapsed="false">
      <c r="C466" s="45"/>
      <c r="E466" s="46"/>
      <c r="F466" s="44"/>
      <c r="G466" s="44"/>
      <c r="I466" s="47"/>
    </row>
    <row r="467" customFormat="false" ht="15" hidden="false" customHeight="false" outlineLevel="0" collapsed="false">
      <c r="C467" s="45"/>
      <c r="E467" s="46"/>
      <c r="F467" s="44"/>
      <c r="G467" s="44"/>
      <c r="I467" s="47"/>
    </row>
    <row r="468" customFormat="false" ht="15" hidden="false" customHeight="false" outlineLevel="0" collapsed="false">
      <c r="C468" s="45"/>
      <c r="E468" s="46"/>
      <c r="F468" s="44"/>
      <c r="G468" s="44"/>
      <c r="I468" s="47"/>
    </row>
    <row r="469" customFormat="false" ht="15" hidden="false" customHeight="false" outlineLevel="0" collapsed="false">
      <c r="C469" s="45"/>
      <c r="E469" s="46"/>
      <c r="F469" s="44"/>
      <c r="G469" s="44"/>
      <c r="I469" s="47"/>
    </row>
    <row r="470" customFormat="false" ht="15" hidden="false" customHeight="false" outlineLevel="0" collapsed="false">
      <c r="C470" s="45"/>
      <c r="E470" s="46"/>
      <c r="F470" s="44"/>
      <c r="G470" s="44"/>
      <c r="I470" s="47"/>
    </row>
    <row r="471" customFormat="false" ht="15" hidden="false" customHeight="false" outlineLevel="0" collapsed="false">
      <c r="C471" s="45"/>
      <c r="E471" s="46"/>
      <c r="F471" s="44"/>
      <c r="G471" s="44"/>
      <c r="I471" s="47"/>
    </row>
    <row r="472" customFormat="false" ht="15" hidden="false" customHeight="false" outlineLevel="0" collapsed="false">
      <c r="C472" s="45"/>
      <c r="E472" s="46"/>
      <c r="F472" s="44"/>
      <c r="G472" s="44"/>
      <c r="I472" s="47"/>
    </row>
    <row r="473" customFormat="false" ht="15" hidden="false" customHeight="false" outlineLevel="0" collapsed="false">
      <c r="C473" s="45"/>
      <c r="E473" s="46"/>
      <c r="F473" s="44"/>
      <c r="G473" s="44"/>
      <c r="I473" s="47"/>
    </row>
    <row r="474" customFormat="false" ht="15" hidden="false" customHeight="false" outlineLevel="0" collapsed="false">
      <c r="C474" s="45"/>
      <c r="E474" s="46"/>
      <c r="F474" s="44"/>
      <c r="G474" s="44"/>
      <c r="I474" s="47"/>
    </row>
    <row r="475" customFormat="false" ht="15" hidden="false" customHeight="false" outlineLevel="0" collapsed="false">
      <c r="C475" s="45"/>
      <c r="E475" s="46"/>
      <c r="F475" s="44"/>
      <c r="G475" s="44"/>
      <c r="I475" s="47"/>
    </row>
    <row r="476" customFormat="false" ht="15" hidden="false" customHeight="false" outlineLevel="0" collapsed="false">
      <c r="C476" s="45"/>
      <c r="E476" s="46"/>
      <c r="F476" s="44"/>
      <c r="G476" s="44"/>
      <c r="I476" s="47"/>
    </row>
    <row r="477" customFormat="false" ht="15" hidden="false" customHeight="false" outlineLevel="0" collapsed="false">
      <c r="C477" s="45"/>
      <c r="E477" s="46"/>
      <c r="F477" s="44"/>
      <c r="G477" s="44"/>
      <c r="I477" s="47"/>
    </row>
    <row r="478" customFormat="false" ht="15" hidden="false" customHeight="false" outlineLevel="0" collapsed="false">
      <c r="C478" s="45"/>
      <c r="E478" s="46"/>
      <c r="F478" s="44"/>
      <c r="G478" s="44"/>
      <c r="I478" s="47"/>
    </row>
    <row r="479" customFormat="false" ht="15" hidden="false" customHeight="false" outlineLevel="0" collapsed="false">
      <c r="C479" s="45"/>
      <c r="E479" s="46"/>
      <c r="F479" s="44"/>
      <c r="G479" s="44"/>
      <c r="I479" s="47"/>
    </row>
    <row r="480" customFormat="false" ht="15" hidden="false" customHeight="false" outlineLevel="0" collapsed="false">
      <c r="C480" s="45"/>
      <c r="E480" s="46"/>
      <c r="F480" s="44"/>
      <c r="G480" s="44"/>
      <c r="I480" s="47"/>
    </row>
    <row r="481" customFormat="false" ht="15" hidden="false" customHeight="false" outlineLevel="0" collapsed="false">
      <c r="C481" s="45"/>
      <c r="E481" s="46"/>
      <c r="F481" s="44"/>
      <c r="G481" s="44"/>
      <c r="I481" s="47"/>
    </row>
    <row r="482" customFormat="false" ht="15" hidden="false" customHeight="false" outlineLevel="0" collapsed="false">
      <c r="C482" s="45"/>
      <c r="E482" s="46"/>
      <c r="F482" s="44"/>
      <c r="G482" s="44"/>
      <c r="I482" s="47"/>
    </row>
    <row r="483" customFormat="false" ht="15" hidden="false" customHeight="false" outlineLevel="0" collapsed="false">
      <c r="C483" s="45"/>
      <c r="E483" s="46"/>
      <c r="F483" s="44"/>
      <c r="G483" s="44"/>
      <c r="I483" s="47"/>
    </row>
    <row r="484" customFormat="false" ht="15" hidden="false" customHeight="false" outlineLevel="0" collapsed="false">
      <c r="C484" s="45"/>
      <c r="E484" s="46"/>
      <c r="F484" s="44"/>
      <c r="G484" s="44"/>
      <c r="I484" s="47"/>
    </row>
    <row r="485" customFormat="false" ht="15" hidden="false" customHeight="false" outlineLevel="0" collapsed="false">
      <c r="C485" s="45"/>
      <c r="E485" s="46"/>
      <c r="F485" s="44"/>
      <c r="G485" s="44"/>
      <c r="I485" s="47"/>
    </row>
    <row r="486" customFormat="false" ht="15" hidden="false" customHeight="false" outlineLevel="0" collapsed="false">
      <c r="C486" s="45"/>
      <c r="E486" s="46"/>
      <c r="F486" s="44"/>
      <c r="G486" s="44"/>
      <c r="I486" s="47"/>
    </row>
    <row r="487" customFormat="false" ht="15" hidden="false" customHeight="false" outlineLevel="0" collapsed="false">
      <c r="C487" s="45"/>
      <c r="E487" s="46"/>
      <c r="F487" s="44"/>
      <c r="G487" s="44"/>
      <c r="I487" s="47"/>
    </row>
    <row r="488" customFormat="false" ht="15" hidden="false" customHeight="false" outlineLevel="0" collapsed="false">
      <c r="C488" s="45"/>
      <c r="E488" s="46"/>
      <c r="F488" s="44"/>
      <c r="G488" s="44"/>
      <c r="I488" s="47"/>
    </row>
    <row r="489" customFormat="false" ht="15" hidden="false" customHeight="false" outlineLevel="0" collapsed="false">
      <c r="C489" s="45"/>
      <c r="E489" s="46"/>
      <c r="F489" s="44"/>
      <c r="G489" s="44"/>
      <c r="I489" s="47"/>
    </row>
    <row r="490" customFormat="false" ht="15" hidden="false" customHeight="false" outlineLevel="0" collapsed="false">
      <c r="C490" s="45"/>
      <c r="E490" s="46"/>
      <c r="F490" s="44"/>
      <c r="G490" s="44"/>
      <c r="I490" s="47"/>
    </row>
    <row r="491" customFormat="false" ht="15" hidden="false" customHeight="false" outlineLevel="0" collapsed="false">
      <c r="C491" s="45"/>
      <c r="E491" s="46"/>
      <c r="F491" s="44"/>
      <c r="G491" s="44"/>
      <c r="I491" s="47"/>
    </row>
    <row r="492" customFormat="false" ht="15" hidden="false" customHeight="false" outlineLevel="0" collapsed="false">
      <c r="C492" s="45"/>
      <c r="E492" s="46"/>
      <c r="F492" s="44"/>
      <c r="G492" s="44"/>
      <c r="I492" s="47"/>
    </row>
    <row r="493" customFormat="false" ht="15" hidden="false" customHeight="false" outlineLevel="0" collapsed="false">
      <c r="C493" s="45"/>
      <c r="E493" s="46"/>
      <c r="F493" s="44"/>
      <c r="G493" s="44"/>
      <c r="I493" s="47"/>
    </row>
    <row r="494" customFormat="false" ht="15" hidden="false" customHeight="false" outlineLevel="0" collapsed="false">
      <c r="C494" s="45"/>
      <c r="E494" s="46"/>
      <c r="F494" s="44"/>
      <c r="G494" s="44"/>
      <c r="I494" s="47"/>
    </row>
    <row r="495" customFormat="false" ht="15" hidden="false" customHeight="false" outlineLevel="0" collapsed="false">
      <c r="C495" s="45"/>
      <c r="E495" s="46"/>
      <c r="F495" s="44"/>
      <c r="G495" s="44"/>
      <c r="I495" s="47"/>
    </row>
    <row r="496" customFormat="false" ht="15" hidden="false" customHeight="false" outlineLevel="0" collapsed="false">
      <c r="C496" s="45"/>
      <c r="E496" s="46"/>
      <c r="F496" s="44"/>
      <c r="G496" s="44"/>
      <c r="I496" s="47"/>
    </row>
    <row r="497" customFormat="false" ht="15" hidden="false" customHeight="false" outlineLevel="0" collapsed="false">
      <c r="C497" s="45"/>
      <c r="E497" s="46"/>
      <c r="F497" s="44"/>
      <c r="G497" s="44"/>
      <c r="I497" s="47"/>
    </row>
    <row r="498" customFormat="false" ht="15" hidden="false" customHeight="false" outlineLevel="0" collapsed="false">
      <c r="C498" s="45"/>
      <c r="E498" s="46"/>
      <c r="F498" s="44"/>
      <c r="G498" s="44"/>
      <c r="I498" s="47"/>
    </row>
    <row r="499" customFormat="false" ht="15" hidden="false" customHeight="false" outlineLevel="0" collapsed="false">
      <c r="C499" s="45"/>
      <c r="E499" s="46"/>
      <c r="F499" s="44"/>
      <c r="G499" s="44"/>
      <c r="I499" s="47"/>
    </row>
    <row r="500" customFormat="false" ht="15" hidden="false" customHeight="false" outlineLevel="0" collapsed="false">
      <c r="C500" s="45"/>
      <c r="E500" s="46"/>
      <c r="F500" s="44"/>
      <c r="G500" s="44"/>
      <c r="I500" s="47"/>
    </row>
    <row r="501" customFormat="false" ht="15" hidden="false" customHeight="false" outlineLevel="0" collapsed="false">
      <c r="C501" s="45"/>
      <c r="E501" s="46"/>
      <c r="F501" s="44"/>
      <c r="G501" s="44"/>
      <c r="I501" s="47"/>
    </row>
    <row r="502" customFormat="false" ht="15" hidden="false" customHeight="false" outlineLevel="0" collapsed="false">
      <c r="C502" s="45"/>
      <c r="E502" s="46"/>
      <c r="F502" s="44"/>
      <c r="G502" s="44"/>
      <c r="I502" s="47"/>
    </row>
    <row r="503" customFormat="false" ht="15" hidden="false" customHeight="false" outlineLevel="0" collapsed="false">
      <c r="C503" s="45"/>
      <c r="E503" s="46"/>
      <c r="F503" s="44"/>
      <c r="G503" s="44"/>
      <c r="I503" s="47"/>
    </row>
    <row r="504" customFormat="false" ht="15" hidden="false" customHeight="false" outlineLevel="0" collapsed="false">
      <c r="C504" s="45"/>
      <c r="E504" s="46"/>
      <c r="F504" s="44"/>
      <c r="G504" s="44"/>
      <c r="I504" s="47"/>
    </row>
    <row r="505" customFormat="false" ht="15" hidden="false" customHeight="false" outlineLevel="0" collapsed="false">
      <c r="C505" s="45"/>
      <c r="E505" s="46"/>
      <c r="F505" s="44"/>
      <c r="G505" s="44"/>
      <c r="I505" s="47"/>
    </row>
    <row r="506" customFormat="false" ht="15" hidden="false" customHeight="false" outlineLevel="0" collapsed="false">
      <c r="C506" s="45"/>
      <c r="E506" s="46"/>
      <c r="F506" s="44"/>
      <c r="G506" s="44"/>
      <c r="I506" s="47"/>
    </row>
    <row r="507" customFormat="false" ht="15" hidden="false" customHeight="false" outlineLevel="0" collapsed="false">
      <c r="C507" s="45"/>
      <c r="E507" s="46"/>
      <c r="F507" s="44"/>
      <c r="G507" s="44"/>
      <c r="I507" s="47"/>
    </row>
    <row r="508" customFormat="false" ht="15" hidden="false" customHeight="false" outlineLevel="0" collapsed="false">
      <c r="C508" s="45"/>
      <c r="E508" s="46"/>
      <c r="F508" s="44"/>
      <c r="G508" s="44"/>
      <c r="I508" s="47"/>
    </row>
    <row r="509" customFormat="false" ht="15" hidden="false" customHeight="false" outlineLevel="0" collapsed="false">
      <c r="C509" s="45"/>
      <c r="E509" s="46"/>
      <c r="F509" s="44"/>
      <c r="G509" s="44"/>
      <c r="I509" s="47"/>
    </row>
    <row r="510" customFormat="false" ht="15" hidden="false" customHeight="false" outlineLevel="0" collapsed="false">
      <c r="C510" s="45"/>
      <c r="E510" s="46"/>
      <c r="F510" s="44"/>
      <c r="G510" s="44"/>
      <c r="I510" s="47"/>
    </row>
    <row r="511" customFormat="false" ht="15" hidden="false" customHeight="false" outlineLevel="0" collapsed="false">
      <c r="C511" s="45"/>
      <c r="E511" s="46"/>
      <c r="F511" s="44"/>
      <c r="G511" s="44"/>
      <c r="I511" s="47"/>
    </row>
    <row r="512" customFormat="false" ht="15" hidden="false" customHeight="false" outlineLevel="0" collapsed="false">
      <c r="C512" s="45"/>
      <c r="E512" s="46"/>
      <c r="F512" s="44"/>
      <c r="G512" s="44"/>
      <c r="I512" s="47"/>
    </row>
    <row r="513" customFormat="false" ht="15" hidden="false" customHeight="false" outlineLevel="0" collapsed="false">
      <c r="C513" s="45"/>
      <c r="E513" s="46"/>
      <c r="F513" s="44"/>
      <c r="G513" s="44"/>
      <c r="I513" s="47"/>
    </row>
    <row r="514" customFormat="false" ht="15" hidden="false" customHeight="false" outlineLevel="0" collapsed="false">
      <c r="C514" s="45"/>
      <c r="E514" s="46"/>
      <c r="F514" s="44"/>
      <c r="G514" s="44"/>
      <c r="I514" s="47"/>
    </row>
    <row r="515" customFormat="false" ht="15" hidden="false" customHeight="false" outlineLevel="0" collapsed="false">
      <c r="C515" s="45"/>
      <c r="E515" s="46"/>
      <c r="F515" s="44"/>
      <c r="G515" s="44"/>
      <c r="I515" s="47"/>
    </row>
    <row r="516" customFormat="false" ht="15" hidden="false" customHeight="false" outlineLevel="0" collapsed="false">
      <c r="C516" s="45"/>
      <c r="E516" s="46"/>
      <c r="F516" s="44"/>
      <c r="G516" s="44"/>
      <c r="I516" s="47"/>
    </row>
    <row r="517" customFormat="false" ht="15" hidden="false" customHeight="false" outlineLevel="0" collapsed="false">
      <c r="C517" s="45"/>
      <c r="E517" s="46"/>
      <c r="F517" s="44"/>
      <c r="G517" s="44"/>
      <c r="I517" s="47"/>
    </row>
    <row r="518" customFormat="false" ht="15" hidden="false" customHeight="false" outlineLevel="0" collapsed="false">
      <c r="C518" s="45"/>
      <c r="E518" s="46"/>
      <c r="F518" s="44"/>
      <c r="G518" s="44"/>
      <c r="I518" s="47"/>
    </row>
    <row r="519" customFormat="false" ht="15" hidden="false" customHeight="false" outlineLevel="0" collapsed="false">
      <c r="C519" s="45"/>
      <c r="E519" s="46"/>
      <c r="F519" s="44"/>
      <c r="G519" s="44"/>
      <c r="I519" s="47"/>
    </row>
    <row r="520" customFormat="false" ht="15" hidden="false" customHeight="false" outlineLevel="0" collapsed="false">
      <c r="C520" s="45"/>
      <c r="E520" s="46"/>
      <c r="F520" s="44"/>
      <c r="G520" s="44"/>
      <c r="I520" s="47"/>
    </row>
    <row r="521" customFormat="false" ht="15" hidden="false" customHeight="false" outlineLevel="0" collapsed="false">
      <c r="C521" s="45"/>
      <c r="E521" s="46"/>
      <c r="F521" s="44"/>
      <c r="G521" s="44"/>
      <c r="I521" s="47"/>
    </row>
    <row r="522" customFormat="false" ht="15" hidden="false" customHeight="false" outlineLevel="0" collapsed="false">
      <c r="C522" s="45"/>
      <c r="E522" s="46"/>
      <c r="F522" s="44"/>
      <c r="G522" s="44"/>
      <c r="I522" s="47"/>
    </row>
    <row r="523" customFormat="false" ht="15" hidden="false" customHeight="false" outlineLevel="0" collapsed="false">
      <c r="C523" s="45"/>
      <c r="E523" s="46"/>
      <c r="F523" s="44"/>
      <c r="G523" s="44"/>
      <c r="I523" s="47"/>
    </row>
    <row r="524" customFormat="false" ht="15" hidden="false" customHeight="false" outlineLevel="0" collapsed="false">
      <c r="C524" s="45"/>
      <c r="E524" s="46"/>
      <c r="F524" s="44"/>
      <c r="G524" s="44"/>
      <c r="I524" s="47"/>
    </row>
    <row r="525" customFormat="false" ht="15" hidden="false" customHeight="false" outlineLevel="0" collapsed="false">
      <c r="C525" s="45"/>
      <c r="E525" s="46"/>
      <c r="F525" s="44"/>
      <c r="G525" s="44"/>
      <c r="I525" s="47"/>
    </row>
    <row r="526" customFormat="false" ht="15" hidden="false" customHeight="false" outlineLevel="0" collapsed="false">
      <c r="C526" s="45"/>
      <c r="E526" s="46"/>
      <c r="F526" s="44"/>
      <c r="G526" s="44"/>
      <c r="I526" s="47"/>
    </row>
    <row r="527" customFormat="false" ht="15" hidden="false" customHeight="false" outlineLevel="0" collapsed="false">
      <c r="C527" s="45"/>
      <c r="E527" s="46"/>
      <c r="F527" s="44"/>
      <c r="G527" s="44"/>
      <c r="I527" s="47"/>
    </row>
    <row r="528" customFormat="false" ht="15" hidden="false" customHeight="false" outlineLevel="0" collapsed="false">
      <c r="C528" s="45"/>
      <c r="E528" s="46"/>
      <c r="F528" s="44"/>
      <c r="G528" s="44"/>
      <c r="I528" s="47"/>
    </row>
    <row r="529" customFormat="false" ht="15" hidden="false" customHeight="false" outlineLevel="0" collapsed="false">
      <c r="C529" s="45"/>
      <c r="E529" s="46"/>
      <c r="F529" s="44"/>
      <c r="G529" s="44"/>
      <c r="I529" s="47"/>
    </row>
    <row r="530" customFormat="false" ht="15" hidden="false" customHeight="false" outlineLevel="0" collapsed="false">
      <c r="C530" s="45"/>
      <c r="E530" s="46"/>
      <c r="F530" s="44"/>
      <c r="G530" s="44"/>
      <c r="I530" s="47"/>
    </row>
    <row r="531" customFormat="false" ht="15" hidden="false" customHeight="false" outlineLevel="0" collapsed="false">
      <c r="C531" s="45"/>
      <c r="E531" s="46"/>
      <c r="F531" s="44"/>
      <c r="G531" s="44"/>
      <c r="I531" s="47"/>
    </row>
    <row r="532" customFormat="false" ht="15" hidden="false" customHeight="false" outlineLevel="0" collapsed="false">
      <c r="C532" s="45"/>
      <c r="E532" s="46"/>
      <c r="F532" s="44"/>
      <c r="G532" s="44"/>
      <c r="I532" s="47"/>
    </row>
    <row r="533" customFormat="false" ht="15" hidden="false" customHeight="false" outlineLevel="0" collapsed="false">
      <c r="C533" s="45"/>
      <c r="E533" s="46"/>
      <c r="F533" s="44"/>
      <c r="G533" s="44"/>
      <c r="I533" s="47"/>
    </row>
    <row r="534" customFormat="false" ht="15" hidden="false" customHeight="false" outlineLevel="0" collapsed="false">
      <c r="C534" s="45"/>
      <c r="E534" s="46"/>
      <c r="F534" s="44"/>
      <c r="G534" s="44"/>
      <c r="I534" s="47"/>
    </row>
    <row r="535" customFormat="false" ht="15" hidden="false" customHeight="false" outlineLevel="0" collapsed="false">
      <c r="C535" s="45"/>
      <c r="E535" s="46"/>
      <c r="F535" s="44"/>
      <c r="G535" s="44"/>
      <c r="I535" s="47"/>
    </row>
    <row r="536" customFormat="false" ht="15" hidden="false" customHeight="false" outlineLevel="0" collapsed="false">
      <c r="C536" s="45"/>
      <c r="E536" s="46"/>
      <c r="F536" s="44"/>
      <c r="G536" s="44"/>
      <c r="I536" s="47"/>
    </row>
    <row r="537" customFormat="false" ht="15" hidden="false" customHeight="false" outlineLevel="0" collapsed="false">
      <c r="C537" s="45"/>
      <c r="E537" s="46"/>
      <c r="F537" s="44"/>
      <c r="G537" s="44"/>
      <c r="I537" s="47"/>
    </row>
    <row r="538" customFormat="false" ht="15" hidden="false" customHeight="false" outlineLevel="0" collapsed="false">
      <c r="C538" s="45"/>
      <c r="E538" s="46"/>
      <c r="F538" s="44"/>
      <c r="G538" s="44"/>
      <c r="I538" s="47"/>
    </row>
    <row r="539" customFormat="false" ht="15" hidden="false" customHeight="false" outlineLevel="0" collapsed="false">
      <c r="C539" s="45"/>
      <c r="E539" s="46"/>
      <c r="F539" s="44"/>
      <c r="G539" s="44"/>
      <c r="I539" s="47"/>
    </row>
    <row r="540" customFormat="false" ht="15" hidden="false" customHeight="false" outlineLevel="0" collapsed="false">
      <c r="C540" s="45"/>
      <c r="E540" s="46"/>
      <c r="F540" s="44"/>
      <c r="G540" s="44"/>
      <c r="I540" s="47"/>
    </row>
    <row r="541" customFormat="false" ht="15" hidden="false" customHeight="false" outlineLevel="0" collapsed="false">
      <c r="C541" s="45"/>
      <c r="E541" s="46"/>
      <c r="F541" s="44"/>
      <c r="G541" s="44"/>
      <c r="I541" s="47"/>
    </row>
    <row r="542" customFormat="false" ht="15" hidden="false" customHeight="false" outlineLevel="0" collapsed="false">
      <c r="C542" s="45"/>
      <c r="E542" s="46"/>
      <c r="F542" s="44"/>
      <c r="G542" s="44"/>
      <c r="I542" s="47"/>
    </row>
    <row r="543" customFormat="false" ht="15" hidden="false" customHeight="false" outlineLevel="0" collapsed="false">
      <c r="C543" s="45"/>
      <c r="E543" s="46"/>
      <c r="F543" s="44"/>
      <c r="G543" s="44"/>
      <c r="I543" s="47"/>
    </row>
    <row r="544" customFormat="false" ht="15" hidden="false" customHeight="false" outlineLevel="0" collapsed="false">
      <c r="C544" s="45"/>
      <c r="E544" s="46"/>
      <c r="F544" s="44"/>
      <c r="G544" s="44"/>
      <c r="I544" s="47"/>
    </row>
    <row r="545" customFormat="false" ht="15" hidden="false" customHeight="false" outlineLevel="0" collapsed="false">
      <c r="C545" s="45"/>
      <c r="E545" s="46"/>
      <c r="F545" s="44"/>
      <c r="G545" s="44"/>
      <c r="I545" s="47"/>
    </row>
    <row r="546" customFormat="false" ht="15" hidden="false" customHeight="false" outlineLevel="0" collapsed="false">
      <c r="C546" s="45"/>
      <c r="E546" s="46"/>
      <c r="F546" s="44"/>
      <c r="G546" s="44"/>
      <c r="I546" s="47"/>
    </row>
    <row r="547" customFormat="false" ht="15" hidden="false" customHeight="false" outlineLevel="0" collapsed="false">
      <c r="C547" s="45"/>
      <c r="E547" s="46"/>
      <c r="F547" s="44"/>
      <c r="G547" s="44"/>
      <c r="I547" s="47"/>
    </row>
    <row r="548" customFormat="false" ht="15" hidden="false" customHeight="false" outlineLevel="0" collapsed="false">
      <c r="C548" s="45"/>
      <c r="E548" s="46"/>
      <c r="F548" s="44"/>
      <c r="G548" s="44"/>
      <c r="I548" s="47"/>
    </row>
    <row r="549" customFormat="false" ht="15" hidden="false" customHeight="false" outlineLevel="0" collapsed="false">
      <c r="C549" s="45"/>
      <c r="E549" s="46"/>
      <c r="F549" s="44"/>
      <c r="G549" s="44"/>
      <c r="I549" s="47"/>
    </row>
    <row r="550" customFormat="false" ht="15" hidden="false" customHeight="false" outlineLevel="0" collapsed="false">
      <c r="C550" s="45"/>
      <c r="E550" s="46"/>
      <c r="F550" s="44"/>
      <c r="G550" s="44"/>
      <c r="I550" s="47"/>
    </row>
    <row r="551" customFormat="false" ht="15" hidden="false" customHeight="false" outlineLevel="0" collapsed="false">
      <c r="C551" s="45"/>
      <c r="E551" s="46"/>
      <c r="F551" s="44"/>
      <c r="G551" s="44"/>
      <c r="I551" s="47"/>
    </row>
    <row r="552" customFormat="false" ht="15" hidden="false" customHeight="false" outlineLevel="0" collapsed="false">
      <c r="C552" s="45"/>
      <c r="E552" s="46"/>
      <c r="F552" s="44"/>
      <c r="G552" s="44"/>
      <c r="I552" s="47"/>
    </row>
    <row r="553" customFormat="false" ht="15" hidden="false" customHeight="false" outlineLevel="0" collapsed="false">
      <c r="C553" s="45"/>
      <c r="E553" s="46"/>
      <c r="F553" s="44"/>
      <c r="G553" s="44"/>
      <c r="I553" s="47"/>
    </row>
    <row r="554" customFormat="false" ht="15" hidden="false" customHeight="false" outlineLevel="0" collapsed="false">
      <c r="C554" s="45"/>
      <c r="E554" s="46"/>
      <c r="F554" s="44"/>
      <c r="G554" s="44"/>
      <c r="I554" s="47"/>
    </row>
    <row r="555" customFormat="false" ht="15" hidden="false" customHeight="false" outlineLevel="0" collapsed="false">
      <c r="C555" s="45"/>
      <c r="E555" s="46"/>
      <c r="F555" s="44"/>
      <c r="G555" s="44"/>
      <c r="I555" s="47"/>
    </row>
    <row r="556" customFormat="false" ht="15" hidden="false" customHeight="false" outlineLevel="0" collapsed="false">
      <c r="C556" s="45"/>
      <c r="E556" s="46"/>
      <c r="F556" s="44"/>
      <c r="G556" s="44"/>
      <c r="I556" s="47"/>
    </row>
    <row r="557" customFormat="false" ht="15" hidden="false" customHeight="false" outlineLevel="0" collapsed="false">
      <c r="C557" s="45"/>
      <c r="E557" s="46"/>
      <c r="F557" s="44"/>
      <c r="G557" s="44"/>
      <c r="I557" s="47"/>
    </row>
    <row r="558" customFormat="false" ht="15" hidden="false" customHeight="false" outlineLevel="0" collapsed="false">
      <c r="C558" s="45"/>
      <c r="E558" s="46"/>
      <c r="F558" s="44"/>
      <c r="G558" s="44"/>
      <c r="I558" s="47"/>
    </row>
    <row r="559" customFormat="false" ht="15" hidden="false" customHeight="false" outlineLevel="0" collapsed="false">
      <c r="C559" s="45"/>
      <c r="E559" s="46"/>
      <c r="F559" s="44"/>
      <c r="G559" s="44"/>
      <c r="I559" s="47"/>
    </row>
    <row r="560" customFormat="false" ht="15" hidden="false" customHeight="false" outlineLevel="0" collapsed="false">
      <c r="C560" s="45"/>
      <c r="E560" s="46"/>
      <c r="F560" s="44"/>
      <c r="G560" s="44"/>
      <c r="I560" s="47"/>
    </row>
    <row r="561" customFormat="false" ht="15" hidden="false" customHeight="false" outlineLevel="0" collapsed="false">
      <c r="C561" s="45"/>
      <c r="E561" s="46"/>
      <c r="F561" s="44"/>
      <c r="G561" s="44"/>
      <c r="I561" s="47"/>
    </row>
    <row r="562" customFormat="false" ht="15" hidden="false" customHeight="false" outlineLevel="0" collapsed="false">
      <c r="C562" s="45"/>
      <c r="E562" s="46"/>
      <c r="F562" s="44"/>
      <c r="G562" s="44"/>
      <c r="I562" s="47"/>
    </row>
    <row r="563" customFormat="false" ht="15" hidden="false" customHeight="false" outlineLevel="0" collapsed="false">
      <c r="C563" s="45"/>
      <c r="E563" s="46"/>
      <c r="F563" s="44"/>
      <c r="G563" s="44"/>
      <c r="I563" s="47"/>
    </row>
    <row r="564" customFormat="false" ht="15" hidden="false" customHeight="false" outlineLevel="0" collapsed="false">
      <c r="C564" s="45"/>
      <c r="E564" s="46"/>
      <c r="F564" s="44"/>
      <c r="G564" s="44"/>
      <c r="I564" s="47"/>
    </row>
    <row r="565" customFormat="false" ht="15" hidden="false" customHeight="false" outlineLevel="0" collapsed="false">
      <c r="C565" s="45"/>
      <c r="E565" s="46"/>
      <c r="F565" s="44"/>
      <c r="G565" s="44"/>
      <c r="I565" s="47"/>
    </row>
    <row r="566" customFormat="false" ht="15" hidden="false" customHeight="false" outlineLevel="0" collapsed="false">
      <c r="C566" s="45"/>
      <c r="E566" s="46"/>
      <c r="F566" s="44"/>
      <c r="G566" s="44"/>
      <c r="I566" s="47"/>
    </row>
    <row r="567" customFormat="false" ht="15" hidden="false" customHeight="false" outlineLevel="0" collapsed="false">
      <c r="C567" s="45"/>
      <c r="E567" s="46"/>
      <c r="F567" s="44"/>
      <c r="G567" s="44"/>
      <c r="I567" s="47"/>
    </row>
    <row r="568" customFormat="false" ht="15" hidden="false" customHeight="false" outlineLevel="0" collapsed="false">
      <c r="C568" s="45"/>
      <c r="E568" s="46"/>
      <c r="F568" s="44"/>
      <c r="G568" s="44"/>
      <c r="I568" s="47"/>
    </row>
    <row r="569" customFormat="false" ht="15" hidden="false" customHeight="false" outlineLevel="0" collapsed="false">
      <c r="C569" s="45"/>
      <c r="E569" s="46"/>
      <c r="F569" s="44"/>
      <c r="G569" s="44"/>
      <c r="I569" s="47"/>
    </row>
    <row r="570" customFormat="false" ht="15" hidden="false" customHeight="false" outlineLevel="0" collapsed="false">
      <c r="C570" s="45"/>
      <c r="E570" s="46"/>
      <c r="F570" s="44"/>
      <c r="G570" s="44"/>
      <c r="I570" s="47"/>
    </row>
    <row r="571" customFormat="false" ht="15" hidden="false" customHeight="false" outlineLevel="0" collapsed="false">
      <c r="C571" s="45"/>
      <c r="E571" s="46"/>
      <c r="F571" s="44"/>
      <c r="G571" s="44"/>
      <c r="I571" s="47"/>
    </row>
    <row r="572" customFormat="false" ht="15" hidden="false" customHeight="false" outlineLevel="0" collapsed="false">
      <c r="C572" s="45"/>
      <c r="E572" s="46"/>
      <c r="F572" s="44"/>
      <c r="G572" s="44"/>
      <c r="I572" s="47"/>
    </row>
    <row r="573" customFormat="false" ht="15" hidden="false" customHeight="false" outlineLevel="0" collapsed="false">
      <c r="C573" s="45"/>
      <c r="E573" s="46"/>
      <c r="F573" s="44"/>
      <c r="G573" s="44"/>
      <c r="I573" s="47"/>
    </row>
    <row r="574" customFormat="false" ht="15" hidden="false" customHeight="false" outlineLevel="0" collapsed="false">
      <c r="C574" s="45"/>
      <c r="E574" s="46"/>
      <c r="F574" s="44"/>
      <c r="G574" s="44"/>
      <c r="I574" s="47"/>
    </row>
    <row r="575" customFormat="false" ht="15" hidden="false" customHeight="false" outlineLevel="0" collapsed="false">
      <c r="C575" s="45"/>
      <c r="E575" s="46"/>
      <c r="F575" s="44"/>
      <c r="G575" s="44"/>
      <c r="I575" s="47"/>
    </row>
    <row r="576" customFormat="false" ht="15" hidden="false" customHeight="false" outlineLevel="0" collapsed="false">
      <c r="C576" s="45"/>
      <c r="E576" s="46"/>
      <c r="F576" s="44"/>
      <c r="G576" s="44"/>
      <c r="I576" s="47"/>
    </row>
    <row r="577" customFormat="false" ht="15" hidden="false" customHeight="false" outlineLevel="0" collapsed="false">
      <c r="C577" s="45"/>
      <c r="E577" s="46"/>
      <c r="F577" s="44"/>
      <c r="G577" s="44"/>
      <c r="I577" s="47"/>
    </row>
    <row r="578" customFormat="false" ht="15" hidden="false" customHeight="false" outlineLevel="0" collapsed="false">
      <c r="C578" s="45"/>
      <c r="E578" s="46"/>
      <c r="F578" s="44"/>
      <c r="G578" s="44"/>
      <c r="I578" s="47"/>
    </row>
    <row r="579" customFormat="false" ht="15" hidden="false" customHeight="false" outlineLevel="0" collapsed="false">
      <c r="C579" s="45"/>
      <c r="E579" s="46"/>
      <c r="F579" s="44"/>
      <c r="G579" s="44"/>
      <c r="I579" s="47"/>
    </row>
    <row r="580" customFormat="false" ht="15" hidden="false" customHeight="false" outlineLevel="0" collapsed="false">
      <c r="C580" s="45"/>
      <c r="E580" s="46"/>
      <c r="F580" s="44"/>
      <c r="G580" s="44"/>
      <c r="I580" s="47"/>
    </row>
    <row r="581" customFormat="false" ht="15" hidden="false" customHeight="false" outlineLevel="0" collapsed="false">
      <c r="C581" s="45"/>
      <c r="E581" s="46"/>
      <c r="F581" s="44"/>
      <c r="G581" s="44"/>
      <c r="I581" s="47"/>
    </row>
    <row r="582" customFormat="false" ht="15" hidden="false" customHeight="false" outlineLevel="0" collapsed="false">
      <c r="C582" s="45"/>
      <c r="E582" s="46"/>
      <c r="F582" s="44"/>
      <c r="G582" s="44"/>
      <c r="I582" s="47"/>
    </row>
    <row r="583" customFormat="false" ht="15" hidden="false" customHeight="false" outlineLevel="0" collapsed="false">
      <c r="C583" s="45"/>
      <c r="E583" s="46"/>
      <c r="F583" s="44"/>
      <c r="G583" s="44"/>
      <c r="I583" s="47"/>
    </row>
    <row r="584" customFormat="false" ht="15" hidden="false" customHeight="false" outlineLevel="0" collapsed="false">
      <c r="C584" s="45"/>
      <c r="E584" s="46"/>
      <c r="F584" s="44"/>
      <c r="G584" s="44"/>
      <c r="I584" s="47"/>
    </row>
    <row r="585" customFormat="false" ht="15" hidden="false" customHeight="false" outlineLevel="0" collapsed="false">
      <c r="C585" s="45"/>
      <c r="E585" s="46"/>
      <c r="F585" s="44"/>
      <c r="G585" s="44"/>
      <c r="I585" s="47"/>
    </row>
    <row r="586" customFormat="false" ht="15" hidden="false" customHeight="false" outlineLevel="0" collapsed="false">
      <c r="C586" s="45"/>
      <c r="E586" s="46"/>
      <c r="F586" s="44"/>
      <c r="G586" s="44"/>
      <c r="I586" s="47"/>
    </row>
    <row r="587" customFormat="false" ht="15" hidden="false" customHeight="false" outlineLevel="0" collapsed="false">
      <c r="C587" s="45"/>
      <c r="E587" s="46"/>
      <c r="F587" s="44"/>
      <c r="G587" s="44"/>
      <c r="I587" s="47"/>
    </row>
    <row r="588" customFormat="false" ht="15" hidden="false" customHeight="false" outlineLevel="0" collapsed="false">
      <c r="C588" s="45"/>
      <c r="E588" s="46"/>
      <c r="F588" s="44"/>
      <c r="G588" s="44"/>
      <c r="I588" s="47"/>
    </row>
    <row r="589" customFormat="false" ht="15" hidden="false" customHeight="false" outlineLevel="0" collapsed="false">
      <c r="C589" s="45"/>
      <c r="E589" s="46"/>
      <c r="F589" s="44"/>
      <c r="G589" s="44"/>
      <c r="I589" s="47"/>
    </row>
    <row r="590" customFormat="false" ht="15" hidden="false" customHeight="false" outlineLevel="0" collapsed="false">
      <c r="C590" s="45"/>
      <c r="E590" s="46"/>
      <c r="F590" s="44"/>
      <c r="G590" s="44"/>
      <c r="I590" s="47"/>
    </row>
    <row r="591" customFormat="false" ht="15" hidden="false" customHeight="false" outlineLevel="0" collapsed="false">
      <c r="C591" s="45"/>
      <c r="E591" s="46"/>
      <c r="F591" s="44"/>
      <c r="G591" s="44"/>
      <c r="I591" s="47"/>
    </row>
    <row r="592" customFormat="false" ht="15" hidden="false" customHeight="false" outlineLevel="0" collapsed="false">
      <c r="C592" s="45"/>
      <c r="E592" s="46"/>
      <c r="F592" s="44"/>
      <c r="G592" s="44"/>
      <c r="I592" s="47"/>
    </row>
    <row r="593" customFormat="false" ht="15" hidden="false" customHeight="false" outlineLevel="0" collapsed="false">
      <c r="C593" s="45"/>
      <c r="E593" s="46"/>
      <c r="F593" s="44"/>
      <c r="G593" s="44"/>
      <c r="I593" s="47"/>
    </row>
    <row r="594" customFormat="false" ht="15" hidden="false" customHeight="false" outlineLevel="0" collapsed="false">
      <c r="C594" s="45"/>
      <c r="E594" s="46"/>
      <c r="F594" s="44"/>
      <c r="G594" s="44"/>
      <c r="I594" s="47"/>
    </row>
    <row r="595" customFormat="false" ht="15" hidden="false" customHeight="false" outlineLevel="0" collapsed="false">
      <c r="C595" s="45"/>
      <c r="E595" s="46"/>
      <c r="F595" s="44"/>
      <c r="G595" s="44"/>
      <c r="I595" s="47"/>
    </row>
    <row r="596" customFormat="false" ht="15" hidden="false" customHeight="false" outlineLevel="0" collapsed="false">
      <c r="C596" s="45"/>
      <c r="E596" s="46"/>
      <c r="F596" s="44"/>
      <c r="G596" s="44"/>
      <c r="I596" s="47"/>
    </row>
    <row r="597" customFormat="false" ht="15" hidden="false" customHeight="false" outlineLevel="0" collapsed="false">
      <c r="C597" s="45"/>
      <c r="E597" s="46"/>
      <c r="F597" s="44"/>
      <c r="G597" s="44"/>
      <c r="I597" s="47"/>
    </row>
    <row r="598" customFormat="false" ht="15" hidden="false" customHeight="false" outlineLevel="0" collapsed="false">
      <c r="C598" s="45"/>
      <c r="E598" s="46"/>
      <c r="F598" s="44"/>
      <c r="G598" s="44"/>
      <c r="I598" s="47"/>
    </row>
    <row r="599" customFormat="false" ht="15" hidden="false" customHeight="false" outlineLevel="0" collapsed="false">
      <c r="C599" s="45"/>
      <c r="E599" s="46"/>
      <c r="F599" s="44"/>
      <c r="G599" s="44"/>
      <c r="I599" s="47"/>
    </row>
    <row r="600" customFormat="false" ht="15" hidden="false" customHeight="false" outlineLevel="0" collapsed="false">
      <c r="C600" s="45"/>
      <c r="E600" s="46"/>
      <c r="F600" s="44"/>
      <c r="G600" s="44"/>
      <c r="I600" s="47"/>
    </row>
    <row r="601" customFormat="false" ht="15" hidden="false" customHeight="false" outlineLevel="0" collapsed="false">
      <c r="C601" s="45"/>
      <c r="E601" s="46"/>
      <c r="F601" s="44"/>
      <c r="G601" s="44"/>
      <c r="I601" s="47"/>
    </row>
    <row r="602" customFormat="false" ht="15" hidden="false" customHeight="false" outlineLevel="0" collapsed="false">
      <c r="C602" s="45"/>
      <c r="E602" s="46"/>
      <c r="F602" s="44"/>
      <c r="G602" s="44"/>
      <c r="I602" s="47"/>
    </row>
    <row r="603" customFormat="false" ht="15" hidden="false" customHeight="false" outlineLevel="0" collapsed="false">
      <c r="C603" s="45"/>
      <c r="E603" s="46"/>
      <c r="F603" s="44"/>
      <c r="G603" s="44"/>
      <c r="I603" s="47"/>
    </row>
    <row r="604" customFormat="false" ht="15" hidden="false" customHeight="false" outlineLevel="0" collapsed="false">
      <c r="C604" s="45"/>
      <c r="E604" s="46"/>
      <c r="F604" s="44"/>
      <c r="G604" s="44"/>
      <c r="I604" s="47"/>
    </row>
    <row r="605" customFormat="false" ht="15" hidden="false" customHeight="false" outlineLevel="0" collapsed="false">
      <c r="C605" s="45"/>
      <c r="E605" s="46"/>
      <c r="F605" s="44"/>
      <c r="G605" s="44"/>
      <c r="I605" s="47"/>
    </row>
    <row r="606" customFormat="false" ht="15" hidden="false" customHeight="false" outlineLevel="0" collapsed="false">
      <c r="C606" s="45"/>
      <c r="E606" s="46"/>
      <c r="F606" s="44"/>
      <c r="G606" s="44"/>
      <c r="I606" s="47"/>
    </row>
    <row r="607" customFormat="false" ht="15" hidden="false" customHeight="false" outlineLevel="0" collapsed="false">
      <c r="C607" s="45"/>
      <c r="E607" s="46"/>
      <c r="F607" s="44"/>
      <c r="G607" s="44"/>
      <c r="I607" s="47"/>
    </row>
    <row r="608" customFormat="false" ht="15" hidden="false" customHeight="false" outlineLevel="0" collapsed="false">
      <c r="C608" s="45"/>
      <c r="E608" s="46"/>
      <c r="F608" s="44"/>
      <c r="G608" s="44"/>
      <c r="I608" s="47"/>
    </row>
    <row r="609" customFormat="false" ht="15" hidden="false" customHeight="false" outlineLevel="0" collapsed="false">
      <c r="C609" s="45"/>
      <c r="E609" s="46"/>
      <c r="F609" s="44"/>
      <c r="G609" s="44"/>
      <c r="I609" s="47"/>
    </row>
    <row r="610" customFormat="false" ht="15" hidden="false" customHeight="false" outlineLevel="0" collapsed="false">
      <c r="C610" s="45"/>
      <c r="E610" s="46"/>
      <c r="F610" s="44"/>
      <c r="G610" s="44"/>
      <c r="I610" s="47"/>
    </row>
    <row r="611" customFormat="false" ht="15" hidden="false" customHeight="false" outlineLevel="0" collapsed="false">
      <c r="C611" s="45"/>
      <c r="E611" s="46"/>
      <c r="F611" s="44"/>
      <c r="G611" s="44"/>
      <c r="I611" s="47"/>
    </row>
    <row r="612" customFormat="false" ht="15" hidden="false" customHeight="false" outlineLevel="0" collapsed="false">
      <c r="C612" s="45"/>
      <c r="E612" s="46"/>
      <c r="F612" s="44"/>
      <c r="G612" s="44"/>
      <c r="I612" s="47"/>
    </row>
    <row r="613" customFormat="false" ht="15" hidden="false" customHeight="false" outlineLevel="0" collapsed="false">
      <c r="C613" s="45"/>
      <c r="E613" s="46"/>
      <c r="F613" s="44"/>
      <c r="G613" s="44"/>
      <c r="I613" s="47"/>
    </row>
    <row r="614" customFormat="false" ht="15" hidden="false" customHeight="false" outlineLevel="0" collapsed="false">
      <c r="C614" s="45"/>
      <c r="E614" s="46"/>
      <c r="F614" s="44"/>
      <c r="G614" s="44"/>
      <c r="I614" s="47"/>
    </row>
    <row r="615" customFormat="false" ht="15" hidden="false" customHeight="false" outlineLevel="0" collapsed="false">
      <c r="C615" s="45"/>
      <c r="E615" s="46"/>
      <c r="F615" s="44"/>
      <c r="G615" s="44"/>
      <c r="I615" s="47"/>
    </row>
    <row r="616" customFormat="false" ht="15" hidden="false" customHeight="false" outlineLevel="0" collapsed="false">
      <c r="C616" s="45"/>
      <c r="E616" s="46"/>
      <c r="F616" s="44"/>
      <c r="G616" s="44"/>
      <c r="I616" s="47"/>
    </row>
    <row r="617" customFormat="false" ht="15" hidden="false" customHeight="false" outlineLevel="0" collapsed="false">
      <c r="C617" s="45"/>
      <c r="E617" s="46"/>
      <c r="F617" s="44"/>
      <c r="G617" s="44"/>
      <c r="I617" s="47"/>
    </row>
    <row r="618" customFormat="false" ht="15" hidden="false" customHeight="false" outlineLevel="0" collapsed="false">
      <c r="C618" s="45"/>
      <c r="E618" s="46"/>
      <c r="F618" s="44"/>
      <c r="G618" s="44"/>
      <c r="I618" s="47"/>
    </row>
    <row r="619" customFormat="false" ht="15" hidden="false" customHeight="false" outlineLevel="0" collapsed="false">
      <c r="C619" s="45"/>
      <c r="E619" s="46"/>
      <c r="F619" s="44"/>
      <c r="G619" s="44"/>
      <c r="I619" s="47"/>
    </row>
    <row r="620" customFormat="false" ht="15" hidden="false" customHeight="false" outlineLevel="0" collapsed="false">
      <c r="C620" s="45"/>
      <c r="E620" s="46"/>
      <c r="F620" s="44"/>
      <c r="G620" s="44"/>
      <c r="I620" s="47"/>
    </row>
    <row r="621" customFormat="false" ht="15" hidden="false" customHeight="false" outlineLevel="0" collapsed="false">
      <c r="C621" s="45"/>
      <c r="E621" s="46"/>
      <c r="F621" s="44"/>
      <c r="G621" s="44"/>
      <c r="I621" s="47"/>
    </row>
    <row r="622" customFormat="false" ht="15" hidden="false" customHeight="false" outlineLevel="0" collapsed="false">
      <c r="C622" s="45"/>
      <c r="E622" s="46"/>
      <c r="F622" s="44"/>
      <c r="G622" s="44"/>
      <c r="I622" s="47"/>
    </row>
    <row r="623" customFormat="false" ht="15" hidden="false" customHeight="false" outlineLevel="0" collapsed="false">
      <c r="C623" s="45"/>
      <c r="E623" s="46"/>
      <c r="F623" s="44"/>
      <c r="G623" s="44"/>
      <c r="I623" s="47"/>
    </row>
    <row r="624" customFormat="false" ht="15" hidden="false" customHeight="false" outlineLevel="0" collapsed="false">
      <c r="C624" s="45"/>
      <c r="E624" s="46"/>
      <c r="F624" s="44"/>
      <c r="G624" s="44"/>
      <c r="I624" s="47"/>
    </row>
    <row r="625" customFormat="false" ht="15" hidden="false" customHeight="false" outlineLevel="0" collapsed="false">
      <c r="C625" s="45"/>
      <c r="E625" s="46"/>
      <c r="F625" s="44"/>
      <c r="G625" s="44"/>
      <c r="I625" s="47"/>
    </row>
    <row r="626" customFormat="false" ht="15" hidden="false" customHeight="false" outlineLevel="0" collapsed="false">
      <c r="C626" s="45"/>
      <c r="E626" s="46"/>
      <c r="F626" s="44"/>
      <c r="G626" s="44"/>
      <c r="I626" s="47"/>
    </row>
    <row r="627" customFormat="false" ht="15" hidden="false" customHeight="false" outlineLevel="0" collapsed="false">
      <c r="C627" s="45"/>
      <c r="E627" s="46"/>
      <c r="F627" s="44"/>
      <c r="G627" s="44"/>
      <c r="I627" s="47"/>
    </row>
    <row r="628" customFormat="false" ht="15" hidden="false" customHeight="false" outlineLevel="0" collapsed="false">
      <c r="C628" s="45"/>
      <c r="E628" s="46"/>
      <c r="F628" s="44"/>
      <c r="G628" s="44"/>
      <c r="I628" s="47"/>
    </row>
    <row r="629" customFormat="false" ht="15" hidden="false" customHeight="false" outlineLevel="0" collapsed="false">
      <c r="C629" s="45"/>
      <c r="E629" s="46"/>
      <c r="F629" s="44"/>
      <c r="G629" s="44"/>
      <c r="I629" s="47"/>
    </row>
    <row r="630" customFormat="false" ht="15" hidden="false" customHeight="false" outlineLevel="0" collapsed="false">
      <c r="C630" s="45"/>
      <c r="E630" s="46"/>
      <c r="F630" s="44"/>
      <c r="G630" s="44"/>
      <c r="I630" s="47"/>
    </row>
    <row r="631" customFormat="false" ht="15" hidden="false" customHeight="false" outlineLevel="0" collapsed="false">
      <c r="C631" s="45"/>
      <c r="E631" s="46"/>
      <c r="F631" s="44"/>
      <c r="G631" s="44"/>
      <c r="I631" s="47"/>
    </row>
    <row r="632" customFormat="false" ht="15" hidden="false" customHeight="false" outlineLevel="0" collapsed="false">
      <c r="C632" s="45"/>
      <c r="E632" s="46"/>
      <c r="F632" s="44"/>
      <c r="G632" s="44"/>
      <c r="I632" s="47"/>
    </row>
    <row r="633" customFormat="false" ht="15" hidden="false" customHeight="false" outlineLevel="0" collapsed="false">
      <c r="C633" s="45"/>
      <c r="E633" s="46"/>
      <c r="F633" s="44"/>
      <c r="G633" s="44"/>
      <c r="I633" s="47"/>
    </row>
    <row r="634" customFormat="false" ht="15" hidden="false" customHeight="false" outlineLevel="0" collapsed="false">
      <c r="C634" s="45"/>
      <c r="E634" s="46"/>
      <c r="F634" s="44"/>
      <c r="G634" s="44"/>
      <c r="I634" s="47"/>
    </row>
    <row r="635" customFormat="false" ht="15" hidden="false" customHeight="false" outlineLevel="0" collapsed="false">
      <c r="C635" s="45"/>
      <c r="E635" s="46"/>
      <c r="F635" s="44"/>
      <c r="G635" s="44"/>
      <c r="I635" s="47"/>
    </row>
    <row r="636" customFormat="false" ht="15" hidden="false" customHeight="false" outlineLevel="0" collapsed="false">
      <c r="C636" s="45"/>
      <c r="E636" s="46"/>
      <c r="F636" s="44"/>
      <c r="G636" s="44"/>
      <c r="I636" s="47"/>
    </row>
    <row r="637" customFormat="false" ht="15" hidden="false" customHeight="false" outlineLevel="0" collapsed="false">
      <c r="C637" s="45"/>
      <c r="E637" s="46"/>
      <c r="F637" s="44"/>
      <c r="G637" s="44"/>
      <c r="I637" s="47"/>
    </row>
    <row r="638" customFormat="false" ht="15" hidden="false" customHeight="false" outlineLevel="0" collapsed="false">
      <c r="C638" s="45"/>
      <c r="E638" s="46"/>
      <c r="F638" s="44"/>
      <c r="G638" s="44"/>
      <c r="I638" s="47"/>
    </row>
    <row r="639" customFormat="false" ht="15" hidden="false" customHeight="false" outlineLevel="0" collapsed="false">
      <c r="C639" s="45"/>
      <c r="E639" s="46"/>
      <c r="F639" s="44"/>
      <c r="G639" s="44"/>
      <c r="I639" s="47"/>
    </row>
    <row r="640" customFormat="false" ht="15" hidden="false" customHeight="false" outlineLevel="0" collapsed="false">
      <c r="C640" s="45"/>
      <c r="E640" s="46"/>
      <c r="F640" s="44"/>
      <c r="G640" s="44"/>
      <c r="I640" s="47"/>
    </row>
    <row r="641" customFormat="false" ht="15" hidden="false" customHeight="false" outlineLevel="0" collapsed="false">
      <c r="C641" s="45"/>
      <c r="E641" s="46"/>
      <c r="F641" s="44"/>
      <c r="G641" s="44"/>
      <c r="I641" s="47"/>
    </row>
    <row r="642" customFormat="false" ht="15" hidden="false" customHeight="false" outlineLevel="0" collapsed="false">
      <c r="C642" s="45"/>
      <c r="E642" s="46"/>
      <c r="F642" s="44"/>
      <c r="G642" s="44"/>
      <c r="I642" s="47"/>
    </row>
    <row r="643" customFormat="false" ht="15" hidden="false" customHeight="false" outlineLevel="0" collapsed="false">
      <c r="C643" s="45"/>
      <c r="E643" s="46"/>
      <c r="F643" s="44"/>
      <c r="G643" s="44"/>
      <c r="I643" s="47"/>
    </row>
    <row r="644" customFormat="false" ht="15" hidden="false" customHeight="false" outlineLevel="0" collapsed="false">
      <c r="C644" s="45"/>
      <c r="E644" s="46"/>
      <c r="F644" s="44"/>
      <c r="G644" s="44"/>
      <c r="I644" s="47"/>
    </row>
    <row r="645" customFormat="false" ht="15" hidden="false" customHeight="false" outlineLevel="0" collapsed="false">
      <c r="C645" s="45"/>
      <c r="E645" s="46"/>
      <c r="F645" s="44"/>
      <c r="G645" s="44"/>
      <c r="I645" s="47"/>
    </row>
    <row r="646" customFormat="false" ht="15" hidden="false" customHeight="false" outlineLevel="0" collapsed="false">
      <c r="C646" s="45"/>
      <c r="E646" s="46"/>
      <c r="F646" s="44"/>
      <c r="G646" s="44"/>
      <c r="I646" s="47"/>
    </row>
    <row r="647" customFormat="false" ht="15" hidden="false" customHeight="false" outlineLevel="0" collapsed="false">
      <c r="C647" s="45"/>
      <c r="E647" s="46"/>
      <c r="F647" s="44"/>
      <c r="G647" s="44"/>
      <c r="I647" s="47"/>
    </row>
    <row r="648" customFormat="false" ht="15" hidden="false" customHeight="false" outlineLevel="0" collapsed="false">
      <c r="C648" s="45"/>
      <c r="E648" s="46"/>
      <c r="F648" s="44"/>
      <c r="G648" s="44"/>
      <c r="I648" s="47"/>
    </row>
    <row r="649" customFormat="false" ht="15" hidden="false" customHeight="false" outlineLevel="0" collapsed="false">
      <c r="C649" s="45"/>
      <c r="E649" s="46"/>
      <c r="F649" s="44"/>
      <c r="G649" s="44"/>
      <c r="I649" s="47"/>
    </row>
    <row r="650" customFormat="false" ht="15" hidden="false" customHeight="false" outlineLevel="0" collapsed="false">
      <c r="C650" s="45"/>
      <c r="E650" s="46"/>
      <c r="F650" s="44"/>
      <c r="G650" s="44"/>
      <c r="I650" s="47"/>
    </row>
    <row r="651" customFormat="false" ht="15" hidden="false" customHeight="false" outlineLevel="0" collapsed="false">
      <c r="C651" s="45"/>
      <c r="E651" s="46"/>
      <c r="F651" s="44"/>
      <c r="G651" s="44"/>
      <c r="I651" s="47"/>
    </row>
    <row r="652" customFormat="false" ht="15" hidden="false" customHeight="false" outlineLevel="0" collapsed="false">
      <c r="C652" s="45"/>
      <c r="E652" s="46"/>
      <c r="F652" s="44"/>
      <c r="G652" s="44"/>
      <c r="I652" s="47"/>
    </row>
    <row r="653" customFormat="false" ht="15" hidden="false" customHeight="false" outlineLevel="0" collapsed="false">
      <c r="C653" s="45"/>
      <c r="E653" s="46"/>
      <c r="F653" s="44"/>
      <c r="G653" s="44"/>
      <c r="I653" s="47"/>
    </row>
    <row r="654" customFormat="false" ht="15" hidden="false" customHeight="false" outlineLevel="0" collapsed="false">
      <c r="C654" s="45"/>
      <c r="E654" s="46"/>
      <c r="F654" s="44"/>
      <c r="G654" s="44"/>
      <c r="I654" s="47"/>
    </row>
    <row r="655" customFormat="false" ht="15" hidden="false" customHeight="false" outlineLevel="0" collapsed="false">
      <c r="C655" s="45"/>
      <c r="E655" s="46"/>
      <c r="F655" s="44"/>
      <c r="G655" s="44"/>
      <c r="I655" s="47"/>
    </row>
    <row r="656" customFormat="false" ht="15" hidden="false" customHeight="false" outlineLevel="0" collapsed="false">
      <c r="C656" s="45"/>
      <c r="E656" s="46"/>
      <c r="F656" s="44"/>
      <c r="G656" s="44"/>
      <c r="I656" s="47"/>
    </row>
    <row r="657" customFormat="false" ht="15" hidden="false" customHeight="false" outlineLevel="0" collapsed="false">
      <c r="C657" s="45"/>
      <c r="E657" s="46"/>
      <c r="F657" s="44"/>
      <c r="G657" s="44"/>
      <c r="I657" s="47"/>
    </row>
    <row r="658" customFormat="false" ht="15" hidden="false" customHeight="false" outlineLevel="0" collapsed="false">
      <c r="C658" s="45"/>
      <c r="E658" s="46"/>
      <c r="F658" s="44"/>
      <c r="G658" s="44"/>
      <c r="I658" s="47"/>
    </row>
    <row r="659" customFormat="false" ht="15" hidden="false" customHeight="false" outlineLevel="0" collapsed="false">
      <c r="C659" s="45"/>
      <c r="E659" s="46"/>
      <c r="F659" s="44"/>
      <c r="G659" s="44"/>
      <c r="I659" s="47"/>
    </row>
    <row r="660" customFormat="false" ht="15" hidden="false" customHeight="false" outlineLevel="0" collapsed="false">
      <c r="C660" s="45"/>
      <c r="E660" s="46"/>
      <c r="F660" s="44"/>
      <c r="G660" s="44"/>
      <c r="I660" s="47"/>
    </row>
    <row r="661" customFormat="false" ht="15" hidden="false" customHeight="false" outlineLevel="0" collapsed="false">
      <c r="C661" s="45"/>
      <c r="E661" s="46"/>
      <c r="F661" s="44"/>
      <c r="G661" s="44"/>
      <c r="I661" s="47"/>
    </row>
    <row r="662" customFormat="false" ht="15" hidden="false" customHeight="false" outlineLevel="0" collapsed="false">
      <c r="C662" s="45"/>
      <c r="E662" s="46"/>
      <c r="F662" s="44"/>
      <c r="G662" s="44"/>
      <c r="I662" s="47"/>
    </row>
    <row r="663" customFormat="false" ht="15" hidden="false" customHeight="false" outlineLevel="0" collapsed="false">
      <c r="C663" s="45"/>
      <c r="E663" s="46"/>
      <c r="F663" s="44"/>
      <c r="G663" s="44"/>
      <c r="I663" s="47"/>
    </row>
    <row r="664" customFormat="false" ht="15" hidden="false" customHeight="false" outlineLevel="0" collapsed="false">
      <c r="C664" s="45"/>
      <c r="E664" s="46"/>
      <c r="F664" s="44"/>
      <c r="G664" s="44"/>
      <c r="I664" s="47"/>
    </row>
    <row r="665" customFormat="false" ht="15" hidden="false" customHeight="false" outlineLevel="0" collapsed="false">
      <c r="C665" s="45"/>
      <c r="E665" s="46"/>
      <c r="F665" s="44"/>
      <c r="G665" s="44"/>
      <c r="I665" s="47"/>
    </row>
    <row r="666" customFormat="false" ht="15" hidden="false" customHeight="false" outlineLevel="0" collapsed="false">
      <c r="C666" s="45"/>
      <c r="E666" s="46"/>
      <c r="F666" s="44"/>
      <c r="G666" s="44"/>
      <c r="I666" s="47"/>
    </row>
    <row r="667" customFormat="false" ht="15" hidden="false" customHeight="false" outlineLevel="0" collapsed="false">
      <c r="C667" s="45"/>
      <c r="E667" s="46"/>
      <c r="F667" s="44"/>
      <c r="G667" s="44"/>
      <c r="I667" s="47"/>
    </row>
    <row r="668" customFormat="false" ht="15" hidden="false" customHeight="false" outlineLevel="0" collapsed="false">
      <c r="C668" s="45"/>
      <c r="E668" s="46"/>
      <c r="F668" s="44"/>
      <c r="G668" s="44"/>
      <c r="I668" s="47"/>
    </row>
    <row r="669" customFormat="false" ht="15" hidden="false" customHeight="false" outlineLevel="0" collapsed="false">
      <c r="C669" s="45"/>
      <c r="E669" s="46"/>
      <c r="F669" s="44"/>
      <c r="G669" s="44"/>
      <c r="I669" s="47"/>
    </row>
    <row r="670" customFormat="false" ht="15" hidden="false" customHeight="false" outlineLevel="0" collapsed="false">
      <c r="C670" s="45"/>
      <c r="E670" s="46"/>
      <c r="F670" s="44"/>
      <c r="G670" s="44"/>
      <c r="I670" s="47"/>
    </row>
    <row r="671" customFormat="false" ht="15" hidden="false" customHeight="false" outlineLevel="0" collapsed="false">
      <c r="C671" s="45"/>
      <c r="E671" s="46"/>
      <c r="F671" s="44"/>
      <c r="G671" s="44"/>
      <c r="I671" s="47"/>
    </row>
    <row r="672" customFormat="false" ht="15" hidden="false" customHeight="false" outlineLevel="0" collapsed="false">
      <c r="C672" s="45"/>
      <c r="E672" s="46"/>
      <c r="F672" s="44"/>
      <c r="G672" s="44"/>
      <c r="I672" s="47"/>
    </row>
    <row r="673" customFormat="false" ht="15" hidden="false" customHeight="false" outlineLevel="0" collapsed="false">
      <c r="C673" s="45"/>
      <c r="E673" s="46"/>
      <c r="F673" s="44"/>
      <c r="G673" s="44"/>
      <c r="I673" s="47"/>
    </row>
    <row r="674" customFormat="false" ht="15" hidden="false" customHeight="false" outlineLevel="0" collapsed="false">
      <c r="C674" s="45"/>
      <c r="E674" s="46"/>
      <c r="F674" s="44"/>
      <c r="G674" s="44"/>
      <c r="I674" s="47"/>
    </row>
    <row r="675" customFormat="false" ht="15" hidden="false" customHeight="false" outlineLevel="0" collapsed="false">
      <c r="C675" s="45"/>
      <c r="E675" s="46"/>
      <c r="F675" s="44"/>
      <c r="G675" s="44"/>
      <c r="I675" s="47"/>
    </row>
    <row r="676" customFormat="false" ht="15" hidden="false" customHeight="false" outlineLevel="0" collapsed="false">
      <c r="C676" s="45"/>
      <c r="E676" s="46"/>
      <c r="F676" s="44"/>
      <c r="G676" s="44"/>
      <c r="I676" s="47"/>
    </row>
    <row r="677" customFormat="false" ht="15" hidden="false" customHeight="false" outlineLevel="0" collapsed="false">
      <c r="C677" s="45"/>
      <c r="E677" s="46"/>
      <c r="F677" s="44"/>
      <c r="G677" s="44"/>
      <c r="I677" s="47"/>
    </row>
    <row r="678" customFormat="false" ht="15" hidden="false" customHeight="false" outlineLevel="0" collapsed="false">
      <c r="C678" s="45"/>
      <c r="E678" s="46"/>
      <c r="F678" s="44"/>
      <c r="G678" s="44"/>
      <c r="I678" s="47"/>
    </row>
    <row r="679" customFormat="false" ht="15" hidden="false" customHeight="false" outlineLevel="0" collapsed="false">
      <c r="C679" s="45"/>
      <c r="E679" s="46"/>
      <c r="F679" s="44"/>
      <c r="G679" s="44"/>
      <c r="I679" s="47"/>
    </row>
    <row r="680" customFormat="false" ht="15" hidden="false" customHeight="false" outlineLevel="0" collapsed="false">
      <c r="C680" s="45"/>
      <c r="E680" s="46"/>
      <c r="F680" s="44"/>
      <c r="G680" s="44"/>
      <c r="I680" s="47"/>
    </row>
    <row r="681" customFormat="false" ht="15" hidden="false" customHeight="false" outlineLevel="0" collapsed="false">
      <c r="C681" s="45"/>
      <c r="E681" s="46"/>
      <c r="F681" s="44"/>
      <c r="G681" s="44"/>
      <c r="I681" s="47"/>
    </row>
    <row r="682" customFormat="false" ht="15" hidden="false" customHeight="false" outlineLevel="0" collapsed="false">
      <c r="C682" s="45"/>
      <c r="E682" s="46"/>
      <c r="F682" s="44"/>
      <c r="G682" s="44"/>
      <c r="I682" s="47"/>
    </row>
    <row r="683" customFormat="false" ht="15" hidden="false" customHeight="false" outlineLevel="0" collapsed="false">
      <c r="C683" s="45"/>
      <c r="E683" s="46"/>
      <c r="F683" s="44"/>
      <c r="G683" s="44"/>
      <c r="I683" s="47"/>
    </row>
    <row r="684" customFormat="false" ht="15" hidden="false" customHeight="false" outlineLevel="0" collapsed="false">
      <c r="C684" s="45"/>
      <c r="E684" s="46"/>
      <c r="F684" s="44"/>
      <c r="G684" s="44"/>
      <c r="I684" s="47"/>
    </row>
    <row r="685" customFormat="false" ht="15" hidden="false" customHeight="false" outlineLevel="0" collapsed="false">
      <c r="C685" s="45"/>
      <c r="E685" s="46"/>
      <c r="F685" s="44"/>
      <c r="G685" s="44"/>
      <c r="I685" s="47"/>
    </row>
    <row r="686" customFormat="false" ht="15" hidden="false" customHeight="false" outlineLevel="0" collapsed="false">
      <c r="C686" s="45"/>
      <c r="E686" s="46"/>
      <c r="F686" s="44"/>
      <c r="G686" s="44"/>
      <c r="I686" s="47"/>
    </row>
    <row r="687" customFormat="false" ht="15" hidden="false" customHeight="false" outlineLevel="0" collapsed="false">
      <c r="C687" s="45"/>
      <c r="E687" s="46"/>
      <c r="F687" s="44"/>
      <c r="G687" s="44"/>
      <c r="I687" s="47"/>
    </row>
    <row r="688" customFormat="false" ht="15" hidden="false" customHeight="false" outlineLevel="0" collapsed="false">
      <c r="C688" s="45"/>
      <c r="E688" s="46"/>
      <c r="F688" s="44"/>
      <c r="G688" s="44"/>
      <c r="I688" s="47"/>
    </row>
    <row r="689" customFormat="false" ht="15" hidden="false" customHeight="false" outlineLevel="0" collapsed="false">
      <c r="C689" s="45"/>
      <c r="E689" s="46"/>
      <c r="F689" s="44"/>
      <c r="G689" s="44"/>
      <c r="I689" s="47"/>
    </row>
    <row r="690" customFormat="false" ht="15" hidden="false" customHeight="false" outlineLevel="0" collapsed="false">
      <c r="C690" s="45"/>
      <c r="E690" s="46"/>
      <c r="F690" s="44"/>
      <c r="G690" s="44"/>
      <c r="I690" s="47"/>
    </row>
    <row r="691" customFormat="false" ht="15" hidden="false" customHeight="false" outlineLevel="0" collapsed="false">
      <c r="C691" s="45"/>
      <c r="E691" s="46"/>
      <c r="F691" s="44"/>
      <c r="G691" s="44"/>
      <c r="I691" s="47"/>
    </row>
    <row r="692" customFormat="false" ht="15" hidden="false" customHeight="false" outlineLevel="0" collapsed="false">
      <c r="C692" s="45"/>
      <c r="E692" s="46"/>
      <c r="F692" s="44"/>
      <c r="G692" s="44"/>
      <c r="I692" s="47"/>
    </row>
    <row r="693" customFormat="false" ht="15" hidden="false" customHeight="false" outlineLevel="0" collapsed="false">
      <c r="C693" s="45"/>
      <c r="E693" s="46"/>
      <c r="F693" s="44"/>
      <c r="G693" s="44"/>
      <c r="I693" s="47"/>
    </row>
    <row r="694" customFormat="false" ht="15" hidden="false" customHeight="false" outlineLevel="0" collapsed="false">
      <c r="C694" s="45"/>
      <c r="E694" s="46"/>
      <c r="F694" s="44"/>
      <c r="G694" s="44"/>
      <c r="I694" s="47"/>
    </row>
    <row r="695" customFormat="false" ht="15" hidden="false" customHeight="false" outlineLevel="0" collapsed="false">
      <c r="C695" s="45"/>
      <c r="E695" s="46"/>
      <c r="F695" s="44"/>
      <c r="G695" s="44"/>
      <c r="I695" s="47"/>
    </row>
    <row r="696" customFormat="false" ht="15" hidden="false" customHeight="false" outlineLevel="0" collapsed="false">
      <c r="C696" s="45"/>
      <c r="E696" s="46"/>
      <c r="F696" s="44"/>
      <c r="G696" s="44"/>
      <c r="I696" s="47"/>
    </row>
    <row r="697" customFormat="false" ht="15" hidden="false" customHeight="false" outlineLevel="0" collapsed="false">
      <c r="C697" s="45"/>
      <c r="E697" s="46"/>
      <c r="F697" s="44"/>
      <c r="G697" s="44"/>
      <c r="I697" s="47"/>
    </row>
    <row r="698" customFormat="false" ht="15" hidden="false" customHeight="false" outlineLevel="0" collapsed="false">
      <c r="C698" s="45"/>
      <c r="E698" s="46"/>
      <c r="F698" s="44"/>
      <c r="G698" s="44"/>
      <c r="I698" s="47"/>
    </row>
    <row r="699" customFormat="false" ht="15" hidden="false" customHeight="false" outlineLevel="0" collapsed="false">
      <c r="C699" s="45"/>
      <c r="E699" s="46"/>
      <c r="F699" s="44"/>
      <c r="G699" s="44"/>
      <c r="I699" s="47"/>
    </row>
    <row r="700" customFormat="false" ht="15" hidden="false" customHeight="false" outlineLevel="0" collapsed="false">
      <c r="C700" s="45"/>
      <c r="E700" s="46"/>
      <c r="F700" s="44"/>
      <c r="G700" s="44"/>
      <c r="I700" s="47"/>
    </row>
    <row r="701" customFormat="false" ht="15" hidden="false" customHeight="false" outlineLevel="0" collapsed="false">
      <c r="C701" s="45"/>
      <c r="E701" s="46"/>
      <c r="F701" s="44"/>
      <c r="G701" s="44"/>
      <c r="I701" s="47"/>
    </row>
    <row r="702" customFormat="false" ht="15" hidden="false" customHeight="false" outlineLevel="0" collapsed="false">
      <c r="C702" s="45"/>
      <c r="E702" s="46"/>
      <c r="F702" s="44"/>
      <c r="G702" s="44"/>
      <c r="I702" s="47"/>
    </row>
    <row r="703" customFormat="false" ht="15" hidden="false" customHeight="false" outlineLevel="0" collapsed="false">
      <c r="C703" s="45"/>
      <c r="E703" s="46"/>
      <c r="F703" s="44"/>
      <c r="G703" s="44"/>
      <c r="I703" s="47"/>
    </row>
    <row r="704" customFormat="false" ht="15" hidden="false" customHeight="false" outlineLevel="0" collapsed="false">
      <c r="C704" s="45"/>
      <c r="E704" s="46"/>
      <c r="F704" s="44"/>
      <c r="G704" s="44"/>
      <c r="I704" s="47"/>
    </row>
    <row r="705" customFormat="false" ht="15" hidden="false" customHeight="false" outlineLevel="0" collapsed="false">
      <c r="C705" s="45"/>
      <c r="E705" s="46"/>
      <c r="F705" s="44"/>
      <c r="G705" s="44"/>
      <c r="I705" s="47"/>
    </row>
    <row r="706" customFormat="false" ht="15" hidden="false" customHeight="false" outlineLevel="0" collapsed="false">
      <c r="C706" s="45"/>
      <c r="E706" s="46"/>
      <c r="F706" s="44"/>
      <c r="G706" s="44"/>
      <c r="I706" s="47"/>
    </row>
    <row r="707" customFormat="false" ht="15" hidden="false" customHeight="false" outlineLevel="0" collapsed="false">
      <c r="C707" s="45"/>
      <c r="E707" s="46"/>
      <c r="F707" s="44"/>
      <c r="G707" s="44"/>
      <c r="I707" s="47"/>
    </row>
    <row r="708" customFormat="false" ht="15" hidden="false" customHeight="false" outlineLevel="0" collapsed="false">
      <c r="C708" s="45"/>
      <c r="E708" s="46"/>
      <c r="F708" s="44"/>
      <c r="G708" s="44"/>
      <c r="I708" s="47"/>
    </row>
    <row r="709" customFormat="false" ht="15" hidden="false" customHeight="false" outlineLevel="0" collapsed="false">
      <c r="C709" s="45"/>
      <c r="E709" s="46"/>
      <c r="F709" s="44"/>
      <c r="G709" s="44"/>
      <c r="I709" s="47"/>
    </row>
    <row r="710" customFormat="false" ht="15" hidden="false" customHeight="false" outlineLevel="0" collapsed="false">
      <c r="C710" s="45"/>
      <c r="E710" s="46"/>
      <c r="F710" s="44"/>
      <c r="G710" s="44"/>
      <c r="I710" s="47"/>
    </row>
    <row r="711" customFormat="false" ht="15" hidden="false" customHeight="false" outlineLevel="0" collapsed="false">
      <c r="C711" s="45"/>
      <c r="E711" s="46"/>
      <c r="F711" s="44"/>
      <c r="G711" s="44"/>
      <c r="I711" s="47"/>
    </row>
    <row r="712" customFormat="false" ht="15" hidden="false" customHeight="false" outlineLevel="0" collapsed="false">
      <c r="C712" s="45"/>
      <c r="E712" s="46"/>
      <c r="F712" s="44"/>
      <c r="G712" s="44"/>
      <c r="I712" s="47"/>
    </row>
    <row r="713" customFormat="false" ht="15" hidden="false" customHeight="false" outlineLevel="0" collapsed="false">
      <c r="C713" s="45"/>
      <c r="E713" s="46"/>
      <c r="F713" s="44"/>
      <c r="G713" s="44"/>
      <c r="I713" s="47"/>
    </row>
    <row r="714" customFormat="false" ht="15" hidden="false" customHeight="false" outlineLevel="0" collapsed="false">
      <c r="C714" s="45"/>
      <c r="E714" s="46"/>
      <c r="F714" s="44"/>
      <c r="G714" s="44"/>
      <c r="I714" s="47"/>
    </row>
    <row r="715" customFormat="false" ht="15" hidden="false" customHeight="false" outlineLevel="0" collapsed="false">
      <c r="C715" s="45"/>
      <c r="E715" s="46"/>
      <c r="F715" s="44"/>
      <c r="G715" s="44"/>
      <c r="I715" s="47"/>
    </row>
    <row r="716" customFormat="false" ht="15" hidden="false" customHeight="false" outlineLevel="0" collapsed="false">
      <c r="C716" s="45"/>
      <c r="E716" s="46"/>
      <c r="F716" s="44"/>
      <c r="G716" s="44"/>
      <c r="I716" s="47"/>
    </row>
    <row r="717" customFormat="false" ht="15" hidden="false" customHeight="false" outlineLevel="0" collapsed="false">
      <c r="C717" s="45"/>
      <c r="E717" s="46"/>
      <c r="F717" s="44"/>
      <c r="G717" s="44"/>
      <c r="I717" s="47"/>
    </row>
    <row r="718" customFormat="false" ht="15" hidden="false" customHeight="false" outlineLevel="0" collapsed="false">
      <c r="C718" s="45"/>
      <c r="E718" s="46"/>
      <c r="F718" s="44"/>
      <c r="G718" s="44"/>
      <c r="I718" s="47"/>
    </row>
    <row r="719" customFormat="false" ht="15" hidden="false" customHeight="false" outlineLevel="0" collapsed="false">
      <c r="C719" s="45"/>
      <c r="E719" s="46"/>
      <c r="F719" s="44"/>
      <c r="G719" s="44"/>
      <c r="I719" s="47"/>
    </row>
    <row r="720" customFormat="false" ht="15" hidden="false" customHeight="false" outlineLevel="0" collapsed="false">
      <c r="C720" s="45"/>
      <c r="E720" s="46"/>
      <c r="F720" s="44"/>
      <c r="G720" s="44"/>
      <c r="I720" s="47"/>
    </row>
    <row r="721" customFormat="false" ht="15" hidden="false" customHeight="false" outlineLevel="0" collapsed="false">
      <c r="C721" s="45"/>
      <c r="E721" s="46"/>
      <c r="F721" s="44"/>
      <c r="G721" s="44"/>
      <c r="I721" s="47"/>
    </row>
    <row r="722" customFormat="false" ht="15" hidden="false" customHeight="false" outlineLevel="0" collapsed="false">
      <c r="C722" s="45"/>
      <c r="E722" s="46"/>
      <c r="F722" s="44"/>
      <c r="G722" s="44"/>
      <c r="I722" s="47"/>
    </row>
    <row r="723" customFormat="false" ht="15" hidden="false" customHeight="false" outlineLevel="0" collapsed="false">
      <c r="C723" s="45"/>
      <c r="E723" s="46"/>
      <c r="F723" s="44"/>
      <c r="G723" s="44"/>
      <c r="I723" s="47"/>
    </row>
    <row r="724" customFormat="false" ht="15" hidden="false" customHeight="false" outlineLevel="0" collapsed="false">
      <c r="C724" s="45"/>
      <c r="E724" s="46"/>
      <c r="F724" s="44"/>
      <c r="G724" s="44"/>
      <c r="I724" s="47"/>
    </row>
    <row r="725" customFormat="false" ht="15" hidden="false" customHeight="false" outlineLevel="0" collapsed="false">
      <c r="C725" s="45"/>
      <c r="E725" s="46"/>
      <c r="F725" s="44"/>
      <c r="G725" s="44"/>
      <c r="I725" s="47"/>
    </row>
    <row r="726" customFormat="false" ht="15" hidden="false" customHeight="false" outlineLevel="0" collapsed="false">
      <c r="C726" s="45"/>
      <c r="E726" s="46"/>
      <c r="F726" s="44"/>
      <c r="G726" s="44"/>
      <c r="I726" s="47"/>
    </row>
    <row r="727" customFormat="false" ht="15" hidden="false" customHeight="false" outlineLevel="0" collapsed="false">
      <c r="C727" s="45"/>
      <c r="E727" s="46"/>
      <c r="F727" s="44"/>
      <c r="G727" s="44"/>
      <c r="I727" s="47"/>
    </row>
    <row r="728" customFormat="false" ht="15" hidden="false" customHeight="false" outlineLevel="0" collapsed="false">
      <c r="C728" s="45"/>
      <c r="E728" s="46"/>
      <c r="F728" s="44"/>
      <c r="G728" s="44"/>
      <c r="I728" s="47"/>
    </row>
    <row r="729" customFormat="false" ht="15" hidden="false" customHeight="false" outlineLevel="0" collapsed="false">
      <c r="C729" s="45"/>
      <c r="E729" s="46"/>
      <c r="F729" s="44"/>
      <c r="G729" s="44"/>
      <c r="I729" s="47"/>
    </row>
    <row r="730" customFormat="false" ht="15" hidden="false" customHeight="false" outlineLevel="0" collapsed="false">
      <c r="C730" s="45"/>
      <c r="E730" s="46"/>
      <c r="F730" s="44"/>
      <c r="G730" s="44"/>
      <c r="I730" s="47"/>
    </row>
    <row r="731" customFormat="false" ht="15" hidden="false" customHeight="false" outlineLevel="0" collapsed="false">
      <c r="C731" s="45"/>
      <c r="E731" s="46"/>
      <c r="F731" s="44"/>
      <c r="G731" s="44"/>
      <c r="I731" s="47"/>
    </row>
    <row r="732" customFormat="false" ht="15" hidden="false" customHeight="false" outlineLevel="0" collapsed="false">
      <c r="C732" s="45"/>
      <c r="E732" s="46"/>
      <c r="F732" s="44"/>
      <c r="G732" s="44"/>
      <c r="I732" s="47"/>
    </row>
    <row r="733" customFormat="false" ht="15" hidden="false" customHeight="false" outlineLevel="0" collapsed="false">
      <c r="C733" s="45"/>
      <c r="E733" s="46"/>
      <c r="F733" s="44"/>
      <c r="G733" s="44"/>
      <c r="I733" s="47"/>
    </row>
    <row r="734" customFormat="false" ht="15" hidden="false" customHeight="false" outlineLevel="0" collapsed="false">
      <c r="C734" s="45"/>
      <c r="E734" s="46"/>
      <c r="F734" s="44"/>
      <c r="G734" s="44"/>
      <c r="I734" s="47"/>
    </row>
    <row r="735" customFormat="false" ht="15" hidden="false" customHeight="false" outlineLevel="0" collapsed="false">
      <c r="C735" s="45"/>
      <c r="E735" s="46"/>
      <c r="F735" s="44"/>
      <c r="G735" s="44"/>
      <c r="I735" s="47"/>
    </row>
    <row r="736" customFormat="false" ht="15" hidden="false" customHeight="false" outlineLevel="0" collapsed="false">
      <c r="C736" s="45"/>
      <c r="E736" s="46"/>
      <c r="F736" s="44"/>
      <c r="G736" s="44"/>
      <c r="I736" s="47"/>
    </row>
    <row r="737" customFormat="false" ht="15" hidden="false" customHeight="false" outlineLevel="0" collapsed="false">
      <c r="C737" s="45"/>
      <c r="E737" s="46"/>
      <c r="F737" s="44"/>
      <c r="G737" s="44"/>
      <c r="I737" s="47"/>
    </row>
    <row r="738" customFormat="false" ht="15" hidden="false" customHeight="false" outlineLevel="0" collapsed="false">
      <c r="C738" s="45"/>
      <c r="E738" s="46"/>
      <c r="F738" s="44"/>
      <c r="G738" s="44"/>
      <c r="I738" s="47"/>
    </row>
    <row r="739" customFormat="false" ht="15" hidden="false" customHeight="false" outlineLevel="0" collapsed="false">
      <c r="C739" s="45"/>
      <c r="E739" s="46"/>
      <c r="F739" s="44"/>
      <c r="G739" s="44"/>
      <c r="I739" s="47"/>
    </row>
    <row r="740" customFormat="false" ht="15" hidden="false" customHeight="false" outlineLevel="0" collapsed="false">
      <c r="C740" s="45"/>
      <c r="E740" s="46"/>
      <c r="F740" s="44"/>
      <c r="G740" s="44"/>
      <c r="I740" s="47"/>
    </row>
    <row r="741" customFormat="false" ht="15" hidden="false" customHeight="false" outlineLevel="0" collapsed="false">
      <c r="C741" s="45"/>
      <c r="E741" s="46"/>
      <c r="F741" s="44"/>
      <c r="G741" s="44"/>
      <c r="I741" s="47"/>
    </row>
    <row r="742" customFormat="false" ht="15" hidden="false" customHeight="false" outlineLevel="0" collapsed="false">
      <c r="C742" s="45"/>
      <c r="E742" s="46"/>
      <c r="F742" s="44"/>
      <c r="G742" s="44"/>
      <c r="I742" s="47"/>
    </row>
    <row r="743" customFormat="false" ht="15" hidden="false" customHeight="false" outlineLevel="0" collapsed="false">
      <c r="C743" s="45"/>
      <c r="E743" s="46"/>
      <c r="F743" s="44"/>
      <c r="G743" s="44"/>
      <c r="I743" s="47"/>
    </row>
    <row r="744" customFormat="false" ht="15" hidden="false" customHeight="false" outlineLevel="0" collapsed="false">
      <c r="C744" s="45"/>
      <c r="E744" s="46"/>
      <c r="F744" s="44"/>
      <c r="G744" s="44"/>
      <c r="I744" s="47"/>
    </row>
    <row r="745" customFormat="false" ht="15" hidden="false" customHeight="false" outlineLevel="0" collapsed="false">
      <c r="C745" s="45"/>
      <c r="E745" s="46"/>
      <c r="F745" s="44"/>
      <c r="G745" s="44"/>
      <c r="I745" s="47"/>
    </row>
    <row r="746" customFormat="false" ht="15" hidden="false" customHeight="false" outlineLevel="0" collapsed="false">
      <c r="C746" s="45"/>
      <c r="E746" s="46"/>
      <c r="F746" s="44"/>
      <c r="G746" s="44"/>
      <c r="I746" s="47"/>
    </row>
    <row r="747" customFormat="false" ht="15" hidden="false" customHeight="false" outlineLevel="0" collapsed="false">
      <c r="C747" s="45"/>
      <c r="E747" s="46"/>
      <c r="F747" s="44"/>
      <c r="G747" s="44"/>
      <c r="I747" s="47"/>
    </row>
    <row r="748" customFormat="false" ht="15" hidden="false" customHeight="false" outlineLevel="0" collapsed="false">
      <c r="C748" s="45"/>
      <c r="E748" s="46"/>
      <c r="F748" s="44"/>
      <c r="G748" s="44"/>
      <c r="I748" s="47"/>
    </row>
    <row r="749" customFormat="false" ht="15" hidden="false" customHeight="false" outlineLevel="0" collapsed="false">
      <c r="C749" s="45"/>
      <c r="E749" s="46"/>
      <c r="F749" s="44"/>
      <c r="G749" s="44"/>
      <c r="I749" s="47"/>
    </row>
    <row r="750" customFormat="false" ht="15" hidden="false" customHeight="false" outlineLevel="0" collapsed="false">
      <c r="C750" s="45"/>
      <c r="E750" s="46"/>
      <c r="F750" s="44"/>
      <c r="G750" s="44"/>
      <c r="I750" s="47"/>
    </row>
    <row r="751" customFormat="false" ht="15" hidden="false" customHeight="false" outlineLevel="0" collapsed="false">
      <c r="C751" s="45"/>
      <c r="E751" s="46"/>
      <c r="F751" s="44"/>
      <c r="G751" s="44"/>
      <c r="I751" s="47"/>
    </row>
    <row r="752" customFormat="false" ht="15" hidden="false" customHeight="false" outlineLevel="0" collapsed="false">
      <c r="C752" s="45"/>
      <c r="E752" s="46"/>
      <c r="F752" s="44"/>
      <c r="G752" s="44"/>
      <c r="I752" s="47"/>
    </row>
    <row r="753" customFormat="false" ht="15" hidden="false" customHeight="false" outlineLevel="0" collapsed="false">
      <c r="C753" s="45"/>
      <c r="E753" s="46"/>
      <c r="F753" s="44"/>
      <c r="G753" s="44"/>
      <c r="I753" s="47"/>
    </row>
    <row r="754" customFormat="false" ht="15" hidden="false" customHeight="false" outlineLevel="0" collapsed="false">
      <c r="C754" s="45"/>
      <c r="E754" s="46"/>
      <c r="F754" s="44"/>
      <c r="G754" s="44"/>
      <c r="I754" s="47"/>
    </row>
    <row r="755" customFormat="false" ht="15" hidden="false" customHeight="false" outlineLevel="0" collapsed="false">
      <c r="C755" s="45"/>
      <c r="E755" s="46"/>
      <c r="F755" s="44"/>
      <c r="G755" s="44"/>
      <c r="I755" s="47"/>
    </row>
    <row r="756" customFormat="false" ht="15" hidden="false" customHeight="false" outlineLevel="0" collapsed="false">
      <c r="C756" s="45"/>
      <c r="E756" s="46"/>
      <c r="F756" s="44"/>
      <c r="G756" s="44"/>
      <c r="I756" s="47"/>
    </row>
    <row r="757" customFormat="false" ht="15" hidden="false" customHeight="false" outlineLevel="0" collapsed="false">
      <c r="C757" s="45"/>
      <c r="E757" s="46"/>
      <c r="F757" s="44"/>
      <c r="G757" s="44"/>
      <c r="I757" s="47"/>
    </row>
    <row r="758" customFormat="false" ht="15" hidden="false" customHeight="false" outlineLevel="0" collapsed="false">
      <c r="C758" s="45"/>
      <c r="E758" s="46"/>
      <c r="F758" s="44"/>
      <c r="G758" s="44"/>
      <c r="I758" s="47"/>
    </row>
    <row r="759" customFormat="false" ht="15" hidden="false" customHeight="false" outlineLevel="0" collapsed="false">
      <c r="C759" s="45"/>
      <c r="E759" s="46"/>
      <c r="F759" s="44"/>
      <c r="G759" s="44"/>
      <c r="I759" s="47"/>
    </row>
    <row r="760" customFormat="false" ht="15" hidden="false" customHeight="false" outlineLevel="0" collapsed="false">
      <c r="C760" s="45"/>
      <c r="E760" s="46"/>
      <c r="F760" s="44"/>
      <c r="G760" s="44"/>
      <c r="I760" s="47"/>
    </row>
    <row r="761" customFormat="false" ht="15" hidden="false" customHeight="false" outlineLevel="0" collapsed="false">
      <c r="C761" s="45"/>
      <c r="E761" s="46"/>
      <c r="F761" s="44"/>
      <c r="G761" s="44"/>
      <c r="I761" s="47"/>
    </row>
    <row r="762" customFormat="false" ht="15" hidden="false" customHeight="false" outlineLevel="0" collapsed="false">
      <c r="C762" s="45"/>
      <c r="E762" s="46"/>
      <c r="F762" s="44"/>
      <c r="G762" s="44"/>
      <c r="I762" s="47"/>
    </row>
    <row r="763" customFormat="false" ht="15" hidden="false" customHeight="false" outlineLevel="0" collapsed="false">
      <c r="C763" s="45"/>
      <c r="E763" s="46"/>
      <c r="F763" s="44"/>
      <c r="G763" s="44"/>
      <c r="I763" s="47"/>
    </row>
    <row r="764" customFormat="false" ht="15" hidden="false" customHeight="false" outlineLevel="0" collapsed="false">
      <c r="C764" s="45"/>
      <c r="E764" s="46"/>
      <c r="F764" s="44"/>
      <c r="G764" s="44"/>
      <c r="I764" s="47"/>
    </row>
    <row r="765" customFormat="false" ht="15" hidden="false" customHeight="false" outlineLevel="0" collapsed="false">
      <c r="C765" s="45"/>
      <c r="E765" s="46"/>
      <c r="F765" s="44"/>
      <c r="G765" s="44"/>
      <c r="I765" s="47"/>
    </row>
    <row r="766" customFormat="false" ht="15" hidden="false" customHeight="false" outlineLevel="0" collapsed="false">
      <c r="C766" s="45"/>
      <c r="E766" s="46"/>
      <c r="F766" s="44"/>
      <c r="G766" s="44"/>
      <c r="I766" s="47"/>
    </row>
    <row r="767" customFormat="false" ht="15" hidden="false" customHeight="false" outlineLevel="0" collapsed="false">
      <c r="C767" s="45"/>
      <c r="E767" s="46"/>
      <c r="F767" s="44"/>
      <c r="G767" s="44"/>
      <c r="I767" s="47"/>
    </row>
    <row r="768" customFormat="false" ht="15" hidden="false" customHeight="false" outlineLevel="0" collapsed="false">
      <c r="C768" s="45"/>
      <c r="E768" s="46"/>
      <c r="F768" s="44"/>
      <c r="G768" s="44"/>
      <c r="I768" s="47"/>
    </row>
    <row r="769" customFormat="false" ht="15" hidden="false" customHeight="false" outlineLevel="0" collapsed="false">
      <c r="C769" s="45"/>
      <c r="E769" s="46"/>
      <c r="F769" s="44"/>
      <c r="G769" s="44"/>
      <c r="I769" s="47"/>
    </row>
    <row r="770" customFormat="false" ht="15" hidden="false" customHeight="false" outlineLevel="0" collapsed="false">
      <c r="C770" s="45"/>
      <c r="E770" s="46"/>
      <c r="F770" s="44"/>
      <c r="G770" s="44"/>
      <c r="I770" s="47"/>
    </row>
    <row r="771" customFormat="false" ht="15" hidden="false" customHeight="false" outlineLevel="0" collapsed="false">
      <c r="C771" s="45"/>
      <c r="E771" s="46"/>
      <c r="F771" s="44"/>
      <c r="G771" s="44"/>
      <c r="I771" s="47"/>
    </row>
    <row r="772" customFormat="false" ht="15" hidden="false" customHeight="false" outlineLevel="0" collapsed="false">
      <c r="C772" s="45"/>
      <c r="E772" s="46"/>
      <c r="F772" s="44"/>
      <c r="G772" s="44"/>
      <c r="I772" s="47"/>
    </row>
    <row r="773" customFormat="false" ht="15" hidden="false" customHeight="false" outlineLevel="0" collapsed="false">
      <c r="C773" s="45"/>
      <c r="E773" s="46"/>
      <c r="F773" s="44"/>
      <c r="G773" s="44"/>
      <c r="I773" s="47"/>
    </row>
    <row r="774" customFormat="false" ht="15" hidden="false" customHeight="false" outlineLevel="0" collapsed="false">
      <c r="C774" s="45"/>
      <c r="E774" s="46"/>
      <c r="F774" s="44"/>
      <c r="G774" s="44"/>
      <c r="I774" s="47"/>
    </row>
    <row r="775" customFormat="false" ht="15" hidden="false" customHeight="false" outlineLevel="0" collapsed="false">
      <c r="C775" s="45"/>
      <c r="E775" s="46"/>
      <c r="F775" s="44"/>
      <c r="G775" s="44"/>
      <c r="I775" s="47"/>
    </row>
    <row r="776" customFormat="false" ht="15" hidden="false" customHeight="false" outlineLevel="0" collapsed="false">
      <c r="C776" s="45"/>
      <c r="E776" s="46"/>
      <c r="F776" s="44"/>
      <c r="G776" s="44"/>
      <c r="I776" s="47"/>
    </row>
    <row r="777" customFormat="false" ht="15" hidden="false" customHeight="false" outlineLevel="0" collapsed="false">
      <c r="C777" s="45"/>
      <c r="E777" s="46"/>
      <c r="F777" s="44"/>
      <c r="G777" s="44"/>
      <c r="I777" s="47"/>
    </row>
    <row r="778" customFormat="false" ht="15" hidden="false" customHeight="false" outlineLevel="0" collapsed="false">
      <c r="C778" s="45"/>
      <c r="E778" s="46"/>
      <c r="F778" s="44"/>
      <c r="G778" s="44"/>
      <c r="I778" s="47"/>
    </row>
    <row r="779" customFormat="false" ht="15" hidden="false" customHeight="false" outlineLevel="0" collapsed="false">
      <c r="C779" s="45"/>
      <c r="E779" s="46"/>
      <c r="F779" s="44"/>
      <c r="G779" s="44"/>
      <c r="I779" s="47"/>
    </row>
    <row r="780" customFormat="false" ht="15" hidden="false" customHeight="false" outlineLevel="0" collapsed="false">
      <c r="C780" s="45"/>
      <c r="E780" s="46"/>
      <c r="F780" s="44"/>
      <c r="G780" s="44"/>
      <c r="I780" s="47"/>
    </row>
    <row r="781" customFormat="false" ht="15" hidden="false" customHeight="false" outlineLevel="0" collapsed="false">
      <c r="C781" s="45"/>
      <c r="E781" s="46"/>
      <c r="F781" s="44"/>
      <c r="G781" s="44"/>
      <c r="I781" s="47"/>
    </row>
    <row r="782" customFormat="false" ht="15" hidden="false" customHeight="false" outlineLevel="0" collapsed="false">
      <c r="C782" s="45"/>
      <c r="E782" s="46"/>
      <c r="F782" s="44"/>
      <c r="G782" s="44"/>
      <c r="I782" s="47"/>
    </row>
    <row r="783" customFormat="false" ht="15" hidden="false" customHeight="false" outlineLevel="0" collapsed="false">
      <c r="C783" s="45"/>
      <c r="E783" s="46"/>
      <c r="F783" s="44"/>
      <c r="G783" s="44"/>
      <c r="I783" s="47"/>
    </row>
    <row r="784" customFormat="false" ht="15" hidden="false" customHeight="false" outlineLevel="0" collapsed="false">
      <c r="C784" s="45"/>
      <c r="E784" s="46"/>
      <c r="F784" s="44"/>
      <c r="G784" s="44"/>
      <c r="I784" s="47"/>
    </row>
    <row r="785" customFormat="false" ht="15" hidden="false" customHeight="false" outlineLevel="0" collapsed="false">
      <c r="C785" s="45"/>
      <c r="E785" s="46"/>
      <c r="F785" s="44"/>
      <c r="G785" s="44"/>
      <c r="I785" s="47"/>
    </row>
    <row r="786" customFormat="false" ht="15" hidden="false" customHeight="false" outlineLevel="0" collapsed="false">
      <c r="C786" s="45"/>
      <c r="E786" s="46"/>
      <c r="F786" s="44"/>
      <c r="G786" s="44"/>
      <c r="I786" s="47"/>
    </row>
    <row r="787" customFormat="false" ht="15" hidden="false" customHeight="false" outlineLevel="0" collapsed="false">
      <c r="C787" s="45"/>
      <c r="E787" s="46"/>
      <c r="F787" s="44"/>
      <c r="G787" s="44"/>
      <c r="I787" s="47"/>
    </row>
    <row r="788" customFormat="false" ht="15" hidden="false" customHeight="false" outlineLevel="0" collapsed="false">
      <c r="C788" s="45"/>
      <c r="E788" s="46"/>
      <c r="F788" s="44"/>
      <c r="G788" s="44"/>
      <c r="I788" s="47"/>
    </row>
    <row r="789" customFormat="false" ht="15" hidden="false" customHeight="false" outlineLevel="0" collapsed="false">
      <c r="C789" s="45"/>
      <c r="E789" s="46"/>
      <c r="F789" s="44"/>
      <c r="G789" s="44"/>
      <c r="I789" s="47"/>
    </row>
    <row r="790" customFormat="false" ht="15" hidden="false" customHeight="false" outlineLevel="0" collapsed="false">
      <c r="C790" s="45"/>
      <c r="E790" s="46"/>
      <c r="F790" s="44"/>
      <c r="G790" s="44"/>
      <c r="I790" s="47"/>
    </row>
    <row r="791" customFormat="false" ht="15" hidden="false" customHeight="false" outlineLevel="0" collapsed="false">
      <c r="C791" s="45"/>
      <c r="E791" s="46"/>
      <c r="F791" s="44"/>
      <c r="G791" s="44"/>
      <c r="I791" s="47"/>
    </row>
    <row r="792" customFormat="false" ht="15" hidden="false" customHeight="false" outlineLevel="0" collapsed="false">
      <c r="C792" s="45"/>
      <c r="E792" s="46"/>
      <c r="F792" s="44"/>
      <c r="G792" s="44"/>
      <c r="I792" s="47"/>
    </row>
    <row r="793" customFormat="false" ht="15" hidden="false" customHeight="false" outlineLevel="0" collapsed="false">
      <c r="C793" s="45"/>
      <c r="E793" s="46"/>
      <c r="F793" s="44"/>
      <c r="G793" s="44"/>
      <c r="I793" s="47"/>
    </row>
    <row r="794" customFormat="false" ht="15" hidden="false" customHeight="false" outlineLevel="0" collapsed="false">
      <c r="C794" s="45"/>
      <c r="E794" s="46"/>
      <c r="F794" s="44"/>
      <c r="G794" s="44"/>
      <c r="I794" s="47"/>
    </row>
    <row r="795" customFormat="false" ht="15" hidden="false" customHeight="false" outlineLevel="0" collapsed="false">
      <c r="C795" s="45"/>
      <c r="E795" s="46"/>
      <c r="F795" s="44"/>
      <c r="G795" s="44"/>
      <c r="I795" s="47"/>
    </row>
    <row r="796" customFormat="false" ht="15" hidden="false" customHeight="false" outlineLevel="0" collapsed="false">
      <c r="C796" s="45"/>
      <c r="E796" s="46"/>
      <c r="F796" s="44"/>
      <c r="G796" s="44"/>
      <c r="I796" s="47"/>
    </row>
    <row r="797" customFormat="false" ht="15" hidden="false" customHeight="false" outlineLevel="0" collapsed="false">
      <c r="C797" s="45"/>
      <c r="E797" s="46"/>
      <c r="F797" s="44"/>
      <c r="G797" s="44"/>
      <c r="I797" s="47"/>
    </row>
    <row r="798" customFormat="false" ht="15" hidden="false" customHeight="false" outlineLevel="0" collapsed="false">
      <c r="C798" s="45"/>
      <c r="E798" s="46"/>
      <c r="F798" s="44"/>
      <c r="G798" s="44"/>
      <c r="I798" s="47"/>
    </row>
    <row r="799" customFormat="false" ht="15" hidden="false" customHeight="false" outlineLevel="0" collapsed="false">
      <c r="C799" s="45"/>
      <c r="E799" s="46"/>
      <c r="F799" s="44"/>
      <c r="G799" s="44"/>
      <c r="I799" s="47"/>
    </row>
    <row r="800" customFormat="false" ht="15" hidden="false" customHeight="false" outlineLevel="0" collapsed="false">
      <c r="C800" s="45"/>
      <c r="E800" s="46"/>
      <c r="F800" s="44"/>
      <c r="G800" s="44"/>
      <c r="I800" s="47"/>
    </row>
    <row r="801" customFormat="false" ht="15" hidden="false" customHeight="false" outlineLevel="0" collapsed="false">
      <c r="C801" s="45"/>
      <c r="E801" s="46"/>
      <c r="F801" s="44"/>
      <c r="G801" s="44"/>
      <c r="I801" s="47"/>
    </row>
    <row r="802" customFormat="false" ht="15" hidden="false" customHeight="false" outlineLevel="0" collapsed="false">
      <c r="C802" s="45"/>
      <c r="E802" s="46"/>
      <c r="F802" s="44"/>
      <c r="G802" s="44"/>
      <c r="I802" s="47"/>
    </row>
    <row r="803" customFormat="false" ht="15" hidden="false" customHeight="false" outlineLevel="0" collapsed="false">
      <c r="C803" s="45"/>
      <c r="E803" s="46"/>
      <c r="F803" s="44"/>
      <c r="G803" s="44"/>
      <c r="I803" s="47"/>
    </row>
    <row r="804" customFormat="false" ht="15" hidden="false" customHeight="false" outlineLevel="0" collapsed="false">
      <c r="C804" s="45"/>
      <c r="E804" s="46"/>
      <c r="F804" s="44"/>
      <c r="G804" s="44"/>
      <c r="I804" s="47"/>
    </row>
    <row r="805" customFormat="false" ht="15" hidden="false" customHeight="false" outlineLevel="0" collapsed="false">
      <c r="C805" s="45"/>
      <c r="E805" s="46"/>
      <c r="F805" s="44"/>
      <c r="G805" s="44"/>
      <c r="I805" s="47"/>
    </row>
    <row r="806" customFormat="false" ht="15" hidden="false" customHeight="false" outlineLevel="0" collapsed="false">
      <c r="C806" s="45"/>
      <c r="E806" s="46"/>
      <c r="F806" s="44"/>
      <c r="G806" s="44"/>
      <c r="I806" s="47"/>
    </row>
    <row r="807" customFormat="false" ht="15" hidden="false" customHeight="false" outlineLevel="0" collapsed="false">
      <c r="C807" s="45"/>
      <c r="E807" s="46"/>
      <c r="F807" s="44"/>
      <c r="G807" s="44"/>
      <c r="I807" s="47"/>
    </row>
    <row r="808" customFormat="false" ht="15" hidden="false" customHeight="false" outlineLevel="0" collapsed="false">
      <c r="C808" s="45"/>
      <c r="E808" s="46"/>
      <c r="F808" s="44"/>
      <c r="G808" s="44"/>
      <c r="I808" s="47"/>
    </row>
    <row r="809" customFormat="false" ht="15" hidden="false" customHeight="false" outlineLevel="0" collapsed="false">
      <c r="C809" s="45"/>
      <c r="E809" s="46"/>
      <c r="F809" s="44"/>
      <c r="G809" s="44"/>
      <c r="I809" s="47"/>
    </row>
    <row r="810" customFormat="false" ht="15" hidden="false" customHeight="false" outlineLevel="0" collapsed="false">
      <c r="C810" s="45"/>
      <c r="E810" s="46"/>
      <c r="F810" s="44"/>
      <c r="G810" s="44"/>
      <c r="I810" s="47"/>
    </row>
    <row r="811" customFormat="false" ht="15" hidden="false" customHeight="false" outlineLevel="0" collapsed="false">
      <c r="C811" s="45"/>
      <c r="E811" s="46"/>
      <c r="F811" s="44"/>
      <c r="G811" s="44"/>
      <c r="I811" s="47"/>
    </row>
    <row r="812" customFormat="false" ht="15" hidden="false" customHeight="false" outlineLevel="0" collapsed="false">
      <c r="C812" s="45"/>
      <c r="E812" s="46"/>
      <c r="F812" s="44"/>
      <c r="G812" s="44"/>
      <c r="I812" s="47"/>
    </row>
    <row r="813" customFormat="false" ht="15" hidden="false" customHeight="false" outlineLevel="0" collapsed="false">
      <c r="C813" s="45"/>
      <c r="E813" s="46"/>
      <c r="F813" s="44"/>
      <c r="G813" s="44"/>
      <c r="I813" s="47"/>
    </row>
    <row r="814" customFormat="false" ht="15" hidden="false" customHeight="false" outlineLevel="0" collapsed="false">
      <c r="C814" s="45"/>
      <c r="E814" s="46"/>
      <c r="F814" s="44"/>
      <c r="G814" s="44"/>
      <c r="I814" s="47"/>
    </row>
    <row r="815" customFormat="false" ht="15" hidden="false" customHeight="false" outlineLevel="0" collapsed="false">
      <c r="C815" s="45"/>
      <c r="E815" s="46"/>
      <c r="F815" s="44"/>
      <c r="G815" s="44"/>
      <c r="I815" s="47"/>
    </row>
    <row r="816" customFormat="false" ht="15" hidden="false" customHeight="false" outlineLevel="0" collapsed="false">
      <c r="C816" s="45"/>
      <c r="E816" s="46"/>
      <c r="F816" s="44"/>
      <c r="G816" s="44"/>
      <c r="I816" s="47"/>
    </row>
    <row r="817" customFormat="false" ht="15" hidden="false" customHeight="false" outlineLevel="0" collapsed="false">
      <c r="C817" s="45"/>
      <c r="E817" s="46"/>
      <c r="F817" s="44"/>
      <c r="G817" s="44"/>
      <c r="I817" s="47"/>
    </row>
    <row r="818" customFormat="false" ht="15" hidden="false" customHeight="false" outlineLevel="0" collapsed="false">
      <c r="C818" s="45"/>
      <c r="E818" s="46"/>
      <c r="F818" s="44"/>
      <c r="G818" s="44"/>
      <c r="I818" s="47"/>
    </row>
    <row r="819" customFormat="false" ht="15" hidden="false" customHeight="false" outlineLevel="0" collapsed="false">
      <c r="C819" s="45"/>
      <c r="E819" s="46"/>
      <c r="F819" s="44"/>
      <c r="G819" s="44"/>
      <c r="I819" s="47"/>
    </row>
    <row r="820" customFormat="false" ht="15" hidden="false" customHeight="false" outlineLevel="0" collapsed="false">
      <c r="C820" s="45"/>
      <c r="E820" s="46"/>
      <c r="F820" s="44"/>
      <c r="G820" s="44"/>
      <c r="I820" s="47"/>
    </row>
    <row r="821" customFormat="false" ht="15" hidden="false" customHeight="false" outlineLevel="0" collapsed="false">
      <c r="C821" s="45"/>
      <c r="E821" s="46"/>
      <c r="F821" s="44"/>
      <c r="G821" s="44"/>
      <c r="I821" s="47"/>
    </row>
    <row r="822" customFormat="false" ht="15" hidden="false" customHeight="false" outlineLevel="0" collapsed="false">
      <c r="C822" s="45"/>
      <c r="E822" s="46"/>
      <c r="F822" s="44"/>
      <c r="G822" s="44"/>
      <c r="I822" s="47"/>
    </row>
    <row r="823" customFormat="false" ht="15" hidden="false" customHeight="false" outlineLevel="0" collapsed="false">
      <c r="C823" s="45"/>
      <c r="E823" s="46"/>
      <c r="F823" s="44"/>
      <c r="G823" s="44"/>
      <c r="I823" s="47"/>
    </row>
    <row r="824" customFormat="false" ht="15" hidden="false" customHeight="false" outlineLevel="0" collapsed="false">
      <c r="C824" s="45"/>
      <c r="E824" s="46"/>
      <c r="F824" s="44"/>
      <c r="G824" s="44"/>
      <c r="I824" s="47"/>
    </row>
    <row r="825" customFormat="false" ht="15" hidden="false" customHeight="false" outlineLevel="0" collapsed="false">
      <c r="C825" s="45"/>
      <c r="E825" s="46"/>
      <c r="F825" s="44"/>
      <c r="G825" s="44"/>
      <c r="I825" s="47"/>
    </row>
    <row r="826" customFormat="false" ht="15" hidden="false" customHeight="false" outlineLevel="0" collapsed="false">
      <c r="C826" s="45"/>
      <c r="E826" s="46"/>
      <c r="F826" s="44"/>
      <c r="G826" s="44"/>
      <c r="I826" s="47"/>
    </row>
    <row r="827" customFormat="false" ht="15" hidden="false" customHeight="false" outlineLevel="0" collapsed="false">
      <c r="C827" s="45"/>
      <c r="E827" s="46"/>
      <c r="F827" s="44"/>
      <c r="G827" s="44"/>
      <c r="I827" s="47"/>
    </row>
    <row r="828" customFormat="false" ht="15" hidden="false" customHeight="false" outlineLevel="0" collapsed="false">
      <c r="C828" s="45"/>
      <c r="E828" s="46"/>
      <c r="F828" s="44"/>
      <c r="G828" s="44"/>
      <c r="I828" s="47"/>
    </row>
    <row r="829" customFormat="false" ht="15" hidden="false" customHeight="false" outlineLevel="0" collapsed="false">
      <c r="C829" s="45"/>
      <c r="E829" s="46"/>
      <c r="F829" s="44"/>
      <c r="G829" s="44"/>
      <c r="I829" s="47"/>
    </row>
    <row r="830" customFormat="false" ht="15" hidden="false" customHeight="false" outlineLevel="0" collapsed="false">
      <c r="C830" s="45"/>
      <c r="E830" s="46"/>
      <c r="F830" s="44"/>
      <c r="G830" s="44"/>
      <c r="I830" s="47"/>
    </row>
    <row r="831" customFormat="false" ht="15" hidden="false" customHeight="false" outlineLevel="0" collapsed="false">
      <c r="C831" s="45"/>
      <c r="E831" s="46"/>
      <c r="F831" s="44"/>
      <c r="G831" s="44"/>
      <c r="I831" s="47"/>
    </row>
    <row r="832" customFormat="false" ht="15" hidden="false" customHeight="false" outlineLevel="0" collapsed="false">
      <c r="C832" s="45"/>
      <c r="E832" s="46"/>
      <c r="F832" s="44"/>
      <c r="G832" s="44"/>
      <c r="I832" s="47"/>
    </row>
    <row r="833" customFormat="false" ht="15" hidden="false" customHeight="false" outlineLevel="0" collapsed="false">
      <c r="C833" s="45"/>
      <c r="E833" s="46"/>
      <c r="F833" s="44"/>
      <c r="G833" s="44"/>
      <c r="I833" s="47"/>
    </row>
    <row r="834" customFormat="false" ht="15" hidden="false" customHeight="false" outlineLevel="0" collapsed="false">
      <c r="C834" s="45"/>
      <c r="E834" s="46"/>
      <c r="F834" s="44"/>
      <c r="G834" s="44"/>
      <c r="I834" s="47"/>
    </row>
    <row r="835" customFormat="false" ht="15" hidden="false" customHeight="false" outlineLevel="0" collapsed="false">
      <c r="C835" s="45"/>
      <c r="E835" s="46"/>
      <c r="F835" s="44"/>
      <c r="G835" s="44"/>
      <c r="I835" s="47"/>
    </row>
    <row r="836" customFormat="false" ht="15" hidden="false" customHeight="false" outlineLevel="0" collapsed="false">
      <c r="C836" s="45"/>
      <c r="E836" s="46"/>
      <c r="F836" s="44"/>
      <c r="G836" s="44"/>
      <c r="I836" s="47"/>
    </row>
    <row r="837" customFormat="false" ht="15" hidden="false" customHeight="false" outlineLevel="0" collapsed="false">
      <c r="C837" s="45"/>
      <c r="E837" s="46"/>
      <c r="F837" s="44"/>
      <c r="G837" s="44"/>
      <c r="I837" s="47"/>
    </row>
    <row r="838" customFormat="false" ht="15" hidden="false" customHeight="false" outlineLevel="0" collapsed="false">
      <c r="C838" s="45"/>
      <c r="E838" s="46"/>
      <c r="F838" s="44"/>
      <c r="G838" s="44"/>
      <c r="I838" s="47"/>
    </row>
    <row r="839" customFormat="false" ht="15" hidden="false" customHeight="false" outlineLevel="0" collapsed="false">
      <c r="C839" s="45"/>
      <c r="E839" s="46"/>
      <c r="F839" s="44"/>
      <c r="G839" s="44"/>
      <c r="I839" s="47"/>
    </row>
    <row r="840" customFormat="false" ht="15" hidden="false" customHeight="false" outlineLevel="0" collapsed="false">
      <c r="C840" s="45"/>
      <c r="E840" s="46"/>
      <c r="F840" s="44"/>
      <c r="G840" s="44"/>
      <c r="I840" s="47"/>
    </row>
    <row r="841" customFormat="false" ht="15" hidden="false" customHeight="false" outlineLevel="0" collapsed="false">
      <c r="C841" s="45"/>
      <c r="E841" s="46"/>
      <c r="F841" s="44"/>
      <c r="G841" s="44"/>
      <c r="I841" s="47"/>
    </row>
    <row r="842" customFormat="false" ht="15" hidden="false" customHeight="false" outlineLevel="0" collapsed="false">
      <c r="C842" s="45"/>
      <c r="E842" s="46"/>
      <c r="F842" s="44"/>
      <c r="G842" s="44"/>
      <c r="I842" s="47"/>
    </row>
    <row r="843" customFormat="false" ht="15" hidden="false" customHeight="false" outlineLevel="0" collapsed="false">
      <c r="C843" s="45"/>
      <c r="E843" s="46"/>
      <c r="F843" s="44"/>
      <c r="G843" s="44"/>
      <c r="I843" s="47"/>
    </row>
    <row r="844" customFormat="false" ht="15" hidden="false" customHeight="false" outlineLevel="0" collapsed="false">
      <c r="C844" s="45"/>
      <c r="E844" s="46"/>
      <c r="F844" s="44"/>
      <c r="G844" s="44"/>
      <c r="I844" s="47"/>
    </row>
    <row r="845" customFormat="false" ht="15" hidden="false" customHeight="false" outlineLevel="0" collapsed="false">
      <c r="C845" s="45"/>
      <c r="E845" s="46"/>
      <c r="F845" s="44"/>
      <c r="G845" s="44"/>
      <c r="I845" s="47"/>
    </row>
    <row r="846" customFormat="false" ht="15" hidden="false" customHeight="false" outlineLevel="0" collapsed="false">
      <c r="C846" s="45"/>
      <c r="E846" s="46"/>
      <c r="F846" s="44"/>
      <c r="G846" s="44"/>
      <c r="I846" s="47"/>
    </row>
    <row r="847" customFormat="false" ht="15" hidden="false" customHeight="false" outlineLevel="0" collapsed="false">
      <c r="C847" s="45"/>
      <c r="E847" s="46"/>
      <c r="F847" s="44"/>
      <c r="G847" s="44"/>
      <c r="I847" s="47"/>
    </row>
    <row r="848" customFormat="false" ht="15" hidden="false" customHeight="false" outlineLevel="0" collapsed="false">
      <c r="C848" s="45"/>
      <c r="E848" s="46"/>
      <c r="F848" s="44"/>
      <c r="G848" s="44"/>
      <c r="I848" s="47"/>
    </row>
    <row r="849" customFormat="false" ht="15" hidden="false" customHeight="false" outlineLevel="0" collapsed="false">
      <c r="C849" s="45"/>
      <c r="E849" s="46"/>
      <c r="F849" s="44"/>
      <c r="G849" s="44"/>
      <c r="I849" s="47"/>
    </row>
    <row r="850" customFormat="false" ht="15" hidden="false" customHeight="false" outlineLevel="0" collapsed="false">
      <c r="C850" s="45"/>
      <c r="E850" s="46"/>
      <c r="F850" s="44"/>
      <c r="G850" s="44"/>
      <c r="I850" s="47"/>
    </row>
    <row r="851" customFormat="false" ht="15" hidden="false" customHeight="false" outlineLevel="0" collapsed="false">
      <c r="C851" s="45"/>
      <c r="E851" s="46"/>
      <c r="F851" s="44"/>
      <c r="G851" s="44"/>
      <c r="I851" s="47"/>
    </row>
    <row r="852" customFormat="false" ht="15" hidden="false" customHeight="false" outlineLevel="0" collapsed="false">
      <c r="C852" s="45"/>
      <c r="E852" s="46"/>
      <c r="F852" s="44"/>
      <c r="G852" s="44"/>
      <c r="I852" s="47"/>
    </row>
    <row r="853" customFormat="false" ht="15" hidden="false" customHeight="false" outlineLevel="0" collapsed="false">
      <c r="C853" s="45"/>
      <c r="E853" s="46"/>
      <c r="F853" s="44"/>
      <c r="G853" s="44"/>
      <c r="I853" s="47"/>
    </row>
    <row r="854" customFormat="false" ht="15" hidden="false" customHeight="false" outlineLevel="0" collapsed="false">
      <c r="C854" s="45"/>
      <c r="E854" s="46"/>
      <c r="F854" s="44"/>
      <c r="G854" s="44"/>
      <c r="I854" s="47"/>
    </row>
    <row r="855" customFormat="false" ht="15" hidden="false" customHeight="false" outlineLevel="0" collapsed="false">
      <c r="C855" s="45"/>
      <c r="E855" s="46"/>
      <c r="F855" s="44"/>
      <c r="G855" s="44"/>
      <c r="I855" s="47"/>
    </row>
    <row r="856" customFormat="false" ht="15" hidden="false" customHeight="false" outlineLevel="0" collapsed="false">
      <c r="C856" s="45"/>
      <c r="E856" s="46"/>
      <c r="F856" s="44"/>
      <c r="G856" s="44"/>
      <c r="I856" s="47"/>
    </row>
    <row r="857" customFormat="false" ht="15" hidden="false" customHeight="false" outlineLevel="0" collapsed="false">
      <c r="C857" s="45"/>
      <c r="E857" s="46"/>
      <c r="F857" s="44"/>
      <c r="G857" s="44"/>
      <c r="I857" s="47"/>
    </row>
    <row r="858" customFormat="false" ht="15" hidden="false" customHeight="false" outlineLevel="0" collapsed="false">
      <c r="C858" s="45"/>
      <c r="E858" s="46"/>
      <c r="F858" s="44"/>
      <c r="G858" s="44"/>
      <c r="I858" s="47"/>
    </row>
    <row r="859" customFormat="false" ht="15" hidden="false" customHeight="false" outlineLevel="0" collapsed="false">
      <c r="C859" s="45"/>
      <c r="E859" s="46"/>
      <c r="F859" s="44"/>
      <c r="G859" s="44"/>
      <c r="I859" s="47"/>
    </row>
    <row r="860" customFormat="false" ht="15" hidden="false" customHeight="false" outlineLevel="0" collapsed="false">
      <c r="C860" s="45"/>
      <c r="E860" s="46"/>
      <c r="F860" s="44"/>
      <c r="G860" s="44"/>
      <c r="I860" s="47"/>
    </row>
    <row r="861" customFormat="false" ht="15" hidden="false" customHeight="false" outlineLevel="0" collapsed="false">
      <c r="C861" s="45"/>
      <c r="E861" s="46"/>
      <c r="F861" s="44"/>
      <c r="G861" s="44"/>
      <c r="I861" s="47"/>
    </row>
    <row r="862" customFormat="false" ht="15" hidden="false" customHeight="false" outlineLevel="0" collapsed="false">
      <c r="C862" s="45"/>
      <c r="E862" s="46"/>
      <c r="F862" s="44"/>
      <c r="G862" s="44"/>
      <c r="I862" s="47"/>
    </row>
    <row r="863" customFormat="false" ht="15" hidden="false" customHeight="false" outlineLevel="0" collapsed="false">
      <c r="C863" s="45"/>
      <c r="E863" s="46"/>
      <c r="F863" s="44"/>
      <c r="G863" s="44"/>
      <c r="I863" s="47"/>
    </row>
    <row r="864" customFormat="false" ht="15" hidden="false" customHeight="false" outlineLevel="0" collapsed="false">
      <c r="C864" s="45"/>
      <c r="E864" s="46"/>
      <c r="F864" s="44"/>
      <c r="G864" s="44"/>
      <c r="I864" s="47"/>
    </row>
    <row r="865" customFormat="false" ht="15" hidden="false" customHeight="false" outlineLevel="0" collapsed="false">
      <c r="C865" s="45"/>
      <c r="E865" s="46"/>
      <c r="F865" s="44"/>
      <c r="G865" s="44"/>
      <c r="I865" s="47"/>
    </row>
    <row r="866" customFormat="false" ht="15" hidden="false" customHeight="false" outlineLevel="0" collapsed="false">
      <c r="C866" s="45"/>
      <c r="E866" s="46"/>
      <c r="F866" s="44"/>
      <c r="G866" s="44"/>
      <c r="I866" s="47"/>
    </row>
    <row r="867" customFormat="false" ht="15" hidden="false" customHeight="false" outlineLevel="0" collapsed="false">
      <c r="C867" s="45"/>
      <c r="E867" s="46"/>
      <c r="F867" s="44"/>
      <c r="G867" s="44"/>
      <c r="I867" s="47"/>
    </row>
    <row r="868" customFormat="false" ht="15" hidden="false" customHeight="false" outlineLevel="0" collapsed="false">
      <c r="C868" s="45"/>
      <c r="E868" s="46"/>
      <c r="F868" s="44"/>
      <c r="G868" s="44"/>
      <c r="I868" s="47"/>
    </row>
    <row r="869" customFormat="false" ht="15" hidden="false" customHeight="false" outlineLevel="0" collapsed="false">
      <c r="C869" s="45"/>
      <c r="E869" s="46"/>
      <c r="F869" s="44"/>
      <c r="G869" s="44"/>
      <c r="I869" s="47"/>
    </row>
    <row r="870" customFormat="false" ht="15" hidden="false" customHeight="false" outlineLevel="0" collapsed="false">
      <c r="C870" s="45"/>
      <c r="E870" s="46"/>
      <c r="F870" s="44"/>
      <c r="G870" s="44"/>
      <c r="I870" s="47"/>
    </row>
    <row r="871" customFormat="false" ht="15" hidden="false" customHeight="false" outlineLevel="0" collapsed="false">
      <c r="C871" s="45"/>
      <c r="E871" s="46"/>
      <c r="F871" s="44"/>
      <c r="G871" s="44"/>
      <c r="I871" s="47"/>
    </row>
    <row r="872" customFormat="false" ht="15" hidden="false" customHeight="false" outlineLevel="0" collapsed="false">
      <c r="C872" s="45"/>
      <c r="E872" s="46"/>
      <c r="F872" s="44"/>
      <c r="G872" s="44"/>
      <c r="I872" s="47"/>
    </row>
    <row r="873" customFormat="false" ht="15" hidden="false" customHeight="false" outlineLevel="0" collapsed="false">
      <c r="C873" s="45"/>
      <c r="E873" s="46"/>
      <c r="F873" s="44"/>
      <c r="G873" s="44"/>
      <c r="I873" s="47"/>
    </row>
    <row r="874" customFormat="false" ht="15" hidden="false" customHeight="false" outlineLevel="0" collapsed="false">
      <c r="C874" s="45"/>
      <c r="E874" s="46"/>
      <c r="F874" s="44"/>
      <c r="G874" s="44"/>
      <c r="I874" s="47"/>
    </row>
    <row r="875" customFormat="false" ht="15" hidden="false" customHeight="false" outlineLevel="0" collapsed="false">
      <c r="C875" s="45"/>
      <c r="E875" s="46"/>
      <c r="F875" s="44"/>
      <c r="G875" s="44"/>
      <c r="I875" s="47"/>
    </row>
    <row r="876" customFormat="false" ht="15" hidden="false" customHeight="false" outlineLevel="0" collapsed="false">
      <c r="C876" s="45"/>
      <c r="E876" s="46"/>
      <c r="F876" s="44"/>
      <c r="G876" s="44"/>
      <c r="I876" s="47"/>
    </row>
    <row r="877" customFormat="false" ht="15" hidden="false" customHeight="false" outlineLevel="0" collapsed="false">
      <c r="C877" s="45"/>
      <c r="E877" s="46"/>
      <c r="F877" s="44"/>
      <c r="G877" s="44"/>
      <c r="I877" s="47"/>
    </row>
    <row r="878" customFormat="false" ht="15" hidden="false" customHeight="false" outlineLevel="0" collapsed="false">
      <c r="C878" s="45"/>
      <c r="E878" s="46"/>
      <c r="F878" s="44"/>
      <c r="G878" s="44"/>
      <c r="I878" s="47"/>
    </row>
    <row r="879" customFormat="false" ht="15" hidden="false" customHeight="false" outlineLevel="0" collapsed="false">
      <c r="C879" s="45"/>
      <c r="E879" s="46"/>
      <c r="F879" s="44"/>
      <c r="G879" s="44"/>
      <c r="I879" s="47"/>
    </row>
    <row r="880" customFormat="false" ht="15" hidden="false" customHeight="false" outlineLevel="0" collapsed="false">
      <c r="C880" s="45"/>
      <c r="E880" s="46"/>
      <c r="F880" s="44"/>
      <c r="G880" s="44"/>
      <c r="I880" s="47"/>
    </row>
    <row r="881" customFormat="false" ht="15" hidden="false" customHeight="false" outlineLevel="0" collapsed="false">
      <c r="C881" s="45"/>
      <c r="E881" s="46"/>
      <c r="F881" s="44"/>
      <c r="G881" s="44"/>
      <c r="I881" s="47"/>
    </row>
    <row r="882" customFormat="false" ht="15" hidden="false" customHeight="false" outlineLevel="0" collapsed="false">
      <c r="C882" s="45"/>
      <c r="E882" s="46"/>
      <c r="F882" s="44"/>
      <c r="G882" s="44"/>
      <c r="I882" s="47"/>
    </row>
    <row r="883" customFormat="false" ht="15" hidden="false" customHeight="false" outlineLevel="0" collapsed="false">
      <c r="C883" s="45"/>
      <c r="E883" s="46"/>
      <c r="F883" s="44"/>
      <c r="G883" s="44"/>
      <c r="I883" s="47"/>
    </row>
    <row r="884" customFormat="false" ht="15" hidden="false" customHeight="false" outlineLevel="0" collapsed="false">
      <c r="C884" s="45"/>
      <c r="E884" s="46"/>
      <c r="F884" s="44"/>
      <c r="G884" s="44"/>
      <c r="I884" s="47"/>
    </row>
    <row r="885" customFormat="false" ht="15" hidden="false" customHeight="false" outlineLevel="0" collapsed="false">
      <c r="C885" s="45"/>
      <c r="E885" s="46"/>
      <c r="F885" s="44"/>
      <c r="G885" s="44"/>
      <c r="I885" s="47"/>
    </row>
    <row r="886" customFormat="false" ht="15" hidden="false" customHeight="false" outlineLevel="0" collapsed="false">
      <c r="C886" s="45"/>
      <c r="E886" s="46"/>
      <c r="F886" s="44"/>
      <c r="G886" s="44"/>
      <c r="I886" s="47"/>
    </row>
    <row r="887" customFormat="false" ht="15" hidden="false" customHeight="false" outlineLevel="0" collapsed="false">
      <c r="C887" s="45"/>
      <c r="E887" s="46"/>
      <c r="F887" s="44"/>
      <c r="G887" s="44"/>
      <c r="I887" s="47"/>
    </row>
    <row r="888" customFormat="false" ht="15" hidden="false" customHeight="false" outlineLevel="0" collapsed="false">
      <c r="C888" s="45"/>
      <c r="E888" s="46"/>
      <c r="F888" s="44"/>
      <c r="G888" s="44"/>
      <c r="I888" s="47"/>
    </row>
    <row r="889" customFormat="false" ht="15" hidden="false" customHeight="false" outlineLevel="0" collapsed="false">
      <c r="C889" s="45"/>
      <c r="E889" s="46"/>
      <c r="F889" s="44"/>
      <c r="G889" s="44"/>
      <c r="I889" s="47"/>
    </row>
    <row r="890" customFormat="false" ht="15" hidden="false" customHeight="false" outlineLevel="0" collapsed="false">
      <c r="C890" s="45"/>
      <c r="E890" s="46"/>
      <c r="F890" s="44"/>
      <c r="G890" s="44"/>
      <c r="I890" s="47"/>
    </row>
    <row r="891" customFormat="false" ht="15" hidden="false" customHeight="false" outlineLevel="0" collapsed="false">
      <c r="C891" s="45"/>
      <c r="E891" s="46"/>
      <c r="F891" s="44"/>
      <c r="G891" s="44"/>
      <c r="I891" s="47"/>
    </row>
    <row r="892" customFormat="false" ht="15" hidden="false" customHeight="false" outlineLevel="0" collapsed="false">
      <c r="C892" s="45"/>
      <c r="E892" s="46"/>
      <c r="F892" s="44"/>
      <c r="G892" s="44"/>
      <c r="I892" s="47"/>
    </row>
    <row r="893" customFormat="false" ht="15" hidden="false" customHeight="false" outlineLevel="0" collapsed="false">
      <c r="C893" s="45"/>
      <c r="E893" s="46"/>
      <c r="F893" s="44"/>
      <c r="G893" s="44"/>
      <c r="I893" s="47"/>
    </row>
    <row r="894" customFormat="false" ht="15" hidden="false" customHeight="false" outlineLevel="0" collapsed="false">
      <c r="C894" s="45"/>
      <c r="E894" s="46"/>
      <c r="F894" s="44"/>
      <c r="G894" s="44"/>
      <c r="I894" s="47"/>
    </row>
    <row r="895" customFormat="false" ht="15" hidden="false" customHeight="false" outlineLevel="0" collapsed="false">
      <c r="C895" s="45"/>
      <c r="E895" s="46"/>
      <c r="F895" s="44"/>
      <c r="G895" s="44"/>
      <c r="I895" s="47"/>
    </row>
    <row r="896" customFormat="false" ht="15" hidden="false" customHeight="false" outlineLevel="0" collapsed="false">
      <c r="C896" s="45"/>
      <c r="E896" s="46"/>
      <c r="F896" s="44"/>
      <c r="G896" s="44"/>
      <c r="I896" s="47"/>
    </row>
    <row r="897" customFormat="false" ht="15" hidden="false" customHeight="false" outlineLevel="0" collapsed="false">
      <c r="C897" s="45"/>
      <c r="E897" s="46"/>
      <c r="F897" s="44"/>
      <c r="G897" s="44"/>
      <c r="I897" s="47"/>
    </row>
    <row r="898" customFormat="false" ht="15" hidden="false" customHeight="false" outlineLevel="0" collapsed="false">
      <c r="C898" s="45"/>
      <c r="E898" s="46"/>
      <c r="F898" s="44"/>
      <c r="G898" s="44"/>
      <c r="I898" s="47"/>
    </row>
    <row r="899" customFormat="false" ht="15" hidden="false" customHeight="false" outlineLevel="0" collapsed="false">
      <c r="C899" s="45"/>
      <c r="E899" s="46"/>
      <c r="F899" s="44"/>
      <c r="G899" s="44"/>
      <c r="I899" s="47"/>
    </row>
    <row r="900" customFormat="false" ht="15" hidden="false" customHeight="false" outlineLevel="0" collapsed="false">
      <c r="C900" s="45"/>
      <c r="E900" s="46"/>
      <c r="F900" s="44"/>
      <c r="G900" s="44"/>
      <c r="I900" s="47"/>
    </row>
    <row r="901" customFormat="false" ht="15" hidden="false" customHeight="false" outlineLevel="0" collapsed="false">
      <c r="C901" s="45"/>
      <c r="E901" s="46"/>
      <c r="F901" s="44"/>
      <c r="G901" s="44"/>
      <c r="I901" s="47"/>
    </row>
    <row r="902" customFormat="false" ht="15" hidden="false" customHeight="false" outlineLevel="0" collapsed="false">
      <c r="C902" s="45"/>
      <c r="E902" s="46"/>
      <c r="F902" s="44"/>
      <c r="G902" s="44"/>
      <c r="I902" s="47"/>
    </row>
    <row r="903" customFormat="false" ht="15" hidden="false" customHeight="false" outlineLevel="0" collapsed="false">
      <c r="C903" s="45"/>
      <c r="E903" s="46"/>
      <c r="F903" s="44"/>
      <c r="G903" s="44"/>
      <c r="I903" s="47"/>
    </row>
    <row r="904" customFormat="false" ht="15" hidden="false" customHeight="false" outlineLevel="0" collapsed="false">
      <c r="C904" s="45"/>
      <c r="E904" s="46"/>
      <c r="F904" s="44"/>
      <c r="G904" s="44"/>
      <c r="I904" s="47"/>
    </row>
    <row r="905" customFormat="false" ht="15" hidden="false" customHeight="false" outlineLevel="0" collapsed="false">
      <c r="C905" s="45"/>
      <c r="E905" s="46"/>
      <c r="F905" s="44"/>
      <c r="G905" s="44"/>
      <c r="I905" s="47"/>
    </row>
    <row r="906" customFormat="false" ht="15" hidden="false" customHeight="false" outlineLevel="0" collapsed="false">
      <c r="C906" s="45"/>
      <c r="E906" s="46"/>
      <c r="F906" s="44"/>
      <c r="G906" s="44"/>
      <c r="I906" s="47"/>
    </row>
    <row r="907" customFormat="false" ht="15" hidden="false" customHeight="false" outlineLevel="0" collapsed="false">
      <c r="C907" s="45"/>
      <c r="E907" s="46"/>
      <c r="F907" s="44"/>
      <c r="G907" s="44"/>
      <c r="I907" s="47"/>
    </row>
    <row r="908" customFormat="false" ht="15" hidden="false" customHeight="false" outlineLevel="0" collapsed="false">
      <c r="C908" s="45"/>
      <c r="E908" s="46"/>
      <c r="F908" s="44"/>
      <c r="G908" s="44"/>
      <c r="I908" s="47"/>
    </row>
    <row r="909" customFormat="false" ht="15" hidden="false" customHeight="false" outlineLevel="0" collapsed="false">
      <c r="C909" s="45"/>
      <c r="E909" s="46"/>
      <c r="F909" s="44"/>
      <c r="G909" s="44"/>
      <c r="I909" s="47"/>
    </row>
    <row r="910" customFormat="false" ht="15" hidden="false" customHeight="false" outlineLevel="0" collapsed="false">
      <c r="C910" s="45"/>
      <c r="E910" s="46"/>
      <c r="F910" s="44"/>
      <c r="G910" s="44"/>
      <c r="I910" s="47"/>
    </row>
    <row r="911" customFormat="false" ht="15" hidden="false" customHeight="false" outlineLevel="0" collapsed="false">
      <c r="C911" s="45"/>
      <c r="E911" s="46"/>
      <c r="F911" s="44"/>
      <c r="G911" s="44"/>
      <c r="I911" s="47"/>
    </row>
    <row r="912" customFormat="false" ht="15" hidden="false" customHeight="false" outlineLevel="0" collapsed="false">
      <c r="C912" s="45"/>
      <c r="E912" s="46"/>
      <c r="F912" s="44"/>
      <c r="G912" s="44"/>
      <c r="I912" s="47"/>
    </row>
    <row r="913" customFormat="false" ht="15" hidden="false" customHeight="false" outlineLevel="0" collapsed="false">
      <c r="C913" s="45"/>
      <c r="E913" s="46"/>
      <c r="F913" s="44"/>
      <c r="G913" s="44"/>
      <c r="I913" s="47"/>
    </row>
    <row r="914" customFormat="false" ht="15" hidden="false" customHeight="false" outlineLevel="0" collapsed="false">
      <c r="C914" s="45"/>
      <c r="E914" s="46"/>
      <c r="F914" s="44"/>
      <c r="G914" s="44"/>
      <c r="I914" s="47"/>
    </row>
    <row r="915" customFormat="false" ht="15" hidden="false" customHeight="false" outlineLevel="0" collapsed="false">
      <c r="C915" s="45"/>
      <c r="E915" s="46"/>
      <c r="F915" s="44"/>
      <c r="G915" s="44"/>
      <c r="I915" s="47"/>
    </row>
    <row r="916" customFormat="false" ht="15" hidden="false" customHeight="false" outlineLevel="0" collapsed="false">
      <c r="C916" s="45"/>
      <c r="E916" s="46"/>
      <c r="F916" s="44"/>
      <c r="G916" s="44"/>
      <c r="I916" s="47"/>
    </row>
    <row r="917" customFormat="false" ht="15" hidden="false" customHeight="false" outlineLevel="0" collapsed="false">
      <c r="C917" s="45"/>
      <c r="E917" s="46"/>
      <c r="F917" s="44"/>
      <c r="G917" s="44"/>
      <c r="I917" s="47"/>
    </row>
    <row r="918" customFormat="false" ht="15" hidden="false" customHeight="false" outlineLevel="0" collapsed="false">
      <c r="C918" s="45"/>
      <c r="E918" s="46"/>
      <c r="F918" s="44"/>
      <c r="G918" s="44"/>
      <c r="I918" s="47"/>
    </row>
    <row r="919" customFormat="false" ht="15" hidden="false" customHeight="false" outlineLevel="0" collapsed="false">
      <c r="C919" s="45"/>
      <c r="E919" s="46"/>
      <c r="F919" s="44"/>
      <c r="G919" s="44"/>
      <c r="I919" s="47"/>
    </row>
    <row r="920" customFormat="false" ht="15" hidden="false" customHeight="false" outlineLevel="0" collapsed="false">
      <c r="C920" s="45"/>
      <c r="E920" s="46"/>
      <c r="F920" s="44"/>
      <c r="G920" s="44"/>
      <c r="I920" s="47"/>
    </row>
    <row r="921" customFormat="false" ht="15" hidden="false" customHeight="false" outlineLevel="0" collapsed="false">
      <c r="C921" s="45"/>
      <c r="E921" s="46"/>
      <c r="F921" s="44"/>
      <c r="G921" s="44"/>
      <c r="I921" s="47"/>
    </row>
    <row r="922" customFormat="false" ht="15" hidden="false" customHeight="false" outlineLevel="0" collapsed="false">
      <c r="C922" s="45"/>
      <c r="E922" s="46"/>
      <c r="F922" s="44"/>
      <c r="G922" s="44"/>
      <c r="I922" s="47"/>
    </row>
    <row r="923" customFormat="false" ht="15" hidden="false" customHeight="false" outlineLevel="0" collapsed="false">
      <c r="C923" s="45"/>
      <c r="E923" s="46"/>
      <c r="F923" s="44"/>
      <c r="G923" s="44"/>
      <c r="I923" s="47"/>
    </row>
    <row r="924" customFormat="false" ht="15" hidden="false" customHeight="false" outlineLevel="0" collapsed="false">
      <c r="C924" s="45"/>
      <c r="E924" s="46"/>
      <c r="F924" s="44"/>
      <c r="G924" s="44"/>
      <c r="I924" s="47"/>
    </row>
    <row r="925" customFormat="false" ht="15" hidden="false" customHeight="false" outlineLevel="0" collapsed="false">
      <c r="C925" s="45"/>
      <c r="E925" s="46"/>
      <c r="F925" s="44"/>
      <c r="G925" s="44"/>
      <c r="I925" s="47"/>
    </row>
    <row r="926" customFormat="false" ht="15" hidden="false" customHeight="false" outlineLevel="0" collapsed="false">
      <c r="C926" s="45"/>
      <c r="E926" s="46"/>
      <c r="F926" s="44"/>
      <c r="G926" s="44"/>
      <c r="I926" s="47"/>
    </row>
    <row r="927" customFormat="false" ht="15" hidden="false" customHeight="false" outlineLevel="0" collapsed="false">
      <c r="C927" s="45"/>
      <c r="E927" s="46"/>
      <c r="F927" s="44"/>
      <c r="G927" s="44"/>
      <c r="I927" s="47"/>
    </row>
    <row r="928" customFormat="false" ht="15" hidden="false" customHeight="false" outlineLevel="0" collapsed="false">
      <c r="C928" s="45"/>
      <c r="E928" s="46"/>
      <c r="F928" s="44"/>
      <c r="G928" s="44"/>
      <c r="I928" s="47"/>
    </row>
    <row r="929" customFormat="false" ht="15" hidden="false" customHeight="false" outlineLevel="0" collapsed="false">
      <c r="C929" s="45"/>
      <c r="E929" s="46"/>
      <c r="F929" s="44"/>
      <c r="G929" s="44"/>
      <c r="I929" s="47"/>
    </row>
    <row r="930" customFormat="false" ht="15" hidden="false" customHeight="false" outlineLevel="0" collapsed="false">
      <c r="C930" s="45"/>
      <c r="E930" s="46"/>
      <c r="F930" s="44"/>
      <c r="G930" s="44"/>
      <c r="I930" s="47"/>
    </row>
    <row r="931" customFormat="false" ht="15" hidden="false" customHeight="false" outlineLevel="0" collapsed="false">
      <c r="C931" s="45"/>
      <c r="E931" s="46"/>
      <c r="F931" s="44"/>
      <c r="G931" s="44"/>
      <c r="I931" s="47"/>
    </row>
    <row r="932" customFormat="false" ht="15" hidden="false" customHeight="false" outlineLevel="0" collapsed="false">
      <c r="C932" s="45"/>
      <c r="E932" s="46"/>
      <c r="F932" s="44"/>
      <c r="G932" s="44"/>
      <c r="I932" s="47"/>
    </row>
    <row r="933" customFormat="false" ht="15" hidden="false" customHeight="false" outlineLevel="0" collapsed="false">
      <c r="C933" s="45"/>
      <c r="E933" s="46"/>
      <c r="F933" s="44"/>
      <c r="G933" s="44"/>
      <c r="I933" s="47"/>
    </row>
    <row r="934" customFormat="false" ht="15" hidden="false" customHeight="false" outlineLevel="0" collapsed="false">
      <c r="C934" s="45"/>
      <c r="E934" s="46"/>
      <c r="F934" s="44"/>
      <c r="G934" s="44"/>
      <c r="I934" s="47"/>
    </row>
    <row r="935" customFormat="false" ht="15" hidden="false" customHeight="false" outlineLevel="0" collapsed="false">
      <c r="C935" s="45"/>
      <c r="E935" s="46"/>
      <c r="F935" s="44"/>
      <c r="G935" s="44"/>
      <c r="I935" s="47"/>
    </row>
    <row r="936" customFormat="false" ht="15" hidden="false" customHeight="false" outlineLevel="0" collapsed="false">
      <c r="C936" s="45"/>
      <c r="E936" s="46"/>
      <c r="F936" s="44"/>
      <c r="G936" s="44"/>
      <c r="I936" s="47"/>
    </row>
    <row r="937" customFormat="false" ht="15" hidden="false" customHeight="false" outlineLevel="0" collapsed="false">
      <c r="C937" s="45"/>
      <c r="E937" s="46"/>
      <c r="F937" s="44"/>
      <c r="G937" s="44"/>
      <c r="I937" s="47"/>
    </row>
    <row r="938" customFormat="false" ht="15" hidden="false" customHeight="false" outlineLevel="0" collapsed="false">
      <c r="C938" s="45"/>
      <c r="E938" s="46"/>
      <c r="F938" s="44"/>
      <c r="G938" s="44"/>
      <c r="I938" s="47"/>
    </row>
    <row r="939" customFormat="false" ht="15" hidden="false" customHeight="false" outlineLevel="0" collapsed="false">
      <c r="C939" s="45"/>
      <c r="E939" s="46"/>
      <c r="F939" s="44"/>
      <c r="G939" s="44"/>
      <c r="I939" s="47"/>
    </row>
    <row r="940" customFormat="false" ht="15" hidden="false" customHeight="false" outlineLevel="0" collapsed="false">
      <c r="C940" s="45"/>
      <c r="E940" s="46"/>
      <c r="F940" s="44"/>
      <c r="G940" s="44"/>
      <c r="I940" s="47"/>
    </row>
    <row r="941" customFormat="false" ht="15" hidden="false" customHeight="false" outlineLevel="0" collapsed="false">
      <c r="C941" s="45"/>
      <c r="E941" s="46"/>
      <c r="F941" s="44"/>
      <c r="G941" s="44"/>
      <c r="I941" s="47"/>
    </row>
    <row r="942" customFormat="false" ht="15" hidden="false" customHeight="false" outlineLevel="0" collapsed="false">
      <c r="C942" s="45"/>
      <c r="E942" s="46"/>
      <c r="F942" s="44"/>
      <c r="G942" s="44"/>
      <c r="I942" s="47"/>
    </row>
    <row r="943" customFormat="false" ht="15" hidden="false" customHeight="false" outlineLevel="0" collapsed="false">
      <c r="C943" s="45"/>
      <c r="E943" s="46"/>
      <c r="F943" s="44"/>
      <c r="G943" s="44"/>
      <c r="I943" s="47"/>
    </row>
    <row r="944" customFormat="false" ht="15" hidden="false" customHeight="false" outlineLevel="0" collapsed="false">
      <c r="C944" s="45"/>
      <c r="E944" s="46"/>
      <c r="F944" s="44"/>
      <c r="G944" s="44"/>
      <c r="I944" s="47"/>
    </row>
    <row r="945" customFormat="false" ht="15" hidden="false" customHeight="false" outlineLevel="0" collapsed="false">
      <c r="C945" s="45"/>
      <c r="E945" s="46"/>
      <c r="F945" s="44"/>
      <c r="G945" s="44"/>
      <c r="I945" s="47"/>
    </row>
    <row r="946" customFormat="false" ht="15" hidden="false" customHeight="false" outlineLevel="0" collapsed="false">
      <c r="C946" s="45"/>
      <c r="E946" s="46"/>
      <c r="F946" s="44"/>
      <c r="G946" s="44"/>
      <c r="I946" s="47"/>
    </row>
    <row r="947" customFormat="false" ht="15" hidden="false" customHeight="false" outlineLevel="0" collapsed="false">
      <c r="C947" s="45"/>
      <c r="E947" s="46"/>
      <c r="F947" s="44"/>
      <c r="G947" s="44"/>
      <c r="I947" s="47"/>
    </row>
    <row r="948" customFormat="false" ht="15" hidden="false" customHeight="false" outlineLevel="0" collapsed="false">
      <c r="C948" s="45"/>
      <c r="E948" s="46"/>
      <c r="F948" s="44"/>
      <c r="G948" s="44"/>
      <c r="I948" s="47"/>
    </row>
    <row r="949" customFormat="false" ht="15" hidden="false" customHeight="false" outlineLevel="0" collapsed="false">
      <c r="C949" s="45"/>
      <c r="E949" s="46"/>
      <c r="F949" s="44"/>
      <c r="G949" s="44"/>
      <c r="I949" s="47"/>
    </row>
    <row r="950" customFormat="false" ht="15" hidden="false" customHeight="false" outlineLevel="0" collapsed="false">
      <c r="C950" s="45"/>
      <c r="E950" s="46"/>
      <c r="F950" s="44"/>
      <c r="G950" s="44"/>
      <c r="I950" s="47"/>
    </row>
    <row r="951" customFormat="false" ht="15" hidden="false" customHeight="false" outlineLevel="0" collapsed="false">
      <c r="C951" s="45"/>
      <c r="E951" s="46"/>
      <c r="F951" s="44"/>
      <c r="G951" s="44"/>
      <c r="I951" s="47"/>
    </row>
    <row r="952" customFormat="false" ht="15" hidden="false" customHeight="false" outlineLevel="0" collapsed="false">
      <c r="C952" s="45"/>
      <c r="E952" s="46"/>
      <c r="F952" s="44"/>
      <c r="G952" s="44"/>
      <c r="I952" s="47"/>
    </row>
    <row r="953" customFormat="false" ht="15" hidden="false" customHeight="false" outlineLevel="0" collapsed="false">
      <c r="C953" s="45"/>
      <c r="E953" s="46"/>
      <c r="F953" s="44"/>
      <c r="G953" s="44"/>
      <c r="I953" s="47"/>
    </row>
    <row r="954" customFormat="false" ht="15" hidden="false" customHeight="false" outlineLevel="0" collapsed="false">
      <c r="C954" s="45"/>
      <c r="E954" s="46"/>
      <c r="F954" s="44"/>
      <c r="G954" s="44"/>
      <c r="I954" s="47"/>
    </row>
    <row r="955" customFormat="false" ht="15" hidden="false" customHeight="false" outlineLevel="0" collapsed="false">
      <c r="C955" s="45"/>
      <c r="E955" s="46"/>
      <c r="F955" s="44"/>
      <c r="G955" s="44"/>
      <c r="I955" s="47"/>
    </row>
    <row r="956" customFormat="false" ht="15" hidden="false" customHeight="false" outlineLevel="0" collapsed="false">
      <c r="C956" s="45"/>
      <c r="E956" s="46"/>
      <c r="F956" s="44"/>
      <c r="G956" s="44"/>
      <c r="I956" s="47"/>
    </row>
    <row r="957" customFormat="false" ht="15" hidden="false" customHeight="false" outlineLevel="0" collapsed="false">
      <c r="C957" s="45"/>
      <c r="E957" s="46"/>
      <c r="F957" s="44"/>
      <c r="G957" s="44"/>
      <c r="I957" s="47"/>
    </row>
    <row r="958" customFormat="false" ht="15" hidden="false" customHeight="false" outlineLevel="0" collapsed="false">
      <c r="C958" s="45"/>
      <c r="E958" s="46"/>
      <c r="F958" s="44"/>
      <c r="G958" s="44"/>
      <c r="I958" s="47"/>
    </row>
    <row r="959" customFormat="false" ht="15" hidden="false" customHeight="false" outlineLevel="0" collapsed="false">
      <c r="C959" s="45"/>
      <c r="E959" s="46"/>
      <c r="F959" s="44"/>
      <c r="G959" s="44"/>
      <c r="I959" s="47"/>
    </row>
    <row r="960" customFormat="false" ht="15" hidden="false" customHeight="false" outlineLevel="0" collapsed="false">
      <c r="C960" s="45"/>
      <c r="E960" s="46"/>
      <c r="F960" s="44"/>
      <c r="G960" s="44"/>
      <c r="I960" s="47"/>
    </row>
    <row r="961" customFormat="false" ht="15" hidden="false" customHeight="false" outlineLevel="0" collapsed="false">
      <c r="C961" s="45"/>
      <c r="E961" s="46"/>
      <c r="F961" s="44"/>
      <c r="G961" s="44"/>
      <c r="I961" s="47"/>
    </row>
    <row r="962" customFormat="false" ht="15" hidden="false" customHeight="false" outlineLevel="0" collapsed="false">
      <c r="C962" s="45"/>
      <c r="E962" s="46"/>
      <c r="F962" s="44"/>
      <c r="G962" s="44"/>
      <c r="I962" s="47"/>
    </row>
    <row r="963" customFormat="false" ht="15" hidden="false" customHeight="false" outlineLevel="0" collapsed="false">
      <c r="C963" s="45"/>
      <c r="E963" s="46"/>
      <c r="F963" s="44"/>
      <c r="G963" s="44"/>
      <c r="I963" s="47"/>
    </row>
    <row r="964" customFormat="false" ht="15" hidden="false" customHeight="false" outlineLevel="0" collapsed="false">
      <c r="C964" s="45"/>
      <c r="E964" s="46"/>
      <c r="F964" s="44"/>
      <c r="G964" s="44"/>
      <c r="I964" s="47"/>
    </row>
    <row r="965" customFormat="false" ht="15" hidden="false" customHeight="false" outlineLevel="0" collapsed="false">
      <c r="C965" s="45"/>
      <c r="E965" s="46"/>
      <c r="F965" s="44"/>
      <c r="G965" s="44"/>
      <c r="I965" s="47"/>
    </row>
    <row r="966" customFormat="false" ht="15" hidden="false" customHeight="false" outlineLevel="0" collapsed="false">
      <c r="C966" s="45"/>
      <c r="E966" s="46"/>
      <c r="F966" s="44"/>
      <c r="G966" s="44"/>
      <c r="I966" s="47"/>
    </row>
    <row r="967" customFormat="false" ht="15" hidden="false" customHeight="false" outlineLevel="0" collapsed="false">
      <c r="C967" s="45"/>
      <c r="E967" s="46"/>
      <c r="F967" s="44"/>
      <c r="G967" s="44"/>
      <c r="I967" s="47"/>
    </row>
    <row r="968" customFormat="false" ht="15" hidden="false" customHeight="false" outlineLevel="0" collapsed="false">
      <c r="C968" s="45"/>
      <c r="E968" s="46"/>
      <c r="F968" s="44"/>
      <c r="G968" s="44"/>
      <c r="I968" s="47"/>
    </row>
    <row r="969" customFormat="false" ht="15" hidden="false" customHeight="false" outlineLevel="0" collapsed="false">
      <c r="C969" s="45"/>
      <c r="E969" s="46"/>
      <c r="F969" s="44"/>
      <c r="G969" s="44"/>
      <c r="I969" s="47"/>
    </row>
    <row r="970" customFormat="false" ht="15" hidden="false" customHeight="false" outlineLevel="0" collapsed="false">
      <c r="C970" s="45"/>
      <c r="E970" s="46"/>
      <c r="F970" s="44"/>
      <c r="G970" s="44"/>
      <c r="I970" s="47"/>
    </row>
    <row r="971" customFormat="false" ht="15" hidden="false" customHeight="false" outlineLevel="0" collapsed="false">
      <c r="C971" s="45"/>
      <c r="E971" s="46"/>
      <c r="F971" s="44"/>
      <c r="G971" s="44"/>
      <c r="I971" s="47"/>
    </row>
    <row r="972" customFormat="false" ht="15" hidden="false" customHeight="false" outlineLevel="0" collapsed="false">
      <c r="C972" s="45"/>
      <c r="E972" s="46"/>
      <c r="F972" s="44"/>
      <c r="G972" s="44"/>
      <c r="I972" s="47"/>
    </row>
    <row r="973" customFormat="false" ht="15" hidden="false" customHeight="false" outlineLevel="0" collapsed="false">
      <c r="C973" s="45"/>
      <c r="E973" s="46"/>
      <c r="F973" s="44"/>
      <c r="G973" s="44"/>
      <c r="I973" s="47"/>
    </row>
    <row r="974" customFormat="false" ht="15" hidden="false" customHeight="false" outlineLevel="0" collapsed="false">
      <c r="C974" s="45"/>
      <c r="E974" s="46"/>
      <c r="F974" s="44"/>
      <c r="G974" s="44"/>
      <c r="I974" s="47"/>
    </row>
    <row r="975" customFormat="false" ht="15" hidden="false" customHeight="false" outlineLevel="0" collapsed="false">
      <c r="C975" s="45"/>
      <c r="E975" s="46"/>
      <c r="F975" s="44"/>
      <c r="G975" s="44"/>
      <c r="I975" s="47"/>
    </row>
    <row r="976" customFormat="false" ht="15" hidden="false" customHeight="false" outlineLevel="0" collapsed="false">
      <c r="C976" s="45"/>
      <c r="E976" s="46"/>
      <c r="F976" s="44"/>
      <c r="G976" s="44"/>
      <c r="I976" s="47"/>
    </row>
    <row r="977" customFormat="false" ht="15" hidden="false" customHeight="false" outlineLevel="0" collapsed="false">
      <c r="C977" s="45"/>
      <c r="E977" s="46"/>
      <c r="F977" s="44"/>
      <c r="G977" s="44"/>
      <c r="I977" s="47"/>
    </row>
    <row r="978" customFormat="false" ht="15" hidden="false" customHeight="false" outlineLevel="0" collapsed="false">
      <c r="C978" s="45"/>
      <c r="E978" s="46"/>
      <c r="F978" s="44"/>
      <c r="G978" s="44"/>
      <c r="I978" s="47"/>
    </row>
    <row r="979" customFormat="false" ht="15" hidden="false" customHeight="false" outlineLevel="0" collapsed="false">
      <c r="C979" s="45"/>
      <c r="E979" s="46"/>
      <c r="F979" s="44"/>
      <c r="G979" s="44"/>
      <c r="I979" s="47"/>
    </row>
    <row r="980" customFormat="false" ht="15" hidden="false" customHeight="false" outlineLevel="0" collapsed="false">
      <c r="C980" s="45"/>
      <c r="E980" s="46"/>
      <c r="F980" s="44"/>
      <c r="G980" s="44"/>
      <c r="I980" s="47"/>
    </row>
    <row r="981" customFormat="false" ht="15" hidden="false" customHeight="false" outlineLevel="0" collapsed="false">
      <c r="C981" s="45"/>
      <c r="E981" s="46"/>
      <c r="F981" s="44"/>
      <c r="G981" s="44"/>
      <c r="I981" s="47"/>
    </row>
    <row r="982" customFormat="false" ht="15" hidden="false" customHeight="false" outlineLevel="0" collapsed="false">
      <c r="C982" s="45"/>
      <c r="E982" s="46"/>
      <c r="F982" s="44"/>
      <c r="G982" s="44"/>
      <c r="I982" s="47"/>
    </row>
    <row r="983" customFormat="false" ht="15" hidden="false" customHeight="false" outlineLevel="0" collapsed="false">
      <c r="C983" s="45"/>
      <c r="E983" s="46"/>
      <c r="F983" s="44"/>
      <c r="G983" s="44"/>
      <c r="I983" s="47"/>
    </row>
    <row r="984" customFormat="false" ht="15" hidden="false" customHeight="false" outlineLevel="0" collapsed="false">
      <c r="C984" s="45"/>
      <c r="E984" s="46"/>
      <c r="F984" s="44"/>
      <c r="G984" s="44"/>
      <c r="I984" s="47"/>
    </row>
    <row r="985" customFormat="false" ht="15" hidden="false" customHeight="false" outlineLevel="0" collapsed="false">
      <c r="C985" s="45"/>
      <c r="E985" s="46"/>
      <c r="F985" s="44"/>
      <c r="G985" s="44"/>
      <c r="I985" s="47"/>
    </row>
    <row r="986" customFormat="false" ht="15" hidden="false" customHeight="false" outlineLevel="0" collapsed="false">
      <c r="C986" s="45"/>
      <c r="E986" s="46"/>
      <c r="F986" s="44"/>
      <c r="G986" s="44"/>
      <c r="I986" s="47"/>
    </row>
    <row r="987" customFormat="false" ht="15" hidden="false" customHeight="false" outlineLevel="0" collapsed="false">
      <c r="C987" s="45"/>
      <c r="E987" s="46"/>
      <c r="F987" s="44"/>
      <c r="G987" s="44"/>
      <c r="I987" s="47"/>
    </row>
    <row r="988" customFormat="false" ht="15" hidden="false" customHeight="false" outlineLevel="0" collapsed="false">
      <c r="C988" s="45"/>
      <c r="E988" s="46"/>
      <c r="F988" s="44"/>
      <c r="G988" s="44"/>
      <c r="I988" s="47"/>
    </row>
    <row r="989" customFormat="false" ht="15" hidden="false" customHeight="false" outlineLevel="0" collapsed="false">
      <c r="C989" s="45"/>
      <c r="E989" s="46"/>
      <c r="F989" s="44"/>
      <c r="G989" s="44"/>
      <c r="I989" s="47"/>
    </row>
    <row r="990" customFormat="false" ht="15" hidden="false" customHeight="false" outlineLevel="0" collapsed="false">
      <c r="C990" s="45"/>
      <c r="E990" s="46"/>
      <c r="F990" s="44"/>
      <c r="G990" s="44"/>
      <c r="I990" s="47"/>
    </row>
    <row r="991" customFormat="false" ht="15" hidden="false" customHeight="false" outlineLevel="0" collapsed="false">
      <c r="C991" s="45"/>
      <c r="E991" s="46"/>
      <c r="F991" s="44"/>
      <c r="G991" s="44"/>
      <c r="I991" s="47"/>
    </row>
    <row r="992" customFormat="false" ht="15" hidden="false" customHeight="false" outlineLevel="0" collapsed="false">
      <c r="C992" s="45"/>
      <c r="E992" s="46"/>
      <c r="F992" s="44"/>
      <c r="G992" s="44"/>
      <c r="I992" s="47"/>
    </row>
    <row r="993" customFormat="false" ht="15" hidden="false" customHeight="false" outlineLevel="0" collapsed="false">
      <c r="C993" s="45"/>
      <c r="E993" s="46"/>
      <c r="F993" s="44"/>
      <c r="G993" s="44"/>
      <c r="I993" s="47"/>
    </row>
    <row r="994" customFormat="false" ht="15" hidden="false" customHeight="false" outlineLevel="0" collapsed="false">
      <c r="C994" s="45"/>
      <c r="E994" s="46"/>
      <c r="F994" s="44"/>
      <c r="G994" s="44"/>
      <c r="I994" s="47"/>
    </row>
    <row r="995" customFormat="false" ht="15" hidden="false" customHeight="false" outlineLevel="0" collapsed="false">
      <c r="C995" s="45"/>
      <c r="E995" s="46"/>
      <c r="F995" s="44"/>
      <c r="G995" s="44"/>
      <c r="I995" s="47"/>
    </row>
    <row r="996" customFormat="false" ht="15" hidden="false" customHeight="false" outlineLevel="0" collapsed="false">
      <c r="C996" s="45"/>
      <c r="E996" s="46"/>
      <c r="F996" s="44"/>
      <c r="G996" s="44"/>
      <c r="I996" s="47"/>
    </row>
    <row r="997" customFormat="false" ht="15" hidden="false" customHeight="false" outlineLevel="0" collapsed="false">
      <c r="C997" s="45"/>
      <c r="E997" s="46"/>
      <c r="F997" s="44"/>
      <c r="G997" s="44"/>
      <c r="I997" s="47"/>
    </row>
    <row r="998" customFormat="false" ht="15" hidden="false" customHeight="false" outlineLevel="0" collapsed="false">
      <c r="C998" s="45"/>
      <c r="E998" s="46"/>
      <c r="F998" s="44"/>
      <c r="G998" s="44"/>
      <c r="I998" s="47"/>
    </row>
    <row r="999" customFormat="false" ht="15" hidden="false" customHeight="false" outlineLevel="0" collapsed="false">
      <c r="C999" s="45"/>
      <c r="E999" s="46"/>
      <c r="F999" s="44"/>
      <c r="G999" s="44"/>
      <c r="I999" s="47"/>
    </row>
    <row r="1000" customFormat="false" ht="15" hidden="false" customHeight="false" outlineLevel="0" collapsed="false">
      <c r="C1000" s="45"/>
      <c r="E1000" s="46"/>
      <c r="F1000" s="44"/>
      <c r="G1000" s="44"/>
      <c r="I1000" s="47"/>
    </row>
    <row r="1001" customFormat="false" ht="15" hidden="false" customHeight="false" outlineLevel="0" collapsed="false">
      <c r="C1001" s="45"/>
      <c r="E1001" s="46"/>
      <c r="F1001" s="44"/>
      <c r="G1001" s="44"/>
      <c r="I1001" s="47"/>
    </row>
    <row r="1002" customFormat="false" ht="15" hidden="false" customHeight="false" outlineLevel="0" collapsed="false">
      <c r="C1002" s="45"/>
      <c r="E1002" s="46"/>
      <c r="F1002" s="44"/>
      <c r="G1002" s="44"/>
      <c r="I1002" s="47"/>
    </row>
    <row r="1003" customFormat="false" ht="15" hidden="false" customHeight="false" outlineLevel="0" collapsed="false">
      <c r="C1003" s="45"/>
      <c r="E1003" s="46"/>
      <c r="F1003" s="44"/>
      <c r="G1003" s="44"/>
      <c r="I1003" s="47"/>
    </row>
    <row r="1004" customFormat="false" ht="15" hidden="false" customHeight="false" outlineLevel="0" collapsed="false">
      <c r="C1004" s="45"/>
      <c r="E1004" s="46"/>
      <c r="F1004" s="44"/>
      <c r="G1004" s="44"/>
      <c r="I1004" s="47"/>
    </row>
    <row r="1005" customFormat="false" ht="15" hidden="false" customHeight="false" outlineLevel="0" collapsed="false">
      <c r="C1005" s="45"/>
      <c r="E1005" s="46"/>
      <c r="F1005" s="44"/>
      <c r="G1005" s="44"/>
      <c r="I1005" s="47"/>
    </row>
  </sheetData>
  <conditionalFormatting sqref="C6:I5005">
    <cfRule type="expression" priority="2" aboveAverage="0" equalAverage="0" bottom="0" percent="0" rank="0" text="" dxfId="2">
      <formula>AND(LEN(TRIM($C6&amp;$D6&amp;$E6&amp;$F6&amp;$G6&amp;$H6&amp;$I6))&gt;0,OR(LEN(TRIM($C6))=0,LEN(TRIM($D6))=0,LEN(TRIM($E6))=0,AND(LEFT($D6,4)="Perc",OR(LEN(TRIM($F6))=0,LEN(TRIM($G6))=0,LEN(TRIM($H6))=0,LEN(TRIM($I6))=0))))</formula>
    </cfRule>
  </conditionalFormatting>
  <conditionalFormatting sqref="I6:I5005">
    <cfRule type="expression" priority="3" aboveAverage="0" equalAverage="0" bottom="0" percent="0" rank="0" text="" dxfId="1">
      <formula>AND(LEN(TRIM(I6))&gt;0,NOT(ISNUMBER(--I6)))</formula>
    </cfRule>
  </conditionalFormatting>
  <dataValidations count="6">
    <dataValidation allowBlank="true" error="El campo debe contener 11 digitos numericos" errorStyle="stop" errorTitle="Dato invalido" operator="between" showDropDown="false" showErrorMessage="true" showInputMessage="false" sqref="F6:G1006" type="whole">
      <formula1>10000000000</formula1>
      <formula2>99999999999</formula2>
    </dataValidation>
    <dataValidation allowBlank="true" error="El campo debe tener como maximo 9.999.999.999.999,99 y no puede ser negativo" errorStyle="stop" errorTitle="Dato invalido" operator="between" showDropDown="false" showErrorMessage="true" showInputMessage="false" sqref="C6:C1006" type="decimal">
      <formula1>0</formula1>
      <formula2>999999999999999</formula2>
    </dataValidation>
    <dataValidation allowBlank="true" error="El campo debe tener como maximo 20 caracteres" errorStyle="stop" errorTitle="Dato invalido" operator="lessThanOrEqual" showDropDown="false" showErrorMessage="true" showInputMessage="false" sqref="H6:H1006" type="textLength">
      <formula1>20</formula1>
      <formula2>0</formula2>
    </dataValidation>
    <dataValidation allowBlank="true" error="Ingresar el periodo como fecha (AAAA/MM), posterior a 05/2021" errorStyle="stop" errorTitle="Dato invalido" operator="between" showDropDown="false" showErrorMessage="true" showInputMessage="false" sqref="E6:E1006" type="date">
      <formula1>44317</formula1>
      <formula2>73415</formula2>
    </dataValidation>
    <dataValidation allowBlank="true" error="El campo requiere 22 caracteres numericos" errorStyle="stop" errorTitle="Dato invalido" operator="equal" showDropDown="false" showErrorMessage="true" showInputMessage="false" sqref="I6:I1006" type="textLength">
      <formula1>22</formula1>
      <formula2>0</formula2>
    </dataValidation>
    <dataValidation allowBlank="true" error="Seleccione un valor de la lista" errorStyle="stop" errorTitle="Dato invalido" operator="between" showDropDown="false" showErrorMessage="true" showInputMessage="false" sqref="D6:D1006" type="list">
      <formula1>Listas!$B$2:$B$3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B1:O10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6" min="5" style="0" width="11"/>
    <col collapsed="false" customWidth="true" hidden="false" outlineLevel="0" max="7" min="7" style="0" width="16"/>
    <col collapsed="false" customWidth="true" hidden="false" outlineLevel="0" max="9" min="8" style="0" width="22"/>
    <col collapsed="false" customWidth="true" hidden="false" outlineLevel="0" max="10" min="10" style="0" width="16"/>
    <col collapsed="false" customWidth="true" hidden="false" outlineLevel="0" max="11" min="11" style="0" width="28"/>
    <col collapsed="false" customWidth="true" hidden="false" outlineLevel="0" max="12" min="12" style="0" width="18"/>
    <col collapsed="false" customWidth="true" hidden="false" outlineLevel="0" max="13" min="13" style="0" width="3"/>
    <col collapsed="false" customWidth="true" hidden="false" outlineLevel="0" max="14" min="14" style="0" width="48"/>
    <col collapsed="false" customWidth="true" hidden="false" outlineLevel="0" max="15" min="15" style="0" width="22"/>
  </cols>
  <sheetData>
    <row r="1" customFormat="false" ht="18" hidden="false" customHeight="true" outlineLevel="0" collapsed="false">
      <c r="B1" s="6" t="s">
        <v>338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customFormat="false" ht="21.75" hidden="false" customHeight="true" outlineLevel="0" collapsed="false">
      <c r="C2" s="7" t="s">
        <v>20</v>
      </c>
    </row>
    <row r="3" customFormat="false" ht="15" hidden="false" customHeight="false" outlineLevel="0" collapsed="false">
      <c r="C3" s="15" t="str">
        <f aca="false">"PERÍODO  "&amp;'Datos iniciales'!$D$10&amp;"      |      TIPO EJERCICIO  "&amp;'Datos iniciales'!$D$12&amp;"      |      SECUENCIA  "&amp;'Datos iniciales'!$D$11</f>
        <v>PERÍODO        |      TIPO EJERCICIO  Regular      |      SECUENCIA  Original</v>
      </c>
    </row>
    <row r="5" customFormat="false" ht="31.5" hidden="false" customHeight="true" outlineLevel="0" collapsed="false">
      <c r="C5" s="26" t="s">
        <v>339</v>
      </c>
      <c r="D5" s="26" t="s">
        <v>340</v>
      </c>
      <c r="E5" s="26" t="s">
        <v>341</v>
      </c>
      <c r="F5" s="26" t="s">
        <v>342</v>
      </c>
      <c r="G5" s="26" t="s">
        <v>343</v>
      </c>
      <c r="H5" s="26" t="s">
        <v>344</v>
      </c>
      <c r="I5" s="26" t="s">
        <v>345</v>
      </c>
      <c r="J5" s="26" t="s">
        <v>346</v>
      </c>
      <c r="K5" s="26" t="s">
        <v>347</v>
      </c>
      <c r="L5" s="26" t="s">
        <v>120</v>
      </c>
      <c r="N5" s="26" t="s">
        <v>348</v>
      </c>
      <c r="O5" s="26" t="s">
        <v>120</v>
      </c>
    </row>
    <row r="6" customFormat="false" ht="15" hidden="false" customHeight="false" outlineLevel="0" collapsed="false">
      <c r="C6" s="44"/>
      <c r="E6" s="44"/>
      <c r="F6" s="44"/>
      <c r="G6" s="48"/>
      <c r="H6" s="47"/>
      <c r="I6" s="47"/>
      <c r="J6" s="48"/>
      <c r="L6" s="45"/>
      <c r="N6" s="23" t="s">
        <v>349</v>
      </c>
      <c r="O6" s="17"/>
    </row>
    <row r="7" customFormat="false" ht="15" hidden="false" customHeight="false" outlineLevel="0" collapsed="false">
      <c r="C7" s="44"/>
      <c r="E7" s="44"/>
      <c r="F7" s="44"/>
      <c r="G7" s="48"/>
      <c r="H7" s="47"/>
      <c r="I7" s="47"/>
      <c r="J7" s="48"/>
      <c r="L7" s="45"/>
      <c r="N7" s="23" t="s">
        <v>350</v>
      </c>
      <c r="O7" s="16" t="n">
        <f aca="false">SUMIF(D6:D5005,"Retención",L6:L5005)</f>
        <v>0</v>
      </c>
    </row>
    <row r="8" customFormat="false" ht="15" hidden="false" customHeight="false" outlineLevel="0" collapsed="false">
      <c r="C8" s="44"/>
      <c r="E8" s="44"/>
      <c r="F8" s="44"/>
      <c r="G8" s="48"/>
      <c r="H8" s="47"/>
      <c r="I8" s="47"/>
      <c r="J8" s="48"/>
      <c r="L8" s="45"/>
      <c r="N8" s="23" t="s">
        <v>351</v>
      </c>
      <c r="O8" s="16" t="n">
        <f aca="false">O7</f>
        <v>0</v>
      </c>
    </row>
    <row r="9" customFormat="false" ht="15" hidden="false" customHeight="false" outlineLevel="0" collapsed="false">
      <c r="C9" s="44"/>
      <c r="E9" s="44"/>
      <c r="F9" s="44"/>
      <c r="G9" s="48"/>
      <c r="H9" s="47"/>
      <c r="I9" s="47"/>
      <c r="J9" s="48"/>
      <c r="L9" s="45"/>
      <c r="N9" s="23" t="s">
        <v>352</v>
      </c>
      <c r="O9" s="16" t="n">
        <f aca="false">SUMIF(D6:D5005,"Percepción",L6:L5005)</f>
        <v>0</v>
      </c>
    </row>
    <row r="10" customFormat="false" ht="15" hidden="false" customHeight="false" outlineLevel="0" collapsed="false">
      <c r="C10" s="44"/>
      <c r="E10" s="44"/>
      <c r="F10" s="44"/>
      <c r="G10" s="48"/>
      <c r="H10" s="47"/>
      <c r="I10" s="47"/>
      <c r="J10" s="48"/>
      <c r="L10" s="45"/>
      <c r="N10" s="23" t="s">
        <v>353</v>
      </c>
      <c r="O10" s="16" t="n">
        <f aca="false">O6+O8+O9</f>
        <v>0</v>
      </c>
    </row>
    <row r="11" customFormat="false" ht="15" hidden="false" customHeight="false" outlineLevel="0" collapsed="false">
      <c r="C11" s="44"/>
      <c r="E11" s="44"/>
      <c r="F11" s="44"/>
      <c r="G11" s="48"/>
      <c r="H11" s="47"/>
      <c r="I11" s="47"/>
      <c r="J11" s="48"/>
      <c r="L11" s="45"/>
    </row>
    <row r="12" customFormat="false" ht="15" hidden="false" customHeight="false" outlineLevel="0" collapsed="false">
      <c r="C12" s="44"/>
      <c r="E12" s="44"/>
      <c r="F12" s="44"/>
      <c r="G12" s="48"/>
      <c r="H12" s="47"/>
      <c r="I12" s="47"/>
      <c r="J12" s="48"/>
      <c r="L12" s="45"/>
    </row>
    <row r="13" customFormat="false" ht="15" hidden="false" customHeight="false" outlineLevel="0" collapsed="false">
      <c r="C13" s="44"/>
      <c r="E13" s="44"/>
      <c r="F13" s="44"/>
      <c r="G13" s="48"/>
      <c r="H13" s="47"/>
      <c r="I13" s="47"/>
      <c r="J13" s="48"/>
      <c r="L13" s="45"/>
    </row>
    <row r="14" customFormat="false" ht="15" hidden="false" customHeight="false" outlineLevel="0" collapsed="false">
      <c r="C14" s="44"/>
      <c r="E14" s="44"/>
      <c r="F14" s="44"/>
      <c r="G14" s="48"/>
      <c r="H14" s="47"/>
      <c r="I14" s="47"/>
      <c r="J14" s="48"/>
      <c r="L14" s="45"/>
    </row>
    <row r="15" customFormat="false" ht="15" hidden="false" customHeight="false" outlineLevel="0" collapsed="false">
      <c r="C15" s="44"/>
      <c r="E15" s="44"/>
      <c r="F15" s="44"/>
      <c r="G15" s="48"/>
      <c r="H15" s="47"/>
      <c r="I15" s="47"/>
      <c r="J15" s="48"/>
      <c r="L15" s="45"/>
    </row>
    <row r="16" customFormat="false" ht="15" hidden="false" customHeight="false" outlineLevel="0" collapsed="false">
      <c r="C16" s="44"/>
      <c r="E16" s="44"/>
      <c r="F16" s="44"/>
      <c r="G16" s="48"/>
      <c r="H16" s="47"/>
      <c r="I16" s="47"/>
      <c r="J16" s="48"/>
      <c r="L16" s="45"/>
    </row>
    <row r="17" customFormat="false" ht="15" hidden="false" customHeight="false" outlineLevel="0" collapsed="false">
      <c r="C17" s="44"/>
      <c r="E17" s="44"/>
      <c r="F17" s="44"/>
      <c r="G17" s="48"/>
      <c r="H17" s="47"/>
      <c r="I17" s="47"/>
      <c r="J17" s="48"/>
      <c r="L17" s="45"/>
    </row>
    <row r="18" customFormat="false" ht="15" hidden="false" customHeight="false" outlineLevel="0" collapsed="false">
      <c r="C18" s="44"/>
      <c r="E18" s="44"/>
      <c r="F18" s="44"/>
      <c r="G18" s="48"/>
      <c r="H18" s="47"/>
      <c r="I18" s="47"/>
      <c r="J18" s="48"/>
      <c r="L18" s="45"/>
    </row>
    <row r="19" customFormat="false" ht="15" hidden="false" customHeight="false" outlineLevel="0" collapsed="false">
      <c r="C19" s="44"/>
      <c r="E19" s="44"/>
      <c r="F19" s="44"/>
      <c r="G19" s="48"/>
      <c r="H19" s="47"/>
      <c r="I19" s="47"/>
      <c r="J19" s="48"/>
      <c r="L19" s="45"/>
    </row>
    <row r="20" customFormat="false" ht="15" hidden="false" customHeight="false" outlineLevel="0" collapsed="false">
      <c r="C20" s="44"/>
      <c r="E20" s="44"/>
      <c r="F20" s="44"/>
      <c r="G20" s="48"/>
      <c r="H20" s="47"/>
      <c r="I20" s="47"/>
      <c r="J20" s="48"/>
      <c r="L20" s="45"/>
    </row>
    <row r="21" customFormat="false" ht="15" hidden="false" customHeight="false" outlineLevel="0" collapsed="false">
      <c r="C21" s="44"/>
      <c r="E21" s="44"/>
      <c r="F21" s="44"/>
      <c r="G21" s="48"/>
      <c r="H21" s="47"/>
      <c r="I21" s="47"/>
      <c r="J21" s="48"/>
      <c r="L21" s="45"/>
    </row>
    <row r="22" customFormat="false" ht="15" hidden="false" customHeight="false" outlineLevel="0" collapsed="false">
      <c r="C22" s="44"/>
      <c r="E22" s="44"/>
      <c r="F22" s="44"/>
      <c r="G22" s="48"/>
      <c r="H22" s="47"/>
      <c r="I22" s="47"/>
      <c r="J22" s="48"/>
      <c r="L22" s="45"/>
    </row>
    <row r="23" customFormat="false" ht="15" hidden="false" customHeight="false" outlineLevel="0" collapsed="false">
      <c r="C23" s="44"/>
      <c r="E23" s="44"/>
      <c r="F23" s="44"/>
      <c r="G23" s="48"/>
      <c r="H23" s="47"/>
      <c r="I23" s="47"/>
      <c r="J23" s="48"/>
      <c r="L23" s="45"/>
    </row>
    <row r="24" customFormat="false" ht="15" hidden="false" customHeight="false" outlineLevel="0" collapsed="false">
      <c r="C24" s="44"/>
      <c r="E24" s="44"/>
      <c r="F24" s="44"/>
      <c r="G24" s="48"/>
      <c r="H24" s="47"/>
      <c r="I24" s="47"/>
      <c r="J24" s="48"/>
      <c r="L24" s="45"/>
    </row>
    <row r="25" customFormat="false" ht="15" hidden="false" customHeight="false" outlineLevel="0" collapsed="false">
      <c r="C25" s="44"/>
      <c r="E25" s="44"/>
      <c r="F25" s="44"/>
      <c r="G25" s="48"/>
      <c r="H25" s="47"/>
      <c r="I25" s="47"/>
      <c r="J25" s="48"/>
      <c r="L25" s="45"/>
    </row>
    <row r="26" customFormat="false" ht="15" hidden="false" customHeight="false" outlineLevel="0" collapsed="false">
      <c r="C26" s="44"/>
      <c r="E26" s="44"/>
      <c r="F26" s="44"/>
      <c r="G26" s="48"/>
      <c r="H26" s="47"/>
      <c r="I26" s="47"/>
      <c r="J26" s="48"/>
      <c r="L26" s="45"/>
    </row>
    <row r="27" customFormat="false" ht="15" hidden="false" customHeight="false" outlineLevel="0" collapsed="false">
      <c r="C27" s="44"/>
      <c r="E27" s="44"/>
      <c r="F27" s="44"/>
      <c r="G27" s="48"/>
      <c r="H27" s="47"/>
      <c r="I27" s="47"/>
      <c r="J27" s="48"/>
      <c r="L27" s="45"/>
    </row>
    <row r="28" customFormat="false" ht="15" hidden="false" customHeight="false" outlineLevel="0" collapsed="false">
      <c r="C28" s="44"/>
      <c r="E28" s="44"/>
      <c r="F28" s="44"/>
      <c r="G28" s="48"/>
      <c r="H28" s="47"/>
      <c r="I28" s="47"/>
      <c r="J28" s="48"/>
      <c r="L28" s="45"/>
    </row>
    <row r="29" customFormat="false" ht="15" hidden="false" customHeight="false" outlineLevel="0" collapsed="false">
      <c r="C29" s="44"/>
      <c r="E29" s="44"/>
      <c r="F29" s="44"/>
      <c r="G29" s="48"/>
      <c r="H29" s="47"/>
      <c r="I29" s="47"/>
      <c r="J29" s="48"/>
      <c r="L29" s="45"/>
    </row>
    <row r="30" customFormat="false" ht="15" hidden="false" customHeight="false" outlineLevel="0" collapsed="false">
      <c r="C30" s="44"/>
      <c r="E30" s="44"/>
      <c r="F30" s="44"/>
      <c r="G30" s="48"/>
      <c r="H30" s="47"/>
      <c r="I30" s="47"/>
      <c r="J30" s="48"/>
      <c r="L30" s="45"/>
    </row>
    <row r="31" customFormat="false" ht="15" hidden="false" customHeight="false" outlineLevel="0" collapsed="false">
      <c r="C31" s="44"/>
      <c r="E31" s="44"/>
      <c r="F31" s="44"/>
      <c r="G31" s="48"/>
      <c r="H31" s="47"/>
      <c r="I31" s="47"/>
      <c r="J31" s="48"/>
      <c r="L31" s="45"/>
    </row>
    <row r="32" customFormat="false" ht="15" hidden="false" customHeight="false" outlineLevel="0" collapsed="false">
      <c r="C32" s="44"/>
      <c r="E32" s="44"/>
      <c r="F32" s="44"/>
      <c r="G32" s="48"/>
      <c r="H32" s="47"/>
      <c r="I32" s="47"/>
      <c r="J32" s="48"/>
      <c r="L32" s="45"/>
    </row>
    <row r="33" customFormat="false" ht="15" hidden="false" customHeight="false" outlineLevel="0" collapsed="false">
      <c r="C33" s="44"/>
      <c r="E33" s="44"/>
      <c r="F33" s="44"/>
      <c r="G33" s="48"/>
      <c r="H33" s="47"/>
      <c r="I33" s="47"/>
      <c r="J33" s="48"/>
      <c r="L33" s="45"/>
    </row>
    <row r="34" customFormat="false" ht="15" hidden="false" customHeight="false" outlineLevel="0" collapsed="false">
      <c r="C34" s="44"/>
      <c r="E34" s="44"/>
      <c r="F34" s="44"/>
      <c r="G34" s="48"/>
      <c r="H34" s="47"/>
      <c r="I34" s="47"/>
      <c r="J34" s="48"/>
      <c r="L34" s="45"/>
    </row>
    <row r="35" customFormat="false" ht="15" hidden="false" customHeight="false" outlineLevel="0" collapsed="false">
      <c r="C35" s="44"/>
      <c r="E35" s="44"/>
      <c r="F35" s="44"/>
      <c r="G35" s="48"/>
      <c r="H35" s="47"/>
      <c r="I35" s="47"/>
      <c r="J35" s="48"/>
      <c r="L35" s="45"/>
    </row>
    <row r="36" customFormat="false" ht="15" hidden="false" customHeight="false" outlineLevel="0" collapsed="false">
      <c r="C36" s="44"/>
      <c r="E36" s="44"/>
      <c r="F36" s="44"/>
      <c r="G36" s="48"/>
      <c r="H36" s="47"/>
      <c r="I36" s="47"/>
      <c r="J36" s="48"/>
      <c r="L36" s="45"/>
    </row>
    <row r="37" customFormat="false" ht="15" hidden="false" customHeight="false" outlineLevel="0" collapsed="false">
      <c r="C37" s="44"/>
      <c r="E37" s="44"/>
      <c r="F37" s="44"/>
      <c r="G37" s="48"/>
      <c r="H37" s="47"/>
      <c r="I37" s="47"/>
      <c r="J37" s="48"/>
      <c r="L37" s="45"/>
    </row>
    <row r="38" customFormat="false" ht="15" hidden="false" customHeight="false" outlineLevel="0" collapsed="false">
      <c r="C38" s="44"/>
      <c r="E38" s="44"/>
      <c r="F38" s="44"/>
      <c r="G38" s="48"/>
      <c r="H38" s="47"/>
      <c r="I38" s="47"/>
      <c r="J38" s="48"/>
      <c r="L38" s="45"/>
    </row>
    <row r="39" customFormat="false" ht="15" hidden="false" customHeight="false" outlineLevel="0" collapsed="false">
      <c r="C39" s="44"/>
      <c r="E39" s="44"/>
      <c r="F39" s="44"/>
      <c r="G39" s="48"/>
      <c r="H39" s="47"/>
      <c r="I39" s="47"/>
      <c r="J39" s="48"/>
      <c r="L39" s="45"/>
    </row>
    <row r="40" customFormat="false" ht="15" hidden="false" customHeight="false" outlineLevel="0" collapsed="false">
      <c r="C40" s="44"/>
      <c r="E40" s="44"/>
      <c r="F40" s="44"/>
      <c r="G40" s="48"/>
      <c r="H40" s="47"/>
      <c r="I40" s="47"/>
      <c r="J40" s="48"/>
      <c r="L40" s="45"/>
    </row>
    <row r="41" customFormat="false" ht="15" hidden="false" customHeight="false" outlineLevel="0" collapsed="false">
      <c r="C41" s="44"/>
      <c r="E41" s="44"/>
      <c r="F41" s="44"/>
      <c r="G41" s="48"/>
      <c r="H41" s="47"/>
      <c r="I41" s="47"/>
      <c r="J41" s="48"/>
      <c r="L41" s="45"/>
    </row>
    <row r="42" customFormat="false" ht="15" hidden="false" customHeight="false" outlineLevel="0" collapsed="false">
      <c r="C42" s="44"/>
      <c r="E42" s="44"/>
      <c r="F42" s="44"/>
      <c r="G42" s="48"/>
      <c r="H42" s="47"/>
      <c r="I42" s="47"/>
      <c r="J42" s="48"/>
      <c r="L42" s="45"/>
    </row>
    <row r="43" customFormat="false" ht="15" hidden="false" customHeight="false" outlineLevel="0" collapsed="false">
      <c r="C43" s="44"/>
      <c r="E43" s="44"/>
      <c r="F43" s="44"/>
      <c r="G43" s="48"/>
      <c r="H43" s="47"/>
      <c r="I43" s="47"/>
      <c r="J43" s="48"/>
      <c r="L43" s="45"/>
    </row>
    <row r="44" customFormat="false" ht="15" hidden="false" customHeight="false" outlineLevel="0" collapsed="false">
      <c r="C44" s="44"/>
      <c r="E44" s="44"/>
      <c r="F44" s="44"/>
      <c r="G44" s="48"/>
      <c r="H44" s="47"/>
      <c r="I44" s="47"/>
      <c r="J44" s="48"/>
      <c r="L44" s="45"/>
    </row>
    <row r="45" customFormat="false" ht="15" hidden="false" customHeight="false" outlineLevel="0" collapsed="false">
      <c r="C45" s="44"/>
      <c r="E45" s="44"/>
      <c r="F45" s="44"/>
      <c r="G45" s="48"/>
      <c r="H45" s="47"/>
      <c r="I45" s="47"/>
      <c r="J45" s="48"/>
      <c r="L45" s="45"/>
    </row>
    <row r="46" customFormat="false" ht="15" hidden="false" customHeight="false" outlineLevel="0" collapsed="false">
      <c r="C46" s="44"/>
      <c r="E46" s="44"/>
      <c r="F46" s="44"/>
      <c r="G46" s="48"/>
      <c r="H46" s="47"/>
      <c r="I46" s="47"/>
      <c r="J46" s="48"/>
      <c r="L46" s="45"/>
    </row>
    <row r="47" customFormat="false" ht="15" hidden="false" customHeight="false" outlineLevel="0" collapsed="false">
      <c r="C47" s="44"/>
      <c r="E47" s="44"/>
      <c r="F47" s="44"/>
      <c r="G47" s="48"/>
      <c r="H47" s="47"/>
      <c r="I47" s="47"/>
      <c r="J47" s="48"/>
      <c r="L47" s="45"/>
    </row>
    <row r="48" customFormat="false" ht="15" hidden="false" customHeight="false" outlineLevel="0" collapsed="false">
      <c r="C48" s="44"/>
      <c r="E48" s="44"/>
      <c r="F48" s="44"/>
      <c r="G48" s="48"/>
      <c r="H48" s="47"/>
      <c r="I48" s="47"/>
      <c r="J48" s="48"/>
      <c r="L48" s="45"/>
    </row>
    <row r="49" customFormat="false" ht="15" hidden="false" customHeight="false" outlineLevel="0" collapsed="false">
      <c r="C49" s="44"/>
      <c r="E49" s="44"/>
      <c r="F49" s="44"/>
      <c r="G49" s="48"/>
      <c r="H49" s="47"/>
      <c r="I49" s="47"/>
      <c r="J49" s="48"/>
      <c r="L49" s="45"/>
    </row>
    <row r="50" customFormat="false" ht="15" hidden="false" customHeight="false" outlineLevel="0" collapsed="false">
      <c r="C50" s="44"/>
      <c r="E50" s="44"/>
      <c r="F50" s="44"/>
      <c r="G50" s="48"/>
      <c r="H50" s="47"/>
      <c r="I50" s="47"/>
      <c r="J50" s="48"/>
      <c r="L50" s="45"/>
    </row>
    <row r="51" customFormat="false" ht="15" hidden="false" customHeight="false" outlineLevel="0" collapsed="false">
      <c r="C51" s="44"/>
      <c r="E51" s="44"/>
      <c r="F51" s="44"/>
      <c r="G51" s="48"/>
      <c r="H51" s="47"/>
      <c r="I51" s="47"/>
      <c r="J51" s="48"/>
      <c r="L51" s="45"/>
    </row>
    <row r="52" customFormat="false" ht="15" hidden="false" customHeight="false" outlineLevel="0" collapsed="false">
      <c r="C52" s="44"/>
      <c r="E52" s="44"/>
      <c r="F52" s="44"/>
      <c r="G52" s="48"/>
      <c r="H52" s="47"/>
      <c r="I52" s="47"/>
      <c r="J52" s="48"/>
      <c r="L52" s="45"/>
    </row>
    <row r="53" customFormat="false" ht="15" hidden="false" customHeight="false" outlineLevel="0" collapsed="false">
      <c r="C53" s="44"/>
      <c r="E53" s="44"/>
      <c r="F53" s="44"/>
      <c r="G53" s="48"/>
      <c r="H53" s="47"/>
      <c r="I53" s="47"/>
      <c r="J53" s="48"/>
      <c r="L53" s="45"/>
    </row>
    <row r="54" customFormat="false" ht="15" hidden="false" customHeight="false" outlineLevel="0" collapsed="false">
      <c r="C54" s="44"/>
      <c r="E54" s="44"/>
      <c r="F54" s="44"/>
      <c r="G54" s="48"/>
      <c r="H54" s="47"/>
      <c r="I54" s="47"/>
      <c r="J54" s="48"/>
      <c r="L54" s="45"/>
    </row>
    <row r="55" customFormat="false" ht="15" hidden="false" customHeight="false" outlineLevel="0" collapsed="false">
      <c r="C55" s="44"/>
      <c r="E55" s="44"/>
      <c r="F55" s="44"/>
      <c r="G55" s="48"/>
      <c r="H55" s="47"/>
      <c r="I55" s="47"/>
      <c r="J55" s="48"/>
      <c r="L55" s="45"/>
    </row>
    <row r="56" customFormat="false" ht="15" hidden="false" customHeight="false" outlineLevel="0" collapsed="false">
      <c r="C56" s="44"/>
      <c r="E56" s="44"/>
      <c r="F56" s="44"/>
      <c r="G56" s="48"/>
      <c r="H56" s="47"/>
      <c r="I56" s="47"/>
      <c r="J56" s="48"/>
      <c r="L56" s="45"/>
    </row>
    <row r="57" customFormat="false" ht="15" hidden="false" customHeight="false" outlineLevel="0" collapsed="false">
      <c r="C57" s="44"/>
      <c r="E57" s="44"/>
      <c r="F57" s="44"/>
      <c r="G57" s="48"/>
      <c r="H57" s="47"/>
      <c r="I57" s="47"/>
      <c r="J57" s="48"/>
      <c r="L57" s="45"/>
    </row>
    <row r="58" customFormat="false" ht="15" hidden="false" customHeight="false" outlineLevel="0" collapsed="false">
      <c r="C58" s="44"/>
      <c r="E58" s="44"/>
      <c r="F58" s="44"/>
      <c r="G58" s="48"/>
      <c r="H58" s="47"/>
      <c r="I58" s="47"/>
      <c r="J58" s="48"/>
      <c r="L58" s="45"/>
    </row>
    <row r="59" customFormat="false" ht="15" hidden="false" customHeight="false" outlineLevel="0" collapsed="false">
      <c r="C59" s="44"/>
      <c r="E59" s="44"/>
      <c r="F59" s="44"/>
      <c r="G59" s="48"/>
      <c r="H59" s="47"/>
      <c r="I59" s="47"/>
      <c r="J59" s="48"/>
      <c r="L59" s="45"/>
    </row>
    <row r="60" customFormat="false" ht="15" hidden="false" customHeight="false" outlineLevel="0" collapsed="false">
      <c r="C60" s="44"/>
      <c r="E60" s="44"/>
      <c r="F60" s="44"/>
      <c r="G60" s="48"/>
      <c r="H60" s="47"/>
      <c r="I60" s="47"/>
      <c r="J60" s="48"/>
      <c r="L60" s="45"/>
    </row>
    <row r="61" customFormat="false" ht="15" hidden="false" customHeight="false" outlineLevel="0" collapsed="false">
      <c r="C61" s="44"/>
      <c r="E61" s="44"/>
      <c r="F61" s="44"/>
      <c r="G61" s="48"/>
      <c r="H61" s="47"/>
      <c r="I61" s="47"/>
      <c r="J61" s="48"/>
      <c r="L61" s="45"/>
    </row>
    <row r="62" customFormat="false" ht="15" hidden="false" customHeight="false" outlineLevel="0" collapsed="false">
      <c r="C62" s="44"/>
      <c r="E62" s="44"/>
      <c r="F62" s="44"/>
      <c r="G62" s="48"/>
      <c r="H62" s="47"/>
      <c r="I62" s="47"/>
      <c r="J62" s="48"/>
      <c r="L62" s="45"/>
    </row>
    <row r="63" customFormat="false" ht="15" hidden="false" customHeight="false" outlineLevel="0" collapsed="false">
      <c r="C63" s="44"/>
      <c r="E63" s="44"/>
      <c r="F63" s="44"/>
      <c r="G63" s="48"/>
      <c r="H63" s="47"/>
      <c r="I63" s="47"/>
      <c r="J63" s="48"/>
      <c r="L63" s="45"/>
    </row>
    <row r="64" customFormat="false" ht="15" hidden="false" customHeight="false" outlineLevel="0" collapsed="false">
      <c r="C64" s="44"/>
      <c r="E64" s="44"/>
      <c r="F64" s="44"/>
      <c r="G64" s="48"/>
      <c r="H64" s="47"/>
      <c r="I64" s="47"/>
      <c r="J64" s="48"/>
      <c r="L64" s="45"/>
    </row>
    <row r="65" customFormat="false" ht="15" hidden="false" customHeight="false" outlineLevel="0" collapsed="false">
      <c r="C65" s="44"/>
      <c r="E65" s="44"/>
      <c r="F65" s="44"/>
      <c r="G65" s="48"/>
      <c r="H65" s="47"/>
      <c r="I65" s="47"/>
      <c r="J65" s="48"/>
      <c r="L65" s="45"/>
    </row>
    <row r="66" customFormat="false" ht="15" hidden="false" customHeight="false" outlineLevel="0" collapsed="false">
      <c r="C66" s="44"/>
      <c r="E66" s="44"/>
      <c r="F66" s="44"/>
      <c r="G66" s="48"/>
      <c r="H66" s="47"/>
      <c r="I66" s="47"/>
      <c r="J66" s="48"/>
      <c r="L66" s="45"/>
    </row>
    <row r="67" customFormat="false" ht="15" hidden="false" customHeight="false" outlineLevel="0" collapsed="false">
      <c r="C67" s="44"/>
      <c r="E67" s="44"/>
      <c r="F67" s="44"/>
      <c r="G67" s="48"/>
      <c r="H67" s="47"/>
      <c r="I67" s="47"/>
      <c r="J67" s="48"/>
      <c r="L67" s="45"/>
    </row>
    <row r="68" customFormat="false" ht="15" hidden="false" customHeight="false" outlineLevel="0" collapsed="false">
      <c r="C68" s="44"/>
      <c r="E68" s="44"/>
      <c r="F68" s="44"/>
      <c r="G68" s="48"/>
      <c r="H68" s="47"/>
      <c r="I68" s="47"/>
      <c r="J68" s="48"/>
      <c r="L68" s="45"/>
    </row>
    <row r="69" customFormat="false" ht="15" hidden="false" customHeight="false" outlineLevel="0" collapsed="false">
      <c r="C69" s="44"/>
      <c r="E69" s="44"/>
      <c r="F69" s="44"/>
      <c r="G69" s="48"/>
      <c r="H69" s="47"/>
      <c r="I69" s="47"/>
      <c r="J69" s="48"/>
      <c r="L69" s="45"/>
    </row>
    <row r="70" customFormat="false" ht="15" hidden="false" customHeight="false" outlineLevel="0" collapsed="false">
      <c r="C70" s="44"/>
      <c r="E70" s="44"/>
      <c r="F70" s="44"/>
      <c r="G70" s="48"/>
      <c r="H70" s="47"/>
      <c r="I70" s="47"/>
      <c r="J70" s="48"/>
      <c r="L70" s="45"/>
    </row>
    <row r="71" customFormat="false" ht="15" hidden="false" customHeight="false" outlineLevel="0" collapsed="false">
      <c r="C71" s="44"/>
      <c r="E71" s="44"/>
      <c r="F71" s="44"/>
      <c r="G71" s="48"/>
      <c r="H71" s="47"/>
      <c r="I71" s="47"/>
      <c r="J71" s="48"/>
      <c r="L71" s="45"/>
    </row>
    <row r="72" customFormat="false" ht="15" hidden="false" customHeight="false" outlineLevel="0" collapsed="false">
      <c r="C72" s="44"/>
      <c r="E72" s="44"/>
      <c r="F72" s="44"/>
      <c r="G72" s="48"/>
      <c r="H72" s="47"/>
      <c r="I72" s="47"/>
      <c r="J72" s="48"/>
      <c r="L72" s="45"/>
    </row>
    <row r="73" customFormat="false" ht="15" hidden="false" customHeight="false" outlineLevel="0" collapsed="false">
      <c r="C73" s="44"/>
      <c r="E73" s="44"/>
      <c r="F73" s="44"/>
      <c r="G73" s="48"/>
      <c r="H73" s="47"/>
      <c r="I73" s="47"/>
      <c r="J73" s="48"/>
      <c r="L73" s="45"/>
    </row>
    <row r="74" customFormat="false" ht="15" hidden="false" customHeight="false" outlineLevel="0" collapsed="false">
      <c r="C74" s="44"/>
      <c r="E74" s="44"/>
      <c r="F74" s="44"/>
      <c r="G74" s="48"/>
      <c r="H74" s="47"/>
      <c r="I74" s="47"/>
      <c r="J74" s="48"/>
      <c r="L74" s="45"/>
    </row>
    <row r="75" customFormat="false" ht="15" hidden="false" customHeight="false" outlineLevel="0" collapsed="false">
      <c r="C75" s="44"/>
      <c r="E75" s="44"/>
      <c r="F75" s="44"/>
      <c r="G75" s="48"/>
      <c r="H75" s="47"/>
      <c r="I75" s="47"/>
      <c r="J75" s="48"/>
      <c r="L75" s="45"/>
    </row>
    <row r="76" customFormat="false" ht="15" hidden="false" customHeight="false" outlineLevel="0" collapsed="false">
      <c r="C76" s="44"/>
      <c r="E76" s="44"/>
      <c r="F76" s="44"/>
      <c r="G76" s="48"/>
      <c r="H76" s="47"/>
      <c r="I76" s="47"/>
      <c r="J76" s="48"/>
      <c r="L76" s="45"/>
    </row>
    <row r="77" customFormat="false" ht="15" hidden="false" customHeight="false" outlineLevel="0" collapsed="false">
      <c r="C77" s="44"/>
      <c r="E77" s="44"/>
      <c r="F77" s="44"/>
      <c r="G77" s="48"/>
      <c r="H77" s="47"/>
      <c r="I77" s="47"/>
      <c r="J77" s="48"/>
      <c r="L77" s="45"/>
    </row>
    <row r="78" customFormat="false" ht="15" hidden="false" customHeight="false" outlineLevel="0" collapsed="false">
      <c r="C78" s="44"/>
      <c r="E78" s="44"/>
      <c r="F78" s="44"/>
      <c r="G78" s="48"/>
      <c r="H78" s="47"/>
      <c r="I78" s="47"/>
      <c r="J78" s="48"/>
      <c r="L78" s="45"/>
    </row>
    <row r="79" customFormat="false" ht="15" hidden="false" customHeight="false" outlineLevel="0" collapsed="false">
      <c r="C79" s="44"/>
      <c r="E79" s="44"/>
      <c r="F79" s="44"/>
      <c r="G79" s="48"/>
      <c r="H79" s="47"/>
      <c r="I79" s="47"/>
      <c r="J79" s="48"/>
      <c r="L79" s="45"/>
    </row>
    <row r="80" customFormat="false" ht="15" hidden="false" customHeight="false" outlineLevel="0" collapsed="false">
      <c r="C80" s="44"/>
      <c r="E80" s="44"/>
      <c r="F80" s="44"/>
      <c r="G80" s="48"/>
      <c r="H80" s="47"/>
      <c r="I80" s="47"/>
      <c r="J80" s="48"/>
      <c r="L80" s="45"/>
    </row>
    <row r="81" customFormat="false" ht="15" hidden="false" customHeight="false" outlineLevel="0" collapsed="false">
      <c r="C81" s="44"/>
      <c r="E81" s="44"/>
      <c r="F81" s="44"/>
      <c r="G81" s="48"/>
      <c r="H81" s="47"/>
      <c r="I81" s="47"/>
      <c r="J81" s="48"/>
      <c r="L81" s="45"/>
    </row>
    <row r="82" customFormat="false" ht="15" hidden="false" customHeight="false" outlineLevel="0" collapsed="false">
      <c r="C82" s="44"/>
      <c r="E82" s="44"/>
      <c r="F82" s="44"/>
      <c r="G82" s="48"/>
      <c r="H82" s="47"/>
      <c r="I82" s="47"/>
      <c r="J82" s="48"/>
      <c r="L82" s="45"/>
    </row>
    <row r="83" customFormat="false" ht="15" hidden="false" customHeight="false" outlineLevel="0" collapsed="false">
      <c r="C83" s="44"/>
      <c r="E83" s="44"/>
      <c r="F83" s="44"/>
      <c r="G83" s="48"/>
      <c r="H83" s="47"/>
      <c r="I83" s="47"/>
      <c r="J83" s="48"/>
      <c r="L83" s="45"/>
    </row>
    <row r="84" customFormat="false" ht="15" hidden="false" customHeight="false" outlineLevel="0" collapsed="false">
      <c r="C84" s="44"/>
      <c r="E84" s="44"/>
      <c r="F84" s="44"/>
      <c r="G84" s="48"/>
      <c r="H84" s="47"/>
      <c r="I84" s="47"/>
      <c r="J84" s="48"/>
      <c r="L84" s="45"/>
    </row>
    <row r="85" customFormat="false" ht="15" hidden="false" customHeight="false" outlineLevel="0" collapsed="false">
      <c r="C85" s="44"/>
      <c r="E85" s="44"/>
      <c r="F85" s="44"/>
      <c r="G85" s="48"/>
      <c r="H85" s="47"/>
      <c r="I85" s="47"/>
      <c r="J85" s="48"/>
      <c r="L85" s="45"/>
    </row>
    <row r="86" customFormat="false" ht="15" hidden="false" customHeight="false" outlineLevel="0" collapsed="false">
      <c r="C86" s="44"/>
      <c r="E86" s="44"/>
      <c r="F86" s="44"/>
      <c r="G86" s="48"/>
      <c r="H86" s="47"/>
      <c r="I86" s="47"/>
      <c r="J86" s="48"/>
      <c r="L86" s="45"/>
    </row>
    <row r="87" customFormat="false" ht="15" hidden="false" customHeight="false" outlineLevel="0" collapsed="false">
      <c r="C87" s="44"/>
      <c r="E87" s="44"/>
      <c r="F87" s="44"/>
      <c r="G87" s="48"/>
      <c r="H87" s="47"/>
      <c r="I87" s="47"/>
      <c r="J87" s="48"/>
      <c r="L87" s="45"/>
    </row>
    <row r="88" customFormat="false" ht="15" hidden="false" customHeight="false" outlineLevel="0" collapsed="false">
      <c r="C88" s="44"/>
      <c r="E88" s="44"/>
      <c r="F88" s="44"/>
      <c r="G88" s="48"/>
      <c r="H88" s="47"/>
      <c r="I88" s="47"/>
      <c r="J88" s="48"/>
      <c r="L88" s="45"/>
    </row>
    <row r="89" customFormat="false" ht="15" hidden="false" customHeight="false" outlineLevel="0" collapsed="false">
      <c r="C89" s="44"/>
      <c r="E89" s="44"/>
      <c r="F89" s="44"/>
      <c r="G89" s="48"/>
      <c r="H89" s="47"/>
      <c r="I89" s="47"/>
      <c r="J89" s="48"/>
      <c r="L89" s="45"/>
    </row>
    <row r="90" customFormat="false" ht="15" hidden="false" customHeight="false" outlineLevel="0" collapsed="false">
      <c r="C90" s="44"/>
      <c r="E90" s="44"/>
      <c r="F90" s="44"/>
      <c r="G90" s="48"/>
      <c r="H90" s="47"/>
      <c r="I90" s="47"/>
      <c r="J90" s="48"/>
      <c r="L90" s="45"/>
    </row>
    <row r="91" customFormat="false" ht="15" hidden="false" customHeight="false" outlineLevel="0" collapsed="false">
      <c r="C91" s="44"/>
      <c r="E91" s="44"/>
      <c r="F91" s="44"/>
      <c r="G91" s="48"/>
      <c r="H91" s="47"/>
      <c r="I91" s="47"/>
      <c r="J91" s="48"/>
      <c r="L91" s="45"/>
    </row>
    <row r="92" customFormat="false" ht="15" hidden="false" customHeight="false" outlineLevel="0" collapsed="false">
      <c r="C92" s="44"/>
      <c r="E92" s="44"/>
      <c r="F92" s="44"/>
      <c r="G92" s="48"/>
      <c r="H92" s="47"/>
      <c r="I92" s="47"/>
      <c r="J92" s="48"/>
      <c r="L92" s="45"/>
    </row>
    <row r="93" customFormat="false" ht="15" hidden="false" customHeight="false" outlineLevel="0" collapsed="false">
      <c r="C93" s="44"/>
      <c r="E93" s="44"/>
      <c r="F93" s="44"/>
      <c r="G93" s="48"/>
      <c r="H93" s="47"/>
      <c r="I93" s="47"/>
      <c r="J93" s="48"/>
      <c r="L93" s="45"/>
    </row>
    <row r="94" customFormat="false" ht="15" hidden="false" customHeight="false" outlineLevel="0" collapsed="false">
      <c r="C94" s="44"/>
      <c r="E94" s="44"/>
      <c r="F94" s="44"/>
      <c r="G94" s="48"/>
      <c r="H94" s="47"/>
      <c r="I94" s="47"/>
      <c r="J94" s="48"/>
      <c r="L94" s="45"/>
    </row>
    <row r="95" customFormat="false" ht="15" hidden="false" customHeight="false" outlineLevel="0" collapsed="false">
      <c r="C95" s="44"/>
      <c r="E95" s="44"/>
      <c r="F95" s="44"/>
      <c r="G95" s="48"/>
      <c r="H95" s="47"/>
      <c r="I95" s="47"/>
      <c r="J95" s="48"/>
      <c r="L95" s="45"/>
    </row>
    <row r="96" customFormat="false" ht="15" hidden="false" customHeight="false" outlineLevel="0" collapsed="false">
      <c r="C96" s="44"/>
      <c r="E96" s="44"/>
      <c r="F96" s="44"/>
      <c r="G96" s="48"/>
      <c r="H96" s="47"/>
      <c r="I96" s="47"/>
      <c r="J96" s="48"/>
      <c r="L96" s="45"/>
    </row>
    <row r="97" customFormat="false" ht="15" hidden="false" customHeight="false" outlineLevel="0" collapsed="false">
      <c r="C97" s="44"/>
      <c r="E97" s="44"/>
      <c r="F97" s="44"/>
      <c r="G97" s="48"/>
      <c r="H97" s="47"/>
      <c r="I97" s="47"/>
      <c r="J97" s="48"/>
      <c r="L97" s="45"/>
    </row>
    <row r="98" customFormat="false" ht="15" hidden="false" customHeight="false" outlineLevel="0" collapsed="false">
      <c r="C98" s="44"/>
      <c r="E98" s="44"/>
      <c r="F98" s="44"/>
      <c r="G98" s="48"/>
      <c r="H98" s="47"/>
      <c r="I98" s="47"/>
      <c r="J98" s="48"/>
      <c r="L98" s="45"/>
    </row>
    <row r="99" customFormat="false" ht="15" hidden="false" customHeight="false" outlineLevel="0" collapsed="false">
      <c r="C99" s="44"/>
      <c r="E99" s="44"/>
      <c r="F99" s="44"/>
      <c r="G99" s="48"/>
      <c r="H99" s="47"/>
      <c r="I99" s="47"/>
      <c r="J99" s="48"/>
      <c r="L99" s="45"/>
    </row>
    <row r="100" customFormat="false" ht="15" hidden="false" customHeight="false" outlineLevel="0" collapsed="false">
      <c r="C100" s="44"/>
      <c r="E100" s="44"/>
      <c r="F100" s="44"/>
      <c r="G100" s="48"/>
      <c r="H100" s="47"/>
      <c r="I100" s="47"/>
      <c r="J100" s="48"/>
      <c r="L100" s="45"/>
    </row>
    <row r="101" customFormat="false" ht="15" hidden="false" customHeight="false" outlineLevel="0" collapsed="false">
      <c r="C101" s="44"/>
      <c r="E101" s="44"/>
      <c r="F101" s="44"/>
      <c r="G101" s="48"/>
      <c r="H101" s="47"/>
      <c r="I101" s="47"/>
      <c r="J101" s="48"/>
      <c r="L101" s="45"/>
    </row>
    <row r="102" customFormat="false" ht="15" hidden="false" customHeight="false" outlineLevel="0" collapsed="false">
      <c r="C102" s="44"/>
      <c r="E102" s="44"/>
      <c r="F102" s="44"/>
      <c r="G102" s="48"/>
      <c r="H102" s="47"/>
      <c r="I102" s="47"/>
      <c r="J102" s="48"/>
      <c r="L102" s="45"/>
    </row>
    <row r="103" customFormat="false" ht="15" hidden="false" customHeight="false" outlineLevel="0" collapsed="false">
      <c r="C103" s="44"/>
      <c r="E103" s="44"/>
      <c r="F103" s="44"/>
      <c r="G103" s="48"/>
      <c r="H103" s="47"/>
      <c r="I103" s="47"/>
      <c r="J103" s="48"/>
      <c r="L103" s="45"/>
    </row>
    <row r="104" customFormat="false" ht="15" hidden="false" customHeight="false" outlineLevel="0" collapsed="false">
      <c r="C104" s="44"/>
      <c r="E104" s="44"/>
      <c r="F104" s="44"/>
      <c r="G104" s="48"/>
      <c r="H104" s="47"/>
      <c r="I104" s="47"/>
      <c r="J104" s="48"/>
      <c r="L104" s="45"/>
    </row>
    <row r="105" customFormat="false" ht="15" hidden="false" customHeight="false" outlineLevel="0" collapsed="false">
      <c r="C105" s="44"/>
      <c r="E105" s="44"/>
      <c r="F105" s="44"/>
      <c r="G105" s="48"/>
      <c r="H105" s="47"/>
      <c r="I105" s="47"/>
      <c r="J105" s="48"/>
      <c r="L105" s="45"/>
    </row>
    <row r="106" customFormat="false" ht="15" hidden="false" customHeight="false" outlineLevel="0" collapsed="false">
      <c r="C106" s="44"/>
      <c r="E106" s="44"/>
      <c r="F106" s="44"/>
      <c r="G106" s="48"/>
      <c r="H106" s="47"/>
      <c r="I106" s="47"/>
      <c r="J106" s="48"/>
      <c r="L106" s="45"/>
    </row>
    <row r="107" customFormat="false" ht="15" hidden="false" customHeight="false" outlineLevel="0" collapsed="false">
      <c r="C107" s="44"/>
      <c r="E107" s="44"/>
      <c r="F107" s="44"/>
      <c r="G107" s="48"/>
      <c r="H107" s="47"/>
      <c r="I107" s="47"/>
      <c r="J107" s="48"/>
      <c r="L107" s="45"/>
    </row>
    <row r="108" customFormat="false" ht="15" hidden="false" customHeight="false" outlineLevel="0" collapsed="false">
      <c r="C108" s="44"/>
      <c r="E108" s="44"/>
      <c r="F108" s="44"/>
      <c r="G108" s="48"/>
      <c r="H108" s="47"/>
      <c r="I108" s="47"/>
      <c r="J108" s="48"/>
      <c r="L108" s="45"/>
    </row>
    <row r="109" customFormat="false" ht="15" hidden="false" customHeight="false" outlineLevel="0" collapsed="false">
      <c r="C109" s="44"/>
      <c r="E109" s="44"/>
      <c r="F109" s="44"/>
      <c r="G109" s="48"/>
      <c r="H109" s="47"/>
      <c r="I109" s="47"/>
      <c r="J109" s="48"/>
      <c r="L109" s="45"/>
    </row>
    <row r="110" customFormat="false" ht="15" hidden="false" customHeight="false" outlineLevel="0" collapsed="false">
      <c r="C110" s="44"/>
      <c r="E110" s="44"/>
      <c r="F110" s="44"/>
      <c r="G110" s="48"/>
      <c r="H110" s="47"/>
      <c r="I110" s="47"/>
      <c r="J110" s="48"/>
      <c r="L110" s="45"/>
    </row>
    <row r="111" customFormat="false" ht="15" hidden="false" customHeight="false" outlineLevel="0" collapsed="false">
      <c r="C111" s="44"/>
      <c r="E111" s="44"/>
      <c r="F111" s="44"/>
      <c r="G111" s="48"/>
      <c r="H111" s="47"/>
      <c r="I111" s="47"/>
      <c r="J111" s="48"/>
      <c r="L111" s="45"/>
    </row>
    <row r="112" customFormat="false" ht="15" hidden="false" customHeight="false" outlineLevel="0" collapsed="false">
      <c r="C112" s="44"/>
      <c r="E112" s="44"/>
      <c r="F112" s="44"/>
      <c r="G112" s="48"/>
      <c r="H112" s="47"/>
      <c r="I112" s="47"/>
      <c r="J112" s="48"/>
      <c r="L112" s="45"/>
    </row>
    <row r="113" customFormat="false" ht="15" hidden="false" customHeight="false" outlineLevel="0" collapsed="false">
      <c r="C113" s="44"/>
      <c r="E113" s="44"/>
      <c r="F113" s="44"/>
      <c r="G113" s="48"/>
      <c r="H113" s="47"/>
      <c r="I113" s="47"/>
      <c r="J113" s="48"/>
      <c r="L113" s="45"/>
    </row>
    <row r="114" customFormat="false" ht="15" hidden="false" customHeight="false" outlineLevel="0" collapsed="false">
      <c r="C114" s="44"/>
      <c r="E114" s="44"/>
      <c r="F114" s="44"/>
      <c r="G114" s="48"/>
      <c r="H114" s="47"/>
      <c r="I114" s="47"/>
      <c r="J114" s="48"/>
      <c r="L114" s="45"/>
    </row>
    <row r="115" customFormat="false" ht="15" hidden="false" customHeight="false" outlineLevel="0" collapsed="false">
      <c r="C115" s="44"/>
      <c r="E115" s="44"/>
      <c r="F115" s="44"/>
      <c r="G115" s="48"/>
      <c r="H115" s="47"/>
      <c r="I115" s="47"/>
      <c r="J115" s="48"/>
      <c r="L115" s="45"/>
    </row>
    <row r="116" customFormat="false" ht="15" hidden="false" customHeight="false" outlineLevel="0" collapsed="false">
      <c r="C116" s="44"/>
      <c r="E116" s="44"/>
      <c r="F116" s="44"/>
      <c r="G116" s="48"/>
      <c r="H116" s="47"/>
      <c r="I116" s="47"/>
      <c r="J116" s="48"/>
      <c r="L116" s="45"/>
    </row>
    <row r="117" customFormat="false" ht="15" hidden="false" customHeight="false" outlineLevel="0" collapsed="false">
      <c r="C117" s="44"/>
      <c r="E117" s="44"/>
      <c r="F117" s="44"/>
      <c r="G117" s="48"/>
      <c r="H117" s="47"/>
      <c r="I117" s="47"/>
      <c r="J117" s="48"/>
      <c r="L117" s="45"/>
    </row>
    <row r="118" customFormat="false" ht="15" hidden="false" customHeight="false" outlineLevel="0" collapsed="false">
      <c r="C118" s="44"/>
      <c r="E118" s="44"/>
      <c r="F118" s="44"/>
      <c r="G118" s="48"/>
      <c r="H118" s="47"/>
      <c r="I118" s="47"/>
      <c r="J118" s="48"/>
      <c r="L118" s="45"/>
    </row>
    <row r="119" customFormat="false" ht="15" hidden="false" customHeight="false" outlineLevel="0" collapsed="false">
      <c r="C119" s="44"/>
      <c r="E119" s="44"/>
      <c r="F119" s="44"/>
      <c r="G119" s="48"/>
      <c r="H119" s="47"/>
      <c r="I119" s="47"/>
      <c r="J119" s="48"/>
      <c r="L119" s="45"/>
    </row>
    <row r="120" customFormat="false" ht="15" hidden="false" customHeight="false" outlineLevel="0" collapsed="false">
      <c r="C120" s="44"/>
      <c r="E120" s="44"/>
      <c r="F120" s="44"/>
      <c r="G120" s="48"/>
      <c r="H120" s="47"/>
      <c r="I120" s="47"/>
      <c r="J120" s="48"/>
      <c r="L120" s="45"/>
    </row>
    <row r="121" customFormat="false" ht="15" hidden="false" customHeight="false" outlineLevel="0" collapsed="false">
      <c r="C121" s="44"/>
      <c r="E121" s="44"/>
      <c r="F121" s="44"/>
      <c r="G121" s="48"/>
      <c r="H121" s="47"/>
      <c r="I121" s="47"/>
      <c r="J121" s="48"/>
      <c r="L121" s="45"/>
    </row>
    <row r="122" customFormat="false" ht="15" hidden="false" customHeight="false" outlineLevel="0" collapsed="false">
      <c r="C122" s="44"/>
      <c r="E122" s="44"/>
      <c r="F122" s="44"/>
      <c r="G122" s="48"/>
      <c r="H122" s="47"/>
      <c r="I122" s="47"/>
      <c r="J122" s="48"/>
      <c r="L122" s="45"/>
    </row>
    <row r="123" customFormat="false" ht="15" hidden="false" customHeight="false" outlineLevel="0" collapsed="false">
      <c r="C123" s="44"/>
      <c r="E123" s="44"/>
      <c r="F123" s="44"/>
      <c r="G123" s="48"/>
      <c r="H123" s="47"/>
      <c r="I123" s="47"/>
      <c r="J123" s="48"/>
      <c r="L123" s="45"/>
    </row>
    <row r="124" customFormat="false" ht="15" hidden="false" customHeight="false" outlineLevel="0" collapsed="false">
      <c r="C124" s="44"/>
      <c r="E124" s="44"/>
      <c r="F124" s="44"/>
      <c r="G124" s="48"/>
      <c r="H124" s="47"/>
      <c r="I124" s="47"/>
      <c r="J124" s="48"/>
      <c r="L124" s="45"/>
    </row>
    <row r="125" customFormat="false" ht="15" hidden="false" customHeight="false" outlineLevel="0" collapsed="false">
      <c r="C125" s="44"/>
      <c r="E125" s="44"/>
      <c r="F125" s="44"/>
      <c r="G125" s="48"/>
      <c r="H125" s="47"/>
      <c r="I125" s="47"/>
      <c r="J125" s="48"/>
      <c r="L125" s="45"/>
    </row>
    <row r="126" customFormat="false" ht="15" hidden="false" customHeight="false" outlineLevel="0" collapsed="false">
      <c r="C126" s="44"/>
      <c r="E126" s="44"/>
      <c r="F126" s="44"/>
      <c r="G126" s="48"/>
      <c r="H126" s="47"/>
      <c r="I126" s="47"/>
      <c r="J126" s="48"/>
      <c r="L126" s="45"/>
    </row>
    <row r="127" customFormat="false" ht="15" hidden="false" customHeight="false" outlineLevel="0" collapsed="false">
      <c r="C127" s="44"/>
      <c r="E127" s="44"/>
      <c r="F127" s="44"/>
      <c r="G127" s="48"/>
      <c r="H127" s="47"/>
      <c r="I127" s="47"/>
      <c r="J127" s="48"/>
      <c r="L127" s="45"/>
    </row>
    <row r="128" customFormat="false" ht="15" hidden="false" customHeight="false" outlineLevel="0" collapsed="false">
      <c r="C128" s="44"/>
      <c r="E128" s="44"/>
      <c r="F128" s="44"/>
      <c r="G128" s="48"/>
      <c r="H128" s="47"/>
      <c r="I128" s="47"/>
      <c r="J128" s="48"/>
      <c r="L128" s="45"/>
    </row>
    <row r="129" customFormat="false" ht="15" hidden="false" customHeight="false" outlineLevel="0" collapsed="false">
      <c r="C129" s="44"/>
      <c r="E129" s="44"/>
      <c r="F129" s="44"/>
      <c r="G129" s="48"/>
      <c r="H129" s="47"/>
      <c r="I129" s="47"/>
      <c r="J129" s="48"/>
      <c r="L129" s="45"/>
    </row>
    <row r="130" customFormat="false" ht="15" hidden="false" customHeight="false" outlineLevel="0" collapsed="false">
      <c r="C130" s="44"/>
      <c r="E130" s="44"/>
      <c r="F130" s="44"/>
      <c r="G130" s="48"/>
      <c r="H130" s="47"/>
      <c r="I130" s="47"/>
      <c r="J130" s="48"/>
      <c r="L130" s="45"/>
    </row>
    <row r="131" customFormat="false" ht="15" hidden="false" customHeight="false" outlineLevel="0" collapsed="false">
      <c r="C131" s="44"/>
      <c r="E131" s="44"/>
      <c r="F131" s="44"/>
      <c r="G131" s="48"/>
      <c r="H131" s="47"/>
      <c r="I131" s="47"/>
      <c r="J131" s="48"/>
      <c r="L131" s="45"/>
    </row>
    <row r="132" customFormat="false" ht="15" hidden="false" customHeight="false" outlineLevel="0" collapsed="false">
      <c r="C132" s="44"/>
      <c r="E132" s="44"/>
      <c r="F132" s="44"/>
      <c r="G132" s="48"/>
      <c r="H132" s="47"/>
      <c r="I132" s="47"/>
      <c r="J132" s="48"/>
      <c r="L132" s="45"/>
    </row>
    <row r="133" customFormat="false" ht="15" hidden="false" customHeight="false" outlineLevel="0" collapsed="false">
      <c r="C133" s="44"/>
      <c r="E133" s="44"/>
      <c r="F133" s="44"/>
      <c r="G133" s="48"/>
      <c r="H133" s="47"/>
      <c r="I133" s="47"/>
      <c r="J133" s="48"/>
      <c r="L133" s="45"/>
    </row>
    <row r="134" customFormat="false" ht="15" hidden="false" customHeight="false" outlineLevel="0" collapsed="false">
      <c r="C134" s="44"/>
      <c r="E134" s="44"/>
      <c r="F134" s="44"/>
      <c r="G134" s="48"/>
      <c r="H134" s="47"/>
      <c r="I134" s="47"/>
      <c r="J134" s="48"/>
      <c r="L134" s="45"/>
    </row>
    <row r="135" customFormat="false" ht="15" hidden="false" customHeight="false" outlineLevel="0" collapsed="false">
      <c r="C135" s="44"/>
      <c r="E135" s="44"/>
      <c r="F135" s="44"/>
      <c r="G135" s="48"/>
      <c r="H135" s="47"/>
      <c r="I135" s="47"/>
      <c r="J135" s="48"/>
      <c r="L135" s="45"/>
    </row>
    <row r="136" customFormat="false" ht="15" hidden="false" customHeight="false" outlineLevel="0" collapsed="false">
      <c r="C136" s="44"/>
      <c r="E136" s="44"/>
      <c r="F136" s="44"/>
      <c r="G136" s="48"/>
      <c r="H136" s="47"/>
      <c r="I136" s="47"/>
      <c r="J136" s="48"/>
      <c r="L136" s="45"/>
    </row>
    <row r="137" customFormat="false" ht="15" hidden="false" customHeight="false" outlineLevel="0" collapsed="false">
      <c r="C137" s="44"/>
      <c r="E137" s="44"/>
      <c r="F137" s="44"/>
      <c r="G137" s="48"/>
      <c r="H137" s="47"/>
      <c r="I137" s="47"/>
      <c r="J137" s="48"/>
      <c r="L137" s="45"/>
    </row>
    <row r="138" customFormat="false" ht="15" hidden="false" customHeight="false" outlineLevel="0" collapsed="false">
      <c r="C138" s="44"/>
      <c r="E138" s="44"/>
      <c r="F138" s="44"/>
      <c r="G138" s="48"/>
      <c r="H138" s="47"/>
      <c r="I138" s="47"/>
      <c r="J138" s="48"/>
      <c r="L138" s="45"/>
    </row>
    <row r="139" customFormat="false" ht="15" hidden="false" customHeight="false" outlineLevel="0" collapsed="false">
      <c r="C139" s="44"/>
      <c r="E139" s="44"/>
      <c r="F139" s="44"/>
      <c r="G139" s="48"/>
      <c r="H139" s="47"/>
      <c r="I139" s="47"/>
      <c r="J139" s="48"/>
      <c r="L139" s="45"/>
    </row>
    <row r="140" customFormat="false" ht="15" hidden="false" customHeight="false" outlineLevel="0" collapsed="false">
      <c r="C140" s="44"/>
      <c r="E140" s="44"/>
      <c r="F140" s="44"/>
      <c r="G140" s="48"/>
      <c r="H140" s="47"/>
      <c r="I140" s="47"/>
      <c r="J140" s="48"/>
      <c r="L140" s="45"/>
    </row>
    <row r="141" customFormat="false" ht="15" hidden="false" customHeight="false" outlineLevel="0" collapsed="false">
      <c r="C141" s="44"/>
      <c r="E141" s="44"/>
      <c r="F141" s="44"/>
      <c r="G141" s="48"/>
      <c r="H141" s="47"/>
      <c r="I141" s="47"/>
      <c r="J141" s="48"/>
      <c r="L141" s="45"/>
    </row>
    <row r="142" customFormat="false" ht="15" hidden="false" customHeight="false" outlineLevel="0" collapsed="false">
      <c r="C142" s="44"/>
      <c r="E142" s="44"/>
      <c r="F142" s="44"/>
      <c r="G142" s="48"/>
      <c r="H142" s="47"/>
      <c r="I142" s="47"/>
      <c r="J142" s="48"/>
      <c r="L142" s="45"/>
    </row>
    <row r="143" customFormat="false" ht="15" hidden="false" customHeight="false" outlineLevel="0" collapsed="false">
      <c r="C143" s="44"/>
      <c r="E143" s="44"/>
      <c r="F143" s="44"/>
      <c r="G143" s="48"/>
      <c r="H143" s="47"/>
      <c r="I143" s="47"/>
      <c r="J143" s="48"/>
      <c r="L143" s="45"/>
    </row>
    <row r="144" customFormat="false" ht="15" hidden="false" customHeight="false" outlineLevel="0" collapsed="false">
      <c r="C144" s="44"/>
      <c r="E144" s="44"/>
      <c r="F144" s="44"/>
      <c r="G144" s="48"/>
      <c r="H144" s="47"/>
      <c r="I144" s="47"/>
      <c r="J144" s="48"/>
      <c r="L144" s="45"/>
    </row>
    <row r="145" customFormat="false" ht="15" hidden="false" customHeight="false" outlineLevel="0" collapsed="false">
      <c r="C145" s="44"/>
      <c r="E145" s="44"/>
      <c r="F145" s="44"/>
      <c r="G145" s="48"/>
      <c r="H145" s="47"/>
      <c r="I145" s="47"/>
      <c r="J145" s="48"/>
      <c r="L145" s="45"/>
    </row>
    <row r="146" customFormat="false" ht="15" hidden="false" customHeight="false" outlineLevel="0" collapsed="false">
      <c r="C146" s="44"/>
      <c r="E146" s="44"/>
      <c r="F146" s="44"/>
      <c r="G146" s="48"/>
      <c r="H146" s="47"/>
      <c r="I146" s="47"/>
      <c r="J146" s="48"/>
      <c r="L146" s="45"/>
    </row>
    <row r="147" customFormat="false" ht="15" hidden="false" customHeight="false" outlineLevel="0" collapsed="false">
      <c r="C147" s="44"/>
      <c r="E147" s="44"/>
      <c r="F147" s="44"/>
      <c r="G147" s="48"/>
      <c r="H147" s="47"/>
      <c r="I147" s="47"/>
      <c r="J147" s="48"/>
      <c r="L147" s="45"/>
    </row>
    <row r="148" customFormat="false" ht="15" hidden="false" customHeight="false" outlineLevel="0" collapsed="false">
      <c r="C148" s="44"/>
      <c r="E148" s="44"/>
      <c r="F148" s="44"/>
      <c r="G148" s="48"/>
      <c r="H148" s="47"/>
      <c r="I148" s="47"/>
      <c r="J148" s="48"/>
      <c r="L148" s="45"/>
    </row>
    <row r="149" customFormat="false" ht="15" hidden="false" customHeight="false" outlineLevel="0" collapsed="false">
      <c r="C149" s="44"/>
      <c r="E149" s="44"/>
      <c r="F149" s="44"/>
      <c r="G149" s="48"/>
      <c r="H149" s="47"/>
      <c r="I149" s="47"/>
      <c r="J149" s="48"/>
      <c r="L149" s="45"/>
    </row>
    <row r="150" customFormat="false" ht="15" hidden="false" customHeight="false" outlineLevel="0" collapsed="false">
      <c r="C150" s="44"/>
      <c r="E150" s="44"/>
      <c r="F150" s="44"/>
      <c r="G150" s="48"/>
      <c r="H150" s="47"/>
      <c r="I150" s="47"/>
      <c r="J150" s="48"/>
      <c r="L150" s="45"/>
    </row>
    <row r="151" customFormat="false" ht="15" hidden="false" customHeight="false" outlineLevel="0" collapsed="false">
      <c r="C151" s="44"/>
      <c r="E151" s="44"/>
      <c r="F151" s="44"/>
      <c r="G151" s="48"/>
      <c r="H151" s="47"/>
      <c r="I151" s="47"/>
      <c r="J151" s="48"/>
      <c r="L151" s="45"/>
    </row>
    <row r="152" customFormat="false" ht="15" hidden="false" customHeight="false" outlineLevel="0" collapsed="false">
      <c r="C152" s="44"/>
      <c r="E152" s="44"/>
      <c r="F152" s="44"/>
      <c r="G152" s="48"/>
      <c r="H152" s="47"/>
      <c r="I152" s="47"/>
      <c r="J152" s="48"/>
      <c r="L152" s="45"/>
    </row>
    <row r="153" customFormat="false" ht="15" hidden="false" customHeight="false" outlineLevel="0" collapsed="false">
      <c r="C153" s="44"/>
      <c r="E153" s="44"/>
      <c r="F153" s="44"/>
      <c r="G153" s="48"/>
      <c r="H153" s="47"/>
      <c r="I153" s="47"/>
      <c r="J153" s="48"/>
      <c r="L153" s="45"/>
    </row>
    <row r="154" customFormat="false" ht="15" hidden="false" customHeight="false" outlineLevel="0" collapsed="false">
      <c r="C154" s="44"/>
      <c r="E154" s="44"/>
      <c r="F154" s="44"/>
      <c r="G154" s="48"/>
      <c r="H154" s="47"/>
      <c r="I154" s="47"/>
      <c r="J154" s="48"/>
      <c r="L154" s="45"/>
    </row>
    <row r="155" customFormat="false" ht="15" hidden="false" customHeight="false" outlineLevel="0" collapsed="false">
      <c r="C155" s="44"/>
      <c r="E155" s="44"/>
      <c r="F155" s="44"/>
      <c r="G155" s="48"/>
      <c r="H155" s="47"/>
      <c r="I155" s="47"/>
      <c r="J155" s="48"/>
      <c r="L155" s="45"/>
    </row>
    <row r="156" customFormat="false" ht="15" hidden="false" customHeight="false" outlineLevel="0" collapsed="false">
      <c r="C156" s="44"/>
      <c r="E156" s="44"/>
      <c r="F156" s="44"/>
      <c r="G156" s="48"/>
      <c r="H156" s="47"/>
      <c r="I156" s="47"/>
      <c r="J156" s="48"/>
      <c r="L156" s="45"/>
    </row>
    <row r="157" customFormat="false" ht="15" hidden="false" customHeight="false" outlineLevel="0" collapsed="false">
      <c r="C157" s="44"/>
      <c r="E157" s="44"/>
      <c r="F157" s="44"/>
      <c r="G157" s="48"/>
      <c r="H157" s="47"/>
      <c r="I157" s="47"/>
      <c r="J157" s="48"/>
      <c r="L157" s="45"/>
    </row>
    <row r="158" customFormat="false" ht="15" hidden="false" customHeight="false" outlineLevel="0" collapsed="false">
      <c r="C158" s="44"/>
      <c r="E158" s="44"/>
      <c r="F158" s="44"/>
      <c r="G158" s="48"/>
      <c r="H158" s="47"/>
      <c r="I158" s="47"/>
      <c r="J158" s="48"/>
      <c r="L158" s="45"/>
    </row>
    <row r="159" customFormat="false" ht="15" hidden="false" customHeight="false" outlineLevel="0" collapsed="false">
      <c r="C159" s="44"/>
      <c r="E159" s="44"/>
      <c r="F159" s="44"/>
      <c r="G159" s="48"/>
      <c r="H159" s="47"/>
      <c r="I159" s="47"/>
      <c r="J159" s="48"/>
      <c r="L159" s="45"/>
    </row>
    <row r="160" customFormat="false" ht="15" hidden="false" customHeight="false" outlineLevel="0" collapsed="false">
      <c r="C160" s="44"/>
      <c r="E160" s="44"/>
      <c r="F160" s="44"/>
      <c r="G160" s="48"/>
      <c r="H160" s="47"/>
      <c r="I160" s="47"/>
      <c r="J160" s="48"/>
      <c r="L160" s="45"/>
    </row>
    <row r="161" customFormat="false" ht="15" hidden="false" customHeight="false" outlineLevel="0" collapsed="false">
      <c r="C161" s="44"/>
      <c r="E161" s="44"/>
      <c r="F161" s="44"/>
      <c r="G161" s="48"/>
      <c r="H161" s="47"/>
      <c r="I161" s="47"/>
      <c r="J161" s="48"/>
      <c r="L161" s="45"/>
    </row>
    <row r="162" customFormat="false" ht="15" hidden="false" customHeight="false" outlineLevel="0" collapsed="false">
      <c r="C162" s="44"/>
      <c r="E162" s="44"/>
      <c r="F162" s="44"/>
      <c r="G162" s="48"/>
      <c r="H162" s="47"/>
      <c r="I162" s="47"/>
      <c r="J162" s="48"/>
      <c r="L162" s="45"/>
    </row>
    <row r="163" customFormat="false" ht="15" hidden="false" customHeight="false" outlineLevel="0" collapsed="false">
      <c r="C163" s="44"/>
      <c r="E163" s="44"/>
      <c r="F163" s="44"/>
      <c r="G163" s="48"/>
      <c r="H163" s="47"/>
      <c r="I163" s="47"/>
      <c r="J163" s="48"/>
      <c r="L163" s="45"/>
    </row>
    <row r="164" customFormat="false" ht="15" hidden="false" customHeight="false" outlineLevel="0" collapsed="false">
      <c r="C164" s="44"/>
      <c r="E164" s="44"/>
      <c r="F164" s="44"/>
      <c r="G164" s="48"/>
      <c r="H164" s="47"/>
      <c r="I164" s="47"/>
      <c r="J164" s="48"/>
      <c r="L164" s="45"/>
    </row>
    <row r="165" customFormat="false" ht="15" hidden="false" customHeight="false" outlineLevel="0" collapsed="false">
      <c r="C165" s="44"/>
      <c r="E165" s="44"/>
      <c r="F165" s="44"/>
      <c r="G165" s="48"/>
      <c r="H165" s="47"/>
      <c r="I165" s="47"/>
      <c r="J165" s="48"/>
      <c r="L165" s="45"/>
    </row>
    <row r="166" customFormat="false" ht="15" hidden="false" customHeight="false" outlineLevel="0" collapsed="false">
      <c r="C166" s="44"/>
      <c r="E166" s="44"/>
      <c r="F166" s="44"/>
      <c r="G166" s="48"/>
      <c r="H166" s="47"/>
      <c r="I166" s="47"/>
      <c r="J166" s="48"/>
      <c r="L166" s="45"/>
    </row>
    <row r="167" customFormat="false" ht="15" hidden="false" customHeight="false" outlineLevel="0" collapsed="false">
      <c r="C167" s="44"/>
      <c r="E167" s="44"/>
      <c r="F167" s="44"/>
      <c r="G167" s="48"/>
      <c r="H167" s="47"/>
      <c r="I167" s="47"/>
      <c r="J167" s="48"/>
      <c r="L167" s="45"/>
    </row>
    <row r="168" customFormat="false" ht="15" hidden="false" customHeight="false" outlineLevel="0" collapsed="false">
      <c r="C168" s="44"/>
      <c r="E168" s="44"/>
      <c r="F168" s="44"/>
      <c r="G168" s="48"/>
      <c r="H168" s="47"/>
      <c r="I168" s="47"/>
      <c r="J168" s="48"/>
      <c r="L168" s="45"/>
    </row>
    <row r="169" customFormat="false" ht="15" hidden="false" customHeight="false" outlineLevel="0" collapsed="false">
      <c r="C169" s="44"/>
      <c r="E169" s="44"/>
      <c r="F169" s="44"/>
      <c r="G169" s="48"/>
      <c r="H169" s="47"/>
      <c r="I169" s="47"/>
      <c r="J169" s="48"/>
      <c r="L169" s="45"/>
    </row>
    <row r="170" customFormat="false" ht="15" hidden="false" customHeight="false" outlineLevel="0" collapsed="false">
      <c r="C170" s="44"/>
      <c r="E170" s="44"/>
      <c r="F170" s="44"/>
      <c r="G170" s="48"/>
      <c r="H170" s="47"/>
      <c r="I170" s="47"/>
      <c r="J170" s="48"/>
      <c r="L170" s="45"/>
    </row>
    <row r="171" customFormat="false" ht="15" hidden="false" customHeight="false" outlineLevel="0" collapsed="false">
      <c r="C171" s="44"/>
      <c r="E171" s="44"/>
      <c r="F171" s="44"/>
      <c r="G171" s="48"/>
      <c r="H171" s="47"/>
      <c r="I171" s="47"/>
      <c r="J171" s="48"/>
      <c r="L171" s="45"/>
    </row>
    <row r="172" customFormat="false" ht="15" hidden="false" customHeight="false" outlineLevel="0" collapsed="false">
      <c r="C172" s="44"/>
      <c r="E172" s="44"/>
      <c r="F172" s="44"/>
      <c r="G172" s="48"/>
      <c r="H172" s="47"/>
      <c r="I172" s="47"/>
      <c r="J172" s="48"/>
      <c r="L172" s="45"/>
    </row>
    <row r="173" customFormat="false" ht="15" hidden="false" customHeight="false" outlineLevel="0" collapsed="false">
      <c r="C173" s="44"/>
      <c r="E173" s="44"/>
      <c r="F173" s="44"/>
      <c r="G173" s="48"/>
      <c r="H173" s="47"/>
      <c r="I173" s="47"/>
      <c r="J173" s="48"/>
      <c r="L173" s="45"/>
    </row>
    <row r="174" customFormat="false" ht="15" hidden="false" customHeight="false" outlineLevel="0" collapsed="false">
      <c r="C174" s="44"/>
      <c r="E174" s="44"/>
      <c r="F174" s="44"/>
      <c r="G174" s="48"/>
      <c r="H174" s="47"/>
      <c r="I174" s="47"/>
      <c r="J174" s="48"/>
      <c r="L174" s="45"/>
    </row>
    <row r="175" customFormat="false" ht="15" hidden="false" customHeight="false" outlineLevel="0" collapsed="false">
      <c r="C175" s="44"/>
      <c r="E175" s="44"/>
      <c r="F175" s="44"/>
      <c r="G175" s="48"/>
      <c r="H175" s="47"/>
      <c r="I175" s="47"/>
      <c r="J175" s="48"/>
      <c r="L175" s="45"/>
    </row>
    <row r="176" customFormat="false" ht="15" hidden="false" customHeight="false" outlineLevel="0" collapsed="false">
      <c r="C176" s="44"/>
      <c r="E176" s="44"/>
      <c r="F176" s="44"/>
      <c r="G176" s="48"/>
      <c r="H176" s="47"/>
      <c r="I176" s="47"/>
      <c r="J176" s="48"/>
      <c r="L176" s="45"/>
    </row>
    <row r="177" customFormat="false" ht="15" hidden="false" customHeight="false" outlineLevel="0" collapsed="false">
      <c r="C177" s="44"/>
      <c r="E177" s="44"/>
      <c r="F177" s="44"/>
      <c r="G177" s="48"/>
      <c r="H177" s="47"/>
      <c r="I177" s="47"/>
      <c r="J177" s="48"/>
      <c r="L177" s="45"/>
    </row>
    <row r="178" customFormat="false" ht="15" hidden="false" customHeight="false" outlineLevel="0" collapsed="false">
      <c r="C178" s="44"/>
      <c r="E178" s="44"/>
      <c r="F178" s="44"/>
      <c r="G178" s="48"/>
      <c r="H178" s="47"/>
      <c r="I178" s="47"/>
      <c r="J178" s="48"/>
      <c r="L178" s="45"/>
    </row>
    <row r="179" customFormat="false" ht="15" hidden="false" customHeight="false" outlineLevel="0" collapsed="false">
      <c r="C179" s="44"/>
      <c r="E179" s="44"/>
      <c r="F179" s="44"/>
      <c r="G179" s="48"/>
      <c r="H179" s="47"/>
      <c r="I179" s="47"/>
      <c r="J179" s="48"/>
      <c r="L179" s="45"/>
    </row>
    <row r="180" customFormat="false" ht="15" hidden="false" customHeight="false" outlineLevel="0" collapsed="false">
      <c r="C180" s="44"/>
      <c r="E180" s="44"/>
      <c r="F180" s="44"/>
      <c r="G180" s="48"/>
      <c r="H180" s="47"/>
      <c r="I180" s="47"/>
      <c r="J180" s="48"/>
      <c r="L180" s="45"/>
    </row>
    <row r="181" customFormat="false" ht="15" hidden="false" customHeight="false" outlineLevel="0" collapsed="false">
      <c r="C181" s="44"/>
      <c r="E181" s="44"/>
      <c r="F181" s="44"/>
      <c r="G181" s="48"/>
      <c r="H181" s="47"/>
      <c r="I181" s="47"/>
      <c r="J181" s="48"/>
      <c r="L181" s="45"/>
    </row>
    <row r="182" customFormat="false" ht="15" hidden="false" customHeight="false" outlineLevel="0" collapsed="false">
      <c r="C182" s="44"/>
      <c r="E182" s="44"/>
      <c r="F182" s="44"/>
      <c r="G182" s="48"/>
      <c r="H182" s="47"/>
      <c r="I182" s="47"/>
      <c r="J182" s="48"/>
      <c r="L182" s="45"/>
    </row>
    <row r="183" customFormat="false" ht="15" hidden="false" customHeight="false" outlineLevel="0" collapsed="false">
      <c r="C183" s="44"/>
      <c r="E183" s="44"/>
      <c r="F183" s="44"/>
      <c r="G183" s="48"/>
      <c r="H183" s="47"/>
      <c r="I183" s="47"/>
      <c r="J183" s="48"/>
      <c r="L183" s="45"/>
    </row>
    <row r="184" customFormat="false" ht="15" hidden="false" customHeight="false" outlineLevel="0" collapsed="false">
      <c r="C184" s="44"/>
      <c r="E184" s="44"/>
      <c r="F184" s="44"/>
      <c r="G184" s="48"/>
      <c r="H184" s="47"/>
      <c r="I184" s="47"/>
      <c r="J184" s="48"/>
      <c r="L184" s="45"/>
    </row>
    <row r="185" customFormat="false" ht="15" hidden="false" customHeight="false" outlineLevel="0" collapsed="false">
      <c r="C185" s="44"/>
      <c r="E185" s="44"/>
      <c r="F185" s="44"/>
      <c r="G185" s="48"/>
      <c r="H185" s="47"/>
      <c r="I185" s="47"/>
      <c r="J185" s="48"/>
      <c r="L185" s="45"/>
    </row>
    <row r="186" customFormat="false" ht="15" hidden="false" customHeight="false" outlineLevel="0" collapsed="false">
      <c r="C186" s="44"/>
      <c r="E186" s="44"/>
      <c r="F186" s="44"/>
      <c r="G186" s="48"/>
      <c r="H186" s="47"/>
      <c r="I186" s="47"/>
      <c r="J186" s="48"/>
      <c r="L186" s="45"/>
    </row>
    <row r="187" customFormat="false" ht="15" hidden="false" customHeight="false" outlineLevel="0" collapsed="false">
      <c r="C187" s="44"/>
      <c r="E187" s="44"/>
      <c r="F187" s="44"/>
      <c r="G187" s="48"/>
      <c r="H187" s="47"/>
      <c r="I187" s="47"/>
      <c r="J187" s="48"/>
      <c r="L187" s="45"/>
    </row>
    <row r="188" customFormat="false" ht="15" hidden="false" customHeight="false" outlineLevel="0" collapsed="false">
      <c r="C188" s="44"/>
      <c r="E188" s="44"/>
      <c r="F188" s="44"/>
      <c r="G188" s="48"/>
      <c r="H188" s="47"/>
      <c r="I188" s="47"/>
      <c r="J188" s="48"/>
      <c r="L188" s="45"/>
    </row>
    <row r="189" customFormat="false" ht="15" hidden="false" customHeight="false" outlineLevel="0" collapsed="false">
      <c r="C189" s="44"/>
      <c r="E189" s="44"/>
      <c r="F189" s="44"/>
      <c r="G189" s="48"/>
      <c r="H189" s="47"/>
      <c r="I189" s="47"/>
      <c r="J189" s="48"/>
      <c r="L189" s="45"/>
    </row>
    <row r="190" customFormat="false" ht="15" hidden="false" customHeight="false" outlineLevel="0" collapsed="false">
      <c r="C190" s="44"/>
      <c r="E190" s="44"/>
      <c r="F190" s="44"/>
      <c r="G190" s="48"/>
      <c r="H190" s="47"/>
      <c r="I190" s="47"/>
      <c r="J190" s="48"/>
      <c r="L190" s="45"/>
    </row>
    <row r="191" customFormat="false" ht="15" hidden="false" customHeight="false" outlineLevel="0" collapsed="false">
      <c r="C191" s="44"/>
      <c r="E191" s="44"/>
      <c r="F191" s="44"/>
      <c r="G191" s="48"/>
      <c r="H191" s="47"/>
      <c r="I191" s="47"/>
      <c r="J191" s="48"/>
      <c r="L191" s="45"/>
    </row>
    <row r="192" customFormat="false" ht="15" hidden="false" customHeight="false" outlineLevel="0" collapsed="false">
      <c r="C192" s="44"/>
      <c r="E192" s="44"/>
      <c r="F192" s="44"/>
      <c r="G192" s="48"/>
      <c r="H192" s="47"/>
      <c r="I192" s="47"/>
      <c r="J192" s="48"/>
      <c r="L192" s="45"/>
    </row>
    <row r="193" customFormat="false" ht="15" hidden="false" customHeight="false" outlineLevel="0" collapsed="false">
      <c r="C193" s="44"/>
      <c r="E193" s="44"/>
      <c r="F193" s="44"/>
      <c r="G193" s="48"/>
      <c r="H193" s="47"/>
      <c r="I193" s="47"/>
      <c r="J193" s="48"/>
      <c r="L193" s="45"/>
    </row>
    <row r="194" customFormat="false" ht="15" hidden="false" customHeight="false" outlineLevel="0" collapsed="false">
      <c r="C194" s="44"/>
      <c r="E194" s="44"/>
      <c r="F194" s="44"/>
      <c r="G194" s="48"/>
      <c r="H194" s="47"/>
      <c r="I194" s="47"/>
      <c r="J194" s="48"/>
      <c r="L194" s="45"/>
    </row>
    <row r="195" customFormat="false" ht="15" hidden="false" customHeight="false" outlineLevel="0" collapsed="false">
      <c r="C195" s="44"/>
      <c r="E195" s="44"/>
      <c r="F195" s="44"/>
      <c r="G195" s="48"/>
      <c r="H195" s="47"/>
      <c r="I195" s="47"/>
      <c r="J195" s="48"/>
      <c r="L195" s="45"/>
    </row>
    <row r="196" customFormat="false" ht="15" hidden="false" customHeight="false" outlineLevel="0" collapsed="false">
      <c r="C196" s="44"/>
      <c r="E196" s="44"/>
      <c r="F196" s="44"/>
      <c r="G196" s="48"/>
      <c r="H196" s="47"/>
      <c r="I196" s="47"/>
      <c r="J196" s="48"/>
      <c r="L196" s="45"/>
    </row>
    <row r="197" customFormat="false" ht="15" hidden="false" customHeight="false" outlineLevel="0" collapsed="false">
      <c r="C197" s="44"/>
      <c r="E197" s="44"/>
      <c r="F197" s="44"/>
      <c r="G197" s="48"/>
      <c r="H197" s="47"/>
      <c r="I197" s="47"/>
      <c r="J197" s="48"/>
      <c r="L197" s="45"/>
    </row>
    <row r="198" customFormat="false" ht="15" hidden="false" customHeight="false" outlineLevel="0" collapsed="false">
      <c r="C198" s="44"/>
      <c r="E198" s="44"/>
      <c r="F198" s="44"/>
      <c r="G198" s="48"/>
      <c r="H198" s="47"/>
      <c r="I198" s="47"/>
      <c r="J198" s="48"/>
      <c r="L198" s="45"/>
    </row>
    <row r="199" customFormat="false" ht="15" hidden="false" customHeight="false" outlineLevel="0" collapsed="false">
      <c r="C199" s="44"/>
      <c r="E199" s="44"/>
      <c r="F199" s="44"/>
      <c r="G199" s="48"/>
      <c r="H199" s="47"/>
      <c r="I199" s="47"/>
      <c r="J199" s="48"/>
      <c r="L199" s="45"/>
    </row>
    <row r="200" customFormat="false" ht="15" hidden="false" customHeight="false" outlineLevel="0" collapsed="false">
      <c r="C200" s="44"/>
      <c r="E200" s="44"/>
      <c r="F200" s="44"/>
      <c r="G200" s="48"/>
      <c r="H200" s="47"/>
      <c r="I200" s="47"/>
      <c r="J200" s="48"/>
      <c r="L200" s="45"/>
    </row>
    <row r="201" customFormat="false" ht="15" hidden="false" customHeight="false" outlineLevel="0" collapsed="false">
      <c r="C201" s="44"/>
      <c r="E201" s="44"/>
      <c r="F201" s="44"/>
      <c r="G201" s="48"/>
      <c r="H201" s="47"/>
      <c r="I201" s="47"/>
      <c r="J201" s="48"/>
      <c r="L201" s="45"/>
    </row>
    <row r="202" customFormat="false" ht="15" hidden="false" customHeight="false" outlineLevel="0" collapsed="false">
      <c r="C202" s="44"/>
      <c r="E202" s="44"/>
      <c r="F202" s="44"/>
      <c r="G202" s="48"/>
      <c r="H202" s="47"/>
      <c r="I202" s="47"/>
      <c r="J202" s="48"/>
      <c r="L202" s="45"/>
    </row>
    <row r="203" customFormat="false" ht="15" hidden="false" customHeight="false" outlineLevel="0" collapsed="false">
      <c r="C203" s="44"/>
      <c r="E203" s="44"/>
      <c r="F203" s="44"/>
      <c r="G203" s="48"/>
      <c r="H203" s="47"/>
      <c r="I203" s="47"/>
      <c r="J203" s="48"/>
      <c r="L203" s="45"/>
    </row>
    <row r="204" customFormat="false" ht="15" hidden="false" customHeight="false" outlineLevel="0" collapsed="false">
      <c r="C204" s="44"/>
      <c r="E204" s="44"/>
      <c r="F204" s="44"/>
      <c r="G204" s="48"/>
      <c r="H204" s="47"/>
      <c r="I204" s="47"/>
      <c r="J204" s="48"/>
      <c r="L204" s="45"/>
    </row>
    <row r="205" customFormat="false" ht="15" hidden="false" customHeight="false" outlineLevel="0" collapsed="false">
      <c r="C205" s="44"/>
      <c r="E205" s="44"/>
      <c r="F205" s="44"/>
      <c r="G205" s="48"/>
      <c r="H205" s="47"/>
      <c r="I205" s="47"/>
      <c r="J205" s="48"/>
      <c r="L205" s="45"/>
    </row>
    <row r="206" customFormat="false" ht="15" hidden="false" customHeight="false" outlineLevel="0" collapsed="false">
      <c r="C206" s="44"/>
      <c r="E206" s="44"/>
      <c r="F206" s="44"/>
      <c r="G206" s="48"/>
      <c r="H206" s="47"/>
      <c r="I206" s="47"/>
      <c r="J206" s="48"/>
      <c r="L206" s="45"/>
    </row>
    <row r="207" customFormat="false" ht="15" hidden="false" customHeight="false" outlineLevel="0" collapsed="false">
      <c r="C207" s="44"/>
      <c r="E207" s="44"/>
      <c r="F207" s="44"/>
      <c r="G207" s="48"/>
      <c r="H207" s="47"/>
      <c r="I207" s="47"/>
      <c r="J207" s="48"/>
      <c r="L207" s="45"/>
    </row>
    <row r="208" customFormat="false" ht="15" hidden="false" customHeight="false" outlineLevel="0" collapsed="false">
      <c r="C208" s="44"/>
      <c r="E208" s="44"/>
      <c r="F208" s="44"/>
      <c r="G208" s="48"/>
      <c r="H208" s="47"/>
      <c r="I208" s="47"/>
      <c r="J208" s="48"/>
      <c r="L208" s="45"/>
    </row>
    <row r="209" customFormat="false" ht="15" hidden="false" customHeight="false" outlineLevel="0" collapsed="false">
      <c r="C209" s="44"/>
      <c r="E209" s="44"/>
      <c r="F209" s="44"/>
      <c r="G209" s="48"/>
      <c r="H209" s="47"/>
      <c r="I209" s="47"/>
      <c r="J209" s="48"/>
      <c r="L209" s="45"/>
    </row>
    <row r="210" customFormat="false" ht="15" hidden="false" customHeight="false" outlineLevel="0" collapsed="false">
      <c r="C210" s="44"/>
      <c r="E210" s="44"/>
      <c r="F210" s="44"/>
      <c r="G210" s="48"/>
      <c r="H210" s="47"/>
      <c r="I210" s="47"/>
      <c r="J210" s="48"/>
      <c r="L210" s="45"/>
    </row>
    <row r="211" customFormat="false" ht="15" hidden="false" customHeight="false" outlineLevel="0" collapsed="false">
      <c r="C211" s="44"/>
      <c r="E211" s="44"/>
      <c r="F211" s="44"/>
      <c r="G211" s="48"/>
      <c r="H211" s="47"/>
      <c r="I211" s="47"/>
      <c r="J211" s="48"/>
      <c r="L211" s="45"/>
    </row>
    <row r="212" customFormat="false" ht="15" hidden="false" customHeight="false" outlineLevel="0" collapsed="false">
      <c r="C212" s="44"/>
      <c r="E212" s="44"/>
      <c r="F212" s="44"/>
      <c r="G212" s="48"/>
      <c r="H212" s="47"/>
      <c r="I212" s="47"/>
      <c r="J212" s="48"/>
      <c r="L212" s="45"/>
    </row>
    <row r="213" customFormat="false" ht="15" hidden="false" customHeight="false" outlineLevel="0" collapsed="false">
      <c r="C213" s="44"/>
      <c r="E213" s="44"/>
      <c r="F213" s="44"/>
      <c r="G213" s="48"/>
      <c r="H213" s="47"/>
      <c r="I213" s="47"/>
      <c r="J213" s="48"/>
      <c r="L213" s="45"/>
    </row>
    <row r="214" customFormat="false" ht="15" hidden="false" customHeight="false" outlineLevel="0" collapsed="false">
      <c r="C214" s="44"/>
      <c r="E214" s="44"/>
      <c r="F214" s="44"/>
      <c r="G214" s="48"/>
      <c r="H214" s="47"/>
      <c r="I214" s="47"/>
      <c r="J214" s="48"/>
      <c r="L214" s="45"/>
    </row>
    <row r="215" customFormat="false" ht="15" hidden="false" customHeight="false" outlineLevel="0" collapsed="false">
      <c r="C215" s="44"/>
      <c r="E215" s="44"/>
      <c r="F215" s="44"/>
      <c r="G215" s="48"/>
      <c r="H215" s="47"/>
      <c r="I215" s="47"/>
      <c r="J215" s="48"/>
      <c r="L215" s="45"/>
    </row>
    <row r="216" customFormat="false" ht="15" hidden="false" customHeight="false" outlineLevel="0" collapsed="false">
      <c r="C216" s="44"/>
      <c r="E216" s="44"/>
      <c r="F216" s="44"/>
      <c r="G216" s="48"/>
      <c r="H216" s="47"/>
      <c r="I216" s="47"/>
      <c r="J216" s="48"/>
      <c r="L216" s="45"/>
    </row>
    <row r="217" customFormat="false" ht="15" hidden="false" customHeight="false" outlineLevel="0" collapsed="false">
      <c r="C217" s="44"/>
      <c r="E217" s="44"/>
      <c r="F217" s="44"/>
      <c r="G217" s="48"/>
      <c r="H217" s="47"/>
      <c r="I217" s="47"/>
      <c r="J217" s="48"/>
      <c r="L217" s="45"/>
    </row>
    <row r="218" customFormat="false" ht="15" hidden="false" customHeight="false" outlineLevel="0" collapsed="false">
      <c r="C218" s="44"/>
      <c r="E218" s="44"/>
      <c r="F218" s="44"/>
      <c r="G218" s="48"/>
      <c r="H218" s="47"/>
      <c r="I218" s="47"/>
      <c r="J218" s="48"/>
      <c r="L218" s="45"/>
    </row>
    <row r="219" customFormat="false" ht="15" hidden="false" customHeight="false" outlineLevel="0" collapsed="false">
      <c r="C219" s="44"/>
      <c r="E219" s="44"/>
      <c r="F219" s="44"/>
      <c r="G219" s="48"/>
      <c r="H219" s="47"/>
      <c r="I219" s="47"/>
      <c r="J219" s="48"/>
      <c r="L219" s="45"/>
    </row>
    <row r="220" customFormat="false" ht="15" hidden="false" customHeight="false" outlineLevel="0" collapsed="false">
      <c r="C220" s="44"/>
      <c r="E220" s="44"/>
      <c r="F220" s="44"/>
      <c r="G220" s="48"/>
      <c r="H220" s="47"/>
      <c r="I220" s="47"/>
      <c r="J220" s="48"/>
      <c r="L220" s="45"/>
    </row>
    <row r="221" customFormat="false" ht="15" hidden="false" customHeight="false" outlineLevel="0" collapsed="false">
      <c r="C221" s="44"/>
      <c r="E221" s="44"/>
      <c r="F221" s="44"/>
      <c r="G221" s="48"/>
      <c r="H221" s="47"/>
      <c r="I221" s="47"/>
      <c r="J221" s="48"/>
      <c r="L221" s="45"/>
    </row>
    <row r="222" customFormat="false" ht="15" hidden="false" customHeight="false" outlineLevel="0" collapsed="false">
      <c r="C222" s="44"/>
      <c r="E222" s="44"/>
      <c r="F222" s="44"/>
      <c r="G222" s="48"/>
      <c r="H222" s="47"/>
      <c r="I222" s="47"/>
      <c r="J222" s="48"/>
      <c r="L222" s="45"/>
    </row>
    <row r="223" customFormat="false" ht="15" hidden="false" customHeight="false" outlineLevel="0" collapsed="false">
      <c r="C223" s="44"/>
      <c r="E223" s="44"/>
      <c r="F223" s="44"/>
      <c r="G223" s="48"/>
      <c r="H223" s="47"/>
      <c r="I223" s="47"/>
      <c r="J223" s="48"/>
      <c r="L223" s="45"/>
    </row>
    <row r="224" customFormat="false" ht="15" hidden="false" customHeight="false" outlineLevel="0" collapsed="false">
      <c r="C224" s="44"/>
      <c r="E224" s="44"/>
      <c r="F224" s="44"/>
      <c r="G224" s="48"/>
      <c r="H224" s="47"/>
      <c r="I224" s="47"/>
      <c r="J224" s="48"/>
      <c r="L224" s="45"/>
    </row>
    <row r="225" customFormat="false" ht="15" hidden="false" customHeight="false" outlineLevel="0" collapsed="false">
      <c r="C225" s="44"/>
      <c r="E225" s="44"/>
      <c r="F225" s="44"/>
      <c r="G225" s="48"/>
      <c r="H225" s="47"/>
      <c r="I225" s="47"/>
      <c r="J225" s="48"/>
      <c r="L225" s="45"/>
    </row>
    <row r="226" customFormat="false" ht="15" hidden="false" customHeight="false" outlineLevel="0" collapsed="false">
      <c r="C226" s="44"/>
      <c r="E226" s="44"/>
      <c r="F226" s="44"/>
      <c r="G226" s="48"/>
      <c r="H226" s="47"/>
      <c r="I226" s="47"/>
      <c r="J226" s="48"/>
      <c r="L226" s="45"/>
    </row>
    <row r="227" customFormat="false" ht="15" hidden="false" customHeight="false" outlineLevel="0" collapsed="false">
      <c r="C227" s="44"/>
      <c r="E227" s="44"/>
      <c r="F227" s="44"/>
      <c r="G227" s="48"/>
      <c r="H227" s="47"/>
      <c r="I227" s="47"/>
      <c r="J227" s="48"/>
      <c r="L227" s="45"/>
    </row>
    <row r="228" customFormat="false" ht="15" hidden="false" customHeight="false" outlineLevel="0" collapsed="false">
      <c r="C228" s="44"/>
      <c r="E228" s="44"/>
      <c r="F228" s="44"/>
      <c r="G228" s="48"/>
      <c r="H228" s="47"/>
      <c r="I228" s="47"/>
      <c r="J228" s="48"/>
      <c r="L228" s="45"/>
    </row>
    <row r="229" customFormat="false" ht="15" hidden="false" customHeight="false" outlineLevel="0" collapsed="false">
      <c r="C229" s="44"/>
      <c r="E229" s="44"/>
      <c r="F229" s="44"/>
      <c r="G229" s="48"/>
      <c r="H229" s="47"/>
      <c r="I229" s="47"/>
      <c r="J229" s="48"/>
      <c r="L229" s="45"/>
    </row>
    <row r="230" customFormat="false" ht="15" hidden="false" customHeight="false" outlineLevel="0" collapsed="false">
      <c r="C230" s="44"/>
      <c r="E230" s="44"/>
      <c r="F230" s="44"/>
      <c r="G230" s="48"/>
      <c r="H230" s="47"/>
      <c r="I230" s="47"/>
      <c r="J230" s="48"/>
      <c r="L230" s="45"/>
    </row>
    <row r="231" customFormat="false" ht="15" hidden="false" customHeight="false" outlineLevel="0" collapsed="false">
      <c r="C231" s="44"/>
      <c r="E231" s="44"/>
      <c r="F231" s="44"/>
      <c r="G231" s="48"/>
      <c r="H231" s="47"/>
      <c r="I231" s="47"/>
      <c r="J231" s="48"/>
      <c r="L231" s="45"/>
    </row>
    <row r="232" customFormat="false" ht="15" hidden="false" customHeight="false" outlineLevel="0" collapsed="false">
      <c r="C232" s="44"/>
      <c r="E232" s="44"/>
      <c r="F232" s="44"/>
      <c r="G232" s="48"/>
      <c r="H232" s="47"/>
      <c r="I232" s="47"/>
      <c r="J232" s="48"/>
      <c r="L232" s="45"/>
    </row>
    <row r="233" customFormat="false" ht="15" hidden="false" customHeight="false" outlineLevel="0" collapsed="false">
      <c r="C233" s="44"/>
      <c r="E233" s="44"/>
      <c r="F233" s="44"/>
      <c r="G233" s="48"/>
      <c r="H233" s="47"/>
      <c r="I233" s="47"/>
      <c r="J233" s="48"/>
      <c r="L233" s="45"/>
    </row>
    <row r="234" customFormat="false" ht="15" hidden="false" customHeight="false" outlineLevel="0" collapsed="false">
      <c r="C234" s="44"/>
      <c r="E234" s="44"/>
      <c r="F234" s="44"/>
      <c r="G234" s="48"/>
      <c r="H234" s="47"/>
      <c r="I234" s="47"/>
      <c r="J234" s="48"/>
      <c r="L234" s="45"/>
    </row>
    <row r="235" customFormat="false" ht="15" hidden="false" customHeight="false" outlineLevel="0" collapsed="false">
      <c r="C235" s="44"/>
      <c r="E235" s="44"/>
      <c r="F235" s="44"/>
      <c r="G235" s="48"/>
      <c r="H235" s="47"/>
      <c r="I235" s="47"/>
      <c r="J235" s="48"/>
      <c r="L235" s="45"/>
    </row>
    <row r="236" customFormat="false" ht="15" hidden="false" customHeight="false" outlineLevel="0" collapsed="false">
      <c r="C236" s="44"/>
      <c r="E236" s="44"/>
      <c r="F236" s="44"/>
      <c r="G236" s="48"/>
      <c r="H236" s="47"/>
      <c r="I236" s="47"/>
      <c r="J236" s="48"/>
      <c r="L236" s="45"/>
    </row>
    <row r="237" customFormat="false" ht="15" hidden="false" customHeight="false" outlineLevel="0" collapsed="false">
      <c r="C237" s="44"/>
      <c r="E237" s="44"/>
      <c r="F237" s="44"/>
      <c r="G237" s="48"/>
      <c r="H237" s="47"/>
      <c r="I237" s="47"/>
      <c r="J237" s="48"/>
      <c r="L237" s="45"/>
    </row>
    <row r="238" customFormat="false" ht="15" hidden="false" customHeight="false" outlineLevel="0" collapsed="false">
      <c r="C238" s="44"/>
      <c r="E238" s="44"/>
      <c r="F238" s="44"/>
      <c r="G238" s="48"/>
      <c r="H238" s="47"/>
      <c r="I238" s="47"/>
      <c r="J238" s="48"/>
      <c r="L238" s="45"/>
    </row>
    <row r="239" customFormat="false" ht="15" hidden="false" customHeight="false" outlineLevel="0" collapsed="false">
      <c r="C239" s="44"/>
      <c r="E239" s="44"/>
      <c r="F239" s="44"/>
      <c r="G239" s="48"/>
      <c r="H239" s="47"/>
      <c r="I239" s="47"/>
      <c r="J239" s="48"/>
      <c r="L239" s="45"/>
    </row>
    <row r="240" customFormat="false" ht="15" hidden="false" customHeight="false" outlineLevel="0" collapsed="false">
      <c r="C240" s="44"/>
      <c r="E240" s="44"/>
      <c r="F240" s="44"/>
      <c r="G240" s="48"/>
      <c r="H240" s="47"/>
      <c r="I240" s="47"/>
      <c r="J240" s="48"/>
      <c r="L240" s="45"/>
    </row>
    <row r="241" customFormat="false" ht="15" hidden="false" customHeight="false" outlineLevel="0" collapsed="false">
      <c r="C241" s="44"/>
      <c r="E241" s="44"/>
      <c r="F241" s="44"/>
      <c r="G241" s="48"/>
      <c r="H241" s="47"/>
      <c r="I241" s="47"/>
      <c r="J241" s="48"/>
      <c r="L241" s="45"/>
    </row>
    <row r="242" customFormat="false" ht="15" hidden="false" customHeight="false" outlineLevel="0" collapsed="false">
      <c r="C242" s="44"/>
      <c r="E242" s="44"/>
      <c r="F242" s="44"/>
      <c r="G242" s="48"/>
      <c r="H242" s="47"/>
      <c r="I242" s="47"/>
      <c r="J242" s="48"/>
      <c r="L242" s="45"/>
    </row>
    <row r="243" customFormat="false" ht="15" hidden="false" customHeight="false" outlineLevel="0" collapsed="false">
      <c r="C243" s="44"/>
      <c r="E243" s="44"/>
      <c r="F243" s="44"/>
      <c r="G243" s="48"/>
      <c r="H243" s="47"/>
      <c r="I243" s="47"/>
      <c r="J243" s="48"/>
      <c r="L243" s="45"/>
    </row>
    <row r="244" customFormat="false" ht="15" hidden="false" customHeight="false" outlineLevel="0" collapsed="false">
      <c r="C244" s="44"/>
      <c r="E244" s="44"/>
      <c r="F244" s="44"/>
      <c r="G244" s="48"/>
      <c r="H244" s="47"/>
      <c r="I244" s="47"/>
      <c r="J244" s="48"/>
      <c r="L244" s="45"/>
    </row>
    <row r="245" customFormat="false" ht="15" hidden="false" customHeight="false" outlineLevel="0" collapsed="false">
      <c r="C245" s="44"/>
      <c r="E245" s="44"/>
      <c r="F245" s="44"/>
      <c r="G245" s="48"/>
      <c r="H245" s="47"/>
      <c r="I245" s="47"/>
      <c r="J245" s="48"/>
      <c r="L245" s="45"/>
    </row>
    <row r="246" customFormat="false" ht="15" hidden="false" customHeight="false" outlineLevel="0" collapsed="false">
      <c r="C246" s="44"/>
      <c r="E246" s="44"/>
      <c r="F246" s="44"/>
      <c r="G246" s="48"/>
      <c r="H246" s="47"/>
      <c r="I246" s="47"/>
      <c r="J246" s="48"/>
      <c r="L246" s="45"/>
    </row>
    <row r="247" customFormat="false" ht="15" hidden="false" customHeight="false" outlineLevel="0" collapsed="false">
      <c r="C247" s="44"/>
      <c r="E247" s="44"/>
      <c r="F247" s="44"/>
      <c r="G247" s="48"/>
      <c r="H247" s="47"/>
      <c r="I247" s="47"/>
      <c r="J247" s="48"/>
      <c r="L247" s="45"/>
    </row>
    <row r="248" customFormat="false" ht="15" hidden="false" customHeight="false" outlineLevel="0" collapsed="false">
      <c r="C248" s="44"/>
      <c r="E248" s="44"/>
      <c r="F248" s="44"/>
      <c r="G248" s="48"/>
      <c r="H248" s="47"/>
      <c r="I248" s="47"/>
      <c r="J248" s="48"/>
      <c r="L248" s="45"/>
    </row>
    <row r="249" customFormat="false" ht="15" hidden="false" customHeight="false" outlineLevel="0" collapsed="false">
      <c r="C249" s="44"/>
      <c r="E249" s="44"/>
      <c r="F249" s="44"/>
      <c r="G249" s="48"/>
      <c r="H249" s="47"/>
      <c r="I249" s="47"/>
      <c r="J249" s="48"/>
      <c r="L249" s="45"/>
    </row>
    <row r="250" customFormat="false" ht="15" hidden="false" customHeight="false" outlineLevel="0" collapsed="false">
      <c r="C250" s="44"/>
      <c r="E250" s="44"/>
      <c r="F250" s="44"/>
      <c r="G250" s="48"/>
      <c r="H250" s="47"/>
      <c r="I250" s="47"/>
      <c r="J250" s="48"/>
      <c r="L250" s="45"/>
    </row>
    <row r="251" customFormat="false" ht="15" hidden="false" customHeight="false" outlineLevel="0" collapsed="false">
      <c r="C251" s="44"/>
      <c r="E251" s="44"/>
      <c r="F251" s="44"/>
      <c r="G251" s="48"/>
      <c r="H251" s="47"/>
      <c r="I251" s="47"/>
      <c r="J251" s="48"/>
      <c r="L251" s="45"/>
    </row>
    <row r="252" customFormat="false" ht="15" hidden="false" customHeight="false" outlineLevel="0" collapsed="false">
      <c r="C252" s="44"/>
      <c r="E252" s="44"/>
      <c r="F252" s="44"/>
      <c r="G252" s="48"/>
      <c r="H252" s="47"/>
      <c r="I252" s="47"/>
      <c r="J252" s="48"/>
      <c r="L252" s="45"/>
    </row>
    <row r="253" customFormat="false" ht="15" hidden="false" customHeight="false" outlineLevel="0" collapsed="false">
      <c r="C253" s="44"/>
      <c r="E253" s="44"/>
      <c r="F253" s="44"/>
      <c r="G253" s="48"/>
      <c r="H253" s="47"/>
      <c r="I253" s="47"/>
      <c r="J253" s="48"/>
      <c r="L253" s="45"/>
    </row>
    <row r="254" customFormat="false" ht="15" hidden="false" customHeight="false" outlineLevel="0" collapsed="false">
      <c r="C254" s="44"/>
      <c r="E254" s="44"/>
      <c r="F254" s="44"/>
      <c r="G254" s="48"/>
      <c r="H254" s="47"/>
      <c r="I254" s="47"/>
      <c r="J254" s="48"/>
      <c r="L254" s="45"/>
    </row>
    <row r="255" customFormat="false" ht="15" hidden="false" customHeight="false" outlineLevel="0" collapsed="false">
      <c r="C255" s="44"/>
      <c r="E255" s="44"/>
      <c r="F255" s="44"/>
      <c r="G255" s="48"/>
      <c r="H255" s="47"/>
      <c r="I255" s="47"/>
      <c r="J255" s="48"/>
      <c r="L255" s="45"/>
    </row>
    <row r="256" customFormat="false" ht="15" hidden="false" customHeight="false" outlineLevel="0" collapsed="false">
      <c r="C256" s="44"/>
      <c r="E256" s="44"/>
      <c r="F256" s="44"/>
      <c r="G256" s="48"/>
      <c r="H256" s="47"/>
      <c r="I256" s="47"/>
      <c r="J256" s="48"/>
      <c r="L256" s="45"/>
    </row>
    <row r="257" customFormat="false" ht="15" hidden="false" customHeight="false" outlineLevel="0" collapsed="false">
      <c r="C257" s="44"/>
      <c r="E257" s="44"/>
      <c r="F257" s="44"/>
      <c r="G257" s="48"/>
      <c r="H257" s="47"/>
      <c r="I257" s="47"/>
      <c r="J257" s="48"/>
      <c r="L257" s="45"/>
    </row>
    <row r="258" customFormat="false" ht="15" hidden="false" customHeight="false" outlineLevel="0" collapsed="false">
      <c r="C258" s="44"/>
      <c r="E258" s="44"/>
      <c r="F258" s="44"/>
      <c r="G258" s="48"/>
      <c r="H258" s="47"/>
      <c r="I258" s="47"/>
      <c r="J258" s="48"/>
      <c r="L258" s="45"/>
    </row>
    <row r="259" customFormat="false" ht="15" hidden="false" customHeight="false" outlineLevel="0" collapsed="false">
      <c r="C259" s="44"/>
      <c r="E259" s="44"/>
      <c r="F259" s="44"/>
      <c r="G259" s="48"/>
      <c r="H259" s="47"/>
      <c r="I259" s="47"/>
      <c r="J259" s="48"/>
      <c r="L259" s="45"/>
    </row>
    <row r="260" customFormat="false" ht="15" hidden="false" customHeight="false" outlineLevel="0" collapsed="false">
      <c r="C260" s="44"/>
      <c r="E260" s="44"/>
      <c r="F260" s="44"/>
      <c r="G260" s="48"/>
      <c r="H260" s="47"/>
      <c r="I260" s="47"/>
      <c r="J260" s="48"/>
      <c r="L260" s="45"/>
    </row>
    <row r="261" customFormat="false" ht="15" hidden="false" customHeight="false" outlineLevel="0" collapsed="false">
      <c r="C261" s="44"/>
      <c r="E261" s="44"/>
      <c r="F261" s="44"/>
      <c r="G261" s="48"/>
      <c r="H261" s="47"/>
      <c r="I261" s="47"/>
      <c r="J261" s="48"/>
      <c r="L261" s="45"/>
    </row>
    <row r="262" customFormat="false" ht="15" hidden="false" customHeight="false" outlineLevel="0" collapsed="false">
      <c r="C262" s="44"/>
      <c r="E262" s="44"/>
      <c r="F262" s="44"/>
      <c r="G262" s="48"/>
      <c r="H262" s="47"/>
      <c r="I262" s="47"/>
      <c r="J262" s="48"/>
      <c r="L262" s="45"/>
    </row>
    <row r="263" customFormat="false" ht="15" hidden="false" customHeight="false" outlineLevel="0" collapsed="false">
      <c r="C263" s="44"/>
      <c r="E263" s="44"/>
      <c r="F263" s="44"/>
      <c r="G263" s="48"/>
      <c r="H263" s="47"/>
      <c r="I263" s="47"/>
      <c r="J263" s="48"/>
      <c r="L263" s="45"/>
    </row>
    <row r="264" customFormat="false" ht="15" hidden="false" customHeight="false" outlineLevel="0" collapsed="false">
      <c r="C264" s="44"/>
      <c r="E264" s="44"/>
      <c r="F264" s="44"/>
      <c r="G264" s="48"/>
      <c r="H264" s="47"/>
      <c r="I264" s="47"/>
      <c r="J264" s="48"/>
      <c r="L264" s="45"/>
    </row>
    <row r="265" customFormat="false" ht="15" hidden="false" customHeight="false" outlineLevel="0" collapsed="false">
      <c r="C265" s="44"/>
      <c r="E265" s="44"/>
      <c r="F265" s="44"/>
      <c r="G265" s="48"/>
      <c r="H265" s="47"/>
      <c r="I265" s="47"/>
      <c r="J265" s="48"/>
      <c r="L265" s="45"/>
    </row>
    <row r="266" customFormat="false" ht="15" hidden="false" customHeight="false" outlineLevel="0" collapsed="false">
      <c r="C266" s="44"/>
      <c r="E266" s="44"/>
      <c r="F266" s="44"/>
      <c r="G266" s="48"/>
      <c r="H266" s="47"/>
      <c r="I266" s="47"/>
      <c r="J266" s="48"/>
      <c r="L266" s="45"/>
    </row>
    <row r="267" customFormat="false" ht="15" hidden="false" customHeight="false" outlineLevel="0" collapsed="false">
      <c r="C267" s="44"/>
      <c r="E267" s="44"/>
      <c r="F267" s="44"/>
      <c r="G267" s="48"/>
      <c r="H267" s="47"/>
      <c r="I267" s="47"/>
      <c r="J267" s="48"/>
      <c r="L267" s="45"/>
    </row>
    <row r="268" customFormat="false" ht="15" hidden="false" customHeight="false" outlineLevel="0" collapsed="false">
      <c r="C268" s="44"/>
      <c r="E268" s="44"/>
      <c r="F268" s="44"/>
      <c r="G268" s="48"/>
      <c r="H268" s="47"/>
      <c r="I268" s="47"/>
      <c r="J268" s="48"/>
      <c r="L268" s="45"/>
    </row>
    <row r="269" customFormat="false" ht="15" hidden="false" customHeight="false" outlineLevel="0" collapsed="false">
      <c r="C269" s="44"/>
      <c r="E269" s="44"/>
      <c r="F269" s="44"/>
      <c r="G269" s="48"/>
      <c r="H269" s="47"/>
      <c r="I269" s="47"/>
      <c r="J269" s="48"/>
      <c r="L269" s="45"/>
    </row>
    <row r="270" customFormat="false" ht="15" hidden="false" customHeight="false" outlineLevel="0" collapsed="false">
      <c r="C270" s="44"/>
      <c r="E270" s="44"/>
      <c r="F270" s="44"/>
      <c r="G270" s="48"/>
      <c r="H270" s="47"/>
      <c r="I270" s="47"/>
      <c r="J270" s="48"/>
      <c r="L270" s="45"/>
    </row>
    <row r="271" customFormat="false" ht="15" hidden="false" customHeight="false" outlineLevel="0" collapsed="false">
      <c r="C271" s="44"/>
      <c r="E271" s="44"/>
      <c r="F271" s="44"/>
      <c r="G271" s="48"/>
      <c r="H271" s="47"/>
      <c r="I271" s="47"/>
      <c r="J271" s="48"/>
      <c r="L271" s="45"/>
    </row>
    <row r="272" customFormat="false" ht="15" hidden="false" customHeight="false" outlineLevel="0" collapsed="false">
      <c r="C272" s="44"/>
      <c r="E272" s="44"/>
      <c r="F272" s="44"/>
      <c r="G272" s="48"/>
      <c r="H272" s="47"/>
      <c r="I272" s="47"/>
      <c r="J272" s="48"/>
      <c r="L272" s="45"/>
    </row>
    <row r="273" customFormat="false" ht="15" hidden="false" customHeight="false" outlineLevel="0" collapsed="false">
      <c r="C273" s="44"/>
      <c r="E273" s="44"/>
      <c r="F273" s="44"/>
      <c r="G273" s="48"/>
      <c r="H273" s="47"/>
      <c r="I273" s="47"/>
      <c r="J273" s="48"/>
      <c r="L273" s="45"/>
    </row>
    <row r="274" customFormat="false" ht="15" hidden="false" customHeight="false" outlineLevel="0" collapsed="false">
      <c r="C274" s="44"/>
      <c r="E274" s="44"/>
      <c r="F274" s="44"/>
      <c r="G274" s="48"/>
      <c r="H274" s="47"/>
      <c r="I274" s="47"/>
      <c r="J274" s="48"/>
      <c r="L274" s="45"/>
    </row>
    <row r="275" customFormat="false" ht="15" hidden="false" customHeight="false" outlineLevel="0" collapsed="false">
      <c r="C275" s="44"/>
      <c r="E275" s="44"/>
      <c r="F275" s="44"/>
      <c r="G275" s="48"/>
      <c r="H275" s="47"/>
      <c r="I275" s="47"/>
      <c r="J275" s="48"/>
      <c r="L275" s="45"/>
    </row>
    <row r="276" customFormat="false" ht="15" hidden="false" customHeight="false" outlineLevel="0" collapsed="false">
      <c r="C276" s="44"/>
      <c r="E276" s="44"/>
      <c r="F276" s="44"/>
      <c r="G276" s="48"/>
      <c r="H276" s="47"/>
      <c r="I276" s="47"/>
      <c r="J276" s="48"/>
      <c r="L276" s="45"/>
    </row>
    <row r="277" customFormat="false" ht="15" hidden="false" customHeight="false" outlineLevel="0" collapsed="false">
      <c r="C277" s="44"/>
      <c r="E277" s="44"/>
      <c r="F277" s="44"/>
      <c r="G277" s="48"/>
      <c r="H277" s="47"/>
      <c r="I277" s="47"/>
      <c r="J277" s="48"/>
      <c r="L277" s="45"/>
    </row>
    <row r="278" customFormat="false" ht="15" hidden="false" customHeight="false" outlineLevel="0" collapsed="false">
      <c r="C278" s="44"/>
      <c r="E278" s="44"/>
      <c r="F278" s="44"/>
      <c r="G278" s="48"/>
      <c r="H278" s="47"/>
      <c r="I278" s="47"/>
      <c r="J278" s="48"/>
      <c r="L278" s="45"/>
    </row>
    <row r="279" customFormat="false" ht="15" hidden="false" customHeight="false" outlineLevel="0" collapsed="false">
      <c r="C279" s="44"/>
      <c r="E279" s="44"/>
      <c r="F279" s="44"/>
      <c r="G279" s="48"/>
      <c r="H279" s="47"/>
      <c r="I279" s="47"/>
      <c r="J279" s="48"/>
      <c r="L279" s="45"/>
    </row>
    <row r="280" customFormat="false" ht="15" hidden="false" customHeight="false" outlineLevel="0" collapsed="false">
      <c r="C280" s="44"/>
      <c r="E280" s="44"/>
      <c r="F280" s="44"/>
      <c r="G280" s="48"/>
      <c r="H280" s="47"/>
      <c r="I280" s="47"/>
      <c r="J280" s="48"/>
      <c r="L280" s="45"/>
    </row>
    <row r="281" customFormat="false" ht="15" hidden="false" customHeight="false" outlineLevel="0" collapsed="false">
      <c r="C281" s="44"/>
      <c r="E281" s="44"/>
      <c r="F281" s="44"/>
      <c r="G281" s="48"/>
      <c r="H281" s="47"/>
      <c r="I281" s="47"/>
      <c r="J281" s="48"/>
      <c r="L281" s="45"/>
    </row>
    <row r="282" customFormat="false" ht="15" hidden="false" customHeight="false" outlineLevel="0" collapsed="false">
      <c r="C282" s="44"/>
      <c r="E282" s="44"/>
      <c r="F282" s="44"/>
      <c r="G282" s="48"/>
      <c r="H282" s="47"/>
      <c r="I282" s="47"/>
      <c r="J282" s="48"/>
      <c r="L282" s="45"/>
    </row>
    <row r="283" customFormat="false" ht="15" hidden="false" customHeight="false" outlineLevel="0" collapsed="false">
      <c r="C283" s="44"/>
      <c r="E283" s="44"/>
      <c r="F283" s="44"/>
      <c r="G283" s="48"/>
      <c r="H283" s="47"/>
      <c r="I283" s="47"/>
      <c r="J283" s="48"/>
      <c r="L283" s="45"/>
    </row>
    <row r="284" customFormat="false" ht="15" hidden="false" customHeight="false" outlineLevel="0" collapsed="false">
      <c r="C284" s="44"/>
      <c r="E284" s="44"/>
      <c r="F284" s="44"/>
      <c r="G284" s="48"/>
      <c r="H284" s="47"/>
      <c r="I284" s="47"/>
      <c r="J284" s="48"/>
      <c r="L284" s="45"/>
    </row>
    <row r="285" customFormat="false" ht="15" hidden="false" customHeight="false" outlineLevel="0" collapsed="false">
      <c r="C285" s="44"/>
      <c r="E285" s="44"/>
      <c r="F285" s="44"/>
      <c r="G285" s="48"/>
      <c r="H285" s="47"/>
      <c r="I285" s="47"/>
      <c r="J285" s="48"/>
      <c r="L285" s="45"/>
    </row>
    <row r="286" customFormat="false" ht="15" hidden="false" customHeight="false" outlineLevel="0" collapsed="false">
      <c r="C286" s="44"/>
      <c r="E286" s="44"/>
      <c r="F286" s="44"/>
      <c r="G286" s="48"/>
      <c r="H286" s="47"/>
      <c r="I286" s="47"/>
      <c r="J286" s="48"/>
      <c r="L286" s="45"/>
    </row>
    <row r="287" customFormat="false" ht="15" hidden="false" customHeight="false" outlineLevel="0" collapsed="false">
      <c r="C287" s="44"/>
      <c r="E287" s="44"/>
      <c r="F287" s="44"/>
      <c r="G287" s="48"/>
      <c r="H287" s="47"/>
      <c r="I287" s="47"/>
      <c r="J287" s="48"/>
      <c r="L287" s="45"/>
    </row>
    <row r="288" customFormat="false" ht="15" hidden="false" customHeight="false" outlineLevel="0" collapsed="false">
      <c r="C288" s="44"/>
      <c r="E288" s="44"/>
      <c r="F288" s="44"/>
      <c r="G288" s="48"/>
      <c r="H288" s="47"/>
      <c r="I288" s="47"/>
      <c r="J288" s="48"/>
      <c r="L288" s="45"/>
    </row>
    <row r="289" customFormat="false" ht="15" hidden="false" customHeight="false" outlineLevel="0" collapsed="false">
      <c r="C289" s="44"/>
      <c r="E289" s="44"/>
      <c r="F289" s="44"/>
      <c r="G289" s="48"/>
      <c r="H289" s="47"/>
      <c r="I289" s="47"/>
      <c r="J289" s="48"/>
      <c r="L289" s="45"/>
    </row>
    <row r="290" customFormat="false" ht="15" hidden="false" customHeight="false" outlineLevel="0" collapsed="false">
      <c r="C290" s="44"/>
      <c r="E290" s="44"/>
      <c r="F290" s="44"/>
      <c r="G290" s="48"/>
      <c r="H290" s="47"/>
      <c r="I290" s="47"/>
      <c r="J290" s="48"/>
      <c r="L290" s="45"/>
    </row>
    <row r="291" customFormat="false" ht="15" hidden="false" customHeight="false" outlineLevel="0" collapsed="false">
      <c r="C291" s="44"/>
      <c r="E291" s="44"/>
      <c r="F291" s="44"/>
      <c r="G291" s="48"/>
      <c r="H291" s="47"/>
      <c r="I291" s="47"/>
      <c r="J291" s="48"/>
      <c r="L291" s="45"/>
    </row>
    <row r="292" customFormat="false" ht="15" hidden="false" customHeight="false" outlineLevel="0" collapsed="false">
      <c r="C292" s="44"/>
      <c r="E292" s="44"/>
      <c r="F292" s="44"/>
      <c r="G292" s="48"/>
      <c r="H292" s="47"/>
      <c r="I292" s="47"/>
      <c r="J292" s="48"/>
      <c r="L292" s="45"/>
    </row>
    <row r="293" customFormat="false" ht="15" hidden="false" customHeight="false" outlineLevel="0" collapsed="false">
      <c r="C293" s="44"/>
      <c r="E293" s="44"/>
      <c r="F293" s="44"/>
      <c r="G293" s="48"/>
      <c r="H293" s="47"/>
      <c r="I293" s="47"/>
      <c r="J293" s="48"/>
      <c r="L293" s="45"/>
    </row>
    <row r="294" customFormat="false" ht="15" hidden="false" customHeight="false" outlineLevel="0" collapsed="false">
      <c r="C294" s="44"/>
      <c r="E294" s="44"/>
      <c r="F294" s="44"/>
      <c r="G294" s="48"/>
      <c r="H294" s="47"/>
      <c r="I294" s="47"/>
      <c r="J294" s="48"/>
      <c r="L294" s="45"/>
    </row>
    <row r="295" customFormat="false" ht="15" hidden="false" customHeight="false" outlineLevel="0" collapsed="false">
      <c r="C295" s="44"/>
      <c r="E295" s="44"/>
      <c r="F295" s="44"/>
      <c r="G295" s="48"/>
      <c r="H295" s="47"/>
      <c r="I295" s="47"/>
      <c r="J295" s="48"/>
      <c r="L295" s="45"/>
    </row>
    <row r="296" customFormat="false" ht="15" hidden="false" customHeight="false" outlineLevel="0" collapsed="false">
      <c r="C296" s="44"/>
      <c r="E296" s="44"/>
      <c r="F296" s="44"/>
      <c r="G296" s="48"/>
      <c r="H296" s="47"/>
      <c r="I296" s="47"/>
      <c r="J296" s="48"/>
      <c r="L296" s="45"/>
    </row>
    <row r="297" customFormat="false" ht="15" hidden="false" customHeight="false" outlineLevel="0" collapsed="false">
      <c r="C297" s="44"/>
      <c r="E297" s="44"/>
      <c r="F297" s="44"/>
      <c r="G297" s="48"/>
      <c r="H297" s="47"/>
      <c r="I297" s="47"/>
      <c r="J297" s="48"/>
      <c r="L297" s="45"/>
    </row>
    <row r="298" customFormat="false" ht="15" hidden="false" customHeight="false" outlineLevel="0" collapsed="false">
      <c r="C298" s="44"/>
      <c r="E298" s="44"/>
      <c r="F298" s="44"/>
      <c r="G298" s="48"/>
      <c r="H298" s="47"/>
      <c r="I298" s="47"/>
      <c r="J298" s="48"/>
      <c r="L298" s="45"/>
    </row>
    <row r="299" customFormat="false" ht="15" hidden="false" customHeight="false" outlineLevel="0" collapsed="false">
      <c r="C299" s="44"/>
      <c r="E299" s="44"/>
      <c r="F299" s="44"/>
      <c r="G299" s="48"/>
      <c r="H299" s="47"/>
      <c r="I299" s="47"/>
      <c r="J299" s="48"/>
      <c r="L299" s="45"/>
    </row>
    <row r="300" customFormat="false" ht="15" hidden="false" customHeight="false" outlineLevel="0" collapsed="false">
      <c r="C300" s="44"/>
      <c r="E300" s="44"/>
      <c r="F300" s="44"/>
      <c r="G300" s="48"/>
      <c r="H300" s="47"/>
      <c r="I300" s="47"/>
      <c r="J300" s="48"/>
      <c r="L300" s="45"/>
    </row>
    <row r="301" customFormat="false" ht="15" hidden="false" customHeight="false" outlineLevel="0" collapsed="false">
      <c r="C301" s="44"/>
      <c r="E301" s="44"/>
      <c r="F301" s="44"/>
      <c r="G301" s="48"/>
      <c r="H301" s="47"/>
      <c r="I301" s="47"/>
      <c r="J301" s="48"/>
      <c r="L301" s="45"/>
    </row>
    <row r="302" customFormat="false" ht="15" hidden="false" customHeight="false" outlineLevel="0" collapsed="false">
      <c r="C302" s="44"/>
      <c r="E302" s="44"/>
      <c r="F302" s="44"/>
      <c r="G302" s="48"/>
      <c r="H302" s="47"/>
      <c r="I302" s="47"/>
      <c r="J302" s="48"/>
      <c r="L302" s="45"/>
    </row>
    <row r="303" customFormat="false" ht="15" hidden="false" customHeight="false" outlineLevel="0" collapsed="false">
      <c r="C303" s="44"/>
      <c r="E303" s="44"/>
      <c r="F303" s="44"/>
      <c r="G303" s="48"/>
      <c r="H303" s="47"/>
      <c r="I303" s="47"/>
      <c r="J303" s="48"/>
      <c r="L303" s="45"/>
    </row>
    <row r="304" customFormat="false" ht="15" hidden="false" customHeight="false" outlineLevel="0" collapsed="false">
      <c r="C304" s="44"/>
      <c r="E304" s="44"/>
      <c r="F304" s="44"/>
      <c r="G304" s="48"/>
      <c r="H304" s="47"/>
      <c r="I304" s="47"/>
      <c r="J304" s="48"/>
      <c r="L304" s="45"/>
    </row>
    <row r="305" customFormat="false" ht="15" hidden="false" customHeight="false" outlineLevel="0" collapsed="false">
      <c r="C305" s="44"/>
      <c r="E305" s="44"/>
      <c r="F305" s="44"/>
      <c r="G305" s="48"/>
      <c r="H305" s="47"/>
      <c r="I305" s="47"/>
      <c r="J305" s="48"/>
      <c r="L305" s="45"/>
    </row>
    <row r="306" customFormat="false" ht="15" hidden="false" customHeight="false" outlineLevel="0" collapsed="false">
      <c r="C306" s="44"/>
      <c r="E306" s="44"/>
      <c r="F306" s="44"/>
      <c r="G306" s="48"/>
      <c r="H306" s="47"/>
      <c r="I306" s="47"/>
      <c r="J306" s="48"/>
      <c r="L306" s="45"/>
    </row>
    <row r="307" customFormat="false" ht="15" hidden="false" customHeight="false" outlineLevel="0" collapsed="false">
      <c r="C307" s="44"/>
      <c r="E307" s="44"/>
      <c r="F307" s="44"/>
      <c r="G307" s="48"/>
      <c r="H307" s="47"/>
      <c r="I307" s="47"/>
      <c r="J307" s="48"/>
      <c r="L307" s="45"/>
    </row>
    <row r="308" customFormat="false" ht="15" hidden="false" customHeight="false" outlineLevel="0" collapsed="false">
      <c r="C308" s="44"/>
      <c r="E308" s="44"/>
      <c r="F308" s="44"/>
      <c r="G308" s="48"/>
      <c r="H308" s="47"/>
      <c r="I308" s="47"/>
      <c r="J308" s="48"/>
      <c r="L308" s="45"/>
    </row>
    <row r="309" customFormat="false" ht="15" hidden="false" customHeight="false" outlineLevel="0" collapsed="false">
      <c r="C309" s="44"/>
      <c r="E309" s="44"/>
      <c r="F309" s="44"/>
      <c r="G309" s="48"/>
      <c r="H309" s="47"/>
      <c r="I309" s="47"/>
      <c r="J309" s="48"/>
      <c r="L309" s="45"/>
    </row>
    <row r="310" customFormat="false" ht="15" hidden="false" customHeight="false" outlineLevel="0" collapsed="false">
      <c r="C310" s="44"/>
      <c r="E310" s="44"/>
      <c r="F310" s="44"/>
      <c r="G310" s="48"/>
      <c r="H310" s="47"/>
      <c r="I310" s="47"/>
      <c r="J310" s="48"/>
      <c r="L310" s="45"/>
    </row>
    <row r="311" customFormat="false" ht="15" hidden="false" customHeight="false" outlineLevel="0" collapsed="false">
      <c r="C311" s="44"/>
      <c r="E311" s="44"/>
      <c r="F311" s="44"/>
      <c r="G311" s="48"/>
      <c r="H311" s="47"/>
      <c r="I311" s="47"/>
      <c r="J311" s="48"/>
      <c r="L311" s="45"/>
    </row>
    <row r="312" customFormat="false" ht="15" hidden="false" customHeight="false" outlineLevel="0" collapsed="false">
      <c r="C312" s="44"/>
      <c r="E312" s="44"/>
      <c r="F312" s="44"/>
      <c r="G312" s="48"/>
      <c r="H312" s="47"/>
      <c r="I312" s="47"/>
      <c r="J312" s="48"/>
      <c r="L312" s="45"/>
    </row>
    <row r="313" customFormat="false" ht="15" hidden="false" customHeight="false" outlineLevel="0" collapsed="false">
      <c r="C313" s="44"/>
      <c r="E313" s="44"/>
      <c r="F313" s="44"/>
      <c r="G313" s="48"/>
      <c r="H313" s="47"/>
      <c r="I313" s="47"/>
      <c r="J313" s="48"/>
      <c r="L313" s="45"/>
    </row>
    <row r="314" customFormat="false" ht="15" hidden="false" customHeight="false" outlineLevel="0" collapsed="false">
      <c r="C314" s="44"/>
      <c r="E314" s="44"/>
      <c r="F314" s="44"/>
      <c r="G314" s="48"/>
      <c r="H314" s="47"/>
      <c r="I314" s="47"/>
      <c r="J314" s="48"/>
      <c r="L314" s="45"/>
    </row>
    <row r="315" customFormat="false" ht="15" hidden="false" customHeight="false" outlineLevel="0" collapsed="false">
      <c r="C315" s="44"/>
      <c r="E315" s="44"/>
      <c r="F315" s="44"/>
      <c r="G315" s="48"/>
      <c r="H315" s="47"/>
      <c r="I315" s="47"/>
      <c r="J315" s="48"/>
      <c r="L315" s="45"/>
    </row>
    <row r="316" customFormat="false" ht="15" hidden="false" customHeight="false" outlineLevel="0" collapsed="false">
      <c r="C316" s="44"/>
      <c r="E316" s="44"/>
      <c r="F316" s="44"/>
      <c r="G316" s="48"/>
      <c r="H316" s="47"/>
      <c r="I316" s="47"/>
      <c r="J316" s="48"/>
      <c r="L316" s="45"/>
    </row>
    <row r="317" customFormat="false" ht="15" hidden="false" customHeight="false" outlineLevel="0" collapsed="false">
      <c r="C317" s="44"/>
      <c r="E317" s="44"/>
      <c r="F317" s="44"/>
      <c r="G317" s="48"/>
      <c r="H317" s="47"/>
      <c r="I317" s="47"/>
      <c r="J317" s="48"/>
      <c r="L317" s="45"/>
    </row>
    <row r="318" customFormat="false" ht="15" hidden="false" customHeight="false" outlineLevel="0" collapsed="false">
      <c r="C318" s="44"/>
      <c r="E318" s="44"/>
      <c r="F318" s="44"/>
      <c r="G318" s="48"/>
      <c r="H318" s="47"/>
      <c r="I318" s="47"/>
      <c r="J318" s="48"/>
      <c r="L318" s="45"/>
    </row>
    <row r="319" customFormat="false" ht="15" hidden="false" customHeight="false" outlineLevel="0" collapsed="false">
      <c r="C319" s="44"/>
      <c r="E319" s="44"/>
      <c r="F319" s="44"/>
      <c r="G319" s="48"/>
      <c r="H319" s="47"/>
      <c r="I319" s="47"/>
      <c r="J319" s="48"/>
      <c r="L319" s="45"/>
    </row>
    <row r="320" customFormat="false" ht="15" hidden="false" customHeight="false" outlineLevel="0" collapsed="false">
      <c r="C320" s="44"/>
      <c r="E320" s="44"/>
      <c r="F320" s="44"/>
      <c r="G320" s="48"/>
      <c r="H320" s="47"/>
      <c r="I320" s="47"/>
      <c r="J320" s="48"/>
      <c r="L320" s="45"/>
    </row>
    <row r="321" customFormat="false" ht="15" hidden="false" customHeight="false" outlineLevel="0" collapsed="false">
      <c r="C321" s="44"/>
      <c r="E321" s="44"/>
      <c r="F321" s="44"/>
      <c r="G321" s="48"/>
      <c r="H321" s="47"/>
      <c r="I321" s="47"/>
      <c r="J321" s="48"/>
      <c r="L321" s="45"/>
    </row>
    <row r="322" customFormat="false" ht="15" hidden="false" customHeight="false" outlineLevel="0" collapsed="false">
      <c r="C322" s="44"/>
      <c r="E322" s="44"/>
      <c r="F322" s="44"/>
      <c r="G322" s="48"/>
      <c r="H322" s="47"/>
      <c r="I322" s="47"/>
      <c r="J322" s="48"/>
      <c r="L322" s="45"/>
    </row>
    <row r="323" customFormat="false" ht="15" hidden="false" customHeight="false" outlineLevel="0" collapsed="false">
      <c r="C323" s="44"/>
      <c r="E323" s="44"/>
      <c r="F323" s="44"/>
      <c r="G323" s="48"/>
      <c r="H323" s="47"/>
      <c r="I323" s="47"/>
      <c r="J323" s="48"/>
      <c r="L323" s="45"/>
    </row>
    <row r="324" customFormat="false" ht="15" hidden="false" customHeight="false" outlineLevel="0" collapsed="false">
      <c r="C324" s="44"/>
      <c r="E324" s="44"/>
      <c r="F324" s="44"/>
      <c r="G324" s="48"/>
      <c r="H324" s="47"/>
      <c r="I324" s="47"/>
      <c r="J324" s="48"/>
      <c r="L324" s="45"/>
    </row>
    <row r="325" customFormat="false" ht="15" hidden="false" customHeight="false" outlineLevel="0" collapsed="false">
      <c r="C325" s="44"/>
      <c r="E325" s="44"/>
      <c r="F325" s="44"/>
      <c r="G325" s="48"/>
      <c r="H325" s="47"/>
      <c r="I325" s="47"/>
      <c r="J325" s="48"/>
      <c r="L325" s="45"/>
    </row>
    <row r="326" customFormat="false" ht="15" hidden="false" customHeight="false" outlineLevel="0" collapsed="false">
      <c r="C326" s="44"/>
      <c r="E326" s="44"/>
      <c r="F326" s="44"/>
      <c r="G326" s="48"/>
      <c r="H326" s="47"/>
      <c r="I326" s="47"/>
      <c r="J326" s="48"/>
      <c r="L326" s="45"/>
    </row>
    <row r="327" customFormat="false" ht="15" hidden="false" customHeight="false" outlineLevel="0" collapsed="false">
      <c r="C327" s="44"/>
      <c r="E327" s="44"/>
      <c r="F327" s="44"/>
      <c r="G327" s="48"/>
      <c r="H327" s="47"/>
      <c r="I327" s="47"/>
      <c r="J327" s="48"/>
      <c r="L327" s="45"/>
    </row>
    <row r="328" customFormat="false" ht="15" hidden="false" customHeight="false" outlineLevel="0" collapsed="false">
      <c r="C328" s="44"/>
      <c r="E328" s="44"/>
      <c r="F328" s="44"/>
      <c r="G328" s="48"/>
      <c r="H328" s="47"/>
      <c r="I328" s="47"/>
      <c r="J328" s="48"/>
      <c r="L328" s="45"/>
    </row>
    <row r="329" customFormat="false" ht="15" hidden="false" customHeight="false" outlineLevel="0" collapsed="false">
      <c r="C329" s="44"/>
      <c r="E329" s="44"/>
      <c r="F329" s="44"/>
      <c r="G329" s="48"/>
      <c r="H329" s="47"/>
      <c r="I329" s="47"/>
      <c r="J329" s="48"/>
      <c r="L329" s="45"/>
    </row>
    <row r="330" customFormat="false" ht="15" hidden="false" customHeight="false" outlineLevel="0" collapsed="false">
      <c r="C330" s="44"/>
      <c r="E330" s="44"/>
      <c r="F330" s="44"/>
      <c r="G330" s="48"/>
      <c r="H330" s="47"/>
      <c r="I330" s="47"/>
      <c r="J330" s="48"/>
      <c r="L330" s="45"/>
    </row>
    <row r="331" customFormat="false" ht="15" hidden="false" customHeight="false" outlineLevel="0" collapsed="false">
      <c r="C331" s="44"/>
      <c r="E331" s="44"/>
      <c r="F331" s="44"/>
      <c r="G331" s="48"/>
      <c r="H331" s="47"/>
      <c r="I331" s="47"/>
      <c r="J331" s="48"/>
      <c r="L331" s="45"/>
    </row>
    <row r="332" customFormat="false" ht="15" hidden="false" customHeight="false" outlineLevel="0" collapsed="false">
      <c r="C332" s="44"/>
      <c r="E332" s="44"/>
      <c r="F332" s="44"/>
      <c r="G332" s="48"/>
      <c r="H332" s="47"/>
      <c r="I332" s="47"/>
      <c r="J332" s="48"/>
      <c r="L332" s="45"/>
    </row>
    <row r="333" customFormat="false" ht="15" hidden="false" customHeight="false" outlineLevel="0" collapsed="false">
      <c r="C333" s="44"/>
      <c r="E333" s="44"/>
      <c r="F333" s="44"/>
      <c r="G333" s="48"/>
      <c r="H333" s="47"/>
      <c r="I333" s="47"/>
      <c r="J333" s="48"/>
      <c r="L333" s="45"/>
    </row>
    <row r="334" customFormat="false" ht="15" hidden="false" customHeight="false" outlineLevel="0" collapsed="false">
      <c r="C334" s="44"/>
      <c r="E334" s="44"/>
      <c r="F334" s="44"/>
      <c r="G334" s="48"/>
      <c r="H334" s="47"/>
      <c r="I334" s="47"/>
      <c r="J334" s="48"/>
      <c r="L334" s="45"/>
    </row>
    <row r="335" customFormat="false" ht="15" hidden="false" customHeight="false" outlineLevel="0" collapsed="false">
      <c r="C335" s="44"/>
      <c r="E335" s="44"/>
      <c r="F335" s="44"/>
      <c r="G335" s="48"/>
      <c r="H335" s="47"/>
      <c r="I335" s="47"/>
      <c r="J335" s="48"/>
      <c r="L335" s="45"/>
    </row>
    <row r="336" customFormat="false" ht="15" hidden="false" customHeight="false" outlineLevel="0" collapsed="false">
      <c r="C336" s="44"/>
      <c r="E336" s="44"/>
      <c r="F336" s="44"/>
      <c r="G336" s="48"/>
      <c r="H336" s="47"/>
      <c r="I336" s="47"/>
      <c r="J336" s="48"/>
      <c r="L336" s="45"/>
    </row>
    <row r="337" customFormat="false" ht="15" hidden="false" customHeight="false" outlineLevel="0" collapsed="false">
      <c r="C337" s="44"/>
      <c r="E337" s="44"/>
      <c r="F337" s="44"/>
      <c r="G337" s="48"/>
      <c r="H337" s="47"/>
      <c r="I337" s="47"/>
      <c r="J337" s="48"/>
      <c r="L337" s="45"/>
    </row>
    <row r="338" customFormat="false" ht="15" hidden="false" customHeight="false" outlineLevel="0" collapsed="false">
      <c r="C338" s="44"/>
      <c r="E338" s="44"/>
      <c r="F338" s="44"/>
      <c r="G338" s="48"/>
      <c r="H338" s="47"/>
      <c r="I338" s="47"/>
      <c r="J338" s="48"/>
      <c r="L338" s="45"/>
    </row>
    <row r="339" customFormat="false" ht="15" hidden="false" customHeight="false" outlineLevel="0" collapsed="false">
      <c r="C339" s="44"/>
      <c r="E339" s="44"/>
      <c r="F339" s="44"/>
      <c r="G339" s="48"/>
      <c r="H339" s="47"/>
      <c r="I339" s="47"/>
      <c r="J339" s="48"/>
      <c r="L339" s="45"/>
    </row>
    <row r="340" customFormat="false" ht="15" hidden="false" customHeight="false" outlineLevel="0" collapsed="false">
      <c r="C340" s="44"/>
      <c r="E340" s="44"/>
      <c r="F340" s="44"/>
      <c r="G340" s="48"/>
      <c r="H340" s="47"/>
      <c r="I340" s="47"/>
      <c r="J340" s="48"/>
      <c r="L340" s="45"/>
    </row>
    <row r="341" customFormat="false" ht="15" hidden="false" customHeight="false" outlineLevel="0" collapsed="false">
      <c r="C341" s="44"/>
      <c r="E341" s="44"/>
      <c r="F341" s="44"/>
      <c r="G341" s="48"/>
      <c r="H341" s="47"/>
      <c r="I341" s="47"/>
      <c r="J341" s="48"/>
      <c r="L341" s="45"/>
    </row>
    <row r="342" customFormat="false" ht="15" hidden="false" customHeight="false" outlineLevel="0" collapsed="false">
      <c r="C342" s="44"/>
      <c r="E342" s="44"/>
      <c r="F342" s="44"/>
      <c r="G342" s="48"/>
      <c r="H342" s="47"/>
      <c r="I342" s="47"/>
      <c r="J342" s="48"/>
      <c r="L342" s="45"/>
    </row>
    <row r="343" customFormat="false" ht="15" hidden="false" customHeight="false" outlineLevel="0" collapsed="false">
      <c r="C343" s="44"/>
      <c r="E343" s="44"/>
      <c r="F343" s="44"/>
      <c r="G343" s="48"/>
      <c r="H343" s="47"/>
      <c r="I343" s="47"/>
      <c r="J343" s="48"/>
      <c r="L343" s="45"/>
    </row>
    <row r="344" customFormat="false" ht="15" hidden="false" customHeight="false" outlineLevel="0" collapsed="false">
      <c r="C344" s="44"/>
      <c r="E344" s="44"/>
      <c r="F344" s="44"/>
      <c r="G344" s="48"/>
      <c r="H344" s="47"/>
      <c r="I344" s="47"/>
      <c r="J344" s="48"/>
      <c r="L344" s="45"/>
    </row>
    <row r="345" customFormat="false" ht="15" hidden="false" customHeight="false" outlineLevel="0" collapsed="false">
      <c r="C345" s="44"/>
      <c r="E345" s="44"/>
      <c r="F345" s="44"/>
      <c r="G345" s="48"/>
      <c r="H345" s="47"/>
      <c r="I345" s="47"/>
      <c r="J345" s="48"/>
      <c r="L345" s="45"/>
    </row>
    <row r="346" customFormat="false" ht="15" hidden="false" customHeight="false" outlineLevel="0" collapsed="false">
      <c r="C346" s="44"/>
      <c r="E346" s="44"/>
      <c r="F346" s="44"/>
      <c r="G346" s="48"/>
      <c r="H346" s="47"/>
      <c r="I346" s="47"/>
      <c r="J346" s="48"/>
      <c r="L346" s="45"/>
    </row>
    <row r="347" customFormat="false" ht="15" hidden="false" customHeight="false" outlineLevel="0" collapsed="false">
      <c r="C347" s="44"/>
      <c r="E347" s="44"/>
      <c r="F347" s="44"/>
      <c r="G347" s="48"/>
      <c r="H347" s="47"/>
      <c r="I347" s="47"/>
      <c r="J347" s="48"/>
      <c r="L347" s="45"/>
    </row>
    <row r="348" customFormat="false" ht="15" hidden="false" customHeight="false" outlineLevel="0" collapsed="false">
      <c r="C348" s="44"/>
      <c r="E348" s="44"/>
      <c r="F348" s="44"/>
      <c r="G348" s="48"/>
      <c r="H348" s="47"/>
      <c r="I348" s="47"/>
      <c r="J348" s="48"/>
      <c r="L348" s="45"/>
    </row>
    <row r="349" customFormat="false" ht="15" hidden="false" customHeight="false" outlineLevel="0" collapsed="false">
      <c r="C349" s="44"/>
      <c r="E349" s="44"/>
      <c r="F349" s="44"/>
      <c r="G349" s="48"/>
      <c r="H349" s="47"/>
      <c r="I349" s="47"/>
      <c r="J349" s="48"/>
      <c r="L349" s="45"/>
    </row>
    <row r="350" customFormat="false" ht="15" hidden="false" customHeight="false" outlineLevel="0" collapsed="false">
      <c r="C350" s="44"/>
      <c r="E350" s="44"/>
      <c r="F350" s="44"/>
      <c r="G350" s="48"/>
      <c r="H350" s="47"/>
      <c r="I350" s="47"/>
      <c r="J350" s="48"/>
      <c r="L350" s="45"/>
    </row>
    <row r="351" customFormat="false" ht="15" hidden="false" customHeight="false" outlineLevel="0" collapsed="false">
      <c r="C351" s="44"/>
      <c r="E351" s="44"/>
      <c r="F351" s="44"/>
      <c r="G351" s="48"/>
      <c r="H351" s="47"/>
      <c r="I351" s="47"/>
      <c r="J351" s="48"/>
      <c r="L351" s="45"/>
    </row>
    <row r="352" customFormat="false" ht="15" hidden="false" customHeight="false" outlineLevel="0" collapsed="false">
      <c r="C352" s="44"/>
      <c r="E352" s="44"/>
      <c r="F352" s="44"/>
      <c r="G352" s="48"/>
      <c r="H352" s="47"/>
      <c r="I352" s="47"/>
      <c r="J352" s="48"/>
      <c r="L352" s="45"/>
    </row>
    <row r="353" customFormat="false" ht="15" hidden="false" customHeight="false" outlineLevel="0" collapsed="false">
      <c r="C353" s="44"/>
      <c r="E353" s="44"/>
      <c r="F353" s="44"/>
      <c r="G353" s="48"/>
      <c r="H353" s="47"/>
      <c r="I353" s="47"/>
      <c r="J353" s="48"/>
      <c r="L353" s="45"/>
    </row>
    <row r="354" customFormat="false" ht="15" hidden="false" customHeight="false" outlineLevel="0" collapsed="false">
      <c r="C354" s="44"/>
      <c r="E354" s="44"/>
      <c r="F354" s="44"/>
      <c r="G354" s="48"/>
      <c r="H354" s="47"/>
      <c r="I354" s="47"/>
      <c r="J354" s="48"/>
      <c r="L354" s="45"/>
    </row>
    <row r="355" customFormat="false" ht="15" hidden="false" customHeight="false" outlineLevel="0" collapsed="false">
      <c r="C355" s="44"/>
      <c r="E355" s="44"/>
      <c r="F355" s="44"/>
      <c r="G355" s="48"/>
      <c r="H355" s="47"/>
      <c r="I355" s="47"/>
      <c r="J355" s="48"/>
      <c r="L355" s="45"/>
    </row>
    <row r="356" customFormat="false" ht="15" hidden="false" customHeight="false" outlineLevel="0" collapsed="false">
      <c r="C356" s="44"/>
      <c r="E356" s="44"/>
      <c r="F356" s="44"/>
      <c r="G356" s="48"/>
      <c r="H356" s="47"/>
      <c r="I356" s="47"/>
      <c r="J356" s="48"/>
      <c r="L356" s="45"/>
    </row>
    <row r="357" customFormat="false" ht="15" hidden="false" customHeight="false" outlineLevel="0" collapsed="false">
      <c r="C357" s="44"/>
      <c r="E357" s="44"/>
      <c r="F357" s="44"/>
      <c r="G357" s="48"/>
      <c r="H357" s="47"/>
      <c r="I357" s="47"/>
      <c r="J357" s="48"/>
      <c r="L357" s="45"/>
    </row>
    <row r="358" customFormat="false" ht="15" hidden="false" customHeight="false" outlineLevel="0" collapsed="false">
      <c r="C358" s="44"/>
      <c r="E358" s="44"/>
      <c r="F358" s="44"/>
      <c r="G358" s="48"/>
      <c r="H358" s="47"/>
      <c r="I358" s="47"/>
      <c r="J358" s="48"/>
      <c r="L358" s="45"/>
    </row>
    <row r="359" customFormat="false" ht="15" hidden="false" customHeight="false" outlineLevel="0" collapsed="false">
      <c r="C359" s="44"/>
      <c r="E359" s="44"/>
      <c r="F359" s="44"/>
      <c r="G359" s="48"/>
      <c r="H359" s="47"/>
      <c r="I359" s="47"/>
      <c r="J359" s="48"/>
      <c r="L359" s="45"/>
    </row>
    <row r="360" customFormat="false" ht="15" hidden="false" customHeight="false" outlineLevel="0" collapsed="false">
      <c r="C360" s="44"/>
      <c r="E360" s="44"/>
      <c r="F360" s="44"/>
      <c r="G360" s="48"/>
      <c r="H360" s="47"/>
      <c r="I360" s="47"/>
      <c r="J360" s="48"/>
      <c r="L360" s="45"/>
    </row>
    <row r="361" customFormat="false" ht="15" hidden="false" customHeight="false" outlineLevel="0" collapsed="false">
      <c r="C361" s="44"/>
      <c r="E361" s="44"/>
      <c r="F361" s="44"/>
      <c r="G361" s="48"/>
      <c r="H361" s="47"/>
      <c r="I361" s="47"/>
      <c r="J361" s="48"/>
      <c r="L361" s="45"/>
    </row>
    <row r="362" customFormat="false" ht="15" hidden="false" customHeight="false" outlineLevel="0" collapsed="false">
      <c r="C362" s="44"/>
      <c r="E362" s="44"/>
      <c r="F362" s="44"/>
      <c r="G362" s="48"/>
      <c r="H362" s="47"/>
      <c r="I362" s="47"/>
      <c r="J362" s="48"/>
      <c r="L362" s="45"/>
    </row>
    <row r="363" customFormat="false" ht="15" hidden="false" customHeight="false" outlineLevel="0" collapsed="false">
      <c r="C363" s="44"/>
      <c r="E363" s="44"/>
      <c r="F363" s="44"/>
      <c r="G363" s="48"/>
      <c r="H363" s="47"/>
      <c r="I363" s="47"/>
      <c r="J363" s="48"/>
      <c r="L363" s="45"/>
    </row>
    <row r="364" customFormat="false" ht="15" hidden="false" customHeight="false" outlineLevel="0" collapsed="false">
      <c r="C364" s="44"/>
      <c r="E364" s="44"/>
      <c r="F364" s="44"/>
      <c r="G364" s="48"/>
      <c r="H364" s="47"/>
      <c r="I364" s="47"/>
      <c r="J364" s="48"/>
      <c r="L364" s="45"/>
    </row>
    <row r="365" customFormat="false" ht="15" hidden="false" customHeight="false" outlineLevel="0" collapsed="false">
      <c r="C365" s="44"/>
      <c r="E365" s="44"/>
      <c r="F365" s="44"/>
      <c r="G365" s="48"/>
      <c r="H365" s="47"/>
      <c r="I365" s="47"/>
      <c r="J365" s="48"/>
      <c r="L365" s="45"/>
    </row>
    <row r="366" customFormat="false" ht="15" hidden="false" customHeight="false" outlineLevel="0" collapsed="false">
      <c r="C366" s="44"/>
      <c r="E366" s="44"/>
      <c r="F366" s="44"/>
      <c r="G366" s="48"/>
      <c r="H366" s="47"/>
      <c r="I366" s="47"/>
      <c r="J366" s="48"/>
      <c r="L366" s="45"/>
    </row>
    <row r="367" customFormat="false" ht="15" hidden="false" customHeight="false" outlineLevel="0" collapsed="false">
      <c r="C367" s="44"/>
      <c r="E367" s="44"/>
      <c r="F367" s="44"/>
      <c r="G367" s="48"/>
      <c r="H367" s="47"/>
      <c r="I367" s="47"/>
      <c r="J367" s="48"/>
      <c r="L367" s="45"/>
    </row>
    <row r="368" customFormat="false" ht="15" hidden="false" customHeight="false" outlineLevel="0" collapsed="false">
      <c r="C368" s="44"/>
      <c r="E368" s="44"/>
      <c r="F368" s="44"/>
      <c r="G368" s="48"/>
      <c r="H368" s="47"/>
      <c r="I368" s="47"/>
      <c r="J368" s="48"/>
      <c r="L368" s="45"/>
    </row>
    <row r="369" customFormat="false" ht="15" hidden="false" customHeight="false" outlineLevel="0" collapsed="false">
      <c r="C369" s="44"/>
      <c r="E369" s="44"/>
      <c r="F369" s="44"/>
      <c r="G369" s="48"/>
      <c r="H369" s="47"/>
      <c r="I369" s="47"/>
      <c r="J369" s="48"/>
      <c r="L369" s="45"/>
    </row>
    <row r="370" customFormat="false" ht="15" hidden="false" customHeight="false" outlineLevel="0" collapsed="false">
      <c r="C370" s="44"/>
      <c r="E370" s="44"/>
      <c r="F370" s="44"/>
      <c r="G370" s="48"/>
      <c r="H370" s="47"/>
      <c r="I370" s="47"/>
      <c r="J370" s="48"/>
      <c r="L370" s="45"/>
    </row>
    <row r="371" customFormat="false" ht="15" hidden="false" customHeight="false" outlineLevel="0" collapsed="false">
      <c r="C371" s="44"/>
      <c r="E371" s="44"/>
      <c r="F371" s="44"/>
      <c r="G371" s="48"/>
      <c r="H371" s="47"/>
      <c r="I371" s="47"/>
      <c r="J371" s="48"/>
      <c r="L371" s="45"/>
    </row>
    <row r="372" customFormat="false" ht="15" hidden="false" customHeight="false" outlineLevel="0" collapsed="false">
      <c r="C372" s="44"/>
      <c r="E372" s="44"/>
      <c r="F372" s="44"/>
      <c r="G372" s="48"/>
      <c r="H372" s="47"/>
      <c r="I372" s="47"/>
      <c r="J372" s="48"/>
      <c r="L372" s="45"/>
    </row>
    <row r="373" customFormat="false" ht="15" hidden="false" customHeight="false" outlineLevel="0" collapsed="false">
      <c r="C373" s="44"/>
      <c r="E373" s="44"/>
      <c r="F373" s="44"/>
      <c r="G373" s="48"/>
      <c r="H373" s="47"/>
      <c r="I373" s="47"/>
      <c r="J373" s="48"/>
      <c r="L373" s="45"/>
    </row>
    <row r="374" customFormat="false" ht="15" hidden="false" customHeight="false" outlineLevel="0" collapsed="false">
      <c r="C374" s="44"/>
      <c r="E374" s="44"/>
      <c r="F374" s="44"/>
      <c r="G374" s="48"/>
      <c r="H374" s="47"/>
      <c r="I374" s="47"/>
      <c r="J374" s="48"/>
      <c r="L374" s="45"/>
    </row>
    <row r="375" customFormat="false" ht="15" hidden="false" customHeight="false" outlineLevel="0" collapsed="false">
      <c r="C375" s="44"/>
      <c r="E375" s="44"/>
      <c r="F375" s="44"/>
      <c r="G375" s="48"/>
      <c r="H375" s="47"/>
      <c r="I375" s="47"/>
      <c r="J375" s="48"/>
      <c r="L375" s="45"/>
    </row>
    <row r="376" customFormat="false" ht="15" hidden="false" customHeight="false" outlineLevel="0" collapsed="false">
      <c r="C376" s="44"/>
      <c r="E376" s="44"/>
      <c r="F376" s="44"/>
      <c r="G376" s="48"/>
      <c r="H376" s="47"/>
      <c r="I376" s="47"/>
      <c r="J376" s="48"/>
      <c r="L376" s="45"/>
    </row>
    <row r="377" customFormat="false" ht="15" hidden="false" customHeight="false" outlineLevel="0" collapsed="false">
      <c r="C377" s="44"/>
      <c r="E377" s="44"/>
      <c r="F377" s="44"/>
      <c r="G377" s="48"/>
      <c r="H377" s="47"/>
      <c r="I377" s="47"/>
      <c r="J377" s="48"/>
      <c r="L377" s="45"/>
    </row>
    <row r="378" customFormat="false" ht="15" hidden="false" customHeight="false" outlineLevel="0" collapsed="false">
      <c r="C378" s="44"/>
      <c r="E378" s="44"/>
      <c r="F378" s="44"/>
      <c r="G378" s="48"/>
      <c r="H378" s="47"/>
      <c r="I378" s="47"/>
      <c r="J378" s="48"/>
      <c r="L378" s="45"/>
    </row>
    <row r="379" customFormat="false" ht="15" hidden="false" customHeight="false" outlineLevel="0" collapsed="false">
      <c r="C379" s="44"/>
      <c r="E379" s="44"/>
      <c r="F379" s="44"/>
      <c r="G379" s="48"/>
      <c r="H379" s="47"/>
      <c r="I379" s="47"/>
      <c r="J379" s="48"/>
      <c r="L379" s="45"/>
    </row>
    <row r="380" customFormat="false" ht="15" hidden="false" customHeight="false" outlineLevel="0" collapsed="false">
      <c r="C380" s="44"/>
      <c r="E380" s="44"/>
      <c r="F380" s="44"/>
      <c r="G380" s="48"/>
      <c r="H380" s="47"/>
      <c r="I380" s="47"/>
      <c r="J380" s="48"/>
      <c r="L380" s="45"/>
    </row>
    <row r="381" customFormat="false" ht="15" hidden="false" customHeight="false" outlineLevel="0" collapsed="false">
      <c r="C381" s="44"/>
      <c r="E381" s="44"/>
      <c r="F381" s="44"/>
      <c r="G381" s="48"/>
      <c r="H381" s="47"/>
      <c r="I381" s="47"/>
      <c r="J381" s="48"/>
      <c r="L381" s="45"/>
    </row>
    <row r="382" customFormat="false" ht="15" hidden="false" customHeight="false" outlineLevel="0" collapsed="false">
      <c r="C382" s="44"/>
      <c r="E382" s="44"/>
      <c r="F382" s="44"/>
      <c r="G382" s="48"/>
      <c r="H382" s="47"/>
      <c r="I382" s="47"/>
      <c r="J382" s="48"/>
      <c r="L382" s="45"/>
    </row>
    <row r="383" customFormat="false" ht="15" hidden="false" customHeight="false" outlineLevel="0" collapsed="false">
      <c r="C383" s="44"/>
      <c r="E383" s="44"/>
      <c r="F383" s="44"/>
      <c r="G383" s="48"/>
      <c r="H383" s="47"/>
      <c r="I383" s="47"/>
      <c r="J383" s="48"/>
      <c r="L383" s="45"/>
    </row>
    <row r="384" customFormat="false" ht="15" hidden="false" customHeight="false" outlineLevel="0" collapsed="false">
      <c r="C384" s="44"/>
      <c r="E384" s="44"/>
      <c r="F384" s="44"/>
      <c r="G384" s="48"/>
      <c r="H384" s="47"/>
      <c r="I384" s="47"/>
      <c r="J384" s="48"/>
      <c r="L384" s="45"/>
    </row>
    <row r="385" customFormat="false" ht="15" hidden="false" customHeight="false" outlineLevel="0" collapsed="false">
      <c r="C385" s="44"/>
      <c r="E385" s="44"/>
      <c r="F385" s="44"/>
      <c r="G385" s="48"/>
      <c r="H385" s="47"/>
      <c r="I385" s="47"/>
      <c r="J385" s="48"/>
      <c r="L385" s="45"/>
    </row>
    <row r="386" customFormat="false" ht="15" hidden="false" customHeight="false" outlineLevel="0" collapsed="false">
      <c r="C386" s="44"/>
      <c r="E386" s="44"/>
      <c r="F386" s="44"/>
      <c r="G386" s="48"/>
      <c r="H386" s="47"/>
      <c r="I386" s="47"/>
      <c r="J386" s="48"/>
      <c r="L386" s="45"/>
    </row>
    <row r="387" customFormat="false" ht="15" hidden="false" customHeight="false" outlineLevel="0" collapsed="false">
      <c r="C387" s="44"/>
      <c r="E387" s="44"/>
      <c r="F387" s="44"/>
      <c r="G387" s="48"/>
      <c r="H387" s="47"/>
      <c r="I387" s="47"/>
      <c r="J387" s="48"/>
      <c r="L387" s="45"/>
    </row>
    <row r="388" customFormat="false" ht="15" hidden="false" customHeight="false" outlineLevel="0" collapsed="false">
      <c r="C388" s="44"/>
      <c r="E388" s="44"/>
      <c r="F388" s="44"/>
      <c r="G388" s="48"/>
      <c r="H388" s="47"/>
      <c r="I388" s="47"/>
      <c r="J388" s="48"/>
      <c r="L388" s="45"/>
    </row>
    <row r="389" customFormat="false" ht="15" hidden="false" customHeight="false" outlineLevel="0" collapsed="false">
      <c r="C389" s="44"/>
      <c r="E389" s="44"/>
      <c r="F389" s="44"/>
      <c r="G389" s="48"/>
      <c r="H389" s="47"/>
      <c r="I389" s="47"/>
      <c r="J389" s="48"/>
      <c r="L389" s="45"/>
    </row>
    <row r="390" customFormat="false" ht="15" hidden="false" customHeight="false" outlineLevel="0" collapsed="false">
      <c r="C390" s="44"/>
      <c r="E390" s="44"/>
      <c r="F390" s="44"/>
      <c r="G390" s="48"/>
      <c r="H390" s="47"/>
      <c r="I390" s="47"/>
      <c r="J390" s="48"/>
      <c r="L390" s="45"/>
    </row>
    <row r="391" customFormat="false" ht="15" hidden="false" customHeight="false" outlineLevel="0" collapsed="false">
      <c r="C391" s="44"/>
      <c r="E391" s="44"/>
      <c r="F391" s="44"/>
      <c r="G391" s="48"/>
      <c r="H391" s="47"/>
      <c r="I391" s="47"/>
      <c r="J391" s="48"/>
      <c r="L391" s="45"/>
    </row>
    <row r="392" customFormat="false" ht="15" hidden="false" customHeight="false" outlineLevel="0" collapsed="false">
      <c r="C392" s="44"/>
      <c r="E392" s="44"/>
      <c r="F392" s="44"/>
      <c r="G392" s="48"/>
      <c r="H392" s="47"/>
      <c r="I392" s="47"/>
      <c r="J392" s="48"/>
      <c r="L392" s="45"/>
    </row>
    <row r="393" customFormat="false" ht="15" hidden="false" customHeight="false" outlineLevel="0" collapsed="false">
      <c r="C393" s="44"/>
      <c r="E393" s="44"/>
      <c r="F393" s="44"/>
      <c r="G393" s="48"/>
      <c r="H393" s="47"/>
      <c r="I393" s="47"/>
      <c r="J393" s="48"/>
      <c r="L393" s="45"/>
    </row>
    <row r="394" customFormat="false" ht="15" hidden="false" customHeight="false" outlineLevel="0" collapsed="false">
      <c r="C394" s="44"/>
      <c r="E394" s="44"/>
      <c r="F394" s="44"/>
      <c r="G394" s="48"/>
      <c r="H394" s="47"/>
      <c r="I394" s="47"/>
      <c r="J394" s="48"/>
      <c r="L394" s="45"/>
    </row>
    <row r="395" customFormat="false" ht="15" hidden="false" customHeight="false" outlineLevel="0" collapsed="false">
      <c r="C395" s="44"/>
      <c r="E395" s="44"/>
      <c r="F395" s="44"/>
      <c r="G395" s="48"/>
      <c r="H395" s="47"/>
      <c r="I395" s="47"/>
      <c r="J395" s="48"/>
      <c r="L395" s="45"/>
    </row>
    <row r="396" customFormat="false" ht="15" hidden="false" customHeight="false" outlineLevel="0" collapsed="false">
      <c r="C396" s="44"/>
      <c r="E396" s="44"/>
      <c r="F396" s="44"/>
      <c r="G396" s="48"/>
      <c r="H396" s="47"/>
      <c r="I396" s="47"/>
      <c r="J396" s="48"/>
      <c r="L396" s="45"/>
    </row>
    <row r="397" customFormat="false" ht="15" hidden="false" customHeight="false" outlineLevel="0" collapsed="false">
      <c r="C397" s="44"/>
      <c r="E397" s="44"/>
      <c r="F397" s="44"/>
      <c r="G397" s="48"/>
      <c r="H397" s="47"/>
      <c r="I397" s="47"/>
      <c r="J397" s="48"/>
      <c r="L397" s="45"/>
    </row>
    <row r="398" customFormat="false" ht="15" hidden="false" customHeight="false" outlineLevel="0" collapsed="false">
      <c r="C398" s="44"/>
      <c r="E398" s="44"/>
      <c r="F398" s="44"/>
      <c r="G398" s="48"/>
      <c r="H398" s="47"/>
      <c r="I398" s="47"/>
      <c r="J398" s="48"/>
      <c r="L398" s="45"/>
    </row>
    <row r="399" customFormat="false" ht="15" hidden="false" customHeight="false" outlineLevel="0" collapsed="false">
      <c r="C399" s="44"/>
      <c r="E399" s="44"/>
      <c r="F399" s="44"/>
      <c r="G399" s="48"/>
      <c r="H399" s="47"/>
      <c r="I399" s="47"/>
      <c r="J399" s="48"/>
      <c r="L399" s="45"/>
    </row>
    <row r="400" customFormat="false" ht="15" hidden="false" customHeight="false" outlineLevel="0" collapsed="false">
      <c r="C400" s="44"/>
      <c r="E400" s="44"/>
      <c r="F400" s="44"/>
      <c r="G400" s="48"/>
      <c r="H400" s="47"/>
      <c r="I400" s="47"/>
      <c r="J400" s="48"/>
      <c r="L400" s="45"/>
    </row>
    <row r="401" customFormat="false" ht="15" hidden="false" customHeight="false" outlineLevel="0" collapsed="false">
      <c r="C401" s="44"/>
      <c r="E401" s="44"/>
      <c r="F401" s="44"/>
      <c r="G401" s="48"/>
      <c r="H401" s="47"/>
      <c r="I401" s="47"/>
      <c r="J401" s="48"/>
      <c r="L401" s="45"/>
    </row>
    <row r="402" customFormat="false" ht="15" hidden="false" customHeight="false" outlineLevel="0" collapsed="false">
      <c r="C402" s="44"/>
      <c r="E402" s="44"/>
      <c r="F402" s="44"/>
      <c r="G402" s="48"/>
      <c r="H402" s="47"/>
      <c r="I402" s="47"/>
      <c r="J402" s="48"/>
      <c r="L402" s="45"/>
    </row>
    <row r="403" customFormat="false" ht="15" hidden="false" customHeight="false" outlineLevel="0" collapsed="false">
      <c r="C403" s="44"/>
      <c r="E403" s="44"/>
      <c r="F403" s="44"/>
      <c r="G403" s="48"/>
      <c r="H403" s="47"/>
      <c r="I403" s="47"/>
      <c r="J403" s="48"/>
      <c r="L403" s="45"/>
    </row>
    <row r="404" customFormat="false" ht="15" hidden="false" customHeight="false" outlineLevel="0" collapsed="false">
      <c r="C404" s="44"/>
      <c r="E404" s="44"/>
      <c r="F404" s="44"/>
      <c r="G404" s="48"/>
      <c r="H404" s="47"/>
      <c r="I404" s="47"/>
      <c r="J404" s="48"/>
      <c r="L404" s="45"/>
    </row>
    <row r="405" customFormat="false" ht="15" hidden="false" customHeight="false" outlineLevel="0" collapsed="false">
      <c r="C405" s="44"/>
      <c r="E405" s="44"/>
      <c r="F405" s="44"/>
      <c r="G405" s="48"/>
      <c r="H405" s="47"/>
      <c r="I405" s="47"/>
      <c r="J405" s="48"/>
      <c r="L405" s="45"/>
    </row>
    <row r="406" customFormat="false" ht="15" hidden="false" customHeight="false" outlineLevel="0" collapsed="false">
      <c r="C406" s="44"/>
      <c r="E406" s="44"/>
      <c r="F406" s="44"/>
      <c r="G406" s="48"/>
      <c r="H406" s="47"/>
      <c r="I406" s="47"/>
      <c r="J406" s="48"/>
      <c r="L406" s="45"/>
    </row>
    <row r="407" customFormat="false" ht="15" hidden="false" customHeight="false" outlineLevel="0" collapsed="false">
      <c r="C407" s="44"/>
      <c r="E407" s="44"/>
      <c r="F407" s="44"/>
      <c r="G407" s="48"/>
      <c r="H407" s="47"/>
      <c r="I407" s="47"/>
      <c r="J407" s="48"/>
      <c r="L407" s="45"/>
    </row>
    <row r="408" customFormat="false" ht="15" hidden="false" customHeight="false" outlineLevel="0" collapsed="false">
      <c r="C408" s="44"/>
      <c r="E408" s="44"/>
      <c r="F408" s="44"/>
      <c r="G408" s="48"/>
      <c r="H408" s="47"/>
      <c r="I408" s="47"/>
      <c r="J408" s="48"/>
      <c r="L408" s="45"/>
    </row>
    <row r="409" customFormat="false" ht="15" hidden="false" customHeight="false" outlineLevel="0" collapsed="false">
      <c r="C409" s="44"/>
      <c r="E409" s="44"/>
      <c r="F409" s="44"/>
      <c r="G409" s="48"/>
      <c r="H409" s="47"/>
      <c r="I409" s="47"/>
      <c r="J409" s="48"/>
      <c r="L409" s="45"/>
    </row>
    <row r="410" customFormat="false" ht="15" hidden="false" customHeight="false" outlineLevel="0" collapsed="false">
      <c r="C410" s="44"/>
      <c r="E410" s="44"/>
      <c r="F410" s="44"/>
      <c r="G410" s="48"/>
      <c r="H410" s="47"/>
      <c r="I410" s="47"/>
      <c r="J410" s="48"/>
      <c r="L410" s="45"/>
    </row>
    <row r="411" customFormat="false" ht="15" hidden="false" customHeight="false" outlineLevel="0" collapsed="false">
      <c r="C411" s="44"/>
      <c r="E411" s="44"/>
      <c r="F411" s="44"/>
      <c r="G411" s="48"/>
      <c r="H411" s="47"/>
      <c r="I411" s="47"/>
      <c r="J411" s="48"/>
      <c r="L411" s="45"/>
    </row>
    <row r="412" customFormat="false" ht="15" hidden="false" customHeight="false" outlineLevel="0" collapsed="false">
      <c r="C412" s="44"/>
      <c r="E412" s="44"/>
      <c r="F412" s="44"/>
      <c r="G412" s="48"/>
      <c r="H412" s="47"/>
      <c r="I412" s="47"/>
      <c r="J412" s="48"/>
      <c r="L412" s="45"/>
    </row>
    <row r="413" customFormat="false" ht="15" hidden="false" customHeight="false" outlineLevel="0" collapsed="false">
      <c r="C413" s="44"/>
      <c r="E413" s="44"/>
      <c r="F413" s="44"/>
      <c r="G413" s="48"/>
      <c r="H413" s="47"/>
      <c r="I413" s="47"/>
      <c r="J413" s="48"/>
      <c r="L413" s="45"/>
    </row>
    <row r="414" customFormat="false" ht="15" hidden="false" customHeight="false" outlineLevel="0" collapsed="false">
      <c r="C414" s="44"/>
      <c r="E414" s="44"/>
      <c r="F414" s="44"/>
      <c r="G414" s="48"/>
      <c r="H414" s="47"/>
      <c r="I414" s="47"/>
      <c r="J414" s="48"/>
      <c r="L414" s="45"/>
    </row>
    <row r="415" customFormat="false" ht="15" hidden="false" customHeight="false" outlineLevel="0" collapsed="false">
      <c r="C415" s="44"/>
      <c r="E415" s="44"/>
      <c r="F415" s="44"/>
      <c r="G415" s="48"/>
      <c r="H415" s="47"/>
      <c r="I415" s="47"/>
      <c r="J415" s="48"/>
      <c r="L415" s="45"/>
    </row>
    <row r="416" customFormat="false" ht="15" hidden="false" customHeight="false" outlineLevel="0" collapsed="false">
      <c r="C416" s="44"/>
      <c r="E416" s="44"/>
      <c r="F416" s="44"/>
      <c r="G416" s="48"/>
      <c r="H416" s="47"/>
      <c r="I416" s="47"/>
      <c r="J416" s="48"/>
      <c r="L416" s="45"/>
    </row>
    <row r="417" customFormat="false" ht="15" hidden="false" customHeight="false" outlineLevel="0" collapsed="false">
      <c r="C417" s="44"/>
      <c r="E417" s="44"/>
      <c r="F417" s="44"/>
      <c r="G417" s="48"/>
      <c r="H417" s="47"/>
      <c r="I417" s="47"/>
      <c r="J417" s="48"/>
      <c r="L417" s="45"/>
    </row>
    <row r="418" customFormat="false" ht="15" hidden="false" customHeight="false" outlineLevel="0" collapsed="false">
      <c r="C418" s="44"/>
      <c r="E418" s="44"/>
      <c r="F418" s="44"/>
      <c r="G418" s="48"/>
      <c r="H418" s="47"/>
      <c r="I418" s="47"/>
      <c r="J418" s="48"/>
      <c r="L418" s="45"/>
    </row>
    <row r="419" customFormat="false" ht="15" hidden="false" customHeight="false" outlineLevel="0" collapsed="false">
      <c r="C419" s="44"/>
      <c r="E419" s="44"/>
      <c r="F419" s="44"/>
      <c r="G419" s="48"/>
      <c r="H419" s="47"/>
      <c r="I419" s="47"/>
      <c r="J419" s="48"/>
      <c r="L419" s="45"/>
    </row>
    <row r="420" customFormat="false" ht="15" hidden="false" customHeight="false" outlineLevel="0" collapsed="false">
      <c r="C420" s="44"/>
      <c r="E420" s="44"/>
      <c r="F420" s="44"/>
      <c r="G420" s="48"/>
      <c r="H420" s="47"/>
      <c r="I420" s="47"/>
      <c r="J420" s="48"/>
      <c r="L420" s="45"/>
    </row>
    <row r="421" customFormat="false" ht="15" hidden="false" customHeight="false" outlineLevel="0" collapsed="false">
      <c r="C421" s="44"/>
      <c r="E421" s="44"/>
      <c r="F421" s="44"/>
      <c r="G421" s="48"/>
      <c r="H421" s="47"/>
      <c r="I421" s="47"/>
      <c r="J421" s="48"/>
      <c r="L421" s="45"/>
    </row>
    <row r="422" customFormat="false" ht="15" hidden="false" customHeight="false" outlineLevel="0" collapsed="false">
      <c r="C422" s="44"/>
      <c r="E422" s="44"/>
      <c r="F422" s="44"/>
      <c r="G422" s="48"/>
      <c r="H422" s="47"/>
      <c r="I422" s="47"/>
      <c r="J422" s="48"/>
      <c r="L422" s="45"/>
    </row>
    <row r="423" customFormat="false" ht="15" hidden="false" customHeight="false" outlineLevel="0" collapsed="false">
      <c r="C423" s="44"/>
      <c r="E423" s="44"/>
      <c r="F423" s="44"/>
      <c r="G423" s="48"/>
      <c r="H423" s="47"/>
      <c r="I423" s="47"/>
      <c r="J423" s="48"/>
      <c r="L423" s="45"/>
    </row>
    <row r="424" customFormat="false" ht="15" hidden="false" customHeight="false" outlineLevel="0" collapsed="false">
      <c r="C424" s="44"/>
      <c r="E424" s="44"/>
      <c r="F424" s="44"/>
      <c r="G424" s="48"/>
      <c r="H424" s="47"/>
      <c r="I424" s="47"/>
      <c r="J424" s="48"/>
      <c r="L424" s="45"/>
    </row>
    <row r="425" customFormat="false" ht="15" hidden="false" customHeight="false" outlineLevel="0" collapsed="false">
      <c r="C425" s="44"/>
      <c r="E425" s="44"/>
      <c r="F425" s="44"/>
      <c r="G425" s="48"/>
      <c r="H425" s="47"/>
      <c r="I425" s="47"/>
      <c r="J425" s="48"/>
      <c r="L425" s="45"/>
    </row>
    <row r="426" customFormat="false" ht="15" hidden="false" customHeight="false" outlineLevel="0" collapsed="false">
      <c r="C426" s="44"/>
      <c r="E426" s="44"/>
      <c r="F426" s="44"/>
      <c r="G426" s="48"/>
      <c r="H426" s="47"/>
      <c r="I426" s="47"/>
      <c r="J426" s="48"/>
      <c r="L426" s="45"/>
    </row>
    <row r="427" customFormat="false" ht="15" hidden="false" customHeight="false" outlineLevel="0" collapsed="false">
      <c r="C427" s="44"/>
      <c r="E427" s="44"/>
      <c r="F427" s="44"/>
      <c r="G427" s="48"/>
      <c r="H427" s="47"/>
      <c r="I427" s="47"/>
      <c r="J427" s="48"/>
      <c r="L427" s="45"/>
    </row>
    <row r="428" customFormat="false" ht="15" hidden="false" customHeight="false" outlineLevel="0" collapsed="false">
      <c r="C428" s="44"/>
      <c r="E428" s="44"/>
      <c r="F428" s="44"/>
      <c r="G428" s="48"/>
      <c r="H428" s="47"/>
      <c r="I428" s="47"/>
      <c r="J428" s="48"/>
      <c r="L428" s="45"/>
    </row>
    <row r="429" customFormat="false" ht="15" hidden="false" customHeight="false" outlineLevel="0" collapsed="false">
      <c r="C429" s="44"/>
      <c r="E429" s="44"/>
      <c r="F429" s="44"/>
      <c r="G429" s="48"/>
      <c r="H429" s="47"/>
      <c r="I429" s="47"/>
      <c r="J429" s="48"/>
      <c r="L429" s="45"/>
    </row>
    <row r="430" customFormat="false" ht="15" hidden="false" customHeight="false" outlineLevel="0" collapsed="false">
      <c r="C430" s="44"/>
      <c r="E430" s="44"/>
      <c r="F430" s="44"/>
      <c r="G430" s="48"/>
      <c r="H430" s="47"/>
      <c r="I430" s="47"/>
      <c r="J430" s="48"/>
      <c r="L430" s="45"/>
    </row>
    <row r="431" customFormat="false" ht="15" hidden="false" customHeight="false" outlineLevel="0" collapsed="false">
      <c r="C431" s="44"/>
      <c r="E431" s="44"/>
      <c r="F431" s="44"/>
      <c r="G431" s="48"/>
      <c r="H431" s="47"/>
      <c r="I431" s="47"/>
      <c r="J431" s="48"/>
      <c r="L431" s="45"/>
    </row>
    <row r="432" customFormat="false" ht="15" hidden="false" customHeight="false" outlineLevel="0" collapsed="false">
      <c r="C432" s="44"/>
      <c r="E432" s="44"/>
      <c r="F432" s="44"/>
      <c r="G432" s="48"/>
      <c r="H432" s="47"/>
      <c r="I432" s="47"/>
      <c r="J432" s="48"/>
      <c r="L432" s="45"/>
    </row>
    <row r="433" customFormat="false" ht="15" hidden="false" customHeight="false" outlineLevel="0" collapsed="false">
      <c r="C433" s="44"/>
      <c r="E433" s="44"/>
      <c r="F433" s="44"/>
      <c r="G433" s="48"/>
      <c r="H433" s="47"/>
      <c r="I433" s="47"/>
      <c r="J433" s="48"/>
      <c r="L433" s="45"/>
    </row>
    <row r="434" customFormat="false" ht="15" hidden="false" customHeight="false" outlineLevel="0" collapsed="false">
      <c r="C434" s="44"/>
      <c r="E434" s="44"/>
      <c r="F434" s="44"/>
      <c r="G434" s="48"/>
      <c r="H434" s="47"/>
      <c r="I434" s="47"/>
      <c r="J434" s="48"/>
      <c r="L434" s="45"/>
    </row>
    <row r="435" customFormat="false" ht="15" hidden="false" customHeight="false" outlineLevel="0" collapsed="false">
      <c r="C435" s="44"/>
      <c r="E435" s="44"/>
      <c r="F435" s="44"/>
      <c r="G435" s="48"/>
      <c r="H435" s="47"/>
      <c r="I435" s="47"/>
      <c r="J435" s="48"/>
      <c r="L435" s="45"/>
    </row>
    <row r="436" customFormat="false" ht="15" hidden="false" customHeight="false" outlineLevel="0" collapsed="false">
      <c r="C436" s="44"/>
      <c r="E436" s="44"/>
      <c r="F436" s="44"/>
      <c r="G436" s="48"/>
      <c r="H436" s="47"/>
      <c r="I436" s="47"/>
      <c r="J436" s="48"/>
      <c r="L436" s="45"/>
    </row>
    <row r="437" customFormat="false" ht="15" hidden="false" customHeight="false" outlineLevel="0" collapsed="false">
      <c r="C437" s="44"/>
      <c r="E437" s="44"/>
      <c r="F437" s="44"/>
      <c r="G437" s="48"/>
      <c r="H437" s="47"/>
      <c r="I437" s="47"/>
      <c r="J437" s="48"/>
      <c r="L437" s="45"/>
    </row>
    <row r="438" customFormat="false" ht="15" hidden="false" customHeight="false" outlineLevel="0" collapsed="false">
      <c r="C438" s="44"/>
      <c r="E438" s="44"/>
      <c r="F438" s="44"/>
      <c r="G438" s="48"/>
      <c r="H438" s="47"/>
      <c r="I438" s="47"/>
      <c r="J438" s="48"/>
      <c r="L438" s="45"/>
    </row>
    <row r="439" customFormat="false" ht="15" hidden="false" customHeight="false" outlineLevel="0" collapsed="false">
      <c r="C439" s="44"/>
      <c r="E439" s="44"/>
      <c r="F439" s="44"/>
      <c r="G439" s="48"/>
      <c r="H439" s="47"/>
      <c r="I439" s="47"/>
      <c r="J439" s="48"/>
      <c r="L439" s="45"/>
    </row>
    <row r="440" customFormat="false" ht="15" hidden="false" customHeight="false" outlineLevel="0" collapsed="false">
      <c r="C440" s="44"/>
      <c r="E440" s="44"/>
      <c r="F440" s="44"/>
      <c r="G440" s="48"/>
      <c r="H440" s="47"/>
      <c r="I440" s="47"/>
      <c r="J440" s="48"/>
      <c r="L440" s="45"/>
    </row>
    <row r="441" customFormat="false" ht="15" hidden="false" customHeight="false" outlineLevel="0" collapsed="false">
      <c r="C441" s="44"/>
      <c r="E441" s="44"/>
      <c r="F441" s="44"/>
      <c r="G441" s="48"/>
      <c r="H441" s="47"/>
      <c r="I441" s="47"/>
      <c r="J441" s="48"/>
      <c r="L441" s="45"/>
    </row>
    <row r="442" customFormat="false" ht="15" hidden="false" customHeight="false" outlineLevel="0" collapsed="false">
      <c r="C442" s="44"/>
      <c r="E442" s="44"/>
      <c r="F442" s="44"/>
      <c r="G442" s="48"/>
      <c r="H442" s="47"/>
      <c r="I442" s="47"/>
      <c r="J442" s="48"/>
      <c r="L442" s="45"/>
    </row>
    <row r="443" customFormat="false" ht="15" hidden="false" customHeight="false" outlineLevel="0" collapsed="false">
      <c r="C443" s="44"/>
      <c r="E443" s="44"/>
      <c r="F443" s="44"/>
      <c r="G443" s="48"/>
      <c r="H443" s="47"/>
      <c r="I443" s="47"/>
      <c r="J443" s="48"/>
      <c r="L443" s="45"/>
    </row>
    <row r="444" customFormat="false" ht="15" hidden="false" customHeight="false" outlineLevel="0" collapsed="false">
      <c r="C444" s="44"/>
      <c r="E444" s="44"/>
      <c r="F444" s="44"/>
      <c r="G444" s="48"/>
      <c r="H444" s="47"/>
      <c r="I444" s="47"/>
      <c r="J444" s="48"/>
      <c r="L444" s="45"/>
    </row>
    <row r="445" customFormat="false" ht="15" hidden="false" customHeight="false" outlineLevel="0" collapsed="false">
      <c r="C445" s="44"/>
      <c r="E445" s="44"/>
      <c r="F445" s="44"/>
      <c r="G445" s="48"/>
      <c r="H445" s="47"/>
      <c r="I445" s="47"/>
      <c r="J445" s="48"/>
      <c r="L445" s="45"/>
    </row>
    <row r="446" customFormat="false" ht="15" hidden="false" customHeight="false" outlineLevel="0" collapsed="false">
      <c r="C446" s="44"/>
      <c r="E446" s="44"/>
      <c r="F446" s="44"/>
      <c r="G446" s="48"/>
      <c r="H446" s="47"/>
      <c r="I446" s="47"/>
      <c r="J446" s="48"/>
      <c r="L446" s="45"/>
    </row>
    <row r="447" customFormat="false" ht="15" hidden="false" customHeight="false" outlineLevel="0" collapsed="false">
      <c r="C447" s="44"/>
      <c r="E447" s="44"/>
      <c r="F447" s="44"/>
      <c r="G447" s="48"/>
      <c r="H447" s="47"/>
      <c r="I447" s="47"/>
      <c r="J447" s="48"/>
      <c r="L447" s="45"/>
    </row>
    <row r="448" customFormat="false" ht="15" hidden="false" customHeight="false" outlineLevel="0" collapsed="false">
      <c r="C448" s="44"/>
      <c r="E448" s="44"/>
      <c r="F448" s="44"/>
      <c r="G448" s="48"/>
      <c r="H448" s="47"/>
      <c r="I448" s="47"/>
      <c r="J448" s="48"/>
      <c r="L448" s="45"/>
    </row>
    <row r="449" customFormat="false" ht="15" hidden="false" customHeight="false" outlineLevel="0" collapsed="false">
      <c r="C449" s="44"/>
      <c r="E449" s="44"/>
      <c r="F449" s="44"/>
      <c r="G449" s="48"/>
      <c r="H449" s="47"/>
      <c r="I449" s="47"/>
      <c r="J449" s="48"/>
      <c r="L449" s="45"/>
    </row>
    <row r="450" customFormat="false" ht="15" hidden="false" customHeight="false" outlineLevel="0" collapsed="false">
      <c r="C450" s="44"/>
      <c r="E450" s="44"/>
      <c r="F450" s="44"/>
      <c r="G450" s="48"/>
      <c r="H450" s="47"/>
      <c r="I450" s="47"/>
      <c r="J450" s="48"/>
      <c r="L450" s="45"/>
    </row>
    <row r="451" customFormat="false" ht="15" hidden="false" customHeight="false" outlineLevel="0" collapsed="false">
      <c r="C451" s="44"/>
      <c r="E451" s="44"/>
      <c r="F451" s="44"/>
      <c r="G451" s="48"/>
      <c r="H451" s="47"/>
      <c r="I451" s="47"/>
      <c r="J451" s="48"/>
      <c r="L451" s="45"/>
    </row>
    <row r="452" customFormat="false" ht="15" hidden="false" customHeight="false" outlineLevel="0" collapsed="false">
      <c r="C452" s="44"/>
      <c r="E452" s="44"/>
      <c r="F452" s="44"/>
      <c r="G452" s="48"/>
      <c r="H452" s="47"/>
      <c r="I452" s="47"/>
      <c r="J452" s="48"/>
      <c r="L452" s="45"/>
    </row>
    <row r="453" customFormat="false" ht="15" hidden="false" customHeight="false" outlineLevel="0" collapsed="false">
      <c r="C453" s="44"/>
      <c r="E453" s="44"/>
      <c r="F453" s="44"/>
      <c r="G453" s="48"/>
      <c r="H453" s="47"/>
      <c r="I453" s="47"/>
      <c r="J453" s="48"/>
      <c r="L453" s="45"/>
    </row>
    <row r="454" customFormat="false" ht="15" hidden="false" customHeight="false" outlineLevel="0" collapsed="false">
      <c r="C454" s="44"/>
      <c r="E454" s="44"/>
      <c r="F454" s="44"/>
      <c r="G454" s="48"/>
      <c r="H454" s="47"/>
      <c r="I454" s="47"/>
      <c r="J454" s="48"/>
      <c r="L454" s="45"/>
    </row>
    <row r="455" customFormat="false" ht="15" hidden="false" customHeight="false" outlineLevel="0" collapsed="false">
      <c r="C455" s="44"/>
      <c r="E455" s="44"/>
      <c r="F455" s="44"/>
      <c r="G455" s="48"/>
      <c r="H455" s="47"/>
      <c r="I455" s="47"/>
      <c r="J455" s="48"/>
      <c r="L455" s="45"/>
    </row>
    <row r="456" customFormat="false" ht="15" hidden="false" customHeight="false" outlineLevel="0" collapsed="false">
      <c r="C456" s="44"/>
      <c r="E456" s="44"/>
      <c r="F456" s="44"/>
      <c r="G456" s="48"/>
      <c r="H456" s="47"/>
      <c r="I456" s="47"/>
      <c r="J456" s="48"/>
      <c r="L456" s="45"/>
    </row>
    <row r="457" customFormat="false" ht="15" hidden="false" customHeight="false" outlineLevel="0" collapsed="false">
      <c r="C457" s="44"/>
      <c r="E457" s="44"/>
      <c r="F457" s="44"/>
      <c r="G457" s="48"/>
      <c r="H457" s="47"/>
      <c r="I457" s="47"/>
      <c r="J457" s="48"/>
      <c r="L457" s="45"/>
    </row>
    <row r="458" customFormat="false" ht="15" hidden="false" customHeight="false" outlineLevel="0" collapsed="false">
      <c r="C458" s="44"/>
      <c r="E458" s="44"/>
      <c r="F458" s="44"/>
      <c r="G458" s="48"/>
      <c r="H458" s="47"/>
      <c r="I458" s="47"/>
      <c r="J458" s="48"/>
      <c r="L458" s="45"/>
    </row>
    <row r="459" customFormat="false" ht="15" hidden="false" customHeight="false" outlineLevel="0" collapsed="false">
      <c r="C459" s="44"/>
      <c r="E459" s="44"/>
      <c r="F459" s="44"/>
      <c r="G459" s="48"/>
      <c r="H459" s="47"/>
      <c r="I459" s="47"/>
      <c r="J459" s="48"/>
      <c r="L459" s="45"/>
    </row>
    <row r="460" customFormat="false" ht="15" hidden="false" customHeight="false" outlineLevel="0" collapsed="false">
      <c r="C460" s="44"/>
      <c r="E460" s="44"/>
      <c r="F460" s="44"/>
      <c r="G460" s="48"/>
      <c r="H460" s="47"/>
      <c r="I460" s="47"/>
      <c r="J460" s="48"/>
      <c r="L460" s="45"/>
    </row>
    <row r="461" customFormat="false" ht="15" hidden="false" customHeight="false" outlineLevel="0" collapsed="false">
      <c r="C461" s="44"/>
      <c r="E461" s="44"/>
      <c r="F461" s="44"/>
      <c r="G461" s="48"/>
      <c r="H461" s="47"/>
      <c r="I461" s="47"/>
      <c r="J461" s="48"/>
      <c r="L461" s="45"/>
    </row>
    <row r="462" customFormat="false" ht="15" hidden="false" customHeight="false" outlineLevel="0" collapsed="false">
      <c r="C462" s="44"/>
      <c r="E462" s="44"/>
      <c r="F462" s="44"/>
      <c r="G462" s="48"/>
      <c r="H462" s="47"/>
      <c r="I462" s="47"/>
      <c r="J462" s="48"/>
      <c r="L462" s="45"/>
    </row>
    <row r="463" customFormat="false" ht="15" hidden="false" customHeight="false" outlineLevel="0" collapsed="false">
      <c r="C463" s="44"/>
      <c r="E463" s="44"/>
      <c r="F463" s="44"/>
      <c r="G463" s="48"/>
      <c r="H463" s="47"/>
      <c r="I463" s="47"/>
      <c r="J463" s="48"/>
      <c r="L463" s="45"/>
    </row>
    <row r="464" customFormat="false" ht="15" hidden="false" customHeight="false" outlineLevel="0" collapsed="false">
      <c r="C464" s="44"/>
      <c r="E464" s="44"/>
      <c r="F464" s="44"/>
      <c r="G464" s="48"/>
      <c r="H464" s="47"/>
      <c r="I464" s="47"/>
      <c r="J464" s="48"/>
      <c r="L464" s="45"/>
    </row>
    <row r="465" customFormat="false" ht="15" hidden="false" customHeight="false" outlineLevel="0" collapsed="false">
      <c r="C465" s="44"/>
      <c r="E465" s="44"/>
      <c r="F465" s="44"/>
      <c r="G465" s="48"/>
      <c r="H465" s="47"/>
      <c r="I465" s="47"/>
      <c r="J465" s="48"/>
      <c r="L465" s="45"/>
    </row>
    <row r="466" customFormat="false" ht="15" hidden="false" customHeight="false" outlineLevel="0" collapsed="false">
      <c r="C466" s="44"/>
      <c r="E466" s="44"/>
      <c r="F466" s="44"/>
      <c r="G466" s="48"/>
      <c r="H466" s="47"/>
      <c r="I466" s="47"/>
      <c r="J466" s="48"/>
      <c r="L466" s="45"/>
    </row>
    <row r="467" customFormat="false" ht="15" hidden="false" customHeight="false" outlineLevel="0" collapsed="false">
      <c r="C467" s="44"/>
      <c r="E467" s="44"/>
      <c r="F467" s="44"/>
      <c r="G467" s="48"/>
      <c r="H467" s="47"/>
      <c r="I467" s="47"/>
      <c r="J467" s="48"/>
      <c r="L467" s="45"/>
    </row>
    <row r="468" customFormat="false" ht="15" hidden="false" customHeight="false" outlineLevel="0" collapsed="false">
      <c r="C468" s="44"/>
      <c r="E468" s="44"/>
      <c r="F468" s="44"/>
      <c r="G468" s="48"/>
      <c r="H468" s="47"/>
      <c r="I468" s="47"/>
      <c r="J468" s="48"/>
      <c r="L468" s="45"/>
    </row>
    <row r="469" customFormat="false" ht="15" hidden="false" customHeight="false" outlineLevel="0" collapsed="false">
      <c r="C469" s="44"/>
      <c r="E469" s="44"/>
      <c r="F469" s="44"/>
      <c r="G469" s="48"/>
      <c r="H469" s="47"/>
      <c r="I469" s="47"/>
      <c r="J469" s="48"/>
      <c r="L469" s="45"/>
    </row>
    <row r="470" customFormat="false" ht="15" hidden="false" customHeight="false" outlineLevel="0" collapsed="false">
      <c r="C470" s="44"/>
      <c r="E470" s="44"/>
      <c r="F470" s="44"/>
      <c r="G470" s="48"/>
      <c r="H470" s="47"/>
      <c r="I470" s="47"/>
      <c r="J470" s="48"/>
      <c r="L470" s="45"/>
    </row>
    <row r="471" customFormat="false" ht="15" hidden="false" customHeight="false" outlineLevel="0" collapsed="false">
      <c r="C471" s="44"/>
      <c r="E471" s="44"/>
      <c r="F471" s="44"/>
      <c r="G471" s="48"/>
      <c r="H471" s="47"/>
      <c r="I471" s="47"/>
      <c r="J471" s="48"/>
      <c r="L471" s="45"/>
    </row>
    <row r="472" customFormat="false" ht="15" hidden="false" customHeight="false" outlineLevel="0" collapsed="false">
      <c r="C472" s="44"/>
      <c r="E472" s="44"/>
      <c r="F472" s="44"/>
      <c r="G472" s="48"/>
      <c r="H472" s="47"/>
      <c r="I472" s="47"/>
      <c r="J472" s="48"/>
      <c r="L472" s="45"/>
    </row>
    <row r="473" customFormat="false" ht="15" hidden="false" customHeight="false" outlineLevel="0" collapsed="false">
      <c r="C473" s="44"/>
      <c r="E473" s="44"/>
      <c r="F473" s="44"/>
      <c r="G473" s="48"/>
      <c r="H473" s="47"/>
      <c r="I473" s="47"/>
      <c r="J473" s="48"/>
      <c r="L473" s="45"/>
    </row>
    <row r="474" customFormat="false" ht="15" hidden="false" customHeight="false" outlineLevel="0" collapsed="false">
      <c r="C474" s="44"/>
      <c r="E474" s="44"/>
      <c r="F474" s="44"/>
      <c r="G474" s="48"/>
      <c r="H474" s="47"/>
      <c r="I474" s="47"/>
      <c r="J474" s="48"/>
      <c r="L474" s="45"/>
    </row>
    <row r="475" customFormat="false" ht="15" hidden="false" customHeight="false" outlineLevel="0" collapsed="false">
      <c r="C475" s="44"/>
      <c r="E475" s="44"/>
      <c r="F475" s="44"/>
      <c r="G475" s="48"/>
      <c r="H475" s="47"/>
      <c r="I475" s="47"/>
      <c r="J475" s="48"/>
      <c r="L475" s="45"/>
    </row>
    <row r="476" customFormat="false" ht="15" hidden="false" customHeight="false" outlineLevel="0" collapsed="false">
      <c r="C476" s="44"/>
      <c r="E476" s="44"/>
      <c r="F476" s="44"/>
      <c r="G476" s="48"/>
      <c r="H476" s="47"/>
      <c r="I476" s="47"/>
      <c r="J476" s="48"/>
      <c r="L476" s="45"/>
    </row>
    <row r="477" customFormat="false" ht="15" hidden="false" customHeight="false" outlineLevel="0" collapsed="false">
      <c r="C477" s="44"/>
      <c r="E477" s="44"/>
      <c r="F477" s="44"/>
      <c r="G477" s="48"/>
      <c r="H477" s="47"/>
      <c r="I477" s="47"/>
      <c r="J477" s="48"/>
      <c r="L477" s="45"/>
    </row>
    <row r="478" customFormat="false" ht="15" hidden="false" customHeight="false" outlineLevel="0" collapsed="false">
      <c r="C478" s="44"/>
      <c r="E478" s="44"/>
      <c r="F478" s="44"/>
      <c r="G478" s="48"/>
      <c r="H478" s="47"/>
      <c r="I478" s="47"/>
      <c r="J478" s="48"/>
      <c r="L478" s="45"/>
    </row>
    <row r="479" customFormat="false" ht="15" hidden="false" customHeight="false" outlineLevel="0" collapsed="false">
      <c r="C479" s="44"/>
      <c r="E479" s="44"/>
      <c r="F479" s="44"/>
      <c r="G479" s="48"/>
      <c r="H479" s="47"/>
      <c r="I479" s="47"/>
      <c r="J479" s="48"/>
      <c r="L479" s="45"/>
    </row>
    <row r="480" customFormat="false" ht="15" hidden="false" customHeight="false" outlineLevel="0" collapsed="false">
      <c r="C480" s="44"/>
      <c r="E480" s="44"/>
      <c r="F480" s="44"/>
      <c r="G480" s="48"/>
      <c r="H480" s="47"/>
      <c r="I480" s="47"/>
      <c r="J480" s="48"/>
      <c r="L480" s="45"/>
    </row>
    <row r="481" customFormat="false" ht="15" hidden="false" customHeight="false" outlineLevel="0" collapsed="false">
      <c r="C481" s="44"/>
      <c r="E481" s="44"/>
      <c r="F481" s="44"/>
      <c r="G481" s="48"/>
      <c r="H481" s="47"/>
      <c r="I481" s="47"/>
      <c r="J481" s="48"/>
      <c r="L481" s="45"/>
    </row>
    <row r="482" customFormat="false" ht="15" hidden="false" customHeight="false" outlineLevel="0" collapsed="false">
      <c r="C482" s="44"/>
      <c r="E482" s="44"/>
      <c r="F482" s="44"/>
      <c r="G482" s="48"/>
      <c r="H482" s="47"/>
      <c r="I482" s="47"/>
      <c r="J482" s="48"/>
      <c r="L482" s="45"/>
    </row>
    <row r="483" customFormat="false" ht="15" hidden="false" customHeight="false" outlineLevel="0" collapsed="false">
      <c r="C483" s="44"/>
      <c r="E483" s="44"/>
      <c r="F483" s="44"/>
      <c r="G483" s="48"/>
      <c r="H483" s="47"/>
      <c r="I483" s="47"/>
      <c r="J483" s="48"/>
      <c r="L483" s="45"/>
    </row>
    <row r="484" customFormat="false" ht="15" hidden="false" customHeight="false" outlineLevel="0" collapsed="false">
      <c r="C484" s="44"/>
      <c r="E484" s="44"/>
      <c r="F484" s="44"/>
      <c r="G484" s="48"/>
      <c r="H484" s="47"/>
      <c r="I484" s="47"/>
      <c r="J484" s="48"/>
      <c r="L484" s="45"/>
    </row>
    <row r="485" customFormat="false" ht="15" hidden="false" customHeight="false" outlineLevel="0" collapsed="false">
      <c r="C485" s="44"/>
      <c r="E485" s="44"/>
      <c r="F485" s="44"/>
      <c r="G485" s="48"/>
      <c r="H485" s="47"/>
      <c r="I485" s="47"/>
      <c r="J485" s="48"/>
      <c r="L485" s="45"/>
    </row>
    <row r="486" customFormat="false" ht="15" hidden="false" customHeight="false" outlineLevel="0" collapsed="false">
      <c r="C486" s="44"/>
      <c r="E486" s="44"/>
      <c r="F486" s="44"/>
      <c r="G486" s="48"/>
      <c r="H486" s="47"/>
      <c r="I486" s="47"/>
      <c r="J486" s="48"/>
      <c r="L486" s="45"/>
    </row>
    <row r="487" customFormat="false" ht="15" hidden="false" customHeight="false" outlineLevel="0" collapsed="false">
      <c r="C487" s="44"/>
      <c r="E487" s="44"/>
      <c r="F487" s="44"/>
      <c r="G487" s="48"/>
      <c r="H487" s="47"/>
      <c r="I487" s="47"/>
      <c r="J487" s="48"/>
      <c r="L487" s="45"/>
    </row>
    <row r="488" customFormat="false" ht="15" hidden="false" customHeight="false" outlineLevel="0" collapsed="false">
      <c r="C488" s="44"/>
      <c r="E488" s="44"/>
      <c r="F488" s="44"/>
      <c r="G488" s="48"/>
      <c r="H488" s="47"/>
      <c r="I488" s="47"/>
      <c r="J488" s="48"/>
      <c r="L488" s="45"/>
    </row>
    <row r="489" customFormat="false" ht="15" hidden="false" customHeight="false" outlineLevel="0" collapsed="false">
      <c r="C489" s="44"/>
      <c r="E489" s="44"/>
      <c r="F489" s="44"/>
      <c r="G489" s="48"/>
      <c r="H489" s="47"/>
      <c r="I489" s="47"/>
      <c r="J489" s="48"/>
      <c r="L489" s="45"/>
    </row>
    <row r="490" customFormat="false" ht="15" hidden="false" customHeight="false" outlineLevel="0" collapsed="false">
      <c r="C490" s="44"/>
      <c r="E490" s="44"/>
      <c r="F490" s="44"/>
      <c r="G490" s="48"/>
      <c r="H490" s="47"/>
      <c r="I490" s="47"/>
      <c r="J490" s="48"/>
      <c r="L490" s="45"/>
    </row>
    <row r="491" customFormat="false" ht="15" hidden="false" customHeight="false" outlineLevel="0" collapsed="false">
      <c r="C491" s="44"/>
      <c r="E491" s="44"/>
      <c r="F491" s="44"/>
      <c r="G491" s="48"/>
      <c r="H491" s="47"/>
      <c r="I491" s="47"/>
      <c r="J491" s="48"/>
      <c r="L491" s="45"/>
    </row>
    <row r="492" customFormat="false" ht="15" hidden="false" customHeight="false" outlineLevel="0" collapsed="false">
      <c r="C492" s="44"/>
      <c r="E492" s="44"/>
      <c r="F492" s="44"/>
      <c r="G492" s="48"/>
      <c r="H492" s="47"/>
      <c r="I492" s="47"/>
      <c r="J492" s="48"/>
      <c r="L492" s="45"/>
    </row>
    <row r="493" customFormat="false" ht="15" hidden="false" customHeight="false" outlineLevel="0" collapsed="false">
      <c r="C493" s="44"/>
      <c r="E493" s="44"/>
      <c r="F493" s="44"/>
      <c r="G493" s="48"/>
      <c r="H493" s="47"/>
      <c r="I493" s="47"/>
      <c r="J493" s="48"/>
      <c r="L493" s="45"/>
    </row>
    <row r="494" customFormat="false" ht="15" hidden="false" customHeight="false" outlineLevel="0" collapsed="false">
      <c r="C494" s="44"/>
      <c r="E494" s="44"/>
      <c r="F494" s="44"/>
      <c r="G494" s="48"/>
      <c r="H494" s="47"/>
      <c r="I494" s="47"/>
      <c r="J494" s="48"/>
      <c r="L494" s="45"/>
    </row>
    <row r="495" customFormat="false" ht="15" hidden="false" customHeight="false" outlineLevel="0" collapsed="false">
      <c r="C495" s="44"/>
      <c r="E495" s="44"/>
      <c r="F495" s="44"/>
      <c r="G495" s="48"/>
      <c r="H495" s="47"/>
      <c r="I495" s="47"/>
      <c r="J495" s="48"/>
      <c r="L495" s="45"/>
    </row>
    <row r="496" customFormat="false" ht="15" hidden="false" customHeight="false" outlineLevel="0" collapsed="false">
      <c r="C496" s="44"/>
      <c r="E496" s="44"/>
      <c r="F496" s="44"/>
      <c r="G496" s="48"/>
      <c r="H496" s="47"/>
      <c r="I496" s="47"/>
      <c r="J496" s="48"/>
      <c r="L496" s="45"/>
    </row>
    <row r="497" customFormat="false" ht="15" hidden="false" customHeight="false" outlineLevel="0" collapsed="false">
      <c r="C497" s="44"/>
      <c r="E497" s="44"/>
      <c r="F497" s="44"/>
      <c r="G497" s="48"/>
      <c r="H497" s="47"/>
      <c r="I497" s="47"/>
      <c r="J497" s="48"/>
      <c r="L497" s="45"/>
    </row>
    <row r="498" customFormat="false" ht="15" hidden="false" customHeight="false" outlineLevel="0" collapsed="false">
      <c r="C498" s="44"/>
      <c r="E498" s="44"/>
      <c r="F498" s="44"/>
      <c r="G498" s="48"/>
      <c r="H498" s="47"/>
      <c r="I498" s="47"/>
      <c r="J498" s="48"/>
      <c r="L498" s="45"/>
    </row>
    <row r="499" customFormat="false" ht="15" hidden="false" customHeight="false" outlineLevel="0" collapsed="false">
      <c r="C499" s="44"/>
      <c r="E499" s="44"/>
      <c r="F499" s="44"/>
      <c r="G499" s="48"/>
      <c r="H499" s="47"/>
      <c r="I499" s="47"/>
      <c r="J499" s="48"/>
      <c r="L499" s="45"/>
    </row>
    <row r="500" customFormat="false" ht="15" hidden="false" customHeight="false" outlineLevel="0" collapsed="false">
      <c r="C500" s="44"/>
      <c r="E500" s="44"/>
      <c r="F500" s="44"/>
      <c r="G500" s="48"/>
      <c r="H500" s="47"/>
      <c r="I500" s="47"/>
      <c r="J500" s="48"/>
      <c r="L500" s="45"/>
    </row>
    <row r="501" customFormat="false" ht="15" hidden="false" customHeight="false" outlineLevel="0" collapsed="false">
      <c r="C501" s="44"/>
      <c r="E501" s="44"/>
      <c r="F501" s="44"/>
      <c r="G501" s="48"/>
      <c r="H501" s="47"/>
      <c r="I501" s="47"/>
      <c r="J501" s="48"/>
      <c r="L501" s="45"/>
    </row>
    <row r="502" customFormat="false" ht="15" hidden="false" customHeight="false" outlineLevel="0" collapsed="false">
      <c r="C502" s="44"/>
      <c r="E502" s="44"/>
      <c r="F502" s="44"/>
      <c r="G502" s="48"/>
      <c r="H502" s="47"/>
      <c r="I502" s="47"/>
      <c r="J502" s="48"/>
      <c r="L502" s="45"/>
    </row>
    <row r="503" customFormat="false" ht="15" hidden="false" customHeight="false" outlineLevel="0" collapsed="false">
      <c r="C503" s="44"/>
      <c r="E503" s="44"/>
      <c r="F503" s="44"/>
      <c r="G503" s="48"/>
      <c r="H503" s="47"/>
      <c r="I503" s="47"/>
      <c r="J503" s="48"/>
      <c r="L503" s="45"/>
    </row>
    <row r="504" customFormat="false" ht="15" hidden="false" customHeight="false" outlineLevel="0" collapsed="false">
      <c r="C504" s="44"/>
      <c r="E504" s="44"/>
      <c r="F504" s="44"/>
      <c r="G504" s="48"/>
      <c r="H504" s="47"/>
      <c r="I504" s="47"/>
      <c r="J504" s="48"/>
      <c r="L504" s="45"/>
    </row>
    <row r="505" customFormat="false" ht="15" hidden="false" customHeight="false" outlineLevel="0" collapsed="false">
      <c r="C505" s="44"/>
      <c r="E505" s="44"/>
      <c r="F505" s="44"/>
      <c r="G505" s="48"/>
      <c r="H505" s="47"/>
      <c r="I505" s="47"/>
      <c r="J505" s="48"/>
      <c r="L505" s="45"/>
    </row>
    <row r="506" customFormat="false" ht="15" hidden="false" customHeight="false" outlineLevel="0" collapsed="false">
      <c r="C506" s="44"/>
      <c r="E506" s="44"/>
      <c r="F506" s="44"/>
      <c r="G506" s="48"/>
      <c r="H506" s="47"/>
      <c r="I506" s="47"/>
      <c r="J506" s="48"/>
      <c r="L506" s="45"/>
    </row>
    <row r="507" customFormat="false" ht="15" hidden="false" customHeight="false" outlineLevel="0" collapsed="false">
      <c r="C507" s="44"/>
      <c r="E507" s="44"/>
      <c r="F507" s="44"/>
      <c r="G507" s="48"/>
      <c r="H507" s="47"/>
      <c r="I507" s="47"/>
      <c r="J507" s="48"/>
      <c r="L507" s="45"/>
    </row>
    <row r="508" customFormat="false" ht="15" hidden="false" customHeight="false" outlineLevel="0" collapsed="false">
      <c r="C508" s="44"/>
      <c r="E508" s="44"/>
      <c r="F508" s="44"/>
      <c r="G508" s="48"/>
      <c r="H508" s="47"/>
      <c r="I508" s="47"/>
      <c r="J508" s="48"/>
      <c r="L508" s="45"/>
    </row>
    <row r="509" customFormat="false" ht="15" hidden="false" customHeight="false" outlineLevel="0" collapsed="false">
      <c r="C509" s="44"/>
      <c r="E509" s="44"/>
      <c r="F509" s="44"/>
      <c r="G509" s="48"/>
      <c r="H509" s="47"/>
      <c r="I509" s="47"/>
      <c r="J509" s="48"/>
      <c r="L509" s="45"/>
    </row>
    <row r="510" customFormat="false" ht="15" hidden="false" customHeight="false" outlineLevel="0" collapsed="false">
      <c r="C510" s="44"/>
      <c r="E510" s="44"/>
      <c r="F510" s="44"/>
      <c r="G510" s="48"/>
      <c r="H510" s="47"/>
      <c r="I510" s="47"/>
      <c r="J510" s="48"/>
      <c r="L510" s="45"/>
    </row>
    <row r="511" customFormat="false" ht="15" hidden="false" customHeight="false" outlineLevel="0" collapsed="false">
      <c r="C511" s="44"/>
      <c r="E511" s="44"/>
      <c r="F511" s="44"/>
      <c r="G511" s="48"/>
      <c r="H511" s="47"/>
      <c r="I511" s="47"/>
      <c r="J511" s="48"/>
      <c r="L511" s="45"/>
    </row>
    <row r="512" customFormat="false" ht="15" hidden="false" customHeight="false" outlineLevel="0" collapsed="false">
      <c r="C512" s="44"/>
      <c r="E512" s="44"/>
      <c r="F512" s="44"/>
      <c r="G512" s="48"/>
      <c r="H512" s="47"/>
      <c r="I512" s="47"/>
      <c r="J512" s="48"/>
      <c r="L512" s="45"/>
    </row>
    <row r="513" customFormat="false" ht="15" hidden="false" customHeight="false" outlineLevel="0" collapsed="false">
      <c r="C513" s="44"/>
      <c r="E513" s="44"/>
      <c r="F513" s="44"/>
      <c r="G513" s="48"/>
      <c r="H513" s="47"/>
      <c r="I513" s="47"/>
      <c r="J513" s="48"/>
      <c r="L513" s="45"/>
    </row>
    <row r="514" customFormat="false" ht="15" hidden="false" customHeight="false" outlineLevel="0" collapsed="false">
      <c r="C514" s="44"/>
      <c r="E514" s="44"/>
      <c r="F514" s="44"/>
      <c r="G514" s="48"/>
      <c r="H514" s="47"/>
      <c r="I514" s="47"/>
      <c r="J514" s="48"/>
      <c r="L514" s="45"/>
    </row>
    <row r="515" customFormat="false" ht="15" hidden="false" customHeight="false" outlineLevel="0" collapsed="false">
      <c r="C515" s="44"/>
      <c r="E515" s="44"/>
      <c r="F515" s="44"/>
      <c r="G515" s="48"/>
      <c r="H515" s="47"/>
      <c r="I515" s="47"/>
      <c r="J515" s="48"/>
      <c r="L515" s="45"/>
    </row>
    <row r="516" customFormat="false" ht="15" hidden="false" customHeight="false" outlineLevel="0" collapsed="false">
      <c r="C516" s="44"/>
      <c r="E516" s="44"/>
      <c r="F516" s="44"/>
      <c r="G516" s="48"/>
      <c r="H516" s="47"/>
      <c r="I516" s="47"/>
      <c r="J516" s="48"/>
      <c r="L516" s="45"/>
    </row>
    <row r="517" customFormat="false" ht="15" hidden="false" customHeight="false" outlineLevel="0" collapsed="false">
      <c r="C517" s="44"/>
      <c r="E517" s="44"/>
      <c r="F517" s="44"/>
      <c r="G517" s="48"/>
      <c r="H517" s="47"/>
      <c r="I517" s="47"/>
      <c r="J517" s="48"/>
      <c r="L517" s="45"/>
    </row>
    <row r="518" customFormat="false" ht="15" hidden="false" customHeight="false" outlineLevel="0" collapsed="false">
      <c r="C518" s="44"/>
      <c r="E518" s="44"/>
      <c r="F518" s="44"/>
      <c r="G518" s="48"/>
      <c r="H518" s="47"/>
      <c r="I518" s="47"/>
      <c r="J518" s="48"/>
      <c r="L518" s="45"/>
    </row>
    <row r="519" customFormat="false" ht="15" hidden="false" customHeight="false" outlineLevel="0" collapsed="false">
      <c r="C519" s="44"/>
      <c r="E519" s="44"/>
      <c r="F519" s="44"/>
      <c r="G519" s="48"/>
      <c r="H519" s="47"/>
      <c r="I519" s="47"/>
      <c r="J519" s="48"/>
      <c r="L519" s="45"/>
    </row>
    <row r="520" customFormat="false" ht="15" hidden="false" customHeight="false" outlineLevel="0" collapsed="false">
      <c r="C520" s="44"/>
      <c r="E520" s="44"/>
      <c r="F520" s="44"/>
      <c r="G520" s="48"/>
      <c r="H520" s="47"/>
      <c r="I520" s="47"/>
      <c r="J520" s="48"/>
      <c r="L520" s="45"/>
    </row>
    <row r="521" customFormat="false" ht="15" hidden="false" customHeight="false" outlineLevel="0" collapsed="false">
      <c r="C521" s="44"/>
      <c r="E521" s="44"/>
      <c r="F521" s="44"/>
      <c r="G521" s="48"/>
      <c r="H521" s="47"/>
      <c r="I521" s="47"/>
      <c r="J521" s="48"/>
      <c r="L521" s="45"/>
    </row>
    <row r="522" customFormat="false" ht="15" hidden="false" customHeight="false" outlineLevel="0" collapsed="false">
      <c r="C522" s="44"/>
      <c r="E522" s="44"/>
      <c r="F522" s="44"/>
      <c r="G522" s="48"/>
      <c r="H522" s="47"/>
      <c r="I522" s="47"/>
      <c r="J522" s="48"/>
      <c r="L522" s="45"/>
    </row>
    <row r="523" customFormat="false" ht="15" hidden="false" customHeight="false" outlineLevel="0" collapsed="false">
      <c r="C523" s="44"/>
      <c r="E523" s="44"/>
      <c r="F523" s="44"/>
      <c r="G523" s="48"/>
      <c r="H523" s="47"/>
      <c r="I523" s="47"/>
      <c r="J523" s="48"/>
      <c r="L523" s="45"/>
    </row>
    <row r="524" customFormat="false" ht="15" hidden="false" customHeight="false" outlineLevel="0" collapsed="false">
      <c r="C524" s="44"/>
      <c r="E524" s="44"/>
      <c r="F524" s="44"/>
      <c r="G524" s="48"/>
      <c r="H524" s="47"/>
      <c r="I524" s="47"/>
      <c r="J524" s="48"/>
      <c r="L524" s="45"/>
    </row>
    <row r="525" customFormat="false" ht="15" hidden="false" customHeight="false" outlineLevel="0" collapsed="false">
      <c r="C525" s="44"/>
      <c r="E525" s="44"/>
      <c r="F525" s="44"/>
      <c r="G525" s="48"/>
      <c r="H525" s="47"/>
      <c r="I525" s="47"/>
      <c r="J525" s="48"/>
      <c r="L525" s="45"/>
    </row>
    <row r="526" customFormat="false" ht="15" hidden="false" customHeight="false" outlineLevel="0" collapsed="false">
      <c r="C526" s="44"/>
      <c r="E526" s="44"/>
      <c r="F526" s="44"/>
      <c r="G526" s="48"/>
      <c r="H526" s="47"/>
      <c r="I526" s="47"/>
      <c r="J526" s="48"/>
      <c r="L526" s="45"/>
    </row>
    <row r="527" customFormat="false" ht="15" hidden="false" customHeight="false" outlineLevel="0" collapsed="false">
      <c r="C527" s="44"/>
      <c r="E527" s="44"/>
      <c r="F527" s="44"/>
      <c r="G527" s="48"/>
      <c r="H527" s="47"/>
      <c r="I527" s="47"/>
      <c r="J527" s="48"/>
      <c r="L527" s="45"/>
    </row>
    <row r="528" customFormat="false" ht="15" hidden="false" customHeight="false" outlineLevel="0" collapsed="false">
      <c r="C528" s="44"/>
      <c r="E528" s="44"/>
      <c r="F528" s="44"/>
      <c r="G528" s="48"/>
      <c r="H528" s="47"/>
      <c r="I528" s="47"/>
      <c r="J528" s="48"/>
      <c r="L528" s="45"/>
    </row>
    <row r="529" customFormat="false" ht="15" hidden="false" customHeight="false" outlineLevel="0" collapsed="false">
      <c r="C529" s="44"/>
      <c r="E529" s="44"/>
      <c r="F529" s="44"/>
      <c r="G529" s="48"/>
      <c r="H529" s="47"/>
      <c r="I529" s="47"/>
      <c r="J529" s="48"/>
      <c r="L529" s="45"/>
    </row>
    <row r="530" customFormat="false" ht="15" hidden="false" customHeight="false" outlineLevel="0" collapsed="false">
      <c r="C530" s="44"/>
      <c r="E530" s="44"/>
      <c r="F530" s="44"/>
      <c r="G530" s="48"/>
      <c r="H530" s="47"/>
      <c r="I530" s="47"/>
      <c r="J530" s="48"/>
      <c r="L530" s="45"/>
    </row>
    <row r="531" customFormat="false" ht="15" hidden="false" customHeight="false" outlineLevel="0" collapsed="false">
      <c r="C531" s="44"/>
      <c r="E531" s="44"/>
      <c r="F531" s="44"/>
      <c r="G531" s="48"/>
      <c r="H531" s="47"/>
      <c r="I531" s="47"/>
      <c r="J531" s="48"/>
      <c r="L531" s="45"/>
    </row>
    <row r="532" customFormat="false" ht="15" hidden="false" customHeight="false" outlineLevel="0" collapsed="false">
      <c r="C532" s="44"/>
      <c r="E532" s="44"/>
      <c r="F532" s="44"/>
      <c r="G532" s="48"/>
      <c r="H532" s="47"/>
      <c r="I532" s="47"/>
      <c r="J532" s="48"/>
      <c r="L532" s="45"/>
    </row>
    <row r="533" customFormat="false" ht="15" hidden="false" customHeight="false" outlineLevel="0" collapsed="false">
      <c r="C533" s="44"/>
      <c r="E533" s="44"/>
      <c r="F533" s="44"/>
      <c r="G533" s="48"/>
      <c r="H533" s="47"/>
      <c r="I533" s="47"/>
      <c r="J533" s="48"/>
      <c r="L533" s="45"/>
    </row>
    <row r="534" customFormat="false" ht="15" hidden="false" customHeight="false" outlineLevel="0" collapsed="false">
      <c r="C534" s="44"/>
      <c r="E534" s="44"/>
      <c r="F534" s="44"/>
      <c r="G534" s="48"/>
      <c r="H534" s="47"/>
      <c r="I534" s="47"/>
      <c r="J534" s="48"/>
      <c r="L534" s="45"/>
    </row>
    <row r="535" customFormat="false" ht="15" hidden="false" customHeight="false" outlineLevel="0" collapsed="false">
      <c r="C535" s="44"/>
      <c r="E535" s="44"/>
      <c r="F535" s="44"/>
      <c r="G535" s="48"/>
      <c r="H535" s="47"/>
      <c r="I535" s="47"/>
      <c r="J535" s="48"/>
      <c r="L535" s="45"/>
    </row>
    <row r="536" customFormat="false" ht="15" hidden="false" customHeight="false" outlineLevel="0" collapsed="false">
      <c r="C536" s="44"/>
      <c r="E536" s="44"/>
      <c r="F536" s="44"/>
      <c r="G536" s="48"/>
      <c r="H536" s="47"/>
      <c r="I536" s="47"/>
      <c r="J536" s="48"/>
      <c r="L536" s="45"/>
    </row>
    <row r="537" customFormat="false" ht="15" hidden="false" customHeight="false" outlineLevel="0" collapsed="false">
      <c r="C537" s="44"/>
      <c r="E537" s="44"/>
      <c r="F537" s="44"/>
      <c r="G537" s="48"/>
      <c r="H537" s="47"/>
      <c r="I537" s="47"/>
      <c r="J537" s="48"/>
      <c r="L537" s="45"/>
    </row>
    <row r="538" customFormat="false" ht="15" hidden="false" customHeight="false" outlineLevel="0" collapsed="false">
      <c r="C538" s="44"/>
      <c r="E538" s="44"/>
      <c r="F538" s="44"/>
      <c r="G538" s="48"/>
      <c r="H538" s="47"/>
      <c r="I538" s="47"/>
      <c r="J538" s="48"/>
      <c r="L538" s="45"/>
    </row>
    <row r="539" customFormat="false" ht="15" hidden="false" customHeight="false" outlineLevel="0" collapsed="false">
      <c r="C539" s="44"/>
      <c r="E539" s="44"/>
      <c r="F539" s="44"/>
      <c r="G539" s="48"/>
      <c r="H539" s="47"/>
      <c r="I539" s="47"/>
      <c r="J539" s="48"/>
      <c r="L539" s="45"/>
    </row>
    <row r="540" customFormat="false" ht="15" hidden="false" customHeight="false" outlineLevel="0" collapsed="false">
      <c r="C540" s="44"/>
      <c r="E540" s="44"/>
      <c r="F540" s="44"/>
      <c r="G540" s="48"/>
      <c r="H540" s="47"/>
      <c r="I540" s="47"/>
      <c r="J540" s="48"/>
      <c r="L540" s="45"/>
    </row>
    <row r="541" customFormat="false" ht="15" hidden="false" customHeight="false" outlineLevel="0" collapsed="false">
      <c r="C541" s="44"/>
      <c r="E541" s="44"/>
      <c r="F541" s="44"/>
      <c r="G541" s="48"/>
      <c r="H541" s="47"/>
      <c r="I541" s="47"/>
      <c r="J541" s="48"/>
      <c r="L541" s="45"/>
    </row>
    <row r="542" customFormat="false" ht="15" hidden="false" customHeight="false" outlineLevel="0" collapsed="false">
      <c r="C542" s="44"/>
      <c r="E542" s="44"/>
      <c r="F542" s="44"/>
      <c r="G542" s="48"/>
      <c r="H542" s="47"/>
      <c r="I542" s="47"/>
      <c r="J542" s="48"/>
      <c r="L542" s="45"/>
    </row>
    <row r="543" customFormat="false" ht="15" hidden="false" customHeight="false" outlineLevel="0" collapsed="false">
      <c r="C543" s="44"/>
      <c r="E543" s="44"/>
      <c r="F543" s="44"/>
      <c r="G543" s="48"/>
      <c r="H543" s="47"/>
      <c r="I543" s="47"/>
      <c r="J543" s="48"/>
      <c r="L543" s="45"/>
    </row>
    <row r="544" customFormat="false" ht="15" hidden="false" customHeight="false" outlineLevel="0" collapsed="false">
      <c r="C544" s="44"/>
      <c r="E544" s="44"/>
      <c r="F544" s="44"/>
      <c r="G544" s="48"/>
      <c r="H544" s="47"/>
      <c r="I544" s="47"/>
      <c r="J544" s="48"/>
      <c r="L544" s="45"/>
    </row>
    <row r="545" customFormat="false" ht="15" hidden="false" customHeight="false" outlineLevel="0" collapsed="false">
      <c r="C545" s="44"/>
      <c r="E545" s="44"/>
      <c r="F545" s="44"/>
      <c r="G545" s="48"/>
      <c r="H545" s="47"/>
      <c r="I545" s="47"/>
      <c r="J545" s="48"/>
      <c r="L545" s="45"/>
    </row>
    <row r="546" customFormat="false" ht="15" hidden="false" customHeight="false" outlineLevel="0" collapsed="false">
      <c r="C546" s="44"/>
      <c r="E546" s="44"/>
      <c r="F546" s="44"/>
      <c r="G546" s="48"/>
      <c r="H546" s="47"/>
      <c r="I546" s="47"/>
      <c r="J546" s="48"/>
      <c r="L546" s="45"/>
    </row>
    <row r="547" customFormat="false" ht="15" hidden="false" customHeight="false" outlineLevel="0" collapsed="false">
      <c r="C547" s="44"/>
      <c r="E547" s="44"/>
      <c r="F547" s="44"/>
      <c r="G547" s="48"/>
      <c r="H547" s="47"/>
      <c r="I547" s="47"/>
      <c r="J547" s="48"/>
      <c r="L547" s="45"/>
    </row>
    <row r="548" customFormat="false" ht="15" hidden="false" customHeight="false" outlineLevel="0" collapsed="false">
      <c r="C548" s="44"/>
      <c r="E548" s="44"/>
      <c r="F548" s="44"/>
      <c r="G548" s="48"/>
      <c r="H548" s="47"/>
      <c r="I548" s="47"/>
      <c r="J548" s="48"/>
      <c r="L548" s="45"/>
    </row>
    <row r="549" customFormat="false" ht="15" hidden="false" customHeight="false" outlineLevel="0" collapsed="false">
      <c r="C549" s="44"/>
      <c r="E549" s="44"/>
      <c r="F549" s="44"/>
      <c r="G549" s="48"/>
      <c r="H549" s="47"/>
      <c r="I549" s="47"/>
      <c r="J549" s="48"/>
      <c r="L549" s="45"/>
    </row>
    <row r="550" customFormat="false" ht="15" hidden="false" customHeight="false" outlineLevel="0" collapsed="false">
      <c r="C550" s="44"/>
      <c r="E550" s="44"/>
      <c r="F550" s="44"/>
      <c r="G550" s="48"/>
      <c r="H550" s="47"/>
      <c r="I550" s="47"/>
      <c r="J550" s="48"/>
      <c r="L550" s="45"/>
    </row>
    <row r="551" customFormat="false" ht="15" hidden="false" customHeight="false" outlineLevel="0" collapsed="false">
      <c r="C551" s="44"/>
      <c r="E551" s="44"/>
      <c r="F551" s="44"/>
      <c r="G551" s="48"/>
      <c r="H551" s="47"/>
      <c r="I551" s="47"/>
      <c r="J551" s="48"/>
      <c r="L551" s="45"/>
    </row>
    <row r="552" customFormat="false" ht="15" hidden="false" customHeight="false" outlineLevel="0" collapsed="false">
      <c r="C552" s="44"/>
      <c r="E552" s="44"/>
      <c r="F552" s="44"/>
      <c r="G552" s="48"/>
      <c r="H552" s="47"/>
      <c r="I552" s="47"/>
      <c r="J552" s="48"/>
      <c r="L552" s="45"/>
    </row>
    <row r="553" customFormat="false" ht="15" hidden="false" customHeight="false" outlineLevel="0" collapsed="false">
      <c r="C553" s="44"/>
      <c r="E553" s="44"/>
      <c r="F553" s="44"/>
      <c r="G553" s="48"/>
      <c r="H553" s="47"/>
      <c r="I553" s="47"/>
      <c r="J553" s="48"/>
      <c r="L553" s="45"/>
    </row>
    <row r="554" customFormat="false" ht="15" hidden="false" customHeight="false" outlineLevel="0" collapsed="false">
      <c r="C554" s="44"/>
      <c r="E554" s="44"/>
      <c r="F554" s="44"/>
      <c r="G554" s="48"/>
      <c r="H554" s="47"/>
      <c r="I554" s="47"/>
      <c r="J554" s="48"/>
      <c r="L554" s="45"/>
    </row>
    <row r="555" customFormat="false" ht="15" hidden="false" customHeight="false" outlineLevel="0" collapsed="false">
      <c r="C555" s="44"/>
      <c r="E555" s="44"/>
      <c r="F555" s="44"/>
      <c r="G555" s="48"/>
      <c r="H555" s="47"/>
      <c r="I555" s="47"/>
      <c r="J555" s="48"/>
      <c r="L555" s="45"/>
    </row>
    <row r="556" customFormat="false" ht="15" hidden="false" customHeight="false" outlineLevel="0" collapsed="false">
      <c r="C556" s="44"/>
      <c r="E556" s="44"/>
      <c r="F556" s="44"/>
      <c r="G556" s="48"/>
      <c r="H556" s="47"/>
      <c r="I556" s="47"/>
      <c r="J556" s="48"/>
      <c r="L556" s="45"/>
    </row>
    <row r="557" customFormat="false" ht="15" hidden="false" customHeight="false" outlineLevel="0" collapsed="false">
      <c r="C557" s="44"/>
      <c r="E557" s="44"/>
      <c r="F557" s="44"/>
      <c r="G557" s="48"/>
      <c r="H557" s="47"/>
      <c r="I557" s="47"/>
      <c r="J557" s="48"/>
      <c r="L557" s="45"/>
    </row>
    <row r="558" customFormat="false" ht="15" hidden="false" customHeight="false" outlineLevel="0" collapsed="false">
      <c r="C558" s="44"/>
      <c r="E558" s="44"/>
      <c r="F558" s="44"/>
      <c r="G558" s="48"/>
      <c r="H558" s="47"/>
      <c r="I558" s="47"/>
      <c r="J558" s="48"/>
      <c r="L558" s="45"/>
    </row>
    <row r="559" customFormat="false" ht="15" hidden="false" customHeight="false" outlineLevel="0" collapsed="false">
      <c r="C559" s="44"/>
      <c r="E559" s="44"/>
      <c r="F559" s="44"/>
      <c r="G559" s="48"/>
      <c r="H559" s="47"/>
      <c r="I559" s="47"/>
      <c r="J559" s="48"/>
      <c r="L559" s="45"/>
    </row>
    <row r="560" customFormat="false" ht="15" hidden="false" customHeight="false" outlineLevel="0" collapsed="false">
      <c r="C560" s="44"/>
      <c r="E560" s="44"/>
      <c r="F560" s="44"/>
      <c r="G560" s="48"/>
      <c r="H560" s="47"/>
      <c r="I560" s="47"/>
      <c r="J560" s="48"/>
      <c r="L560" s="45"/>
    </row>
    <row r="561" customFormat="false" ht="15" hidden="false" customHeight="false" outlineLevel="0" collapsed="false">
      <c r="C561" s="44"/>
      <c r="E561" s="44"/>
      <c r="F561" s="44"/>
      <c r="G561" s="48"/>
      <c r="H561" s="47"/>
      <c r="I561" s="47"/>
      <c r="J561" s="48"/>
      <c r="L561" s="45"/>
    </row>
    <row r="562" customFormat="false" ht="15" hidden="false" customHeight="false" outlineLevel="0" collapsed="false">
      <c r="C562" s="44"/>
      <c r="E562" s="44"/>
      <c r="F562" s="44"/>
      <c r="G562" s="48"/>
      <c r="H562" s="47"/>
      <c r="I562" s="47"/>
      <c r="J562" s="48"/>
      <c r="L562" s="45"/>
    </row>
    <row r="563" customFormat="false" ht="15" hidden="false" customHeight="false" outlineLevel="0" collapsed="false">
      <c r="C563" s="44"/>
      <c r="E563" s="44"/>
      <c r="F563" s="44"/>
      <c r="G563" s="48"/>
      <c r="H563" s="47"/>
      <c r="I563" s="47"/>
      <c r="J563" s="48"/>
      <c r="L563" s="45"/>
    </row>
    <row r="564" customFormat="false" ht="15" hidden="false" customHeight="false" outlineLevel="0" collapsed="false">
      <c r="C564" s="44"/>
      <c r="E564" s="44"/>
      <c r="F564" s="44"/>
      <c r="G564" s="48"/>
      <c r="H564" s="47"/>
      <c r="I564" s="47"/>
      <c r="J564" s="48"/>
      <c r="L564" s="45"/>
    </row>
    <row r="565" customFormat="false" ht="15" hidden="false" customHeight="false" outlineLevel="0" collapsed="false">
      <c r="C565" s="44"/>
      <c r="E565" s="44"/>
      <c r="F565" s="44"/>
      <c r="G565" s="48"/>
      <c r="H565" s="47"/>
      <c r="I565" s="47"/>
      <c r="J565" s="48"/>
      <c r="L565" s="45"/>
    </row>
    <row r="566" customFormat="false" ht="15" hidden="false" customHeight="false" outlineLevel="0" collapsed="false">
      <c r="C566" s="44"/>
      <c r="E566" s="44"/>
      <c r="F566" s="44"/>
      <c r="G566" s="48"/>
      <c r="H566" s="47"/>
      <c r="I566" s="47"/>
      <c r="J566" s="48"/>
      <c r="L566" s="45"/>
    </row>
    <row r="567" customFormat="false" ht="15" hidden="false" customHeight="false" outlineLevel="0" collapsed="false">
      <c r="C567" s="44"/>
      <c r="E567" s="44"/>
      <c r="F567" s="44"/>
      <c r="G567" s="48"/>
      <c r="H567" s="47"/>
      <c r="I567" s="47"/>
      <c r="J567" s="48"/>
      <c r="L567" s="45"/>
    </row>
    <row r="568" customFormat="false" ht="15" hidden="false" customHeight="false" outlineLevel="0" collapsed="false">
      <c r="C568" s="44"/>
      <c r="E568" s="44"/>
      <c r="F568" s="44"/>
      <c r="G568" s="48"/>
      <c r="H568" s="47"/>
      <c r="I568" s="47"/>
      <c r="J568" s="48"/>
      <c r="L568" s="45"/>
    </row>
    <row r="569" customFormat="false" ht="15" hidden="false" customHeight="false" outlineLevel="0" collapsed="false">
      <c r="C569" s="44"/>
      <c r="E569" s="44"/>
      <c r="F569" s="44"/>
      <c r="G569" s="48"/>
      <c r="H569" s="47"/>
      <c r="I569" s="47"/>
      <c r="J569" s="48"/>
      <c r="L569" s="45"/>
    </row>
    <row r="570" customFormat="false" ht="15" hidden="false" customHeight="false" outlineLevel="0" collapsed="false">
      <c r="C570" s="44"/>
      <c r="E570" s="44"/>
      <c r="F570" s="44"/>
      <c r="G570" s="48"/>
      <c r="H570" s="47"/>
      <c r="I570" s="47"/>
      <c r="J570" s="48"/>
      <c r="L570" s="45"/>
    </row>
    <row r="571" customFormat="false" ht="15" hidden="false" customHeight="false" outlineLevel="0" collapsed="false">
      <c r="C571" s="44"/>
      <c r="E571" s="44"/>
      <c r="F571" s="44"/>
      <c r="G571" s="48"/>
      <c r="H571" s="47"/>
      <c r="I571" s="47"/>
      <c r="J571" s="48"/>
      <c r="L571" s="45"/>
    </row>
    <row r="572" customFormat="false" ht="15" hidden="false" customHeight="false" outlineLevel="0" collapsed="false">
      <c r="C572" s="44"/>
      <c r="E572" s="44"/>
      <c r="F572" s="44"/>
      <c r="G572" s="48"/>
      <c r="H572" s="47"/>
      <c r="I572" s="47"/>
      <c r="J572" s="48"/>
      <c r="L572" s="45"/>
    </row>
    <row r="573" customFormat="false" ht="15" hidden="false" customHeight="false" outlineLevel="0" collapsed="false">
      <c r="C573" s="44"/>
      <c r="E573" s="44"/>
      <c r="F573" s="44"/>
      <c r="G573" s="48"/>
      <c r="H573" s="47"/>
      <c r="I573" s="47"/>
      <c r="J573" s="48"/>
      <c r="L573" s="45"/>
    </row>
    <row r="574" customFormat="false" ht="15" hidden="false" customHeight="false" outlineLevel="0" collapsed="false">
      <c r="C574" s="44"/>
      <c r="E574" s="44"/>
      <c r="F574" s="44"/>
      <c r="G574" s="48"/>
      <c r="H574" s="47"/>
      <c r="I574" s="47"/>
      <c r="J574" s="48"/>
      <c r="L574" s="45"/>
    </row>
    <row r="575" customFormat="false" ht="15" hidden="false" customHeight="false" outlineLevel="0" collapsed="false">
      <c r="C575" s="44"/>
      <c r="E575" s="44"/>
      <c r="F575" s="44"/>
      <c r="G575" s="48"/>
      <c r="H575" s="47"/>
      <c r="I575" s="47"/>
      <c r="J575" s="48"/>
      <c r="L575" s="45"/>
    </row>
    <row r="576" customFormat="false" ht="15" hidden="false" customHeight="false" outlineLevel="0" collapsed="false">
      <c r="C576" s="44"/>
      <c r="E576" s="44"/>
      <c r="F576" s="44"/>
      <c r="G576" s="48"/>
      <c r="H576" s="47"/>
      <c r="I576" s="47"/>
      <c r="J576" s="48"/>
      <c r="L576" s="45"/>
    </row>
    <row r="577" customFormat="false" ht="15" hidden="false" customHeight="false" outlineLevel="0" collapsed="false">
      <c r="C577" s="44"/>
      <c r="E577" s="44"/>
      <c r="F577" s="44"/>
      <c r="G577" s="48"/>
      <c r="H577" s="47"/>
      <c r="I577" s="47"/>
      <c r="J577" s="48"/>
      <c r="L577" s="45"/>
    </row>
    <row r="578" customFormat="false" ht="15" hidden="false" customHeight="false" outlineLevel="0" collapsed="false">
      <c r="C578" s="44"/>
      <c r="E578" s="44"/>
      <c r="F578" s="44"/>
      <c r="G578" s="48"/>
      <c r="H578" s="47"/>
      <c r="I578" s="47"/>
      <c r="J578" s="48"/>
      <c r="L578" s="45"/>
    </row>
    <row r="579" customFormat="false" ht="15" hidden="false" customHeight="false" outlineLevel="0" collapsed="false">
      <c r="C579" s="44"/>
      <c r="E579" s="44"/>
      <c r="F579" s="44"/>
      <c r="G579" s="48"/>
      <c r="H579" s="47"/>
      <c r="I579" s="47"/>
      <c r="J579" s="48"/>
      <c r="L579" s="45"/>
    </row>
    <row r="580" customFormat="false" ht="15" hidden="false" customHeight="false" outlineLevel="0" collapsed="false">
      <c r="C580" s="44"/>
      <c r="E580" s="44"/>
      <c r="F580" s="44"/>
      <c r="G580" s="48"/>
      <c r="H580" s="47"/>
      <c r="I580" s="47"/>
      <c r="J580" s="48"/>
      <c r="L580" s="45"/>
    </row>
    <row r="581" customFormat="false" ht="15" hidden="false" customHeight="false" outlineLevel="0" collapsed="false">
      <c r="C581" s="44"/>
      <c r="E581" s="44"/>
      <c r="F581" s="44"/>
      <c r="G581" s="48"/>
      <c r="H581" s="47"/>
      <c r="I581" s="47"/>
      <c r="J581" s="48"/>
      <c r="L581" s="45"/>
    </row>
    <row r="582" customFormat="false" ht="15" hidden="false" customHeight="false" outlineLevel="0" collapsed="false">
      <c r="C582" s="44"/>
      <c r="E582" s="44"/>
      <c r="F582" s="44"/>
      <c r="G582" s="48"/>
      <c r="H582" s="47"/>
      <c r="I582" s="47"/>
      <c r="J582" s="48"/>
      <c r="L582" s="45"/>
    </row>
    <row r="583" customFormat="false" ht="15" hidden="false" customHeight="false" outlineLevel="0" collapsed="false">
      <c r="C583" s="44"/>
      <c r="E583" s="44"/>
      <c r="F583" s="44"/>
      <c r="G583" s="48"/>
      <c r="H583" s="47"/>
      <c r="I583" s="47"/>
      <c r="J583" s="48"/>
      <c r="L583" s="45"/>
    </row>
    <row r="584" customFormat="false" ht="15" hidden="false" customHeight="false" outlineLevel="0" collapsed="false">
      <c r="C584" s="44"/>
      <c r="E584" s="44"/>
      <c r="F584" s="44"/>
      <c r="G584" s="48"/>
      <c r="H584" s="47"/>
      <c r="I584" s="47"/>
      <c r="J584" s="48"/>
      <c r="L584" s="45"/>
    </row>
    <row r="585" customFormat="false" ht="15" hidden="false" customHeight="false" outlineLevel="0" collapsed="false">
      <c r="C585" s="44"/>
      <c r="E585" s="44"/>
      <c r="F585" s="44"/>
      <c r="G585" s="48"/>
      <c r="H585" s="47"/>
      <c r="I585" s="47"/>
      <c r="J585" s="48"/>
      <c r="L585" s="45"/>
    </row>
    <row r="586" customFormat="false" ht="15" hidden="false" customHeight="false" outlineLevel="0" collapsed="false">
      <c r="C586" s="44"/>
      <c r="E586" s="44"/>
      <c r="F586" s="44"/>
      <c r="G586" s="48"/>
      <c r="H586" s="47"/>
      <c r="I586" s="47"/>
      <c r="J586" s="48"/>
      <c r="L586" s="45"/>
    </row>
    <row r="587" customFormat="false" ht="15" hidden="false" customHeight="false" outlineLevel="0" collapsed="false">
      <c r="C587" s="44"/>
      <c r="E587" s="44"/>
      <c r="F587" s="44"/>
      <c r="G587" s="48"/>
      <c r="H587" s="47"/>
      <c r="I587" s="47"/>
      <c r="J587" s="48"/>
      <c r="L587" s="45"/>
    </row>
    <row r="588" customFormat="false" ht="15" hidden="false" customHeight="false" outlineLevel="0" collapsed="false">
      <c r="C588" s="44"/>
      <c r="E588" s="44"/>
      <c r="F588" s="44"/>
      <c r="G588" s="48"/>
      <c r="H588" s="47"/>
      <c r="I588" s="47"/>
      <c r="J588" s="48"/>
      <c r="L588" s="45"/>
    </row>
    <row r="589" customFormat="false" ht="15" hidden="false" customHeight="false" outlineLevel="0" collapsed="false">
      <c r="C589" s="44"/>
      <c r="E589" s="44"/>
      <c r="F589" s="44"/>
      <c r="G589" s="48"/>
      <c r="H589" s="47"/>
      <c r="I589" s="47"/>
      <c r="J589" s="48"/>
      <c r="L589" s="45"/>
    </row>
    <row r="590" customFormat="false" ht="15" hidden="false" customHeight="false" outlineLevel="0" collapsed="false">
      <c r="C590" s="44"/>
      <c r="E590" s="44"/>
      <c r="F590" s="44"/>
      <c r="G590" s="48"/>
      <c r="H590" s="47"/>
      <c r="I590" s="47"/>
      <c r="J590" s="48"/>
      <c r="L590" s="45"/>
    </row>
    <row r="591" customFormat="false" ht="15" hidden="false" customHeight="false" outlineLevel="0" collapsed="false">
      <c r="C591" s="44"/>
      <c r="E591" s="44"/>
      <c r="F591" s="44"/>
      <c r="G591" s="48"/>
      <c r="H591" s="47"/>
      <c r="I591" s="47"/>
      <c r="J591" s="48"/>
      <c r="L591" s="45"/>
    </row>
    <row r="592" customFormat="false" ht="15" hidden="false" customHeight="false" outlineLevel="0" collapsed="false">
      <c r="C592" s="44"/>
      <c r="E592" s="44"/>
      <c r="F592" s="44"/>
      <c r="G592" s="48"/>
      <c r="H592" s="47"/>
      <c r="I592" s="47"/>
      <c r="J592" s="48"/>
      <c r="L592" s="45"/>
    </row>
    <row r="593" customFormat="false" ht="15" hidden="false" customHeight="false" outlineLevel="0" collapsed="false">
      <c r="C593" s="44"/>
      <c r="E593" s="44"/>
      <c r="F593" s="44"/>
      <c r="G593" s="48"/>
      <c r="H593" s="47"/>
      <c r="I593" s="47"/>
      <c r="J593" s="48"/>
      <c r="L593" s="45"/>
    </row>
    <row r="594" customFormat="false" ht="15" hidden="false" customHeight="false" outlineLevel="0" collapsed="false">
      <c r="C594" s="44"/>
      <c r="E594" s="44"/>
      <c r="F594" s="44"/>
      <c r="G594" s="48"/>
      <c r="H594" s="47"/>
      <c r="I594" s="47"/>
      <c r="J594" s="48"/>
      <c r="L594" s="45"/>
    </row>
    <row r="595" customFormat="false" ht="15" hidden="false" customHeight="false" outlineLevel="0" collapsed="false">
      <c r="C595" s="44"/>
      <c r="E595" s="44"/>
      <c r="F595" s="44"/>
      <c r="G595" s="48"/>
      <c r="H595" s="47"/>
      <c r="I595" s="47"/>
      <c r="J595" s="48"/>
      <c r="L595" s="45"/>
    </row>
    <row r="596" customFormat="false" ht="15" hidden="false" customHeight="false" outlineLevel="0" collapsed="false">
      <c r="C596" s="44"/>
      <c r="E596" s="44"/>
      <c r="F596" s="44"/>
      <c r="G596" s="48"/>
      <c r="H596" s="47"/>
      <c r="I596" s="47"/>
      <c r="J596" s="48"/>
      <c r="L596" s="45"/>
    </row>
    <row r="597" customFormat="false" ht="15" hidden="false" customHeight="false" outlineLevel="0" collapsed="false">
      <c r="C597" s="44"/>
      <c r="E597" s="44"/>
      <c r="F597" s="44"/>
      <c r="G597" s="48"/>
      <c r="H597" s="47"/>
      <c r="I597" s="47"/>
      <c r="J597" s="48"/>
      <c r="L597" s="45"/>
    </row>
    <row r="598" customFormat="false" ht="15" hidden="false" customHeight="false" outlineLevel="0" collapsed="false">
      <c r="C598" s="44"/>
      <c r="E598" s="44"/>
      <c r="F598" s="44"/>
      <c r="G598" s="48"/>
      <c r="H598" s="47"/>
      <c r="I598" s="47"/>
      <c r="J598" s="48"/>
      <c r="L598" s="45"/>
    </row>
    <row r="599" customFormat="false" ht="15" hidden="false" customHeight="false" outlineLevel="0" collapsed="false">
      <c r="C599" s="44"/>
      <c r="E599" s="44"/>
      <c r="F599" s="44"/>
      <c r="G599" s="48"/>
      <c r="H599" s="47"/>
      <c r="I599" s="47"/>
      <c r="J599" s="48"/>
      <c r="L599" s="45"/>
    </row>
    <row r="600" customFormat="false" ht="15" hidden="false" customHeight="false" outlineLevel="0" collapsed="false">
      <c r="C600" s="44"/>
      <c r="E600" s="44"/>
      <c r="F600" s="44"/>
      <c r="G600" s="48"/>
      <c r="H600" s="47"/>
      <c r="I600" s="47"/>
      <c r="J600" s="48"/>
      <c r="L600" s="45"/>
    </row>
    <row r="601" customFormat="false" ht="15" hidden="false" customHeight="false" outlineLevel="0" collapsed="false">
      <c r="C601" s="44"/>
      <c r="E601" s="44"/>
      <c r="F601" s="44"/>
      <c r="G601" s="48"/>
      <c r="H601" s="47"/>
      <c r="I601" s="47"/>
      <c r="J601" s="48"/>
      <c r="L601" s="45"/>
    </row>
    <row r="602" customFormat="false" ht="15" hidden="false" customHeight="false" outlineLevel="0" collapsed="false">
      <c r="C602" s="44"/>
      <c r="E602" s="44"/>
      <c r="F602" s="44"/>
      <c r="G602" s="48"/>
      <c r="H602" s="47"/>
      <c r="I602" s="47"/>
      <c r="J602" s="48"/>
      <c r="L602" s="45"/>
    </row>
    <row r="603" customFormat="false" ht="15" hidden="false" customHeight="false" outlineLevel="0" collapsed="false">
      <c r="C603" s="44"/>
      <c r="E603" s="44"/>
      <c r="F603" s="44"/>
      <c r="G603" s="48"/>
      <c r="H603" s="47"/>
      <c r="I603" s="47"/>
      <c r="J603" s="48"/>
      <c r="L603" s="45"/>
    </row>
    <row r="604" customFormat="false" ht="15" hidden="false" customHeight="false" outlineLevel="0" collapsed="false">
      <c r="C604" s="44"/>
      <c r="E604" s="44"/>
      <c r="F604" s="44"/>
      <c r="G604" s="48"/>
      <c r="H604" s="47"/>
      <c r="I604" s="47"/>
      <c r="J604" s="48"/>
      <c r="L604" s="45"/>
    </row>
    <row r="605" customFormat="false" ht="15" hidden="false" customHeight="false" outlineLevel="0" collapsed="false">
      <c r="C605" s="44"/>
      <c r="E605" s="44"/>
      <c r="F605" s="44"/>
      <c r="G605" s="48"/>
      <c r="H605" s="47"/>
      <c r="I605" s="47"/>
      <c r="J605" s="48"/>
      <c r="L605" s="45"/>
    </row>
    <row r="606" customFormat="false" ht="15" hidden="false" customHeight="false" outlineLevel="0" collapsed="false">
      <c r="C606" s="44"/>
      <c r="E606" s="44"/>
      <c r="F606" s="44"/>
      <c r="G606" s="48"/>
      <c r="H606" s="47"/>
      <c r="I606" s="47"/>
      <c r="J606" s="48"/>
      <c r="L606" s="45"/>
    </row>
    <row r="607" customFormat="false" ht="15" hidden="false" customHeight="false" outlineLevel="0" collapsed="false">
      <c r="C607" s="44"/>
      <c r="E607" s="44"/>
      <c r="F607" s="44"/>
      <c r="G607" s="48"/>
      <c r="H607" s="47"/>
      <c r="I607" s="47"/>
      <c r="J607" s="48"/>
      <c r="L607" s="45"/>
    </row>
    <row r="608" customFormat="false" ht="15" hidden="false" customHeight="false" outlineLevel="0" collapsed="false">
      <c r="C608" s="44"/>
      <c r="E608" s="44"/>
      <c r="F608" s="44"/>
      <c r="G608" s="48"/>
      <c r="H608" s="47"/>
      <c r="I608" s="47"/>
      <c r="J608" s="48"/>
      <c r="L608" s="45"/>
    </row>
    <row r="609" customFormat="false" ht="15" hidden="false" customHeight="false" outlineLevel="0" collapsed="false">
      <c r="C609" s="44"/>
      <c r="E609" s="44"/>
      <c r="F609" s="44"/>
      <c r="G609" s="48"/>
      <c r="H609" s="47"/>
      <c r="I609" s="47"/>
      <c r="J609" s="48"/>
      <c r="L609" s="45"/>
    </row>
    <row r="610" customFormat="false" ht="15" hidden="false" customHeight="false" outlineLevel="0" collapsed="false">
      <c r="C610" s="44"/>
      <c r="E610" s="44"/>
      <c r="F610" s="44"/>
      <c r="G610" s="48"/>
      <c r="H610" s="47"/>
      <c r="I610" s="47"/>
      <c r="J610" s="48"/>
      <c r="L610" s="45"/>
    </row>
    <row r="611" customFormat="false" ht="15" hidden="false" customHeight="false" outlineLevel="0" collapsed="false">
      <c r="C611" s="44"/>
      <c r="E611" s="44"/>
      <c r="F611" s="44"/>
      <c r="G611" s="48"/>
      <c r="H611" s="47"/>
      <c r="I611" s="47"/>
      <c r="J611" s="48"/>
      <c r="L611" s="45"/>
    </row>
    <row r="612" customFormat="false" ht="15" hidden="false" customHeight="false" outlineLevel="0" collapsed="false">
      <c r="C612" s="44"/>
      <c r="E612" s="44"/>
      <c r="F612" s="44"/>
      <c r="G612" s="48"/>
      <c r="H612" s="47"/>
      <c r="I612" s="47"/>
      <c r="J612" s="48"/>
      <c r="L612" s="45"/>
    </row>
    <row r="613" customFormat="false" ht="15" hidden="false" customHeight="false" outlineLevel="0" collapsed="false">
      <c r="C613" s="44"/>
      <c r="E613" s="44"/>
      <c r="F613" s="44"/>
      <c r="G613" s="48"/>
      <c r="H613" s="47"/>
      <c r="I613" s="47"/>
      <c r="J613" s="48"/>
      <c r="L613" s="45"/>
    </row>
    <row r="614" customFormat="false" ht="15" hidden="false" customHeight="false" outlineLevel="0" collapsed="false">
      <c r="C614" s="44"/>
      <c r="E614" s="44"/>
      <c r="F614" s="44"/>
      <c r="G614" s="48"/>
      <c r="H614" s="47"/>
      <c r="I614" s="47"/>
      <c r="J614" s="48"/>
      <c r="L614" s="45"/>
    </row>
    <row r="615" customFormat="false" ht="15" hidden="false" customHeight="false" outlineLevel="0" collapsed="false">
      <c r="C615" s="44"/>
      <c r="E615" s="44"/>
      <c r="F615" s="44"/>
      <c r="G615" s="48"/>
      <c r="H615" s="47"/>
      <c r="I615" s="47"/>
      <c r="J615" s="48"/>
      <c r="L615" s="45"/>
    </row>
    <row r="616" customFormat="false" ht="15" hidden="false" customHeight="false" outlineLevel="0" collapsed="false">
      <c r="C616" s="44"/>
      <c r="E616" s="44"/>
      <c r="F616" s="44"/>
      <c r="G616" s="48"/>
      <c r="H616" s="47"/>
      <c r="I616" s="47"/>
      <c r="J616" s="48"/>
      <c r="L616" s="45"/>
    </row>
    <row r="617" customFormat="false" ht="15" hidden="false" customHeight="false" outlineLevel="0" collapsed="false">
      <c r="C617" s="44"/>
      <c r="E617" s="44"/>
      <c r="F617" s="44"/>
      <c r="G617" s="48"/>
      <c r="H617" s="47"/>
      <c r="I617" s="47"/>
      <c r="J617" s="48"/>
      <c r="L617" s="45"/>
    </row>
    <row r="618" customFormat="false" ht="15" hidden="false" customHeight="false" outlineLevel="0" collapsed="false">
      <c r="C618" s="44"/>
      <c r="E618" s="44"/>
      <c r="F618" s="44"/>
      <c r="G618" s="48"/>
      <c r="H618" s="47"/>
      <c r="I618" s="47"/>
      <c r="J618" s="48"/>
      <c r="L618" s="45"/>
    </row>
    <row r="619" customFormat="false" ht="15" hidden="false" customHeight="false" outlineLevel="0" collapsed="false">
      <c r="C619" s="44"/>
      <c r="E619" s="44"/>
      <c r="F619" s="44"/>
      <c r="G619" s="48"/>
      <c r="H619" s="47"/>
      <c r="I619" s="47"/>
      <c r="J619" s="48"/>
      <c r="L619" s="45"/>
    </row>
    <row r="620" customFormat="false" ht="15" hidden="false" customHeight="false" outlineLevel="0" collapsed="false">
      <c r="C620" s="44"/>
      <c r="E620" s="44"/>
      <c r="F620" s="44"/>
      <c r="G620" s="48"/>
      <c r="H620" s="47"/>
      <c r="I620" s="47"/>
      <c r="J620" s="48"/>
      <c r="L620" s="45"/>
    </row>
    <row r="621" customFormat="false" ht="15" hidden="false" customHeight="false" outlineLevel="0" collapsed="false">
      <c r="C621" s="44"/>
      <c r="E621" s="44"/>
      <c r="F621" s="44"/>
      <c r="G621" s="48"/>
      <c r="H621" s="47"/>
      <c r="I621" s="47"/>
      <c r="J621" s="48"/>
      <c r="L621" s="45"/>
    </row>
    <row r="622" customFormat="false" ht="15" hidden="false" customHeight="false" outlineLevel="0" collapsed="false">
      <c r="C622" s="44"/>
      <c r="E622" s="44"/>
      <c r="F622" s="44"/>
      <c r="G622" s="48"/>
      <c r="H622" s="47"/>
      <c r="I622" s="47"/>
      <c r="J622" s="48"/>
      <c r="L622" s="45"/>
    </row>
    <row r="623" customFormat="false" ht="15" hidden="false" customHeight="false" outlineLevel="0" collapsed="false">
      <c r="C623" s="44"/>
      <c r="E623" s="44"/>
      <c r="F623" s="44"/>
      <c r="G623" s="48"/>
      <c r="H623" s="47"/>
      <c r="I623" s="47"/>
      <c r="J623" s="48"/>
      <c r="L623" s="45"/>
    </row>
    <row r="624" customFormat="false" ht="15" hidden="false" customHeight="false" outlineLevel="0" collapsed="false">
      <c r="C624" s="44"/>
      <c r="E624" s="44"/>
      <c r="F624" s="44"/>
      <c r="G624" s="48"/>
      <c r="H624" s="47"/>
      <c r="I624" s="47"/>
      <c r="J624" s="48"/>
      <c r="L624" s="45"/>
    </row>
    <row r="625" customFormat="false" ht="15" hidden="false" customHeight="false" outlineLevel="0" collapsed="false">
      <c r="C625" s="44"/>
      <c r="E625" s="44"/>
      <c r="F625" s="44"/>
      <c r="G625" s="48"/>
      <c r="H625" s="47"/>
      <c r="I625" s="47"/>
      <c r="J625" s="48"/>
      <c r="L625" s="45"/>
    </row>
    <row r="626" customFormat="false" ht="15" hidden="false" customHeight="false" outlineLevel="0" collapsed="false">
      <c r="C626" s="44"/>
      <c r="E626" s="44"/>
      <c r="F626" s="44"/>
      <c r="G626" s="48"/>
      <c r="H626" s="47"/>
      <c r="I626" s="47"/>
      <c r="J626" s="48"/>
      <c r="L626" s="45"/>
    </row>
    <row r="627" customFormat="false" ht="15" hidden="false" customHeight="false" outlineLevel="0" collapsed="false">
      <c r="C627" s="44"/>
      <c r="E627" s="44"/>
      <c r="F627" s="44"/>
      <c r="G627" s="48"/>
      <c r="H627" s="47"/>
      <c r="I627" s="47"/>
      <c r="J627" s="48"/>
      <c r="L627" s="45"/>
    </row>
    <row r="628" customFormat="false" ht="15" hidden="false" customHeight="false" outlineLevel="0" collapsed="false">
      <c r="C628" s="44"/>
      <c r="E628" s="44"/>
      <c r="F628" s="44"/>
      <c r="G628" s="48"/>
      <c r="H628" s="47"/>
      <c r="I628" s="47"/>
      <c r="J628" s="48"/>
      <c r="L628" s="45"/>
    </row>
    <row r="629" customFormat="false" ht="15" hidden="false" customHeight="false" outlineLevel="0" collapsed="false">
      <c r="C629" s="44"/>
      <c r="E629" s="44"/>
      <c r="F629" s="44"/>
      <c r="G629" s="48"/>
      <c r="H629" s="47"/>
      <c r="I629" s="47"/>
      <c r="J629" s="48"/>
      <c r="L629" s="45"/>
    </row>
    <row r="630" customFormat="false" ht="15" hidden="false" customHeight="false" outlineLevel="0" collapsed="false">
      <c r="C630" s="44"/>
      <c r="E630" s="44"/>
      <c r="F630" s="44"/>
      <c r="G630" s="48"/>
      <c r="H630" s="47"/>
      <c r="I630" s="47"/>
      <c r="J630" s="48"/>
      <c r="L630" s="45"/>
    </row>
    <row r="631" customFormat="false" ht="15" hidden="false" customHeight="false" outlineLevel="0" collapsed="false">
      <c r="C631" s="44"/>
      <c r="E631" s="44"/>
      <c r="F631" s="44"/>
      <c r="G631" s="48"/>
      <c r="H631" s="47"/>
      <c r="I631" s="47"/>
      <c r="J631" s="48"/>
      <c r="L631" s="45"/>
    </row>
    <row r="632" customFormat="false" ht="15" hidden="false" customHeight="false" outlineLevel="0" collapsed="false">
      <c r="C632" s="44"/>
      <c r="E632" s="44"/>
      <c r="F632" s="44"/>
      <c r="G632" s="48"/>
      <c r="H632" s="47"/>
      <c r="I632" s="47"/>
      <c r="J632" s="48"/>
      <c r="L632" s="45"/>
    </row>
    <row r="633" customFormat="false" ht="15" hidden="false" customHeight="false" outlineLevel="0" collapsed="false">
      <c r="C633" s="44"/>
      <c r="E633" s="44"/>
      <c r="F633" s="44"/>
      <c r="G633" s="48"/>
      <c r="H633" s="47"/>
      <c r="I633" s="47"/>
      <c r="J633" s="48"/>
      <c r="L633" s="45"/>
    </row>
    <row r="634" customFormat="false" ht="15" hidden="false" customHeight="false" outlineLevel="0" collapsed="false">
      <c r="C634" s="44"/>
      <c r="E634" s="44"/>
      <c r="F634" s="44"/>
      <c r="G634" s="48"/>
      <c r="H634" s="47"/>
      <c r="I634" s="47"/>
      <c r="J634" s="48"/>
      <c r="L634" s="45"/>
    </row>
    <row r="635" customFormat="false" ht="15" hidden="false" customHeight="false" outlineLevel="0" collapsed="false">
      <c r="C635" s="44"/>
      <c r="E635" s="44"/>
      <c r="F635" s="44"/>
      <c r="G635" s="48"/>
      <c r="H635" s="47"/>
      <c r="I635" s="47"/>
      <c r="J635" s="48"/>
      <c r="L635" s="45"/>
    </row>
    <row r="636" customFormat="false" ht="15" hidden="false" customHeight="false" outlineLevel="0" collapsed="false">
      <c r="C636" s="44"/>
      <c r="E636" s="44"/>
      <c r="F636" s="44"/>
      <c r="G636" s="48"/>
      <c r="H636" s="47"/>
      <c r="I636" s="47"/>
      <c r="J636" s="48"/>
      <c r="L636" s="45"/>
    </row>
    <row r="637" customFormat="false" ht="15" hidden="false" customHeight="false" outlineLevel="0" collapsed="false">
      <c r="C637" s="44"/>
      <c r="E637" s="44"/>
      <c r="F637" s="44"/>
      <c r="G637" s="48"/>
      <c r="H637" s="47"/>
      <c r="I637" s="47"/>
      <c r="J637" s="48"/>
      <c r="L637" s="45"/>
    </row>
    <row r="638" customFormat="false" ht="15" hidden="false" customHeight="false" outlineLevel="0" collapsed="false">
      <c r="C638" s="44"/>
      <c r="E638" s="44"/>
      <c r="F638" s="44"/>
      <c r="G638" s="48"/>
      <c r="H638" s="47"/>
      <c r="I638" s="47"/>
      <c r="J638" s="48"/>
      <c r="L638" s="45"/>
    </row>
    <row r="639" customFormat="false" ht="15" hidden="false" customHeight="false" outlineLevel="0" collapsed="false">
      <c r="C639" s="44"/>
      <c r="E639" s="44"/>
      <c r="F639" s="44"/>
      <c r="G639" s="48"/>
      <c r="H639" s="47"/>
      <c r="I639" s="47"/>
      <c r="J639" s="48"/>
      <c r="L639" s="45"/>
    </row>
    <row r="640" customFormat="false" ht="15" hidden="false" customHeight="false" outlineLevel="0" collapsed="false">
      <c r="C640" s="44"/>
      <c r="E640" s="44"/>
      <c r="F640" s="44"/>
      <c r="G640" s="48"/>
      <c r="H640" s="47"/>
      <c r="I640" s="47"/>
      <c r="J640" s="48"/>
      <c r="L640" s="45"/>
    </row>
    <row r="641" customFormat="false" ht="15" hidden="false" customHeight="false" outlineLevel="0" collapsed="false">
      <c r="C641" s="44"/>
      <c r="E641" s="44"/>
      <c r="F641" s="44"/>
      <c r="G641" s="48"/>
      <c r="H641" s="47"/>
      <c r="I641" s="47"/>
      <c r="J641" s="48"/>
      <c r="L641" s="45"/>
    </row>
    <row r="642" customFormat="false" ht="15" hidden="false" customHeight="false" outlineLevel="0" collapsed="false">
      <c r="C642" s="44"/>
      <c r="E642" s="44"/>
      <c r="F642" s="44"/>
      <c r="G642" s="48"/>
      <c r="H642" s="47"/>
      <c r="I642" s="47"/>
      <c r="J642" s="48"/>
      <c r="L642" s="45"/>
    </row>
    <row r="643" customFormat="false" ht="15" hidden="false" customHeight="false" outlineLevel="0" collapsed="false">
      <c r="C643" s="44"/>
      <c r="E643" s="44"/>
      <c r="F643" s="44"/>
      <c r="G643" s="48"/>
      <c r="H643" s="47"/>
      <c r="I643" s="47"/>
      <c r="J643" s="48"/>
      <c r="L643" s="45"/>
    </row>
    <row r="644" customFormat="false" ht="15" hidden="false" customHeight="false" outlineLevel="0" collapsed="false">
      <c r="C644" s="44"/>
      <c r="E644" s="44"/>
      <c r="F644" s="44"/>
      <c r="G644" s="48"/>
      <c r="H644" s="47"/>
      <c r="I644" s="47"/>
      <c r="J644" s="48"/>
      <c r="L644" s="45"/>
    </row>
    <row r="645" customFormat="false" ht="15" hidden="false" customHeight="false" outlineLevel="0" collapsed="false">
      <c r="C645" s="44"/>
      <c r="E645" s="44"/>
      <c r="F645" s="44"/>
      <c r="G645" s="48"/>
      <c r="H645" s="47"/>
      <c r="I645" s="47"/>
      <c r="J645" s="48"/>
      <c r="L645" s="45"/>
    </row>
    <row r="646" customFormat="false" ht="15" hidden="false" customHeight="false" outlineLevel="0" collapsed="false">
      <c r="C646" s="44"/>
      <c r="E646" s="44"/>
      <c r="F646" s="44"/>
      <c r="G646" s="48"/>
      <c r="H646" s="47"/>
      <c r="I646" s="47"/>
      <c r="J646" s="48"/>
      <c r="L646" s="45"/>
    </row>
    <row r="647" customFormat="false" ht="15" hidden="false" customHeight="false" outlineLevel="0" collapsed="false">
      <c r="C647" s="44"/>
      <c r="E647" s="44"/>
      <c r="F647" s="44"/>
      <c r="G647" s="48"/>
      <c r="H647" s="47"/>
      <c r="I647" s="47"/>
      <c r="J647" s="48"/>
      <c r="L647" s="45"/>
    </row>
    <row r="648" customFormat="false" ht="15" hidden="false" customHeight="false" outlineLevel="0" collapsed="false">
      <c r="C648" s="44"/>
      <c r="E648" s="44"/>
      <c r="F648" s="44"/>
      <c r="G648" s="48"/>
      <c r="H648" s="47"/>
      <c r="I648" s="47"/>
      <c r="J648" s="48"/>
      <c r="L648" s="45"/>
    </row>
    <row r="649" customFormat="false" ht="15" hidden="false" customHeight="false" outlineLevel="0" collapsed="false">
      <c r="C649" s="44"/>
      <c r="E649" s="44"/>
      <c r="F649" s="44"/>
      <c r="G649" s="48"/>
      <c r="H649" s="47"/>
      <c r="I649" s="47"/>
      <c r="J649" s="48"/>
      <c r="L649" s="45"/>
    </row>
    <row r="650" customFormat="false" ht="15" hidden="false" customHeight="false" outlineLevel="0" collapsed="false">
      <c r="C650" s="44"/>
      <c r="E650" s="44"/>
      <c r="F650" s="44"/>
      <c r="G650" s="48"/>
      <c r="H650" s="47"/>
      <c r="I650" s="47"/>
      <c r="J650" s="48"/>
      <c r="L650" s="45"/>
    </row>
    <row r="651" customFormat="false" ht="15" hidden="false" customHeight="false" outlineLevel="0" collapsed="false">
      <c r="C651" s="44"/>
      <c r="E651" s="44"/>
      <c r="F651" s="44"/>
      <c r="G651" s="48"/>
      <c r="H651" s="47"/>
      <c r="I651" s="47"/>
      <c r="J651" s="48"/>
      <c r="L651" s="45"/>
    </row>
    <row r="652" customFormat="false" ht="15" hidden="false" customHeight="false" outlineLevel="0" collapsed="false">
      <c r="C652" s="44"/>
      <c r="E652" s="44"/>
      <c r="F652" s="44"/>
      <c r="G652" s="48"/>
      <c r="H652" s="47"/>
      <c r="I652" s="47"/>
      <c r="J652" s="48"/>
      <c r="L652" s="45"/>
    </row>
    <row r="653" customFormat="false" ht="15" hidden="false" customHeight="false" outlineLevel="0" collapsed="false">
      <c r="C653" s="44"/>
      <c r="E653" s="44"/>
      <c r="F653" s="44"/>
      <c r="G653" s="48"/>
      <c r="H653" s="47"/>
      <c r="I653" s="47"/>
      <c r="J653" s="48"/>
      <c r="L653" s="45"/>
    </row>
    <row r="654" customFormat="false" ht="15" hidden="false" customHeight="false" outlineLevel="0" collapsed="false">
      <c r="C654" s="44"/>
      <c r="E654" s="44"/>
      <c r="F654" s="44"/>
      <c r="G654" s="48"/>
      <c r="H654" s="47"/>
      <c r="I654" s="47"/>
      <c r="J654" s="48"/>
      <c r="L654" s="45"/>
    </row>
    <row r="655" customFormat="false" ht="15" hidden="false" customHeight="false" outlineLevel="0" collapsed="false">
      <c r="C655" s="44"/>
      <c r="E655" s="44"/>
      <c r="F655" s="44"/>
      <c r="G655" s="48"/>
      <c r="H655" s="47"/>
      <c r="I655" s="47"/>
      <c r="J655" s="48"/>
      <c r="L655" s="45"/>
    </row>
    <row r="656" customFormat="false" ht="15" hidden="false" customHeight="false" outlineLevel="0" collapsed="false">
      <c r="C656" s="44"/>
      <c r="E656" s="44"/>
      <c r="F656" s="44"/>
      <c r="G656" s="48"/>
      <c r="H656" s="47"/>
      <c r="I656" s="47"/>
      <c r="J656" s="48"/>
      <c r="L656" s="45"/>
    </row>
    <row r="657" customFormat="false" ht="15" hidden="false" customHeight="false" outlineLevel="0" collapsed="false">
      <c r="C657" s="44"/>
      <c r="E657" s="44"/>
      <c r="F657" s="44"/>
      <c r="G657" s="48"/>
      <c r="H657" s="47"/>
      <c r="I657" s="47"/>
      <c r="J657" s="48"/>
      <c r="L657" s="45"/>
    </row>
    <row r="658" customFormat="false" ht="15" hidden="false" customHeight="false" outlineLevel="0" collapsed="false">
      <c r="C658" s="44"/>
      <c r="E658" s="44"/>
      <c r="F658" s="44"/>
      <c r="G658" s="48"/>
      <c r="H658" s="47"/>
      <c r="I658" s="47"/>
      <c r="J658" s="48"/>
      <c r="L658" s="45"/>
    </row>
    <row r="659" customFormat="false" ht="15" hidden="false" customHeight="false" outlineLevel="0" collapsed="false">
      <c r="C659" s="44"/>
      <c r="E659" s="44"/>
      <c r="F659" s="44"/>
      <c r="G659" s="48"/>
      <c r="H659" s="47"/>
      <c r="I659" s="47"/>
      <c r="J659" s="48"/>
      <c r="L659" s="45"/>
    </row>
    <row r="660" customFormat="false" ht="15" hidden="false" customHeight="false" outlineLevel="0" collapsed="false">
      <c r="C660" s="44"/>
      <c r="E660" s="44"/>
      <c r="F660" s="44"/>
      <c r="G660" s="48"/>
      <c r="H660" s="47"/>
      <c r="I660" s="47"/>
      <c r="J660" s="48"/>
      <c r="L660" s="45"/>
    </row>
    <row r="661" customFormat="false" ht="15" hidden="false" customHeight="false" outlineLevel="0" collapsed="false">
      <c r="C661" s="44"/>
      <c r="E661" s="44"/>
      <c r="F661" s="44"/>
      <c r="G661" s="48"/>
      <c r="H661" s="47"/>
      <c r="I661" s="47"/>
      <c r="J661" s="48"/>
      <c r="L661" s="45"/>
    </row>
    <row r="662" customFormat="false" ht="15" hidden="false" customHeight="false" outlineLevel="0" collapsed="false">
      <c r="C662" s="44"/>
      <c r="E662" s="44"/>
      <c r="F662" s="44"/>
      <c r="G662" s="48"/>
      <c r="H662" s="47"/>
      <c r="I662" s="47"/>
      <c r="J662" s="48"/>
      <c r="L662" s="45"/>
    </row>
    <row r="663" customFormat="false" ht="15" hidden="false" customHeight="false" outlineLevel="0" collapsed="false">
      <c r="C663" s="44"/>
      <c r="E663" s="44"/>
      <c r="F663" s="44"/>
      <c r="G663" s="48"/>
      <c r="H663" s="47"/>
      <c r="I663" s="47"/>
      <c r="J663" s="48"/>
      <c r="L663" s="45"/>
    </row>
    <row r="664" customFormat="false" ht="15" hidden="false" customHeight="false" outlineLevel="0" collapsed="false">
      <c r="C664" s="44"/>
      <c r="E664" s="44"/>
      <c r="F664" s="44"/>
      <c r="G664" s="48"/>
      <c r="H664" s="47"/>
      <c r="I664" s="47"/>
      <c r="J664" s="48"/>
      <c r="L664" s="45"/>
    </row>
    <row r="665" customFormat="false" ht="15" hidden="false" customHeight="false" outlineLevel="0" collapsed="false">
      <c r="C665" s="44"/>
      <c r="E665" s="44"/>
      <c r="F665" s="44"/>
      <c r="G665" s="48"/>
      <c r="H665" s="47"/>
      <c r="I665" s="47"/>
      <c r="J665" s="48"/>
      <c r="L665" s="45"/>
    </row>
    <row r="666" customFormat="false" ht="15" hidden="false" customHeight="false" outlineLevel="0" collapsed="false">
      <c r="C666" s="44"/>
      <c r="E666" s="44"/>
      <c r="F666" s="44"/>
      <c r="G666" s="48"/>
      <c r="H666" s="47"/>
      <c r="I666" s="47"/>
      <c r="J666" s="48"/>
      <c r="L666" s="45"/>
    </row>
    <row r="667" customFormat="false" ht="15" hidden="false" customHeight="false" outlineLevel="0" collapsed="false">
      <c r="C667" s="44"/>
      <c r="E667" s="44"/>
      <c r="F667" s="44"/>
      <c r="G667" s="48"/>
      <c r="H667" s="47"/>
      <c r="I667" s="47"/>
      <c r="J667" s="48"/>
      <c r="L667" s="45"/>
    </row>
    <row r="668" customFormat="false" ht="15" hidden="false" customHeight="false" outlineLevel="0" collapsed="false">
      <c r="C668" s="44"/>
      <c r="E668" s="44"/>
      <c r="F668" s="44"/>
      <c r="G668" s="48"/>
      <c r="H668" s="47"/>
      <c r="I668" s="47"/>
      <c r="J668" s="48"/>
      <c r="L668" s="45"/>
    </row>
    <row r="669" customFormat="false" ht="15" hidden="false" customHeight="false" outlineLevel="0" collapsed="false">
      <c r="C669" s="44"/>
      <c r="E669" s="44"/>
      <c r="F669" s="44"/>
      <c r="G669" s="48"/>
      <c r="H669" s="47"/>
      <c r="I669" s="47"/>
      <c r="J669" s="48"/>
      <c r="L669" s="45"/>
    </row>
    <row r="670" customFormat="false" ht="15" hidden="false" customHeight="false" outlineLevel="0" collapsed="false">
      <c r="C670" s="44"/>
      <c r="E670" s="44"/>
      <c r="F670" s="44"/>
      <c r="G670" s="48"/>
      <c r="H670" s="47"/>
      <c r="I670" s="47"/>
      <c r="J670" s="48"/>
      <c r="L670" s="45"/>
    </row>
    <row r="671" customFormat="false" ht="15" hidden="false" customHeight="false" outlineLevel="0" collapsed="false">
      <c r="C671" s="44"/>
      <c r="E671" s="44"/>
      <c r="F671" s="44"/>
      <c r="G671" s="48"/>
      <c r="H671" s="47"/>
      <c r="I671" s="47"/>
      <c r="J671" s="48"/>
      <c r="L671" s="45"/>
    </row>
    <row r="672" customFormat="false" ht="15" hidden="false" customHeight="false" outlineLevel="0" collapsed="false">
      <c r="C672" s="44"/>
      <c r="E672" s="44"/>
      <c r="F672" s="44"/>
      <c r="G672" s="48"/>
      <c r="H672" s="47"/>
      <c r="I672" s="47"/>
      <c r="J672" s="48"/>
      <c r="L672" s="45"/>
    </row>
    <row r="673" customFormat="false" ht="15" hidden="false" customHeight="false" outlineLevel="0" collapsed="false">
      <c r="C673" s="44"/>
      <c r="E673" s="44"/>
      <c r="F673" s="44"/>
      <c r="G673" s="48"/>
      <c r="H673" s="47"/>
      <c r="I673" s="47"/>
      <c r="J673" s="48"/>
      <c r="L673" s="45"/>
    </row>
    <row r="674" customFormat="false" ht="15" hidden="false" customHeight="false" outlineLevel="0" collapsed="false">
      <c r="C674" s="44"/>
      <c r="E674" s="44"/>
      <c r="F674" s="44"/>
      <c r="G674" s="48"/>
      <c r="H674" s="47"/>
      <c r="I674" s="47"/>
      <c r="J674" s="48"/>
      <c r="L674" s="45"/>
    </row>
    <row r="675" customFormat="false" ht="15" hidden="false" customHeight="false" outlineLevel="0" collapsed="false">
      <c r="C675" s="44"/>
      <c r="E675" s="44"/>
      <c r="F675" s="44"/>
      <c r="G675" s="48"/>
      <c r="H675" s="47"/>
      <c r="I675" s="47"/>
      <c r="J675" s="48"/>
      <c r="L675" s="45"/>
    </row>
    <row r="676" customFormat="false" ht="15" hidden="false" customHeight="false" outlineLevel="0" collapsed="false">
      <c r="C676" s="44"/>
      <c r="E676" s="44"/>
      <c r="F676" s="44"/>
      <c r="G676" s="48"/>
      <c r="H676" s="47"/>
      <c r="I676" s="47"/>
      <c r="J676" s="48"/>
      <c r="L676" s="45"/>
    </row>
    <row r="677" customFormat="false" ht="15" hidden="false" customHeight="false" outlineLevel="0" collapsed="false">
      <c r="C677" s="44"/>
      <c r="E677" s="44"/>
      <c r="F677" s="44"/>
      <c r="G677" s="48"/>
      <c r="H677" s="47"/>
      <c r="I677" s="47"/>
      <c r="J677" s="48"/>
      <c r="L677" s="45"/>
    </row>
    <row r="678" customFormat="false" ht="15" hidden="false" customHeight="false" outlineLevel="0" collapsed="false">
      <c r="C678" s="44"/>
      <c r="E678" s="44"/>
      <c r="F678" s="44"/>
      <c r="G678" s="48"/>
      <c r="H678" s="47"/>
      <c r="I678" s="47"/>
      <c r="J678" s="48"/>
      <c r="L678" s="45"/>
    </row>
    <row r="679" customFormat="false" ht="15" hidden="false" customHeight="false" outlineLevel="0" collapsed="false">
      <c r="C679" s="44"/>
      <c r="E679" s="44"/>
      <c r="F679" s="44"/>
      <c r="G679" s="48"/>
      <c r="H679" s="47"/>
      <c r="I679" s="47"/>
      <c r="J679" s="48"/>
      <c r="L679" s="45"/>
    </row>
    <row r="680" customFormat="false" ht="15" hidden="false" customHeight="false" outlineLevel="0" collapsed="false">
      <c r="C680" s="44"/>
      <c r="E680" s="44"/>
      <c r="F680" s="44"/>
      <c r="G680" s="48"/>
      <c r="H680" s="47"/>
      <c r="I680" s="47"/>
      <c r="J680" s="48"/>
      <c r="L680" s="45"/>
    </row>
    <row r="681" customFormat="false" ht="15" hidden="false" customHeight="false" outlineLevel="0" collapsed="false">
      <c r="C681" s="44"/>
      <c r="E681" s="44"/>
      <c r="F681" s="44"/>
      <c r="G681" s="48"/>
      <c r="H681" s="47"/>
      <c r="I681" s="47"/>
      <c r="J681" s="48"/>
      <c r="L681" s="45"/>
    </row>
    <row r="682" customFormat="false" ht="15" hidden="false" customHeight="false" outlineLevel="0" collapsed="false">
      <c r="C682" s="44"/>
      <c r="E682" s="44"/>
      <c r="F682" s="44"/>
      <c r="G682" s="48"/>
      <c r="H682" s="47"/>
      <c r="I682" s="47"/>
      <c r="J682" s="48"/>
      <c r="L682" s="45"/>
    </row>
    <row r="683" customFormat="false" ht="15" hidden="false" customHeight="false" outlineLevel="0" collapsed="false">
      <c r="C683" s="44"/>
      <c r="E683" s="44"/>
      <c r="F683" s="44"/>
      <c r="G683" s="48"/>
      <c r="H683" s="47"/>
      <c r="I683" s="47"/>
      <c r="J683" s="48"/>
      <c r="L683" s="45"/>
    </row>
    <row r="684" customFormat="false" ht="15" hidden="false" customHeight="false" outlineLevel="0" collapsed="false">
      <c r="C684" s="44"/>
      <c r="E684" s="44"/>
      <c r="F684" s="44"/>
      <c r="G684" s="48"/>
      <c r="H684" s="47"/>
      <c r="I684" s="47"/>
      <c r="J684" s="48"/>
      <c r="L684" s="45"/>
    </row>
    <row r="685" customFormat="false" ht="15" hidden="false" customHeight="false" outlineLevel="0" collapsed="false">
      <c r="C685" s="44"/>
      <c r="E685" s="44"/>
      <c r="F685" s="44"/>
      <c r="G685" s="48"/>
      <c r="H685" s="47"/>
      <c r="I685" s="47"/>
      <c r="J685" s="48"/>
      <c r="L685" s="45"/>
    </row>
    <row r="686" customFormat="false" ht="15" hidden="false" customHeight="false" outlineLevel="0" collapsed="false">
      <c r="C686" s="44"/>
      <c r="E686" s="44"/>
      <c r="F686" s="44"/>
      <c r="G686" s="48"/>
      <c r="H686" s="47"/>
      <c r="I686" s="47"/>
      <c r="J686" s="48"/>
      <c r="L686" s="45"/>
    </row>
    <row r="687" customFormat="false" ht="15" hidden="false" customHeight="false" outlineLevel="0" collapsed="false">
      <c r="C687" s="44"/>
      <c r="E687" s="44"/>
      <c r="F687" s="44"/>
      <c r="G687" s="48"/>
      <c r="H687" s="47"/>
      <c r="I687" s="47"/>
      <c r="J687" s="48"/>
      <c r="L687" s="45"/>
    </row>
    <row r="688" customFormat="false" ht="15" hidden="false" customHeight="false" outlineLevel="0" collapsed="false">
      <c r="C688" s="44"/>
      <c r="E688" s="44"/>
      <c r="F688" s="44"/>
      <c r="G688" s="48"/>
      <c r="H688" s="47"/>
      <c r="I688" s="47"/>
      <c r="J688" s="48"/>
      <c r="L688" s="45"/>
    </row>
    <row r="689" customFormat="false" ht="15" hidden="false" customHeight="false" outlineLevel="0" collapsed="false">
      <c r="C689" s="44"/>
      <c r="E689" s="44"/>
      <c r="F689" s="44"/>
      <c r="G689" s="48"/>
      <c r="H689" s="47"/>
      <c r="I689" s="47"/>
      <c r="J689" s="48"/>
      <c r="L689" s="45"/>
    </row>
    <row r="690" customFormat="false" ht="15" hidden="false" customHeight="false" outlineLevel="0" collapsed="false">
      <c r="C690" s="44"/>
      <c r="E690" s="44"/>
      <c r="F690" s="44"/>
      <c r="G690" s="48"/>
      <c r="H690" s="47"/>
      <c r="I690" s="47"/>
      <c r="J690" s="48"/>
      <c r="L690" s="45"/>
    </row>
    <row r="691" customFormat="false" ht="15" hidden="false" customHeight="false" outlineLevel="0" collapsed="false">
      <c r="C691" s="44"/>
      <c r="E691" s="44"/>
      <c r="F691" s="44"/>
      <c r="G691" s="48"/>
      <c r="H691" s="47"/>
      <c r="I691" s="47"/>
      <c r="J691" s="48"/>
      <c r="L691" s="45"/>
    </row>
    <row r="692" customFormat="false" ht="15" hidden="false" customHeight="false" outlineLevel="0" collapsed="false">
      <c r="C692" s="44"/>
      <c r="E692" s="44"/>
      <c r="F692" s="44"/>
      <c r="G692" s="48"/>
      <c r="H692" s="47"/>
      <c r="I692" s="47"/>
      <c r="J692" s="48"/>
      <c r="L692" s="45"/>
    </row>
    <row r="693" customFormat="false" ht="15" hidden="false" customHeight="false" outlineLevel="0" collapsed="false">
      <c r="C693" s="44"/>
      <c r="E693" s="44"/>
      <c r="F693" s="44"/>
      <c r="G693" s="48"/>
      <c r="H693" s="47"/>
      <c r="I693" s="47"/>
      <c r="J693" s="48"/>
      <c r="L693" s="45"/>
    </row>
    <row r="694" customFormat="false" ht="15" hidden="false" customHeight="false" outlineLevel="0" collapsed="false">
      <c r="C694" s="44"/>
      <c r="E694" s="44"/>
      <c r="F694" s="44"/>
      <c r="G694" s="48"/>
      <c r="H694" s="47"/>
      <c r="I694" s="47"/>
      <c r="J694" s="48"/>
      <c r="L694" s="45"/>
    </row>
    <row r="695" customFormat="false" ht="15" hidden="false" customHeight="false" outlineLevel="0" collapsed="false">
      <c r="C695" s="44"/>
      <c r="E695" s="44"/>
      <c r="F695" s="44"/>
      <c r="G695" s="48"/>
      <c r="H695" s="47"/>
      <c r="I695" s="47"/>
      <c r="J695" s="48"/>
      <c r="L695" s="45"/>
    </row>
    <row r="696" customFormat="false" ht="15" hidden="false" customHeight="false" outlineLevel="0" collapsed="false">
      <c r="C696" s="44"/>
      <c r="E696" s="44"/>
      <c r="F696" s="44"/>
      <c r="G696" s="48"/>
      <c r="H696" s="47"/>
      <c r="I696" s="47"/>
      <c r="J696" s="48"/>
      <c r="L696" s="45"/>
    </row>
    <row r="697" customFormat="false" ht="15" hidden="false" customHeight="false" outlineLevel="0" collapsed="false">
      <c r="C697" s="44"/>
      <c r="E697" s="44"/>
      <c r="F697" s="44"/>
      <c r="G697" s="48"/>
      <c r="H697" s="47"/>
      <c r="I697" s="47"/>
      <c r="J697" s="48"/>
      <c r="L697" s="45"/>
    </row>
    <row r="698" customFormat="false" ht="15" hidden="false" customHeight="false" outlineLevel="0" collapsed="false">
      <c r="C698" s="44"/>
      <c r="E698" s="44"/>
      <c r="F698" s="44"/>
      <c r="G698" s="48"/>
      <c r="H698" s="47"/>
      <c r="I698" s="47"/>
      <c r="J698" s="48"/>
      <c r="L698" s="45"/>
    </row>
    <row r="699" customFormat="false" ht="15" hidden="false" customHeight="false" outlineLevel="0" collapsed="false">
      <c r="C699" s="44"/>
      <c r="E699" s="44"/>
      <c r="F699" s="44"/>
      <c r="G699" s="48"/>
      <c r="H699" s="47"/>
      <c r="I699" s="47"/>
      <c r="J699" s="48"/>
      <c r="L699" s="45"/>
    </row>
    <row r="700" customFormat="false" ht="15" hidden="false" customHeight="false" outlineLevel="0" collapsed="false">
      <c r="C700" s="44"/>
      <c r="E700" s="44"/>
      <c r="F700" s="44"/>
      <c r="G700" s="48"/>
      <c r="H700" s="47"/>
      <c r="I700" s="47"/>
      <c r="J700" s="48"/>
      <c r="L700" s="45"/>
    </row>
    <row r="701" customFormat="false" ht="15" hidden="false" customHeight="false" outlineLevel="0" collapsed="false">
      <c r="C701" s="44"/>
      <c r="E701" s="44"/>
      <c r="F701" s="44"/>
      <c r="G701" s="48"/>
      <c r="H701" s="47"/>
      <c r="I701" s="47"/>
      <c r="J701" s="48"/>
      <c r="L701" s="45"/>
    </row>
    <row r="702" customFormat="false" ht="15" hidden="false" customHeight="false" outlineLevel="0" collapsed="false">
      <c r="C702" s="44"/>
      <c r="E702" s="44"/>
      <c r="F702" s="44"/>
      <c r="G702" s="48"/>
      <c r="H702" s="47"/>
      <c r="I702" s="47"/>
      <c r="J702" s="48"/>
      <c r="L702" s="45"/>
    </row>
    <row r="703" customFormat="false" ht="15" hidden="false" customHeight="false" outlineLevel="0" collapsed="false">
      <c r="C703" s="44"/>
      <c r="E703" s="44"/>
      <c r="F703" s="44"/>
      <c r="G703" s="48"/>
      <c r="H703" s="47"/>
      <c r="I703" s="47"/>
      <c r="J703" s="48"/>
      <c r="L703" s="45"/>
    </row>
    <row r="704" customFormat="false" ht="15" hidden="false" customHeight="false" outlineLevel="0" collapsed="false">
      <c r="C704" s="44"/>
      <c r="E704" s="44"/>
      <c r="F704" s="44"/>
      <c r="G704" s="48"/>
      <c r="H704" s="47"/>
      <c r="I704" s="47"/>
      <c r="J704" s="48"/>
      <c r="L704" s="45"/>
    </row>
    <row r="705" customFormat="false" ht="15" hidden="false" customHeight="false" outlineLevel="0" collapsed="false">
      <c r="C705" s="44"/>
      <c r="E705" s="44"/>
      <c r="F705" s="44"/>
      <c r="G705" s="48"/>
      <c r="H705" s="47"/>
      <c r="I705" s="47"/>
      <c r="J705" s="48"/>
      <c r="L705" s="45"/>
    </row>
    <row r="706" customFormat="false" ht="15" hidden="false" customHeight="false" outlineLevel="0" collapsed="false">
      <c r="C706" s="44"/>
      <c r="E706" s="44"/>
      <c r="F706" s="44"/>
      <c r="G706" s="48"/>
      <c r="H706" s="47"/>
      <c r="I706" s="47"/>
      <c r="J706" s="48"/>
      <c r="L706" s="45"/>
    </row>
    <row r="707" customFormat="false" ht="15" hidden="false" customHeight="false" outlineLevel="0" collapsed="false">
      <c r="C707" s="44"/>
      <c r="E707" s="44"/>
      <c r="F707" s="44"/>
      <c r="G707" s="48"/>
      <c r="H707" s="47"/>
      <c r="I707" s="47"/>
      <c r="J707" s="48"/>
      <c r="L707" s="45"/>
    </row>
    <row r="708" customFormat="false" ht="15" hidden="false" customHeight="false" outlineLevel="0" collapsed="false">
      <c r="C708" s="44"/>
      <c r="E708" s="44"/>
      <c r="F708" s="44"/>
      <c r="G708" s="48"/>
      <c r="H708" s="47"/>
      <c r="I708" s="47"/>
      <c r="J708" s="48"/>
      <c r="L708" s="45"/>
    </row>
    <row r="709" customFormat="false" ht="15" hidden="false" customHeight="false" outlineLevel="0" collapsed="false">
      <c r="C709" s="44"/>
      <c r="E709" s="44"/>
      <c r="F709" s="44"/>
      <c r="G709" s="48"/>
      <c r="H709" s="47"/>
      <c r="I709" s="47"/>
      <c r="J709" s="48"/>
      <c r="L709" s="45"/>
    </row>
    <row r="710" customFormat="false" ht="15" hidden="false" customHeight="false" outlineLevel="0" collapsed="false">
      <c r="C710" s="44"/>
      <c r="E710" s="44"/>
      <c r="F710" s="44"/>
      <c r="G710" s="48"/>
      <c r="H710" s="47"/>
      <c r="I710" s="47"/>
      <c r="J710" s="48"/>
      <c r="L710" s="45"/>
    </row>
    <row r="711" customFormat="false" ht="15" hidden="false" customHeight="false" outlineLevel="0" collapsed="false">
      <c r="C711" s="44"/>
      <c r="E711" s="44"/>
      <c r="F711" s="44"/>
      <c r="G711" s="48"/>
      <c r="H711" s="47"/>
      <c r="I711" s="47"/>
      <c r="J711" s="48"/>
      <c r="L711" s="45"/>
    </row>
    <row r="712" customFormat="false" ht="15" hidden="false" customHeight="false" outlineLevel="0" collapsed="false">
      <c r="C712" s="44"/>
      <c r="E712" s="44"/>
      <c r="F712" s="44"/>
      <c r="G712" s="48"/>
      <c r="H712" s="47"/>
      <c r="I712" s="47"/>
      <c r="J712" s="48"/>
      <c r="L712" s="45"/>
    </row>
    <row r="713" customFormat="false" ht="15" hidden="false" customHeight="false" outlineLevel="0" collapsed="false">
      <c r="C713" s="44"/>
      <c r="E713" s="44"/>
      <c r="F713" s="44"/>
      <c r="G713" s="48"/>
      <c r="H713" s="47"/>
      <c r="I713" s="47"/>
      <c r="J713" s="48"/>
      <c r="L713" s="45"/>
    </row>
    <row r="714" customFormat="false" ht="15" hidden="false" customHeight="false" outlineLevel="0" collapsed="false">
      <c r="C714" s="44"/>
      <c r="E714" s="44"/>
      <c r="F714" s="44"/>
      <c r="G714" s="48"/>
      <c r="H714" s="47"/>
      <c r="I714" s="47"/>
      <c r="J714" s="48"/>
      <c r="L714" s="45"/>
    </row>
    <row r="715" customFormat="false" ht="15" hidden="false" customHeight="false" outlineLevel="0" collapsed="false">
      <c r="C715" s="44"/>
      <c r="E715" s="44"/>
      <c r="F715" s="44"/>
      <c r="G715" s="48"/>
      <c r="H715" s="47"/>
      <c r="I715" s="47"/>
      <c r="J715" s="48"/>
      <c r="L715" s="45"/>
    </row>
    <row r="716" customFormat="false" ht="15" hidden="false" customHeight="false" outlineLevel="0" collapsed="false">
      <c r="C716" s="44"/>
      <c r="E716" s="44"/>
      <c r="F716" s="44"/>
      <c r="G716" s="48"/>
      <c r="H716" s="47"/>
      <c r="I716" s="47"/>
      <c r="J716" s="48"/>
      <c r="L716" s="45"/>
    </row>
    <row r="717" customFormat="false" ht="15" hidden="false" customHeight="false" outlineLevel="0" collapsed="false">
      <c r="C717" s="44"/>
      <c r="E717" s="44"/>
      <c r="F717" s="44"/>
      <c r="G717" s="48"/>
      <c r="H717" s="47"/>
      <c r="I717" s="47"/>
      <c r="J717" s="48"/>
      <c r="L717" s="45"/>
    </row>
    <row r="718" customFormat="false" ht="15" hidden="false" customHeight="false" outlineLevel="0" collapsed="false">
      <c r="C718" s="44"/>
      <c r="E718" s="44"/>
      <c r="F718" s="44"/>
      <c r="G718" s="48"/>
      <c r="H718" s="47"/>
      <c r="I718" s="47"/>
      <c r="J718" s="48"/>
      <c r="L718" s="45"/>
    </row>
    <row r="719" customFormat="false" ht="15" hidden="false" customHeight="false" outlineLevel="0" collapsed="false">
      <c r="C719" s="44"/>
      <c r="E719" s="44"/>
      <c r="F719" s="44"/>
      <c r="G719" s="48"/>
      <c r="H719" s="47"/>
      <c r="I719" s="47"/>
      <c r="J719" s="48"/>
      <c r="L719" s="45"/>
    </row>
    <row r="720" customFormat="false" ht="15" hidden="false" customHeight="false" outlineLevel="0" collapsed="false">
      <c r="C720" s="44"/>
      <c r="E720" s="44"/>
      <c r="F720" s="44"/>
      <c r="G720" s="48"/>
      <c r="H720" s="47"/>
      <c r="I720" s="47"/>
      <c r="J720" s="48"/>
      <c r="L720" s="45"/>
    </row>
    <row r="721" customFormat="false" ht="15" hidden="false" customHeight="false" outlineLevel="0" collapsed="false">
      <c r="C721" s="44"/>
      <c r="E721" s="44"/>
      <c r="F721" s="44"/>
      <c r="G721" s="48"/>
      <c r="H721" s="47"/>
      <c r="I721" s="47"/>
      <c r="J721" s="48"/>
      <c r="L721" s="45"/>
    </row>
    <row r="722" customFormat="false" ht="15" hidden="false" customHeight="false" outlineLevel="0" collapsed="false">
      <c r="C722" s="44"/>
      <c r="E722" s="44"/>
      <c r="F722" s="44"/>
      <c r="G722" s="48"/>
      <c r="H722" s="47"/>
      <c r="I722" s="47"/>
      <c r="J722" s="48"/>
      <c r="L722" s="45"/>
    </row>
    <row r="723" customFormat="false" ht="15" hidden="false" customHeight="false" outlineLevel="0" collapsed="false">
      <c r="C723" s="44"/>
      <c r="E723" s="44"/>
      <c r="F723" s="44"/>
      <c r="G723" s="48"/>
      <c r="H723" s="47"/>
      <c r="I723" s="47"/>
      <c r="J723" s="48"/>
      <c r="L723" s="45"/>
    </row>
    <row r="724" customFormat="false" ht="15" hidden="false" customHeight="false" outlineLevel="0" collapsed="false">
      <c r="C724" s="44"/>
      <c r="E724" s="44"/>
      <c r="F724" s="44"/>
      <c r="G724" s="48"/>
      <c r="H724" s="47"/>
      <c r="I724" s="47"/>
      <c r="J724" s="48"/>
      <c r="L724" s="45"/>
    </row>
    <row r="725" customFormat="false" ht="15" hidden="false" customHeight="false" outlineLevel="0" collapsed="false">
      <c r="C725" s="44"/>
      <c r="E725" s="44"/>
      <c r="F725" s="44"/>
      <c r="G725" s="48"/>
      <c r="H725" s="47"/>
      <c r="I725" s="47"/>
      <c r="J725" s="48"/>
      <c r="L725" s="45"/>
    </row>
    <row r="726" customFormat="false" ht="15" hidden="false" customHeight="false" outlineLevel="0" collapsed="false">
      <c r="C726" s="44"/>
      <c r="E726" s="44"/>
      <c r="F726" s="44"/>
      <c r="G726" s="48"/>
      <c r="H726" s="47"/>
      <c r="I726" s="47"/>
      <c r="J726" s="48"/>
      <c r="L726" s="45"/>
    </row>
    <row r="727" customFormat="false" ht="15" hidden="false" customHeight="false" outlineLevel="0" collapsed="false">
      <c r="C727" s="44"/>
      <c r="E727" s="44"/>
      <c r="F727" s="44"/>
      <c r="G727" s="48"/>
      <c r="H727" s="47"/>
      <c r="I727" s="47"/>
      <c r="J727" s="48"/>
      <c r="L727" s="45"/>
    </row>
    <row r="728" customFormat="false" ht="15" hidden="false" customHeight="false" outlineLevel="0" collapsed="false">
      <c r="C728" s="44"/>
      <c r="E728" s="44"/>
      <c r="F728" s="44"/>
      <c r="G728" s="48"/>
      <c r="H728" s="47"/>
      <c r="I728" s="47"/>
      <c r="J728" s="48"/>
      <c r="L728" s="45"/>
    </row>
    <row r="729" customFormat="false" ht="15" hidden="false" customHeight="false" outlineLevel="0" collapsed="false">
      <c r="C729" s="44"/>
      <c r="E729" s="44"/>
      <c r="F729" s="44"/>
      <c r="G729" s="48"/>
      <c r="H729" s="47"/>
      <c r="I729" s="47"/>
      <c r="J729" s="48"/>
      <c r="L729" s="45"/>
    </row>
    <row r="730" customFormat="false" ht="15" hidden="false" customHeight="false" outlineLevel="0" collapsed="false">
      <c r="C730" s="44"/>
      <c r="E730" s="44"/>
      <c r="F730" s="44"/>
      <c r="G730" s="48"/>
      <c r="H730" s="47"/>
      <c r="I730" s="47"/>
      <c r="J730" s="48"/>
      <c r="L730" s="45"/>
    </row>
    <row r="731" customFormat="false" ht="15" hidden="false" customHeight="false" outlineLevel="0" collapsed="false">
      <c r="C731" s="44"/>
      <c r="E731" s="44"/>
      <c r="F731" s="44"/>
      <c r="G731" s="48"/>
      <c r="H731" s="47"/>
      <c r="I731" s="47"/>
      <c r="J731" s="48"/>
      <c r="L731" s="45"/>
    </row>
    <row r="732" customFormat="false" ht="15" hidden="false" customHeight="false" outlineLevel="0" collapsed="false">
      <c r="C732" s="44"/>
      <c r="E732" s="44"/>
      <c r="F732" s="44"/>
      <c r="G732" s="48"/>
      <c r="H732" s="47"/>
      <c r="I732" s="47"/>
      <c r="J732" s="48"/>
      <c r="L732" s="45"/>
    </row>
    <row r="733" customFormat="false" ht="15" hidden="false" customHeight="false" outlineLevel="0" collapsed="false">
      <c r="C733" s="44"/>
      <c r="E733" s="44"/>
      <c r="F733" s="44"/>
      <c r="G733" s="48"/>
      <c r="H733" s="47"/>
      <c r="I733" s="47"/>
      <c r="J733" s="48"/>
      <c r="L733" s="45"/>
    </row>
    <row r="734" customFormat="false" ht="15" hidden="false" customHeight="false" outlineLevel="0" collapsed="false">
      <c r="C734" s="44"/>
      <c r="E734" s="44"/>
      <c r="F734" s="44"/>
      <c r="G734" s="48"/>
      <c r="H734" s="47"/>
      <c r="I734" s="47"/>
      <c r="J734" s="48"/>
      <c r="L734" s="45"/>
    </row>
    <row r="735" customFormat="false" ht="15" hidden="false" customHeight="false" outlineLevel="0" collapsed="false">
      <c r="C735" s="44"/>
      <c r="E735" s="44"/>
      <c r="F735" s="44"/>
      <c r="G735" s="48"/>
      <c r="H735" s="47"/>
      <c r="I735" s="47"/>
      <c r="J735" s="48"/>
      <c r="L735" s="45"/>
    </row>
    <row r="736" customFormat="false" ht="15" hidden="false" customHeight="false" outlineLevel="0" collapsed="false">
      <c r="C736" s="44"/>
      <c r="E736" s="44"/>
      <c r="F736" s="44"/>
      <c r="G736" s="48"/>
      <c r="H736" s="47"/>
      <c r="I736" s="47"/>
      <c r="J736" s="48"/>
      <c r="L736" s="45"/>
    </row>
    <row r="737" customFormat="false" ht="15" hidden="false" customHeight="false" outlineLevel="0" collapsed="false">
      <c r="C737" s="44"/>
      <c r="E737" s="44"/>
      <c r="F737" s="44"/>
      <c r="G737" s="48"/>
      <c r="H737" s="47"/>
      <c r="I737" s="47"/>
      <c r="J737" s="48"/>
      <c r="L737" s="45"/>
    </row>
    <row r="738" customFormat="false" ht="15" hidden="false" customHeight="false" outlineLevel="0" collapsed="false">
      <c r="C738" s="44"/>
      <c r="E738" s="44"/>
      <c r="F738" s="44"/>
      <c r="G738" s="48"/>
      <c r="H738" s="47"/>
      <c r="I738" s="47"/>
      <c r="J738" s="48"/>
      <c r="L738" s="45"/>
    </row>
    <row r="739" customFormat="false" ht="15" hidden="false" customHeight="false" outlineLevel="0" collapsed="false">
      <c r="C739" s="44"/>
      <c r="E739" s="44"/>
      <c r="F739" s="44"/>
      <c r="G739" s="48"/>
      <c r="H739" s="47"/>
      <c r="I739" s="47"/>
      <c r="J739" s="48"/>
      <c r="L739" s="45"/>
    </row>
    <row r="740" customFormat="false" ht="15" hidden="false" customHeight="false" outlineLevel="0" collapsed="false">
      <c r="C740" s="44"/>
      <c r="E740" s="44"/>
      <c r="F740" s="44"/>
      <c r="G740" s="48"/>
      <c r="H740" s="47"/>
      <c r="I740" s="47"/>
      <c r="J740" s="48"/>
      <c r="L740" s="45"/>
    </row>
    <row r="741" customFormat="false" ht="15" hidden="false" customHeight="false" outlineLevel="0" collapsed="false">
      <c r="C741" s="44"/>
      <c r="E741" s="44"/>
      <c r="F741" s="44"/>
      <c r="G741" s="48"/>
      <c r="H741" s="47"/>
      <c r="I741" s="47"/>
      <c r="J741" s="48"/>
      <c r="L741" s="45"/>
    </row>
    <row r="742" customFormat="false" ht="15" hidden="false" customHeight="false" outlineLevel="0" collapsed="false">
      <c r="C742" s="44"/>
      <c r="E742" s="44"/>
      <c r="F742" s="44"/>
      <c r="G742" s="48"/>
      <c r="H742" s="47"/>
      <c r="I742" s="47"/>
      <c r="J742" s="48"/>
      <c r="L742" s="45"/>
    </row>
    <row r="743" customFormat="false" ht="15" hidden="false" customHeight="false" outlineLevel="0" collapsed="false">
      <c r="C743" s="44"/>
      <c r="E743" s="44"/>
      <c r="F743" s="44"/>
      <c r="G743" s="48"/>
      <c r="H743" s="47"/>
      <c r="I743" s="47"/>
      <c r="J743" s="48"/>
      <c r="L743" s="45"/>
    </row>
    <row r="744" customFormat="false" ht="15" hidden="false" customHeight="false" outlineLevel="0" collapsed="false">
      <c r="C744" s="44"/>
      <c r="E744" s="44"/>
      <c r="F744" s="44"/>
      <c r="G744" s="48"/>
      <c r="H744" s="47"/>
      <c r="I744" s="47"/>
      <c r="J744" s="48"/>
      <c r="L744" s="45"/>
    </row>
    <row r="745" customFormat="false" ht="15" hidden="false" customHeight="false" outlineLevel="0" collapsed="false">
      <c r="C745" s="44"/>
      <c r="E745" s="44"/>
      <c r="F745" s="44"/>
      <c r="G745" s="48"/>
      <c r="H745" s="47"/>
      <c r="I745" s="47"/>
      <c r="J745" s="48"/>
      <c r="L745" s="45"/>
    </row>
    <row r="746" customFormat="false" ht="15" hidden="false" customHeight="false" outlineLevel="0" collapsed="false">
      <c r="C746" s="44"/>
      <c r="E746" s="44"/>
      <c r="F746" s="44"/>
      <c r="G746" s="48"/>
      <c r="H746" s="47"/>
      <c r="I746" s="47"/>
      <c r="J746" s="48"/>
      <c r="L746" s="45"/>
    </row>
    <row r="747" customFormat="false" ht="15" hidden="false" customHeight="false" outlineLevel="0" collapsed="false">
      <c r="C747" s="44"/>
      <c r="E747" s="44"/>
      <c r="F747" s="44"/>
      <c r="G747" s="48"/>
      <c r="H747" s="47"/>
      <c r="I747" s="47"/>
      <c r="J747" s="48"/>
      <c r="L747" s="45"/>
    </row>
    <row r="748" customFormat="false" ht="15" hidden="false" customHeight="false" outlineLevel="0" collapsed="false">
      <c r="C748" s="44"/>
      <c r="E748" s="44"/>
      <c r="F748" s="44"/>
      <c r="G748" s="48"/>
      <c r="H748" s="47"/>
      <c r="I748" s="47"/>
      <c r="J748" s="48"/>
      <c r="L748" s="45"/>
    </row>
    <row r="749" customFormat="false" ht="15" hidden="false" customHeight="false" outlineLevel="0" collapsed="false">
      <c r="C749" s="44"/>
      <c r="E749" s="44"/>
      <c r="F749" s="44"/>
      <c r="G749" s="48"/>
      <c r="H749" s="47"/>
      <c r="I749" s="47"/>
      <c r="J749" s="48"/>
      <c r="L749" s="45"/>
    </row>
    <row r="750" customFormat="false" ht="15" hidden="false" customHeight="false" outlineLevel="0" collapsed="false">
      <c r="C750" s="44"/>
      <c r="E750" s="44"/>
      <c r="F750" s="44"/>
      <c r="G750" s="48"/>
      <c r="H750" s="47"/>
      <c r="I750" s="47"/>
      <c r="J750" s="48"/>
      <c r="L750" s="45"/>
    </row>
    <row r="751" customFormat="false" ht="15" hidden="false" customHeight="false" outlineLevel="0" collapsed="false">
      <c r="C751" s="44"/>
      <c r="E751" s="44"/>
      <c r="F751" s="44"/>
      <c r="G751" s="48"/>
      <c r="H751" s="47"/>
      <c r="I751" s="47"/>
      <c r="J751" s="48"/>
      <c r="L751" s="45"/>
    </row>
    <row r="752" customFormat="false" ht="15" hidden="false" customHeight="false" outlineLevel="0" collapsed="false">
      <c r="C752" s="44"/>
      <c r="E752" s="44"/>
      <c r="F752" s="44"/>
      <c r="G752" s="48"/>
      <c r="H752" s="47"/>
      <c r="I752" s="47"/>
      <c r="J752" s="48"/>
      <c r="L752" s="45"/>
    </row>
    <row r="753" customFormat="false" ht="15" hidden="false" customHeight="false" outlineLevel="0" collapsed="false">
      <c r="C753" s="44"/>
      <c r="E753" s="44"/>
      <c r="F753" s="44"/>
      <c r="G753" s="48"/>
      <c r="H753" s="47"/>
      <c r="I753" s="47"/>
      <c r="J753" s="48"/>
      <c r="L753" s="45"/>
    </row>
    <row r="754" customFormat="false" ht="15" hidden="false" customHeight="false" outlineLevel="0" collapsed="false">
      <c r="C754" s="44"/>
      <c r="E754" s="44"/>
      <c r="F754" s="44"/>
      <c r="G754" s="48"/>
      <c r="H754" s="47"/>
      <c r="I754" s="47"/>
      <c r="J754" s="48"/>
      <c r="L754" s="45"/>
    </row>
    <row r="755" customFormat="false" ht="15" hidden="false" customHeight="false" outlineLevel="0" collapsed="false">
      <c r="C755" s="44"/>
      <c r="E755" s="44"/>
      <c r="F755" s="44"/>
      <c r="G755" s="48"/>
      <c r="H755" s="47"/>
      <c r="I755" s="47"/>
      <c r="J755" s="48"/>
      <c r="L755" s="45"/>
    </row>
    <row r="756" customFormat="false" ht="15" hidden="false" customHeight="false" outlineLevel="0" collapsed="false">
      <c r="C756" s="44"/>
      <c r="E756" s="44"/>
      <c r="F756" s="44"/>
      <c r="G756" s="48"/>
      <c r="H756" s="47"/>
      <c r="I756" s="47"/>
      <c r="J756" s="48"/>
      <c r="L756" s="45"/>
    </row>
    <row r="757" customFormat="false" ht="15" hidden="false" customHeight="false" outlineLevel="0" collapsed="false">
      <c r="C757" s="44"/>
      <c r="E757" s="44"/>
      <c r="F757" s="44"/>
      <c r="G757" s="48"/>
      <c r="H757" s="47"/>
      <c r="I757" s="47"/>
      <c r="J757" s="48"/>
      <c r="L757" s="45"/>
    </row>
    <row r="758" customFormat="false" ht="15" hidden="false" customHeight="false" outlineLevel="0" collapsed="false">
      <c r="C758" s="44"/>
      <c r="E758" s="44"/>
      <c r="F758" s="44"/>
      <c r="G758" s="48"/>
      <c r="H758" s="47"/>
      <c r="I758" s="47"/>
      <c r="J758" s="48"/>
      <c r="L758" s="45"/>
    </row>
    <row r="759" customFormat="false" ht="15" hidden="false" customHeight="false" outlineLevel="0" collapsed="false">
      <c r="C759" s="44"/>
      <c r="E759" s="44"/>
      <c r="F759" s="44"/>
      <c r="G759" s="48"/>
      <c r="H759" s="47"/>
      <c r="I759" s="47"/>
      <c r="J759" s="48"/>
      <c r="L759" s="45"/>
    </row>
    <row r="760" customFormat="false" ht="15" hidden="false" customHeight="false" outlineLevel="0" collapsed="false">
      <c r="C760" s="44"/>
      <c r="E760" s="44"/>
      <c r="F760" s="44"/>
      <c r="G760" s="48"/>
      <c r="H760" s="47"/>
      <c r="I760" s="47"/>
      <c r="J760" s="48"/>
      <c r="L760" s="45"/>
    </row>
    <row r="761" customFormat="false" ht="15" hidden="false" customHeight="false" outlineLevel="0" collapsed="false">
      <c r="C761" s="44"/>
      <c r="E761" s="44"/>
      <c r="F761" s="44"/>
      <c r="G761" s="48"/>
      <c r="H761" s="47"/>
      <c r="I761" s="47"/>
      <c r="J761" s="48"/>
      <c r="L761" s="45"/>
    </row>
    <row r="762" customFormat="false" ht="15" hidden="false" customHeight="false" outlineLevel="0" collapsed="false">
      <c r="C762" s="44"/>
      <c r="E762" s="44"/>
      <c r="F762" s="44"/>
      <c r="G762" s="48"/>
      <c r="H762" s="47"/>
      <c r="I762" s="47"/>
      <c r="J762" s="48"/>
      <c r="L762" s="45"/>
    </row>
    <row r="763" customFormat="false" ht="15" hidden="false" customHeight="false" outlineLevel="0" collapsed="false">
      <c r="C763" s="44"/>
      <c r="E763" s="44"/>
      <c r="F763" s="44"/>
      <c r="G763" s="48"/>
      <c r="H763" s="47"/>
      <c r="I763" s="47"/>
      <c r="J763" s="48"/>
      <c r="L763" s="45"/>
    </row>
    <row r="764" customFormat="false" ht="15" hidden="false" customHeight="false" outlineLevel="0" collapsed="false">
      <c r="C764" s="44"/>
      <c r="E764" s="44"/>
      <c r="F764" s="44"/>
      <c r="G764" s="48"/>
      <c r="H764" s="47"/>
      <c r="I764" s="47"/>
      <c r="J764" s="48"/>
      <c r="L764" s="45"/>
    </row>
    <row r="765" customFormat="false" ht="15" hidden="false" customHeight="false" outlineLevel="0" collapsed="false">
      <c r="C765" s="44"/>
      <c r="E765" s="44"/>
      <c r="F765" s="44"/>
      <c r="G765" s="48"/>
      <c r="H765" s="47"/>
      <c r="I765" s="47"/>
      <c r="J765" s="48"/>
      <c r="L765" s="45"/>
    </row>
    <row r="766" customFormat="false" ht="15" hidden="false" customHeight="false" outlineLevel="0" collapsed="false">
      <c r="C766" s="44"/>
      <c r="E766" s="44"/>
      <c r="F766" s="44"/>
      <c r="G766" s="48"/>
      <c r="H766" s="47"/>
      <c r="I766" s="47"/>
      <c r="J766" s="48"/>
      <c r="L766" s="45"/>
    </row>
    <row r="767" customFormat="false" ht="15" hidden="false" customHeight="false" outlineLevel="0" collapsed="false">
      <c r="C767" s="44"/>
      <c r="E767" s="44"/>
      <c r="F767" s="44"/>
      <c r="G767" s="48"/>
      <c r="H767" s="47"/>
      <c r="I767" s="47"/>
      <c r="J767" s="48"/>
      <c r="L767" s="45"/>
    </row>
    <row r="768" customFormat="false" ht="15" hidden="false" customHeight="false" outlineLevel="0" collapsed="false">
      <c r="C768" s="44"/>
      <c r="E768" s="44"/>
      <c r="F768" s="44"/>
      <c r="G768" s="48"/>
      <c r="H768" s="47"/>
      <c r="I768" s="47"/>
      <c r="J768" s="48"/>
      <c r="L768" s="45"/>
    </row>
    <row r="769" customFormat="false" ht="15" hidden="false" customHeight="false" outlineLevel="0" collapsed="false">
      <c r="C769" s="44"/>
      <c r="E769" s="44"/>
      <c r="F769" s="44"/>
      <c r="G769" s="48"/>
      <c r="H769" s="47"/>
      <c r="I769" s="47"/>
      <c r="J769" s="48"/>
      <c r="L769" s="45"/>
    </row>
    <row r="770" customFormat="false" ht="15" hidden="false" customHeight="false" outlineLevel="0" collapsed="false">
      <c r="C770" s="44"/>
      <c r="E770" s="44"/>
      <c r="F770" s="44"/>
      <c r="G770" s="48"/>
      <c r="H770" s="47"/>
      <c r="I770" s="47"/>
      <c r="J770" s="48"/>
      <c r="L770" s="45"/>
    </row>
    <row r="771" customFormat="false" ht="15" hidden="false" customHeight="false" outlineLevel="0" collapsed="false">
      <c r="C771" s="44"/>
      <c r="E771" s="44"/>
      <c r="F771" s="44"/>
      <c r="G771" s="48"/>
      <c r="H771" s="47"/>
      <c r="I771" s="47"/>
      <c r="J771" s="48"/>
      <c r="L771" s="45"/>
    </row>
    <row r="772" customFormat="false" ht="15" hidden="false" customHeight="false" outlineLevel="0" collapsed="false">
      <c r="C772" s="44"/>
      <c r="E772" s="44"/>
      <c r="F772" s="44"/>
      <c r="G772" s="48"/>
      <c r="H772" s="47"/>
      <c r="I772" s="47"/>
      <c r="J772" s="48"/>
      <c r="L772" s="45"/>
    </row>
    <row r="773" customFormat="false" ht="15" hidden="false" customHeight="false" outlineLevel="0" collapsed="false">
      <c r="C773" s="44"/>
      <c r="E773" s="44"/>
      <c r="F773" s="44"/>
      <c r="G773" s="48"/>
      <c r="H773" s="47"/>
      <c r="I773" s="47"/>
      <c r="J773" s="48"/>
      <c r="L773" s="45"/>
    </row>
    <row r="774" customFormat="false" ht="15" hidden="false" customHeight="false" outlineLevel="0" collapsed="false">
      <c r="C774" s="44"/>
      <c r="E774" s="44"/>
      <c r="F774" s="44"/>
      <c r="G774" s="48"/>
      <c r="H774" s="47"/>
      <c r="I774" s="47"/>
      <c r="J774" s="48"/>
      <c r="L774" s="45"/>
    </row>
    <row r="775" customFormat="false" ht="15" hidden="false" customHeight="false" outlineLevel="0" collapsed="false">
      <c r="C775" s="44"/>
      <c r="E775" s="44"/>
      <c r="F775" s="44"/>
      <c r="G775" s="48"/>
      <c r="H775" s="47"/>
      <c r="I775" s="47"/>
      <c r="J775" s="48"/>
      <c r="L775" s="45"/>
    </row>
    <row r="776" customFormat="false" ht="15" hidden="false" customHeight="false" outlineLevel="0" collapsed="false">
      <c r="C776" s="44"/>
      <c r="E776" s="44"/>
      <c r="F776" s="44"/>
      <c r="G776" s="48"/>
      <c r="H776" s="47"/>
      <c r="I776" s="47"/>
      <c r="J776" s="48"/>
      <c r="L776" s="45"/>
    </row>
    <row r="777" customFormat="false" ht="15" hidden="false" customHeight="false" outlineLevel="0" collapsed="false">
      <c r="C777" s="44"/>
      <c r="E777" s="44"/>
      <c r="F777" s="44"/>
      <c r="G777" s="48"/>
      <c r="H777" s="47"/>
      <c r="I777" s="47"/>
      <c r="J777" s="48"/>
      <c r="L777" s="45"/>
    </row>
    <row r="778" customFormat="false" ht="15" hidden="false" customHeight="false" outlineLevel="0" collapsed="false">
      <c r="C778" s="44"/>
      <c r="E778" s="44"/>
      <c r="F778" s="44"/>
      <c r="G778" s="48"/>
      <c r="H778" s="47"/>
      <c r="I778" s="47"/>
      <c r="J778" s="48"/>
      <c r="L778" s="45"/>
    </row>
    <row r="779" customFormat="false" ht="15" hidden="false" customHeight="false" outlineLevel="0" collapsed="false">
      <c r="C779" s="44"/>
      <c r="E779" s="44"/>
      <c r="F779" s="44"/>
      <c r="G779" s="48"/>
      <c r="H779" s="47"/>
      <c r="I779" s="47"/>
      <c r="J779" s="48"/>
      <c r="L779" s="45"/>
    </row>
    <row r="780" customFormat="false" ht="15" hidden="false" customHeight="false" outlineLevel="0" collapsed="false">
      <c r="C780" s="44"/>
      <c r="E780" s="44"/>
      <c r="F780" s="44"/>
      <c r="G780" s="48"/>
      <c r="H780" s="47"/>
      <c r="I780" s="47"/>
      <c r="J780" s="48"/>
      <c r="L780" s="45"/>
    </row>
    <row r="781" customFormat="false" ht="15" hidden="false" customHeight="false" outlineLevel="0" collapsed="false">
      <c r="C781" s="44"/>
      <c r="E781" s="44"/>
      <c r="F781" s="44"/>
      <c r="G781" s="48"/>
      <c r="H781" s="47"/>
      <c r="I781" s="47"/>
      <c r="J781" s="48"/>
      <c r="L781" s="45"/>
    </row>
    <row r="782" customFormat="false" ht="15" hidden="false" customHeight="false" outlineLevel="0" collapsed="false">
      <c r="C782" s="44"/>
      <c r="E782" s="44"/>
      <c r="F782" s="44"/>
      <c r="G782" s="48"/>
      <c r="H782" s="47"/>
      <c r="I782" s="47"/>
      <c r="J782" s="48"/>
      <c r="L782" s="45"/>
    </row>
    <row r="783" customFormat="false" ht="15" hidden="false" customHeight="false" outlineLevel="0" collapsed="false">
      <c r="C783" s="44"/>
      <c r="E783" s="44"/>
      <c r="F783" s="44"/>
      <c r="G783" s="48"/>
      <c r="H783" s="47"/>
      <c r="I783" s="47"/>
      <c r="J783" s="48"/>
      <c r="L783" s="45"/>
    </row>
    <row r="784" customFormat="false" ht="15" hidden="false" customHeight="false" outlineLevel="0" collapsed="false">
      <c r="C784" s="44"/>
      <c r="E784" s="44"/>
      <c r="F784" s="44"/>
      <c r="G784" s="48"/>
      <c r="H784" s="47"/>
      <c r="I784" s="47"/>
      <c r="J784" s="48"/>
      <c r="L784" s="45"/>
    </row>
    <row r="785" customFormat="false" ht="15" hidden="false" customHeight="false" outlineLevel="0" collapsed="false">
      <c r="C785" s="44"/>
      <c r="E785" s="44"/>
      <c r="F785" s="44"/>
      <c r="G785" s="48"/>
      <c r="H785" s="47"/>
      <c r="I785" s="47"/>
      <c r="J785" s="48"/>
      <c r="L785" s="45"/>
    </row>
    <row r="786" customFormat="false" ht="15" hidden="false" customHeight="false" outlineLevel="0" collapsed="false">
      <c r="C786" s="44"/>
      <c r="E786" s="44"/>
      <c r="F786" s="44"/>
      <c r="G786" s="48"/>
      <c r="H786" s="47"/>
      <c r="I786" s="47"/>
      <c r="J786" s="48"/>
      <c r="L786" s="45"/>
    </row>
    <row r="787" customFormat="false" ht="15" hidden="false" customHeight="false" outlineLevel="0" collapsed="false">
      <c r="C787" s="44"/>
      <c r="E787" s="44"/>
      <c r="F787" s="44"/>
      <c r="G787" s="48"/>
      <c r="H787" s="47"/>
      <c r="I787" s="47"/>
      <c r="J787" s="48"/>
      <c r="L787" s="45"/>
    </row>
    <row r="788" customFormat="false" ht="15" hidden="false" customHeight="false" outlineLevel="0" collapsed="false">
      <c r="C788" s="44"/>
      <c r="E788" s="44"/>
      <c r="F788" s="44"/>
      <c r="G788" s="48"/>
      <c r="H788" s="47"/>
      <c r="I788" s="47"/>
      <c r="J788" s="48"/>
      <c r="L788" s="45"/>
    </row>
    <row r="789" customFormat="false" ht="15" hidden="false" customHeight="false" outlineLevel="0" collapsed="false">
      <c r="C789" s="44"/>
      <c r="E789" s="44"/>
      <c r="F789" s="44"/>
      <c r="G789" s="48"/>
      <c r="H789" s="47"/>
      <c r="I789" s="47"/>
      <c r="J789" s="48"/>
      <c r="L789" s="45"/>
    </row>
    <row r="790" customFormat="false" ht="15" hidden="false" customHeight="false" outlineLevel="0" collapsed="false">
      <c r="C790" s="44"/>
      <c r="E790" s="44"/>
      <c r="F790" s="44"/>
      <c r="G790" s="48"/>
      <c r="H790" s="47"/>
      <c r="I790" s="47"/>
      <c r="J790" s="48"/>
      <c r="L790" s="45"/>
    </row>
    <row r="791" customFormat="false" ht="15" hidden="false" customHeight="false" outlineLevel="0" collapsed="false">
      <c r="C791" s="44"/>
      <c r="E791" s="44"/>
      <c r="F791" s="44"/>
      <c r="G791" s="48"/>
      <c r="H791" s="47"/>
      <c r="I791" s="47"/>
      <c r="J791" s="48"/>
      <c r="L791" s="45"/>
    </row>
    <row r="792" customFormat="false" ht="15" hidden="false" customHeight="false" outlineLevel="0" collapsed="false">
      <c r="C792" s="44"/>
      <c r="E792" s="44"/>
      <c r="F792" s="44"/>
      <c r="G792" s="48"/>
      <c r="H792" s="47"/>
      <c r="I792" s="47"/>
      <c r="J792" s="48"/>
      <c r="L792" s="45"/>
    </row>
    <row r="793" customFormat="false" ht="15" hidden="false" customHeight="false" outlineLevel="0" collapsed="false">
      <c r="C793" s="44"/>
      <c r="E793" s="44"/>
      <c r="F793" s="44"/>
      <c r="G793" s="48"/>
      <c r="H793" s="47"/>
      <c r="I793" s="47"/>
      <c r="J793" s="48"/>
      <c r="L793" s="45"/>
    </row>
    <row r="794" customFormat="false" ht="15" hidden="false" customHeight="false" outlineLevel="0" collapsed="false">
      <c r="C794" s="44"/>
      <c r="E794" s="44"/>
      <c r="F794" s="44"/>
      <c r="G794" s="48"/>
      <c r="H794" s="47"/>
      <c r="I794" s="47"/>
      <c r="J794" s="48"/>
      <c r="L794" s="45"/>
    </row>
    <row r="795" customFormat="false" ht="15" hidden="false" customHeight="false" outlineLevel="0" collapsed="false">
      <c r="C795" s="44"/>
      <c r="E795" s="44"/>
      <c r="F795" s="44"/>
      <c r="G795" s="48"/>
      <c r="H795" s="47"/>
      <c r="I795" s="47"/>
      <c r="J795" s="48"/>
      <c r="L795" s="45"/>
    </row>
    <row r="796" customFormat="false" ht="15" hidden="false" customHeight="false" outlineLevel="0" collapsed="false">
      <c r="C796" s="44"/>
      <c r="E796" s="44"/>
      <c r="F796" s="44"/>
      <c r="G796" s="48"/>
      <c r="H796" s="47"/>
      <c r="I796" s="47"/>
      <c r="J796" s="48"/>
      <c r="L796" s="45"/>
    </row>
    <row r="797" customFormat="false" ht="15" hidden="false" customHeight="false" outlineLevel="0" collapsed="false">
      <c r="C797" s="44"/>
      <c r="E797" s="44"/>
      <c r="F797" s="44"/>
      <c r="G797" s="48"/>
      <c r="H797" s="47"/>
      <c r="I797" s="47"/>
      <c r="J797" s="48"/>
      <c r="L797" s="45"/>
    </row>
    <row r="798" customFormat="false" ht="15" hidden="false" customHeight="false" outlineLevel="0" collapsed="false">
      <c r="C798" s="44"/>
      <c r="E798" s="44"/>
      <c r="F798" s="44"/>
      <c r="G798" s="48"/>
      <c r="H798" s="47"/>
      <c r="I798" s="47"/>
      <c r="J798" s="48"/>
      <c r="L798" s="45"/>
    </row>
    <row r="799" customFormat="false" ht="15" hidden="false" customHeight="false" outlineLevel="0" collapsed="false">
      <c r="C799" s="44"/>
      <c r="E799" s="44"/>
      <c r="F799" s="44"/>
      <c r="G799" s="48"/>
      <c r="H799" s="47"/>
      <c r="I799" s="47"/>
      <c r="J799" s="48"/>
      <c r="L799" s="45"/>
    </row>
    <row r="800" customFormat="false" ht="15" hidden="false" customHeight="false" outlineLevel="0" collapsed="false">
      <c r="C800" s="44"/>
      <c r="E800" s="44"/>
      <c r="F800" s="44"/>
      <c r="G800" s="48"/>
      <c r="H800" s="47"/>
      <c r="I800" s="47"/>
      <c r="J800" s="48"/>
      <c r="L800" s="45"/>
    </row>
    <row r="801" customFormat="false" ht="15" hidden="false" customHeight="false" outlineLevel="0" collapsed="false">
      <c r="C801" s="44"/>
      <c r="E801" s="44"/>
      <c r="F801" s="44"/>
      <c r="G801" s="48"/>
      <c r="H801" s="47"/>
      <c r="I801" s="47"/>
      <c r="J801" s="48"/>
      <c r="L801" s="45"/>
    </row>
    <row r="802" customFormat="false" ht="15" hidden="false" customHeight="false" outlineLevel="0" collapsed="false">
      <c r="C802" s="44"/>
      <c r="E802" s="44"/>
      <c r="F802" s="44"/>
      <c r="G802" s="48"/>
      <c r="H802" s="47"/>
      <c r="I802" s="47"/>
      <c r="J802" s="48"/>
      <c r="L802" s="45"/>
    </row>
    <row r="803" customFormat="false" ht="15" hidden="false" customHeight="false" outlineLevel="0" collapsed="false">
      <c r="C803" s="44"/>
      <c r="E803" s="44"/>
      <c r="F803" s="44"/>
      <c r="G803" s="48"/>
      <c r="H803" s="47"/>
      <c r="I803" s="47"/>
      <c r="J803" s="48"/>
      <c r="L803" s="45"/>
    </row>
    <row r="804" customFormat="false" ht="15" hidden="false" customHeight="false" outlineLevel="0" collapsed="false">
      <c r="C804" s="44"/>
      <c r="E804" s="44"/>
      <c r="F804" s="44"/>
      <c r="G804" s="48"/>
      <c r="H804" s="47"/>
      <c r="I804" s="47"/>
      <c r="J804" s="48"/>
      <c r="L804" s="45"/>
    </row>
    <row r="805" customFormat="false" ht="15" hidden="false" customHeight="false" outlineLevel="0" collapsed="false">
      <c r="C805" s="44"/>
      <c r="E805" s="44"/>
      <c r="F805" s="44"/>
      <c r="G805" s="48"/>
      <c r="H805" s="47"/>
      <c r="I805" s="47"/>
      <c r="J805" s="48"/>
      <c r="L805" s="45"/>
    </row>
    <row r="806" customFormat="false" ht="15" hidden="false" customHeight="false" outlineLevel="0" collapsed="false">
      <c r="C806" s="44"/>
      <c r="E806" s="44"/>
      <c r="F806" s="44"/>
      <c r="G806" s="48"/>
      <c r="H806" s="47"/>
      <c r="I806" s="47"/>
      <c r="J806" s="48"/>
      <c r="L806" s="45"/>
    </row>
    <row r="807" customFormat="false" ht="15" hidden="false" customHeight="false" outlineLevel="0" collapsed="false">
      <c r="C807" s="44"/>
      <c r="E807" s="44"/>
      <c r="F807" s="44"/>
      <c r="G807" s="48"/>
      <c r="H807" s="47"/>
      <c r="I807" s="47"/>
      <c r="J807" s="48"/>
      <c r="L807" s="45"/>
    </row>
    <row r="808" customFormat="false" ht="15" hidden="false" customHeight="false" outlineLevel="0" collapsed="false">
      <c r="C808" s="44"/>
      <c r="E808" s="44"/>
      <c r="F808" s="44"/>
      <c r="G808" s="48"/>
      <c r="H808" s="47"/>
      <c r="I808" s="47"/>
      <c r="J808" s="48"/>
      <c r="L808" s="45"/>
    </row>
    <row r="809" customFormat="false" ht="15" hidden="false" customHeight="false" outlineLevel="0" collapsed="false">
      <c r="C809" s="44"/>
      <c r="E809" s="44"/>
      <c r="F809" s="44"/>
      <c r="G809" s="48"/>
      <c r="H809" s="47"/>
      <c r="I809" s="47"/>
      <c r="J809" s="48"/>
      <c r="L809" s="45"/>
    </row>
    <row r="810" customFormat="false" ht="15" hidden="false" customHeight="false" outlineLevel="0" collapsed="false">
      <c r="C810" s="44"/>
      <c r="E810" s="44"/>
      <c r="F810" s="44"/>
      <c r="G810" s="48"/>
      <c r="H810" s="47"/>
      <c r="I810" s="47"/>
      <c r="J810" s="48"/>
      <c r="L810" s="45"/>
    </row>
    <row r="811" customFormat="false" ht="15" hidden="false" customHeight="false" outlineLevel="0" collapsed="false">
      <c r="C811" s="44"/>
      <c r="E811" s="44"/>
      <c r="F811" s="44"/>
      <c r="G811" s="48"/>
      <c r="H811" s="47"/>
      <c r="I811" s="47"/>
      <c r="J811" s="48"/>
      <c r="L811" s="45"/>
    </row>
    <row r="812" customFormat="false" ht="15" hidden="false" customHeight="false" outlineLevel="0" collapsed="false">
      <c r="C812" s="44"/>
      <c r="E812" s="44"/>
      <c r="F812" s="44"/>
      <c r="G812" s="48"/>
      <c r="H812" s="47"/>
      <c r="I812" s="47"/>
      <c r="J812" s="48"/>
      <c r="L812" s="45"/>
    </row>
    <row r="813" customFormat="false" ht="15" hidden="false" customHeight="false" outlineLevel="0" collapsed="false">
      <c r="C813" s="44"/>
      <c r="E813" s="44"/>
      <c r="F813" s="44"/>
      <c r="G813" s="48"/>
      <c r="H813" s="47"/>
      <c r="I813" s="47"/>
      <c r="J813" s="48"/>
      <c r="L813" s="45"/>
    </row>
    <row r="814" customFormat="false" ht="15" hidden="false" customHeight="false" outlineLevel="0" collapsed="false">
      <c r="C814" s="44"/>
      <c r="E814" s="44"/>
      <c r="F814" s="44"/>
      <c r="G814" s="48"/>
      <c r="H814" s="47"/>
      <c r="I814" s="47"/>
      <c r="J814" s="48"/>
      <c r="L814" s="45"/>
    </row>
    <row r="815" customFormat="false" ht="15" hidden="false" customHeight="false" outlineLevel="0" collapsed="false">
      <c r="C815" s="44"/>
      <c r="E815" s="44"/>
      <c r="F815" s="44"/>
      <c r="G815" s="48"/>
      <c r="H815" s="47"/>
      <c r="I815" s="47"/>
      <c r="J815" s="48"/>
      <c r="L815" s="45"/>
    </row>
    <row r="816" customFormat="false" ht="15" hidden="false" customHeight="false" outlineLevel="0" collapsed="false">
      <c r="C816" s="44"/>
      <c r="E816" s="44"/>
      <c r="F816" s="44"/>
      <c r="G816" s="48"/>
      <c r="H816" s="47"/>
      <c r="I816" s="47"/>
      <c r="J816" s="48"/>
      <c r="L816" s="45"/>
    </row>
    <row r="817" customFormat="false" ht="15" hidden="false" customHeight="false" outlineLevel="0" collapsed="false">
      <c r="C817" s="44"/>
      <c r="E817" s="44"/>
      <c r="F817" s="44"/>
      <c r="G817" s="48"/>
      <c r="H817" s="47"/>
      <c r="I817" s="47"/>
      <c r="J817" s="48"/>
      <c r="L817" s="45"/>
    </row>
    <row r="818" customFormat="false" ht="15" hidden="false" customHeight="false" outlineLevel="0" collapsed="false">
      <c r="C818" s="44"/>
      <c r="E818" s="44"/>
      <c r="F818" s="44"/>
      <c r="G818" s="48"/>
      <c r="H818" s="47"/>
      <c r="I818" s="47"/>
      <c r="J818" s="48"/>
      <c r="L818" s="45"/>
    </row>
    <row r="819" customFormat="false" ht="15" hidden="false" customHeight="false" outlineLevel="0" collapsed="false">
      <c r="C819" s="44"/>
      <c r="E819" s="44"/>
      <c r="F819" s="44"/>
      <c r="G819" s="48"/>
      <c r="H819" s="47"/>
      <c r="I819" s="47"/>
      <c r="J819" s="48"/>
      <c r="L819" s="45"/>
    </row>
    <row r="820" customFormat="false" ht="15" hidden="false" customHeight="false" outlineLevel="0" collapsed="false">
      <c r="C820" s="44"/>
      <c r="E820" s="44"/>
      <c r="F820" s="44"/>
      <c r="G820" s="48"/>
      <c r="H820" s="47"/>
      <c r="I820" s="47"/>
      <c r="J820" s="48"/>
      <c r="L820" s="45"/>
    </row>
    <row r="821" customFormat="false" ht="15" hidden="false" customHeight="false" outlineLevel="0" collapsed="false">
      <c r="C821" s="44"/>
      <c r="E821" s="44"/>
      <c r="F821" s="44"/>
      <c r="G821" s="48"/>
      <c r="H821" s="47"/>
      <c r="I821" s="47"/>
      <c r="J821" s="48"/>
      <c r="L821" s="45"/>
    </row>
    <row r="822" customFormat="false" ht="15" hidden="false" customHeight="false" outlineLevel="0" collapsed="false">
      <c r="C822" s="44"/>
      <c r="E822" s="44"/>
      <c r="F822" s="44"/>
      <c r="G822" s="48"/>
      <c r="H822" s="47"/>
      <c r="I822" s="47"/>
      <c r="J822" s="48"/>
      <c r="L822" s="45"/>
    </row>
    <row r="823" customFormat="false" ht="15" hidden="false" customHeight="false" outlineLevel="0" collapsed="false">
      <c r="C823" s="44"/>
      <c r="E823" s="44"/>
      <c r="F823" s="44"/>
      <c r="G823" s="48"/>
      <c r="H823" s="47"/>
      <c r="I823" s="47"/>
      <c r="J823" s="48"/>
      <c r="L823" s="45"/>
    </row>
    <row r="824" customFormat="false" ht="15" hidden="false" customHeight="false" outlineLevel="0" collapsed="false">
      <c r="C824" s="44"/>
      <c r="E824" s="44"/>
      <c r="F824" s="44"/>
      <c r="G824" s="48"/>
      <c r="H824" s="47"/>
      <c r="I824" s="47"/>
      <c r="J824" s="48"/>
      <c r="L824" s="45"/>
    </row>
    <row r="825" customFormat="false" ht="15" hidden="false" customHeight="false" outlineLevel="0" collapsed="false">
      <c r="C825" s="44"/>
      <c r="E825" s="44"/>
      <c r="F825" s="44"/>
      <c r="G825" s="48"/>
      <c r="H825" s="47"/>
      <c r="I825" s="47"/>
      <c r="J825" s="48"/>
      <c r="L825" s="45"/>
    </row>
    <row r="826" customFormat="false" ht="15" hidden="false" customHeight="false" outlineLevel="0" collapsed="false">
      <c r="C826" s="44"/>
      <c r="E826" s="44"/>
      <c r="F826" s="44"/>
      <c r="G826" s="48"/>
      <c r="H826" s="47"/>
      <c r="I826" s="47"/>
      <c r="J826" s="48"/>
      <c r="L826" s="45"/>
    </row>
    <row r="827" customFormat="false" ht="15" hidden="false" customHeight="false" outlineLevel="0" collapsed="false">
      <c r="C827" s="44"/>
      <c r="E827" s="44"/>
      <c r="F827" s="44"/>
      <c r="G827" s="48"/>
      <c r="H827" s="47"/>
      <c r="I827" s="47"/>
      <c r="J827" s="48"/>
      <c r="L827" s="45"/>
    </row>
    <row r="828" customFormat="false" ht="15" hidden="false" customHeight="false" outlineLevel="0" collapsed="false">
      <c r="C828" s="44"/>
      <c r="E828" s="44"/>
      <c r="F828" s="44"/>
      <c r="G828" s="48"/>
      <c r="H828" s="47"/>
      <c r="I828" s="47"/>
      <c r="J828" s="48"/>
      <c r="L828" s="45"/>
    </row>
    <row r="829" customFormat="false" ht="15" hidden="false" customHeight="false" outlineLevel="0" collapsed="false">
      <c r="C829" s="44"/>
      <c r="E829" s="44"/>
      <c r="F829" s="44"/>
      <c r="G829" s="48"/>
      <c r="H829" s="47"/>
      <c r="I829" s="47"/>
      <c r="J829" s="48"/>
      <c r="L829" s="45"/>
    </row>
    <row r="830" customFormat="false" ht="15" hidden="false" customHeight="false" outlineLevel="0" collapsed="false">
      <c r="C830" s="44"/>
      <c r="E830" s="44"/>
      <c r="F830" s="44"/>
      <c r="G830" s="48"/>
      <c r="H830" s="47"/>
      <c r="I830" s="47"/>
      <c r="J830" s="48"/>
      <c r="L830" s="45"/>
    </row>
    <row r="831" customFormat="false" ht="15" hidden="false" customHeight="false" outlineLevel="0" collapsed="false">
      <c r="C831" s="44"/>
      <c r="E831" s="44"/>
      <c r="F831" s="44"/>
      <c r="G831" s="48"/>
      <c r="H831" s="47"/>
      <c r="I831" s="47"/>
      <c r="J831" s="48"/>
      <c r="L831" s="45"/>
    </row>
    <row r="832" customFormat="false" ht="15" hidden="false" customHeight="false" outlineLevel="0" collapsed="false">
      <c r="C832" s="44"/>
      <c r="E832" s="44"/>
      <c r="F832" s="44"/>
      <c r="G832" s="48"/>
      <c r="H832" s="47"/>
      <c r="I832" s="47"/>
      <c r="J832" s="48"/>
      <c r="L832" s="45"/>
    </row>
    <row r="833" customFormat="false" ht="15" hidden="false" customHeight="false" outlineLevel="0" collapsed="false">
      <c r="C833" s="44"/>
      <c r="E833" s="44"/>
      <c r="F833" s="44"/>
      <c r="G833" s="48"/>
      <c r="H833" s="47"/>
      <c r="I833" s="47"/>
      <c r="J833" s="48"/>
      <c r="L833" s="45"/>
    </row>
    <row r="834" customFormat="false" ht="15" hidden="false" customHeight="false" outlineLevel="0" collapsed="false">
      <c r="C834" s="44"/>
      <c r="E834" s="44"/>
      <c r="F834" s="44"/>
      <c r="G834" s="48"/>
      <c r="H834" s="47"/>
      <c r="I834" s="47"/>
      <c r="J834" s="48"/>
      <c r="L834" s="45"/>
    </row>
    <row r="835" customFormat="false" ht="15" hidden="false" customHeight="false" outlineLevel="0" collapsed="false">
      <c r="C835" s="44"/>
      <c r="E835" s="44"/>
      <c r="F835" s="44"/>
      <c r="G835" s="48"/>
      <c r="H835" s="47"/>
      <c r="I835" s="47"/>
      <c r="J835" s="48"/>
      <c r="L835" s="45"/>
    </row>
    <row r="836" customFormat="false" ht="15" hidden="false" customHeight="false" outlineLevel="0" collapsed="false">
      <c r="C836" s="44"/>
      <c r="E836" s="44"/>
      <c r="F836" s="44"/>
      <c r="G836" s="48"/>
      <c r="H836" s="47"/>
      <c r="I836" s="47"/>
      <c r="J836" s="48"/>
      <c r="L836" s="45"/>
    </row>
    <row r="837" customFormat="false" ht="15" hidden="false" customHeight="false" outlineLevel="0" collapsed="false">
      <c r="C837" s="44"/>
      <c r="E837" s="44"/>
      <c r="F837" s="44"/>
      <c r="G837" s="48"/>
      <c r="H837" s="47"/>
      <c r="I837" s="47"/>
      <c r="J837" s="48"/>
      <c r="L837" s="45"/>
    </row>
    <row r="838" customFormat="false" ht="15" hidden="false" customHeight="false" outlineLevel="0" collapsed="false">
      <c r="C838" s="44"/>
      <c r="E838" s="44"/>
      <c r="F838" s="44"/>
      <c r="G838" s="48"/>
      <c r="H838" s="47"/>
      <c r="I838" s="47"/>
      <c r="J838" s="48"/>
      <c r="L838" s="45"/>
    </row>
    <row r="839" customFormat="false" ht="15" hidden="false" customHeight="false" outlineLevel="0" collapsed="false">
      <c r="C839" s="44"/>
      <c r="E839" s="44"/>
      <c r="F839" s="44"/>
      <c r="G839" s="48"/>
      <c r="H839" s="47"/>
      <c r="I839" s="47"/>
      <c r="J839" s="48"/>
      <c r="L839" s="45"/>
    </row>
    <row r="840" customFormat="false" ht="15" hidden="false" customHeight="false" outlineLevel="0" collapsed="false">
      <c r="C840" s="44"/>
      <c r="E840" s="44"/>
      <c r="F840" s="44"/>
      <c r="G840" s="48"/>
      <c r="H840" s="47"/>
      <c r="I840" s="47"/>
      <c r="J840" s="48"/>
      <c r="L840" s="45"/>
    </row>
    <row r="841" customFormat="false" ht="15" hidden="false" customHeight="false" outlineLevel="0" collapsed="false">
      <c r="C841" s="44"/>
      <c r="E841" s="44"/>
      <c r="F841" s="44"/>
      <c r="G841" s="48"/>
      <c r="H841" s="47"/>
      <c r="I841" s="47"/>
      <c r="J841" s="48"/>
      <c r="L841" s="45"/>
    </row>
    <row r="842" customFormat="false" ht="15" hidden="false" customHeight="false" outlineLevel="0" collapsed="false">
      <c r="C842" s="44"/>
      <c r="E842" s="44"/>
      <c r="F842" s="44"/>
      <c r="G842" s="48"/>
      <c r="H842" s="47"/>
      <c r="I842" s="47"/>
      <c r="J842" s="48"/>
      <c r="L842" s="45"/>
    </row>
    <row r="843" customFormat="false" ht="15" hidden="false" customHeight="false" outlineLevel="0" collapsed="false">
      <c r="C843" s="44"/>
      <c r="E843" s="44"/>
      <c r="F843" s="44"/>
      <c r="G843" s="48"/>
      <c r="H843" s="47"/>
      <c r="I843" s="47"/>
      <c r="J843" s="48"/>
      <c r="L843" s="45"/>
    </row>
    <row r="844" customFormat="false" ht="15" hidden="false" customHeight="false" outlineLevel="0" collapsed="false">
      <c r="C844" s="44"/>
      <c r="E844" s="44"/>
      <c r="F844" s="44"/>
      <c r="G844" s="48"/>
      <c r="H844" s="47"/>
      <c r="I844" s="47"/>
      <c r="J844" s="48"/>
      <c r="L844" s="45"/>
    </row>
    <row r="845" customFormat="false" ht="15" hidden="false" customHeight="false" outlineLevel="0" collapsed="false">
      <c r="C845" s="44"/>
      <c r="E845" s="44"/>
      <c r="F845" s="44"/>
      <c r="G845" s="48"/>
      <c r="H845" s="47"/>
      <c r="I845" s="47"/>
      <c r="J845" s="48"/>
      <c r="L845" s="45"/>
    </row>
    <row r="846" customFormat="false" ht="15" hidden="false" customHeight="false" outlineLevel="0" collapsed="false">
      <c r="C846" s="44"/>
      <c r="E846" s="44"/>
      <c r="F846" s="44"/>
      <c r="G846" s="48"/>
      <c r="H846" s="47"/>
      <c r="I846" s="47"/>
      <c r="J846" s="48"/>
      <c r="L846" s="45"/>
    </row>
    <row r="847" customFormat="false" ht="15" hidden="false" customHeight="false" outlineLevel="0" collapsed="false">
      <c r="C847" s="44"/>
      <c r="E847" s="44"/>
      <c r="F847" s="44"/>
      <c r="G847" s="48"/>
      <c r="H847" s="47"/>
      <c r="I847" s="47"/>
      <c r="J847" s="48"/>
      <c r="L847" s="45"/>
    </row>
    <row r="848" customFormat="false" ht="15" hidden="false" customHeight="false" outlineLevel="0" collapsed="false">
      <c r="C848" s="44"/>
      <c r="E848" s="44"/>
      <c r="F848" s="44"/>
      <c r="G848" s="48"/>
      <c r="H848" s="47"/>
      <c r="I848" s="47"/>
      <c r="J848" s="48"/>
      <c r="L848" s="45"/>
    </row>
    <row r="849" customFormat="false" ht="15" hidden="false" customHeight="false" outlineLevel="0" collapsed="false">
      <c r="C849" s="44"/>
      <c r="E849" s="44"/>
      <c r="F849" s="44"/>
      <c r="G849" s="48"/>
      <c r="H849" s="47"/>
      <c r="I849" s="47"/>
      <c r="J849" s="48"/>
      <c r="L849" s="45"/>
    </row>
    <row r="850" customFormat="false" ht="15" hidden="false" customHeight="false" outlineLevel="0" collapsed="false">
      <c r="C850" s="44"/>
      <c r="E850" s="44"/>
      <c r="F850" s="44"/>
      <c r="G850" s="48"/>
      <c r="H850" s="47"/>
      <c r="I850" s="47"/>
      <c r="J850" s="48"/>
      <c r="L850" s="45"/>
    </row>
    <row r="851" customFormat="false" ht="15" hidden="false" customHeight="false" outlineLevel="0" collapsed="false">
      <c r="C851" s="44"/>
      <c r="E851" s="44"/>
      <c r="F851" s="44"/>
      <c r="G851" s="48"/>
      <c r="H851" s="47"/>
      <c r="I851" s="47"/>
      <c r="J851" s="48"/>
      <c r="L851" s="45"/>
    </row>
    <row r="852" customFormat="false" ht="15" hidden="false" customHeight="false" outlineLevel="0" collapsed="false">
      <c r="C852" s="44"/>
      <c r="E852" s="44"/>
      <c r="F852" s="44"/>
      <c r="G852" s="48"/>
      <c r="H852" s="47"/>
      <c r="I852" s="47"/>
      <c r="J852" s="48"/>
      <c r="L852" s="45"/>
    </row>
    <row r="853" customFormat="false" ht="15" hidden="false" customHeight="false" outlineLevel="0" collapsed="false">
      <c r="C853" s="44"/>
      <c r="E853" s="44"/>
      <c r="F853" s="44"/>
      <c r="G853" s="48"/>
      <c r="H853" s="47"/>
      <c r="I853" s="47"/>
      <c r="J853" s="48"/>
      <c r="L853" s="45"/>
    </row>
    <row r="854" customFormat="false" ht="15" hidden="false" customHeight="false" outlineLevel="0" collapsed="false">
      <c r="C854" s="44"/>
      <c r="E854" s="44"/>
      <c r="F854" s="44"/>
      <c r="G854" s="48"/>
      <c r="H854" s="47"/>
      <c r="I854" s="47"/>
      <c r="J854" s="48"/>
      <c r="L854" s="45"/>
    </row>
    <row r="855" customFormat="false" ht="15" hidden="false" customHeight="false" outlineLevel="0" collapsed="false">
      <c r="C855" s="44"/>
      <c r="E855" s="44"/>
      <c r="F855" s="44"/>
      <c r="G855" s="48"/>
      <c r="H855" s="47"/>
      <c r="I855" s="47"/>
      <c r="J855" s="48"/>
      <c r="L855" s="45"/>
    </row>
    <row r="856" customFormat="false" ht="15" hidden="false" customHeight="false" outlineLevel="0" collapsed="false">
      <c r="C856" s="44"/>
      <c r="E856" s="44"/>
      <c r="F856" s="44"/>
      <c r="G856" s="48"/>
      <c r="H856" s="47"/>
      <c r="I856" s="47"/>
      <c r="J856" s="48"/>
      <c r="L856" s="45"/>
    </row>
    <row r="857" customFormat="false" ht="15" hidden="false" customHeight="false" outlineLevel="0" collapsed="false">
      <c r="C857" s="44"/>
      <c r="E857" s="44"/>
      <c r="F857" s="44"/>
      <c r="G857" s="48"/>
      <c r="H857" s="47"/>
      <c r="I857" s="47"/>
      <c r="J857" s="48"/>
      <c r="L857" s="45"/>
    </row>
    <row r="858" customFormat="false" ht="15" hidden="false" customHeight="false" outlineLevel="0" collapsed="false">
      <c r="C858" s="44"/>
      <c r="E858" s="44"/>
      <c r="F858" s="44"/>
      <c r="G858" s="48"/>
      <c r="H858" s="47"/>
      <c r="I858" s="47"/>
      <c r="J858" s="48"/>
      <c r="L858" s="45"/>
    </row>
    <row r="859" customFormat="false" ht="15" hidden="false" customHeight="false" outlineLevel="0" collapsed="false">
      <c r="C859" s="44"/>
      <c r="E859" s="44"/>
      <c r="F859" s="44"/>
      <c r="G859" s="48"/>
      <c r="H859" s="47"/>
      <c r="I859" s="47"/>
      <c r="J859" s="48"/>
      <c r="L859" s="45"/>
    </row>
    <row r="860" customFormat="false" ht="15" hidden="false" customHeight="false" outlineLevel="0" collapsed="false">
      <c r="C860" s="44"/>
      <c r="E860" s="44"/>
      <c r="F860" s="44"/>
      <c r="G860" s="48"/>
      <c r="H860" s="47"/>
      <c r="I860" s="47"/>
      <c r="J860" s="48"/>
      <c r="L860" s="45"/>
    </row>
    <row r="861" customFormat="false" ht="15" hidden="false" customHeight="false" outlineLevel="0" collapsed="false">
      <c r="C861" s="44"/>
      <c r="E861" s="44"/>
      <c r="F861" s="44"/>
      <c r="G861" s="48"/>
      <c r="H861" s="47"/>
      <c r="I861" s="47"/>
      <c r="J861" s="48"/>
      <c r="L861" s="45"/>
    </row>
    <row r="862" customFormat="false" ht="15" hidden="false" customHeight="false" outlineLevel="0" collapsed="false">
      <c r="C862" s="44"/>
      <c r="E862" s="44"/>
      <c r="F862" s="44"/>
      <c r="G862" s="48"/>
      <c r="H862" s="47"/>
      <c r="I862" s="47"/>
      <c r="J862" s="48"/>
      <c r="L862" s="45"/>
    </row>
    <row r="863" customFormat="false" ht="15" hidden="false" customHeight="false" outlineLevel="0" collapsed="false">
      <c r="C863" s="44"/>
      <c r="E863" s="44"/>
      <c r="F863" s="44"/>
      <c r="G863" s="48"/>
      <c r="H863" s="47"/>
      <c r="I863" s="47"/>
      <c r="J863" s="48"/>
      <c r="L863" s="45"/>
    </row>
    <row r="864" customFormat="false" ht="15" hidden="false" customHeight="false" outlineLevel="0" collapsed="false">
      <c r="C864" s="44"/>
      <c r="E864" s="44"/>
      <c r="F864" s="44"/>
      <c r="G864" s="48"/>
      <c r="H864" s="47"/>
      <c r="I864" s="47"/>
      <c r="J864" s="48"/>
      <c r="L864" s="45"/>
    </row>
    <row r="865" customFormat="false" ht="15" hidden="false" customHeight="false" outlineLevel="0" collapsed="false">
      <c r="C865" s="44"/>
      <c r="E865" s="44"/>
      <c r="F865" s="44"/>
      <c r="G865" s="48"/>
      <c r="H865" s="47"/>
      <c r="I865" s="47"/>
      <c r="J865" s="48"/>
      <c r="L865" s="45"/>
    </row>
    <row r="866" customFormat="false" ht="15" hidden="false" customHeight="false" outlineLevel="0" collapsed="false">
      <c r="C866" s="44"/>
      <c r="E866" s="44"/>
      <c r="F866" s="44"/>
      <c r="G866" s="48"/>
      <c r="H866" s="47"/>
      <c r="I866" s="47"/>
      <c r="J866" s="48"/>
      <c r="L866" s="45"/>
    </row>
    <row r="867" customFormat="false" ht="15" hidden="false" customHeight="false" outlineLevel="0" collapsed="false">
      <c r="C867" s="44"/>
      <c r="E867" s="44"/>
      <c r="F867" s="44"/>
      <c r="G867" s="48"/>
      <c r="H867" s="47"/>
      <c r="I867" s="47"/>
      <c r="J867" s="48"/>
      <c r="L867" s="45"/>
    </row>
    <row r="868" customFormat="false" ht="15" hidden="false" customHeight="false" outlineLevel="0" collapsed="false">
      <c r="C868" s="44"/>
      <c r="E868" s="44"/>
      <c r="F868" s="44"/>
      <c r="G868" s="48"/>
      <c r="H868" s="47"/>
      <c r="I868" s="47"/>
      <c r="J868" s="48"/>
      <c r="L868" s="45"/>
    </row>
    <row r="869" customFormat="false" ht="15" hidden="false" customHeight="false" outlineLevel="0" collapsed="false">
      <c r="C869" s="44"/>
      <c r="E869" s="44"/>
      <c r="F869" s="44"/>
      <c r="G869" s="48"/>
      <c r="H869" s="47"/>
      <c r="I869" s="47"/>
      <c r="J869" s="48"/>
      <c r="L869" s="45"/>
    </row>
    <row r="870" customFormat="false" ht="15" hidden="false" customHeight="false" outlineLevel="0" collapsed="false">
      <c r="C870" s="44"/>
      <c r="E870" s="44"/>
      <c r="F870" s="44"/>
      <c r="G870" s="48"/>
      <c r="H870" s="47"/>
      <c r="I870" s="47"/>
      <c r="J870" s="48"/>
      <c r="L870" s="45"/>
    </row>
    <row r="871" customFormat="false" ht="15" hidden="false" customHeight="false" outlineLevel="0" collapsed="false">
      <c r="C871" s="44"/>
      <c r="E871" s="44"/>
      <c r="F871" s="44"/>
      <c r="G871" s="48"/>
      <c r="H871" s="47"/>
      <c r="I871" s="47"/>
      <c r="J871" s="48"/>
      <c r="L871" s="45"/>
    </row>
    <row r="872" customFormat="false" ht="15" hidden="false" customHeight="false" outlineLevel="0" collapsed="false">
      <c r="C872" s="44"/>
      <c r="E872" s="44"/>
      <c r="F872" s="44"/>
      <c r="G872" s="48"/>
      <c r="H872" s="47"/>
      <c r="I872" s="47"/>
      <c r="J872" s="48"/>
      <c r="L872" s="45"/>
    </row>
    <row r="873" customFormat="false" ht="15" hidden="false" customHeight="false" outlineLevel="0" collapsed="false">
      <c r="C873" s="44"/>
      <c r="E873" s="44"/>
      <c r="F873" s="44"/>
      <c r="G873" s="48"/>
      <c r="H873" s="47"/>
      <c r="I873" s="47"/>
      <c r="J873" s="48"/>
      <c r="L873" s="45"/>
    </row>
    <row r="874" customFormat="false" ht="15" hidden="false" customHeight="false" outlineLevel="0" collapsed="false">
      <c r="C874" s="44"/>
      <c r="E874" s="44"/>
      <c r="F874" s="44"/>
      <c r="G874" s="48"/>
      <c r="H874" s="47"/>
      <c r="I874" s="47"/>
      <c r="J874" s="48"/>
      <c r="L874" s="45"/>
    </row>
    <row r="875" customFormat="false" ht="15" hidden="false" customHeight="false" outlineLevel="0" collapsed="false">
      <c r="C875" s="44"/>
      <c r="E875" s="44"/>
      <c r="F875" s="44"/>
      <c r="G875" s="48"/>
      <c r="H875" s="47"/>
      <c r="I875" s="47"/>
      <c r="J875" s="48"/>
      <c r="L875" s="45"/>
    </row>
    <row r="876" customFormat="false" ht="15" hidden="false" customHeight="false" outlineLevel="0" collapsed="false">
      <c r="C876" s="44"/>
      <c r="E876" s="44"/>
      <c r="F876" s="44"/>
      <c r="G876" s="48"/>
      <c r="H876" s="47"/>
      <c r="I876" s="47"/>
      <c r="J876" s="48"/>
      <c r="L876" s="45"/>
    </row>
    <row r="877" customFormat="false" ht="15" hidden="false" customHeight="false" outlineLevel="0" collapsed="false">
      <c r="C877" s="44"/>
      <c r="E877" s="44"/>
      <c r="F877" s="44"/>
      <c r="G877" s="48"/>
      <c r="H877" s="47"/>
      <c r="I877" s="47"/>
      <c r="J877" s="48"/>
      <c r="L877" s="45"/>
    </row>
    <row r="878" customFormat="false" ht="15" hidden="false" customHeight="false" outlineLevel="0" collapsed="false">
      <c r="C878" s="44"/>
      <c r="E878" s="44"/>
      <c r="F878" s="44"/>
      <c r="G878" s="48"/>
      <c r="H878" s="47"/>
      <c r="I878" s="47"/>
      <c r="J878" s="48"/>
      <c r="L878" s="45"/>
    </row>
    <row r="879" customFormat="false" ht="15" hidden="false" customHeight="false" outlineLevel="0" collapsed="false">
      <c r="C879" s="44"/>
      <c r="E879" s="44"/>
      <c r="F879" s="44"/>
      <c r="G879" s="48"/>
      <c r="H879" s="47"/>
      <c r="I879" s="47"/>
      <c r="J879" s="48"/>
      <c r="L879" s="45"/>
    </row>
    <row r="880" customFormat="false" ht="15" hidden="false" customHeight="false" outlineLevel="0" collapsed="false">
      <c r="C880" s="44"/>
      <c r="E880" s="44"/>
      <c r="F880" s="44"/>
      <c r="G880" s="48"/>
      <c r="H880" s="47"/>
      <c r="I880" s="47"/>
      <c r="J880" s="48"/>
      <c r="L880" s="45"/>
    </row>
    <row r="881" customFormat="false" ht="15" hidden="false" customHeight="false" outlineLevel="0" collapsed="false">
      <c r="C881" s="44"/>
      <c r="E881" s="44"/>
      <c r="F881" s="44"/>
      <c r="G881" s="48"/>
      <c r="H881" s="47"/>
      <c r="I881" s="47"/>
      <c r="J881" s="48"/>
      <c r="L881" s="45"/>
    </row>
    <row r="882" customFormat="false" ht="15" hidden="false" customHeight="false" outlineLevel="0" collapsed="false">
      <c r="C882" s="44"/>
      <c r="E882" s="44"/>
      <c r="F882" s="44"/>
      <c r="G882" s="48"/>
      <c r="H882" s="47"/>
      <c r="I882" s="47"/>
      <c r="J882" s="48"/>
      <c r="L882" s="45"/>
    </row>
    <row r="883" customFormat="false" ht="15" hidden="false" customHeight="false" outlineLevel="0" collapsed="false">
      <c r="C883" s="44"/>
      <c r="E883" s="44"/>
      <c r="F883" s="44"/>
      <c r="G883" s="48"/>
      <c r="H883" s="47"/>
      <c r="I883" s="47"/>
      <c r="J883" s="48"/>
      <c r="L883" s="45"/>
    </row>
    <row r="884" customFormat="false" ht="15" hidden="false" customHeight="false" outlineLevel="0" collapsed="false">
      <c r="C884" s="44"/>
      <c r="E884" s="44"/>
      <c r="F884" s="44"/>
      <c r="G884" s="48"/>
      <c r="H884" s="47"/>
      <c r="I884" s="47"/>
      <c r="J884" s="48"/>
      <c r="L884" s="45"/>
    </row>
    <row r="885" customFormat="false" ht="15" hidden="false" customHeight="false" outlineLevel="0" collapsed="false">
      <c r="C885" s="44"/>
      <c r="E885" s="44"/>
      <c r="F885" s="44"/>
      <c r="G885" s="48"/>
      <c r="H885" s="47"/>
      <c r="I885" s="47"/>
      <c r="J885" s="48"/>
      <c r="L885" s="45"/>
    </row>
    <row r="886" customFormat="false" ht="15" hidden="false" customHeight="false" outlineLevel="0" collapsed="false">
      <c r="C886" s="44"/>
      <c r="E886" s="44"/>
      <c r="F886" s="44"/>
      <c r="G886" s="48"/>
      <c r="H886" s="47"/>
      <c r="I886" s="47"/>
      <c r="J886" s="48"/>
      <c r="L886" s="45"/>
    </row>
    <row r="887" customFormat="false" ht="15" hidden="false" customHeight="false" outlineLevel="0" collapsed="false">
      <c r="C887" s="44"/>
      <c r="E887" s="44"/>
      <c r="F887" s="44"/>
      <c r="G887" s="48"/>
      <c r="H887" s="47"/>
      <c r="I887" s="47"/>
      <c r="J887" s="48"/>
      <c r="L887" s="45"/>
    </row>
    <row r="888" customFormat="false" ht="15" hidden="false" customHeight="false" outlineLevel="0" collapsed="false">
      <c r="C888" s="44"/>
      <c r="E888" s="44"/>
      <c r="F888" s="44"/>
      <c r="G888" s="48"/>
      <c r="H888" s="47"/>
      <c r="I888" s="47"/>
      <c r="J888" s="48"/>
      <c r="L888" s="45"/>
    </row>
    <row r="889" customFormat="false" ht="15" hidden="false" customHeight="false" outlineLevel="0" collapsed="false">
      <c r="C889" s="44"/>
      <c r="E889" s="44"/>
      <c r="F889" s="44"/>
      <c r="G889" s="48"/>
      <c r="H889" s="47"/>
      <c r="I889" s="47"/>
      <c r="J889" s="48"/>
      <c r="L889" s="45"/>
    </row>
    <row r="890" customFormat="false" ht="15" hidden="false" customHeight="false" outlineLevel="0" collapsed="false">
      <c r="C890" s="44"/>
      <c r="E890" s="44"/>
      <c r="F890" s="44"/>
      <c r="G890" s="48"/>
      <c r="H890" s="47"/>
      <c r="I890" s="47"/>
      <c r="J890" s="48"/>
      <c r="L890" s="45"/>
    </row>
    <row r="891" customFormat="false" ht="15" hidden="false" customHeight="false" outlineLevel="0" collapsed="false">
      <c r="C891" s="44"/>
      <c r="E891" s="44"/>
      <c r="F891" s="44"/>
      <c r="G891" s="48"/>
      <c r="H891" s="47"/>
      <c r="I891" s="47"/>
      <c r="J891" s="48"/>
      <c r="L891" s="45"/>
    </row>
    <row r="892" customFormat="false" ht="15" hidden="false" customHeight="false" outlineLevel="0" collapsed="false">
      <c r="C892" s="44"/>
      <c r="E892" s="44"/>
      <c r="F892" s="44"/>
      <c r="G892" s="48"/>
      <c r="H892" s="47"/>
      <c r="I892" s="47"/>
      <c r="J892" s="48"/>
      <c r="L892" s="45"/>
    </row>
    <row r="893" customFormat="false" ht="15" hidden="false" customHeight="false" outlineLevel="0" collapsed="false">
      <c r="C893" s="44"/>
      <c r="E893" s="44"/>
      <c r="F893" s="44"/>
      <c r="G893" s="48"/>
      <c r="H893" s="47"/>
      <c r="I893" s="47"/>
      <c r="J893" s="48"/>
      <c r="L893" s="45"/>
    </row>
    <row r="894" customFormat="false" ht="15" hidden="false" customHeight="false" outlineLevel="0" collapsed="false">
      <c r="C894" s="44"/>
      <c r="E894" s="44"/>
      <c r="F894" s="44"/>
      <c r="G894" s="48"/>
      <c r="H894" s="47"/>
      <c r="I894" s="47"/>
      <c r="J894" s="48"/>
      <c r="L894" s="45"/>
    </row>
    <row r="895" customFormat="false" ht="15" hidden="false" customHeight="false" outlineLevel="0" collapsed="false">
      <c r="C895" s="44"/>
      <c r="E895" s="44"/>
      <c r="F895" s="44"/>
      <c r="G895" s="48"/>
      <c r="H895" s="47"/>
      <c r="I895" s="47"/>
      <c r="J895" s="48"/>
      <c r="L895" s="45"/>
    </row>
    <row r="896" customFormat="false" ht="15" hidden="false" customHeight="false" outlineLevel="0" collapsed="false">
      <c r="C896" s="44"/>
      <c r="E896" s="44"/>
      <c r="F896" s="44"/>
      <c r="G896" s="48"/>
      <c r="H896" s="47"/>
      <c r="I896" s="47"/>
      <c r="J896" s="48"/>
      <c r="L896" s="45"/>
    </row>
    <row r="897" customFormat="false" ht="15" hidden="false" customHeight="false" outlineLevel="0" collapsed="false">
      <c r="C897" s="44"/>
      <c r="E897" s="44"/>
      <c r="F897" s="44"/>
      <c r="G897" s="48"/>
      <c r="H897" s="47"/>
      <c r="I897" s="47"/>
      <c r="J897" s="48"/>
      <c r="L897" s="45"/>
    </row>
    <row r="898" customFormat="false" ht="15" hidden="false" customHeight="false" outlineLevel="0" collapsed="false">
      <c r="C898" s="44"/>
      <c r="E898" s="44"/>
      <c r="F898" s="44"/>
      <c r="G898" s="48"/>
      <c r="H898" s="47"/>
      <c r="I898" s="47"/>
      <c r="J898" s="48"/>
      <c r="L898" s="45"/>
    </row>
    <row r="899" customFormat="false" ht="15" hidden="false" customHeight="false" outlineLevel="0" collapsed="false">
      <c r="C899" s="44"/>
      <c r="E899" s="44"/>
      <c r="F899" s="44"/>
      <c r="G899" s="48"/>
      <c r="H899" s="47"/>
      <c r="I899" s="47"/>
      <c r="J899" s="48"/>
      <c r="L899" s="45"/>
    </row>
    <row r="900" customFormat="false" ht="15" hidden="false" customHeight="false" outlineLevel="0" collapsed="false">
      <c r="C900" s="44"/>
      <c r="E900" s="44"/>
      <c r="F900" s="44"/>
      <c r="G900" s="48"/>
      <c r="H900" s="47"/>
      <c r="I900" s="47"/>
      <c r="J900" s="48"/>
      <c r="L900" s="45"/>
    </row>
    <row r="901" customFormat="false" ht="15" hidden="false" customHeight="false" outlineLevel="0" collapsed="false">
      <c r="C901" s="44"/>
      <c r="E901" s="44"/>
      <c r="F901" s="44"/>
      <c r="G901" s="48"/>
      <c r="H901" s="47"/>
      <c r="I901" s="47"/>
      <c r="J901" s="48"/>
      <c r="L901" s="45"/>
    </row>
    <row r="902" customFormat="false" ht="15" hidden="false" customHeight="false" outlineLevel="0" collapsed="false">
      <c r="C902" s="44"/>
      <c r="E902" s="44"/>
      <c r="F902" s="44"/>
      <c r="G902" s="48"/>
      <c r="H902" s="47"/>
      <c r="I902" s="47"/>
      <c r="J902" s="48"/>
      <c r="L902" s="45"/>
    </row>
    <row r="903" customFormat="false" ht="15" hidden="false" customHeight="false" outlineLevel="0" collapsed="false">
      <c r="C903" s="44"/>
      <c r="E903" s="44"/>
      <c r="F903" s="44"/>
      <c r="G903" s="48"/>
      <c r="H903" s="47"/>
      <c r="I903" s="47"/>
      <c r="J903" s="48"/>
      <c r="L903" s="45"/>
    </row>
    <row r="904" customFormat="false" ht="15" hidden="false" customHeight="false" outlineLevel="0" collapsed="false">
      <c r="C904" s="44"/>
      <c r="E904" s="44"/>
      <c r="F904" s="44"/>
      <c r="G904" s="48"/>
      <c r="H904" s="47"/>
      <c r="I904" s="47"/>
      <c r="J904" s="48"/>
      <c r="L904" s="45"/>
    </row>
    <row r="905" customFormat="false" ht="15" hidden="false" customHeight="false" outlineLevel="0" collapsed="false">
      <c r="C905" s="44"/>
      <c r="E905" s="44"/>
      <c r="F905" s="44"/>
      <c r="G905" s="48"/>
      <c r="H905" s="47"/>
      <c r="I905" s="47"/>
      <c r="J905" s="48"/>
      <c r="L905" s="45"/>
    </row>
    <row r="906" customFormat="false" ht="15" hidden="false" customHeight="false" outlineLevel="0" collapsed="false">
      <c r="C906" s="44"/>
      <c r="E906" s="44"/>
      <c r="F906" s="44"/>
      <c r="G906" s="48"/>
      <c r="H906" s="47"/>
      <c r="I906" s="47"/>
      <c r="J906" s="48"/>
      <c r="L906" s="45"/>
    </row>
    <row r="907" customFormat="false" ht="15" hidden="false" customHeight="false" outlineLevel="0" collapsed="false">
      <c r="C907" s="44"/>
      <c r="E907" s="44"/>
      <c r="F907" s="44"/>
      <c r="G907" s="48"/>
      <c r="H907" s="47"/>
      <c r="I907" s="47"/>
      <c r="J907" s="48"/>
      <c r="L907" s="45"/>
    </row>
    <row r="908" customFormat="false" ht="15" hidden="false" customHeight="false" outlineLevel="0" collapsed="false">
      <c r="C908" s="44"/>
      <c r="E908" s="44"/>
      <c r="F908" s="44"/>
      <c r="G908" s="48"/>
      <c r="H908" s="47"/>
      <c r="I908" s="47"/>
      <c r="J908" s="48"/>
      <c r="L908" s="45"/>
    </row>
    <row r="909" customFormat="false" ht="15" hidden="false" customHeight="false" outlineLevel="0" collapsed="false">
      <c r="C909" s="44"/>
      <c r="E909" s="44"/>
      <c r="F909" s="44"/>
      <c r="G909" s="48"/>
      <c r="H909" s="47"/>
      <c r="I909" s="47"/>
      <c r="J909" s="48"/>
      <c r="L909" s="45"/>
    </row>
    <row r="910" customFormat="false" ht="15" hidden="false" customHeight="false" outlineLevel="0" collapsed="false">
      <c r="C910" s="44"/>
      <c r="E910" s="44"/>
      <c r="F910" s="44"/>
      <c r="G910" s="48"/>
      <c r="H910" s="47"/>
      <c r="I910" s="47"/>
      <c r="J910" s="48"/>
      <c r="L910" s="45"/>
    </row>
    <row r="911" customFormat="false" ht="15" hidden="false" customHeight="false" outlineLevel="0" collapsed="false">
      <c r="C911" s="44"/>
      <c r="E911" s="44"/>
      <c r="F911" s="44"/>
      <c r="G911" s="48"/>
      <c r="H911" s="47"/>
      <c r="I911" s="47"/>
      <c r="J911" s="48"/>
      <c r="L911" s="45"/>
    </row>
    <row r="912" customFormat="false" ht="15" hidden="false" customHeight="false" outlineLevel="0" collapsed="false">
      <c r="C912" s="44"/>
      <c r="E912" s="44"/>
      <c r="F912" s="44"/>
      <c r="G912" s="48"/>
      <c r="H912" s="47"/>
      <c r="I912" s="47"/>
      <c r="J912" s="48"/>
      <c r="L912" s="45"/>
    </row>
    <row r="913" customFormat="false" ht="15" hidden="false" customHeight="false" outlineLevel="0" collapsed="false">
      <c r="C913" s="44"/>
      <c r="E913" s="44"/>
      <c r="F913" s="44"/>
      <c r="G913" s="48"/>
      <c r="H913" s="47"/>
      <c r="I913" s="47"/>
      <c r="J913" s="48"/>
      <c r="L913" s="45"/>
    </row>
    <row r="914" customFormat="false" ht="15" hidden="false" customHeight="false" outlineLevel="0" collapsed="false">
      <c r="C914" s="44"/>
      <c r="E914" s="44"/>
      <c r="F914" s="44"/>
      <c r="G914" s="48"/>
      <c r="H914" s="47"/>
      <c r="I914" s="47"/>
      <c r="J914" s="48"/>
      <c r="L914" s="45"/>
    </row>
    <row r="915" customFormat="false" ht="15" hidden="false" customHeight="false" outlineLevel="0" collapsed="false">
      <c r="C915" s="44"/>
      <c r="E915" s="44"/>
      <c r="F915" s="44"/>
      <c r="G915" s="48"/>
      <c r="H915" s="47"/>
      <c r="I915" s="47"/>
      <c r="J915" s="48"/>
      <c r="L915" s="45"/>
    </row>
    <row r="916" customFormat="false" ht="15" hidden="false" customHeight="false" outlineLevel="0" collapsed="false">
      <c r="C916" s="44"/>
      <c r="E916" s="44"/>
      <c r="F916" s="44"/>
      <c r="G916" s="48"/>
      <c r="H916" s="47"/>
      <c r="I916" s="47"/>
      <c r="J916" s="48"/>
      <c r="L916" s="45"/>
    </row>
    <row r="917" customFormat="false" ht="15" hidden="false" customHeight="false" outlineLevel="0" collapsed="false">
      <c r="C917" s="44"/>
      <c r="E917" s="44"/>
      <c r="F917" s="44"/>
      <c r="G917" s="48"/>
      <c r="H917" s="47"/>
      <c r="I917" s="47"/>
      <c r="J917" s="48"/>
      <c r="L917" s="45"/>
    </row>
    <row r="918" customFormat="false" ht="15" hidden="false" customHeight="false" outlineLevel="0" collapsed="false">
      <c r="C918" s="44"/>
      <c r="E918" s="44"/>
      <c r="F918" s="44"/>
      <c r="G918" s="48"/>
      <c r="H918" s="47"/>
      <c r="I918" s="47"/>
      <c r="J918" s="48"/>
      <c r="L918" s="45"/>
    </row>
    <row r="919" customFormat="false" ht="15" hidden="false" customHeight="false" outlineLevel="0" collapsed="false">
      <c r="C919" s="44"/>
      <c r="E919" s="44"/>
      <c r="F919" s="44"/>
      <c r="G919" s="48"/>
      <c r="H919" s="47"/>
      <c r="I919" s="47"/>
      <c r="J919" s="48"/>
      <c r="L919" s="45"/>
    </row>
    <row r="920" customFormat="false" ht="15" hidden="false" customHeight="false" outlineLevel="0" collapsed="false">
      <c r="C920" s="44"/>
      <c r="E920" s="44"/>
      <c r="F920" s="44"/>
      <c r="G920" s="48"/>
      <c r="H920" s="47"/>
      <c r="I920" s="47"/>
      <c r="J920" s="48"/>
      <c r="L920" s="45"/>
    </row>
    <row r="921" customFormat="false" ht="15" hidden="false" customHeight="false" outlineLevel="0" collapsed="false">
      <c r="C921" s="44"/>
      <c r="E921" s="44"/>
      <c r="F921" s="44"/>
      <c r="G921" s="48"/>
      <c r="H921" s="47"/>
      <c r="I921" s="47"/>
      <c r="J921" s="48"/>
      <c r="L921" s="45"/>
    </row>
    <row r="922" customFormat="false" ht="15" hidden="false" customHeight="false" outlineLevel="0" collapsed="false">
      <c r="C922" s="44"/>
      <c r="E922" s="44"/>
      <c r="F922" s="44"/>
      <c r="G922" s="48"/>
      <c r="H922" s="47"/>
      <c r="I922" s="47"/>
      <c r="J922" s="48"/>
      <c r="L922" s="45"/>
    </row>
    <row r="923" customFormat="false" ht="15" hidden="false" customHeight="false" outlineLevel="0" collapsed="false">
      <c r="C923" s="44"/>
      <c r="E923" s="44"/>
      <c r="F923" s="44"/>
      <c r="G923" s="48"/>
      <c r="H923" s="47"/>
      <c r="I923" s="47"/>
      <c r="J923" s="48"/>
      <c r="L923" s="45"/>
    </row>
    <row r="924" customFormat="false" ht="15" hidden="false" customHeight="false" outlineLevel="0" collapsed="false">
      <c r="C924" s="44"/>
      <c r="E924" s="44"/>
      <c r="F924" s="44"/>
      <c r="G924" s="48"/>
      <c r="H924" s="47"/>
      <c r="I924" s="47"/>
      <c r="J924" s="48"/>
      <c r="L924" s="45"/>
    </row>
    <row r="925" customFormat="false" ht="15" hidden="false" customHeight="false" outlineLevel="0" collapsed="false">
      <c r="C925" s="44"/>
      <c r="E925" s="44"/>
      <c r="F925" s="44"/>
      <c r="G925" s="48"/>
      <c r="H925" s="47"/>
      <c r="I925" s="47"/>
      <c r="J925" s="48"/>
      <c r="L925" s="45"/>
    </row>
    <row r="926" customFormat="false" ht="15" hidden="false" customHeight="false" outlineLevel="0" collapsed="false">
      <c r="C926" s="44"/>
      <c r="E926" s="44"/>
      <c r="F926" s="44"/>
      <c r="G926" s="48"/>
      <c r="H926" s="47"/>
      <c r="I926" s="47"/>
      <c r="J926" s="48"/>
      <c r="L926" s="45"/>
    </row>
    <row r="927" customFormat="false" ht="15" hidden="false" customHeight="false" outlineLevel="0" collapsed="false">
      <c r="C927" s="44"/>
      <c r="E927" s="44"/>
      <c r="F927" s="44"/>
      <c r="G927" s="48"/>
      <c r="H927" s="47"/>
      <c r="I927" s="47"/>
      <c r="J927" s="48"/>
      <c r="L927" s="45"/>
    </row>
    <row r="928" customFormat="false" ht="15" hidden="false" customHeight="false" outlineLevel="0" collapsed="false">
      <c r="C928" s="44"/>
      <c r="E928" s="44"/>
      <c r="F928" s="44"/>
      <c r="G928" s="48"/>
      <c r="H928" s="47"/>
      <c r="I928" s="47"/>
      <c r="J928" s="48"/>
      <c r="L928" s="45"/>
    </row>
    <row r="929" customFormat="false" ht="15" hidden="false" customHeight="false" outlineLevel="0" collapsed="false">
      <c r="C929" s="44"/>
      <c r="E929" s="44"/>
      <c r="F929" s="44"/>
      <c r="G929" s="48"/>
      <c r="H929" s="47"/>
      <c r="I929" s="47"/>
      <c r="J929" s="48"/>
      <c r="L929" s="45"/>
    </row>
    <row r="930" customFormat="false" ht="15" hidden="false" customHeight="false" outlineLevel="0" collapsed="false">
      <c r="C930" s="44"/>
      <c r="E930" s="44"/>
      <c r="F930" s="44"/>
      <c r="G930" s="48"/>
      <c r="H930" s="47"/>
      <c r="I930" s="47"/>
      <c r="J930" s="48"/>
      <c r="L930" s="45"/>
    </row>
    <row r="931" customFormat="false" ht="15" hidden="false" customHeight="false" outlineLevel="0" collapsed="false">
      <c r="C931" s="44"/>
      <c r="E931" s="44"/>
      <c r="F931" s="44"/>
      <c r="G931" s="48"/>
      <c r="H931" s="47"/>
      <c r="I931" s="47"/>
      <c r="J931" s="48"/>
      <c r="L931" s="45"/>
    </row>
    <row r="932" customFormat="false" ht="15" hidden="false" customHeight="false" outlineLevel="0" collapsed="false">
      <c r="C932" s="44"/>
      <c r="E932" s="44"/>
      <c r="F932" s="44"/>
      <c r="G932" s="48"/>
      <c r="H932" s="47"/>
      <c r="I932" s="47"/>
      <c r="J932" s="48"/>
      <c r="L932" s="45"/>
    </row>
    <row r="933" customFormat="false" ht="15" hidden="false" customHeight="false" outlineLevel="0" collapsed="false">
      <c r="C933" s="44"/>
      <c r="E933" s="44"/>
      <c r="F933" s="44"/>
      <c r="G933" s="48"/>
      <c r="H933" s="47"/>
      <c r="I933" s="47"/>
      <c r="J933" s="48"/>
      <c r="L933" s="45"/>
    </row>
    <row r="934" customFormat="false" ht="15" hidden="false" customHeight="false" outlineLevel="0" collapsed="false">
      <c r="C934" s="44"/>
      <c r="E934" s="44"/>
      <c r="F934" s="44"/>
      <c r="G934" s="48"/>
      <c r="H934" s="47"/>
      <c r="I934" s="47"/>
      <c r="J934" s="48"/>
      <c r="L934" s="45"/>
    </row>
    <row r="935" customFormat="false" ht="15" hidden="false" customHeight="false" outlineLevel="0" collapsed="false">
      <c r="C935" s="44"/>
      <c r="E935" s="44"/>
      <c r="F935" s="44"/>
      <c r="G935" s="48"/>
      <c r="H935" s="47"/>
      <c r="I935" s="47"/>
      <c r="J935" s="48"/>
      <c r="L935" s="45"/>
    </row>
    <row r="936" customFormat="false" ht="15" hidden="false" customHeight="false" outlineLevel="0" collapsed="false">
      <c r="C936" s="44"/>
      <c r="E936" s="44"/>
      <c r="F936" s="44"/>
      <c r="G936" s="48"/>
      <c r="H936" s="47"/>
      <c r="I936" s="47"/>
      <c r="J936" s="48"/>
      <c r="L936" s="45"/>
    </row>
    <row r="937" customFormat="false" ht="15" hidden="false" customHeight="false" outlineLevel="0" collapsed="false">
      <c r="C937" s="44"/>
      <c r="E937" s="44"/>
      <c r="F937" s="44"/>
      <c r="G937" s="48"/>
      <c r="H937" s="47"/>
      <c r="I937" s="47"/>
      <c r="J937" s="48"/>
      <c r="L937" s="45"/>
    </row>
    <row r="938" customFormat="false" ht="15" hidden="false" customHeight="false" outlineLevel="0" collapsed="false">
      <c r="C938" s="44"/>
      <c r="E938" s="44"/>
      <c r="F938" s="44"/>
      <c r="G938" s="48"/>
      <c r="H938" s="47"/>
      <c r="I938" s="47"/>
      <c r="J938" s="48"/>
      <c r="L938" s="45"/>
    </row>
    <row r="939" customFormat="false" ht="15" hidden="false" customHeight="false" outlineLevel="0" collapsed="false">
      <c r="C939" s="44"/>
      <c r="E939" s="44"/>
      <c r="F939" s="44"/>
      <c r="G939" s="48"/>
      <c r="H939" s="47"/>
      <c r="I939" s="47"/>
      <c r="J939" s="48"/>
      <c r="L939" s="45"/>
    </row>
    <row r="940" customFormat="false" ht="15" hidden="false" customHeight="false" outlineLevel="0" collapsed="false">
      <c r="C940" s="44"/>
      <c r="E940" s="44"/>
      <c r="F940" s="44"/>
      <c r="G940" s="48"/>
      <c r="H940" s="47"/>
      <c r="I940" s="47"/>
      <c r="J940" s="48"/>
      <c r="L940" s="45"/>
    </row>
    <row r="941" customFormat="false" ht="15" hidden="false" customHeight="false" outlineLevel="0" collapsed="false">
      <c r="C941" s="44"/>
      <c r="E941" s="44"/>
      <c r="F941" s="44"/>
      <c r="G941" s="48"/>
      <c r="H941" s="47"/>
      <c r="I941" s="47"/>
      <c r="J941" s="48"/>
      <c r="L941" s="45"/>
    </row>
    <row r="942" customFormat="false" ht="15" hidden="false" customHeight="false" outlineLevel="0" collapsed="false">
      <c r="C942" s="44"/>
      <c r="E942" s="44"/>
      <c r="F942" s="44"/>
      <c r="G942" s="48"/>
      <c r="H942" s="47"/>
      <c r="I942" s="47"/>
      <c r="J942" s="48"/>
      <c r="L942" s="45"/>
    </row>
    <row r="943" customFormat="false" ht="15" hidden="false" customHeight="false" outlineLevel="0" collapsed="false">
      <c r="C943" s="44"/>
      <c r="E943" s="44"/>
      <c r="F943" s="44"/>
      <c r="G943" s="48"/>
      <c r="H943" s="47"/>
      <c r="I943" s="47"/>
      <c r="J943" s="48"/>
      <c r="L943" s="45"/>
    </row>
    <row r="944" customFormat="false" ht="15" hidden="false" customHeight="false" outlineLevel="0" collapsed="false">
      <c r="C944" s="44"/>
      <c r="E944" s="44"/>
      <c r="F944" s="44"/>
      <c r="G944" s="48"/>
      <c r="H944" s="47"/>
      <c r="I944" s="47"/>
      <c r="J944" s="48"/>
      <c r="L944" s="45"/>
    </row>
    <row r="945" customFormat="false" ht="15" hidden="false" customHeight="false" outlineLevel="0" collapsed="false">
      <c r="C945" s="44"/>
      <c r="E945" s="44"/>
      <c r="F945" s="44"/>
      <c r="G945" s="48"/>
      <c r="H945" s="47"/>
      <c r="I945" s="47"/>
      <c r="J945" s="48"/>
      <c r="L945" s="45"/>
    </row>
    <row r="946" customFormat="false" ht="15" hidden="false" customHeight="false" outlineLevel="0" collapsed="false">
      <c r="C946" s="44"/>
      <c r="E946" s="44"/>
      <c r="F946" s="44"/>
      <c r="G946" s="48"/>
      <c r="H946" s="47"/>
      <c r="I946" s="47"/>
      <c r="J946" s="48"/>
      <c r="L946" s="45"/>
    </row>
    <row r="947" customFormat="false" ht="15" hidden="false" customHeight="false" outlineLevel="0" collapsed="false">
      <c r="C947" s="44"/>
      <c r="E947" s="44"/>
      <c r="F947" s="44"/>
      <c r="G947" s="48"/>
      <c r="H947" s="47"/>
      <c r="I947" s="47"/>
      <c r="J947" s="48"/>
      <c r="L947" s="45"/>
    </row>
    <row r="948" customFormat="false" ht="15" hidden="false" customHeight="false" outlineLevel="0" collapsed="false">
      <c r="C948" s="44"/>
      <c r="E948" s="44"/>
      <c r="F948" s="44"/>
      <c r="G948" s="48"/>
      <c r="H948" s="47"/>
      <c r="I948" s="47"/>
      <c r="J948" s="48"/>
      <c r="L948" s="45"/>
    </row>
    <row r="949" customFormat="false" ht="15" hidden="false" customHeight="false" outlineLevel="0" collapsed="false">
      <c r="C949" s="44"/>
      <c r="E949" s="44"/>
      <c r="F949" s="44"/>
      <c r="G949" s="48"/>
      <c r="H949" s="47"/>
      <c r="I949" s="47"/>
      <c r="J949" s="48"/>
      <c r="L949" s="45"/>
    </row>
    <row r="950" customFormat="false" ht="15" hidden="false" customHeight="false" outlineLevel="0" collapsed="false">
      <c r="C950" s="44"/>
      <c r="E950" s="44"/>
      <c r="F950" s="44"/>
      <c r="G950" s="48"/>
      <c r="H950" s="47"/>
      <c r="I950" s="47"/>
      <c r="J950" s="48"/>
      <c r="L950" s="45"/>
    </row>
    <row r="951" customFormat="false" ht="15" hidden="false" customHeight="false" outlineLevel="0" collapsed="false">
      <c r="C951" s="44"/>
      <c r="E951" s="44"/>
      <c r="F951" s="44"/>
      <c r="G951" s="48"/>
      <c r="H951" s="47"/>
      <c r="I951" s="47"/>
      <c r="J951" s="48"/>
      <c r="L951" s="45"/>
    </row>
    <row r="952" customFormat="false" ht="15" hidden="false" customHeight="false" outlineLevel="0" collapsed="false">
      <c r="C952" s="44"/>
      <c r="E952" s="44"/>
      <c r="F952" s="44"/>
      <c r="G952" s="48"/>
      <c r="H952" s="47"/>
      <c r="I952" s="47"/>
      <c r="J952" s="48"/>
      <c r="L952" s="45"/>
    </row>
    <row r="953" customFormat="false" ht="15" hidden="false" customHeight="false" outlineLevel="0" collapsed="false">
      <c r="C953" s="44"/>
      <c r="E953" s="44"/>
      <c r="F953" s="44"/>
      <c r="G953" s="48"/>
      <c r="H953" s="47"/>
      <c r="I953" s="47"/>
      <c r="J953" s="48"/>
      <c r="L953" s="45"/>
    </row>
    <row r="954" customFormat="false" ht="15" hidden="false" customHeight="false" outlineLevel="0" collapsed="false">
      <c r="C954" s="44"/>
      <c r="E954" s="44"/>
      <c r="F954" s="44"/>
      <c r="G954" s="48"/>
      <c r="H954" s="47"/>
      <c r="I954" s="47"/>
      <c r="J954" s="48"/>
      <c r="L954" s="45"/>
    </row>
    <row r="955" customFormat="false" ht="15" hidden="false" customHeight="false" outlineLevel="0" collapsed="false">
      <c r="C955" s="44"/>
      <c r="E955" s="44"/>
      <c r="F955" s="44"/>
      <c r="G955" s="48"/>
      <c r="H955" s="47"/>
      <c r="I955" s="47"/>
      <c r="J955" s="48"/>
      <c r="L955" s="45"/>
    </row>
    <row r="956" customFormat="false" ht="15" hidden="false" customHeight="false" outlineLevel="0" collapsed="false">
      <c r="C956" s="44"/>
      <c r="E956" s="44"/>
      <c r="F956" s="44"/>
      <c r="G956" s="48"/>
      <c r="H956" s="47"/>
      <c r="I956" s="47"/>
      <c r="J956" s="48"/>
      <c r="L956" s="45"/>
    </row>
    <row r="957" customFormat="false" ht="15" hidden="false" customHeight="false" outlineLevel="0" collapsed="false">
      <c r="C957" s="44"/>
      <c r="E957" s="44"/>
      <c r="F957" s="44"/>
      <c r="G957" s="48"/>
      <c r="H957" s="47"/>
      <c r="I957" s="47"/>
      <c r="J957" s="48"/>
      <c r="L957" s="45"/>
    </row>
    <row r="958" customFormat="false" ht="15" hidden="false" customHeight="false" outlineLevel="0" collapsed="false">
      <c r="C958" s="44"/>
      <c r="E958" s="44"/>
      <c r="F958" s="44"/>
      <c r="G958" s="48"/>
      <c r="H958" s="47"/>
      <c r="I958" s="47"/>
      <c r="J958" s="48"/>
      <c r="L958" s="45"/>
    </row>
    <row r="959" customFormat="false" ht="15" hidden="false" customHeight="false" outlineLevel="0" collapsed="false">
      <c r="C959" s="44"/>
      <c r="E959" s="44"/>
      <c r="F959" s="44"/>
      <c r="G959" s="48"/>
      <c r="H959" s="47"/>
      <c r="I959" s="47"/>
      <c r="J959" s="48"/>
      <c r="L959" s="45"/>
    </row>
    <row r="960" customFormat="false" ht="15" hidden="false" customHeight="false" outlineLevel="0" collapsed="false">
      <c r="C960" s="44"/>
      <c r="E960" s="44"/>
      <c r="F960" s="44"/>
      <c r="G960" s="48"/>
      <c r="H960" s="47"/>
      <c r="I960" s="47"/>
      <c r="J960" s="48"/>
      <c r="L960" s="45"/>
    </row>
    <row r="961" customFormat="false" ht="15" hidden="false" customHeight="false" outlineLevel="0" collapsed="false">
      <c r="C961" s="44"/>
      <c r="E961" s="44"/>
      <c r="F961" s="44"/>
      <c r="G961" s="48"/>
      <c r="H961" s="47"/>
      <c r="I961" s="47"/>
      <c r="J961" s="48"/>
      <c r="L961" s="45"/>
    </row>
    <row r="962" customFormat="false" ht="15" hidden="false" customHeight="false" outlineLevel="0" collapsed="false">
      <c r="C962" s="44"/>
      <c r="E962" s="44"/>
      <c r="F962" s="44"/>
      <c r="G962" s="48"/>
      <c r="H962" s="47"/>
      <c r="I962" s="47"/>
      <c r="J962" s="48"/>
      <c r="L962" s="45"/>
    </row>
    <row r="963" customFormat="false" ht="15" hidden="false" customHeight="false" outlineLevel="0" collapsed="false">
      <c r="C963" s="44"/>
      <c r="E963" s="44"/>
      <c r="F963" s="44"/>
      <c r="G963" s="48"/>
      <c r="H963" s="47"/>
      <c r="I963" s="47"/>
      <c r="J963" s="48"/>
      <c r="L963" s="45"/>
    </row>
    <row r="964" customFormat="false" ht="15" hidden="false" customHeight="false" outlineLevel="0" collapsed="false">
      <c r="C964" s="44"/>
      <c r="E964" s="44"/>
      <c r="F964" s="44"/>
      <c r="G964" s="48"/>
      <c r="H964" s="47"/>
      <c r="I964" s="47"/>
      <c r="J964" s="48"/>
      <c r="L964" s="45"/>
    </row>
    <row r="965" customFormat="false" ht="15" hidden="false" customHeight="false" outlineLevel="0" collapsed="false">
      <c r="C965" s="44"/>
      <c r="E965" s="44"/>
      <c r="F965" s="44"/>
      <c r="G965" s="48"/>
      <c r="H965" s="47"/>
      <c r="I965" s="47"/>
      <c r="J965" s="48"/>
      <c r="L965" s="45"/>
    </row>
    <row r="966" customFormat="false" ht="15" hidden="false" customHeight="false" outlineLevel="0" collapsed="false">
      <c r="C966" s="44"/>
      <c r="E966" s="44"/>
      <c r="F966" s="44"/>
      <c r="G966" s="48"/>
      <c r="H966" s="47"/>
      <c r="I966" s="47"/>
      <c r="J966" s="48"/>
      <c r="L966" s="45"/>
    </row>
    <row r="967" customFormat="false" ht="15" hidden="false" customHeight="false" outlineLevel="0" collapsed="false">
      <c r="C967" s="44"/>
      <c r="E967" s="44"/>
      <c r="F967" s="44"/>
      <c r="G967" s="48"/>
      <c r="H967" s="47"/>
      <c r="I967" s="47"/>
      <c r="J967" s="48"/>
      <c r="L967" s="45"/>
    </row>
    <row r="968" customFormat="false" ht="15" hidden="false" customHeight="false" outlineLevel="0" collapsed="false">
      <c r="C968" s="44"/>
      <c r="E968" s="44"/>
      <c r="F968" s="44"/>
      <c r="G968" s="48"/>
      <c r="H968" s="47"/>
      <c r="I968" s="47"/>
      <c r="J968" s="48"/>
      <c r="L968" s="45"/>
    </row>
    <row r="969" customFormat="false" ht="15" hidden="false" customHeight="false" outlineLevel="0" collapsed="false">
      <c r="C969" s="44"/>
      <c r="E969" s="44"/>
      <c r="F969" s="44"/>
      <c r="G969" s="48"/>
      <c r="H969" s="47"/>
      <c r="I969" s="47"/>
      <c r="J969" s="48"/>
      <c r="L969" s="45"/>
    </row>
    <row r="970" customFormat="false" ht="15" hidden="false" customHeight="false" outlineLevel="0" collapsed="false">
      <c r="C970" s="44"/>
      <c r="E970" s="44"/>
      <c r="F970" s="44"/>
      <c r="G970" s="48"/>
      <c r="H970" s="47"/>
      <c r="I970" s="47"/>
      <c r="J970" s="48"/>
      <c r="L970" s="45"/>
    </row>
    <row r="971" customFormat="false" ht="15" hidden="false" customHeight="false" outlineLevel="0" collapsed="false">
      <c r="C971" s="44"/>
      <c r="E971" s="44"/>
      <c r="F971" s="44"/>
      <c r="G971" s="48"/>
      <c r="H971" s="47"/>
      <c r="I971" s="47"/>
      <c r="J971" s="48"/>
      <c r="L971" s="45"/>
    </row>
    <row r="972" customFormat="false" ht="15" hidden="false" customHeight="false" outlineLevel="0" collapsed="false">
      <c r="C972" s="44"/>
      <c r="E972" s="44"/>
      <c r="F972" s="44"/>
      <c r="G972" s="48"/>
      <c r="H972" s="47"/>
      <c r="I972" s="47"/>
      <c r="J972" s="48"/>
      <c r="L972" s="45"/>
    </row>
    <row r="973" customFormat="false" ht="15" hidden="false" customHeight="false" outlineLevel="0" collapsed="false">
      <c r="C973" s="44"/>
      <c r="E973" s="44"/>
      <c r="F973" s="44"/>
      <c r="G973" s="48"/>
      <c r="H973" s="47"/>
      <c r="I973" s="47"/>
      <c r="J973" s="48"/>
      <c r="L973" s="45"/>
    </row>
    <row r="974" customFormat="false" ht="15" hidden="false" customHeight="false" outlineLevel="0" collapsed="false">
      <c r="C974" s="44"/>
      <c r="E974" s="44"/>
      <c r="F974" s="44"/>
      <c r="G974" s="48"/>
      <c r="H974" s="47"/>
      <c r="I974" s="47"/>
      <c r="J974" s="48"/>
      <c r="L974" s="45"/>
    </row>
    <row r="975" customFormat="false" ht="15" hidden="false" customHeight="false" outlineLevel="0" collapsed="false">
      <c r="C975" s="44"/>
      <c r="E975" s="44"/>
      <c r="F975" s="44"/>
      <c r="G975" s="48"/>
      <c r="H975" s="47"/>
      <c r="I975" s="47"/>
      <c r="J975" s="48"/>
      <c r="L975" s="45"/>
    </row>
    <row r="976" customFormat="false" ht="15" hidden="false" customHeight="false" outlineLevel="0" collapsed="false">
      <c r="C976" s="44"/>
      <c r="E976" s="44"/>
      <c r="F976" s="44"/>
      <c r="G976" s="48"/>
      <c r="H976" s="47"/>
      <c r="I976" s="47"/>
      <c r="J976" s="48"/>
      <c r="L976" s="45"/>
    </row>
    <row r="977" customFormat="false" ht="15" hidden="false" customHeight="false" outlineLevel="0" collapsed="false">
      <c r="C977" s="44"/>
      <c r="E977" s="44"/>
      <c r="F977" s="44"/>
      <c r="G977" s="48"/>
      <c r="H977" s="47"/>
      <c r="I977" s="47"/>
      <c r="J977" s="48"/>
      <c r="L977" s="45"/>
    </row>
    <row r="978" customFormat="false" ht="15" hidden="false" customHeight="false" outlineLevel="0" collapsed="false">
      <c r="C978" s="44"/>
      <c r="E978" s="44"/>
      <c r="F978" s="44"/>
      <c r="G978" s="48"/>
      <c r="H978" s="47"/>
      <c r="I978" s="47"/>
      <c r="J978" s="48"/>
      <c r="L978" s="45"/>
    </row>
    <row r="979" customFormat="false" ht="15" hidden="false" customHeight="false" outlineLevel="0" collapsed="false">
      <c r="C979" s="44"/>
      <c r="E979" s="44"/>
      <c r="F979" s="44"/>
      <c r="G979" s="48"/>
      <c r="H979" s="47"/>
      <c r="I979" s="47"/>
      <c r="J979" s="48"/>
      <c r="L979" s="45"/>
    </row>
    <row r="980" customFormat="false" ht="15" hidden="false" customHeight="false" outlineLevel="0" collapsed="false">
      <c r="C980" s="44"/>
      <c r="E980" s="44"/>
      <c r="F980" s="44"/>
      <c r="G980" s="48"/>
      <c r="H980" s="47"/>
      <c r="I980" s="47"/>
      <c r="J980" s="48"/>
      <c r="L980" s="45"/>
    </row>
    <row r="981" customFormat="false" ht="15" hidden="false" customHeight="false" outlineLevel="0" collapsed="false">
      <c r="C981" s="44"/>
      <c r="E981" s="44"/>
      <c r="F981" s="44"/>
      <c r="G981" s="48"/>
      <c r="H981" s="47"/>
      <c r="I981" s="47"/>
      <c r="J981" s="48"/>
      <c r="L981" s="45"/>
    </row>
    <row r="982" customFormat="false" ht="15" hidden="false" customHeight="false" outlineLevel="0" collapsed="false">
      <c r="C982" s="44"/>
      <c r="E982" s="44"/>
      <c r="F982" s="44"/>
      <c r="G982" s="48"/>
      <c r="H982" s="47"/>
      <c r="I982" s="47"/>
      <c r="J982" s="48"/>
      <c r="L982" s="45"/>
    </row>
    <row r="983" customFormat="false" ht="15" hidden="false" customHeight="false" outlineLevel="0" collapsed="false">
      <c r="C983" s="44"/>
      <c r="E983" s="44"/>
      <c r="F983" s="44"/>
      <c r="G983" s="48"/>
      <c r="H983" s="47"/>
      <c r="I983" s="47"/>
      <c r="J983" s="48"/>
      <c r="L983" s="45"/>
    </row>
    <row r="984" customFormat="false" ht="15" hidden="false" customHeight="false" outlineLevel="0" collapsed="false">
      <c r="C984" s="44"/>
      <c r="E984" s="44"/>
      <c r="F984" s="44"/>
      <c r="G984" s="48"/>
      <c r="H984" s="47"/>
      <c r="I984" s="47"/>
      <c r="J984" s="48"/>
      <c r="L984" s="45"/>
    </row>
    <row r="985" customFormat="false" ht="15" hidden="false" customHeight="false" outlineLevel="0" collapsed="false">
      <c r="C985" s="44"/>
      <c r="E985" s="44"/>
      <c r="F985" s="44"/>
      <c r="G985" s="48"/>
      <c r="H985" s="47"/>
      <c r="I985" s="47"/>
      <c r="J985" s="48"/>
      <c r="L985" s="45"/>
    </row>
    <row r="986" customFormat="false" ht="15" hidden="false" customHeight="false" outlineLevel="0" collapsed="false">
      <c r="C986" s="44"/>
      <c r="E986" s="44"/>
      <c r="F986" s="44"/>
      <c r="G986" s="48"/>
      <c r="H986" s="47"/>
      <c r="I986" s="47"/>
      <c r="J986" s="48"/>
      <c r="L986" s="45"/>
    </row>
    <row r="987" customFormat="false" ht="15" hidden="false" customHeight="false" outlineLevel="0" collapsed="false">
      <c r="C987" s="44"/>
      <c r="E987" s="44"/>
      <c r="F987" s="44"/>
      <c r="G987" s="48"/>
      <c r="H987" s="47"/>
      <c r="I987" s="47"/>
      <c r="J987" s="48"/>
      <c r="L987" s="45"/>
    </row>
    <row r="988" customFormat="false" ht="15" hidden="false" customHeight="false" outlineLevel="0" collapsed="false">
      <c r="C988" s="44"/>
      <c r="E988" s="44"/>
      <c r="F988" s="44"/>
      <c r="G988" s="48"/>
      <c r="H988" s="47"/>
      <c r="I988" s="47"/>
      <c r="J988" s="48"/>
      <c r="L988" s="45"/>
    </row>
    <row r="989" customFormat="false" ht="15" hidden="false" customHeight="false" outlineLevel="0" collapsed="false">
      <c r="C989" s="44"/>
      <c r="E989" s="44"/>
      <c r="F989" s="44"/>
      <c r="G989" s="48"/>
      <c r="H989" s="47"/>
      <c r="I989" s="47"/>
      <c r="J989" s="48"/>
      <c r="L989" s="45"/>
    </row>
    <row r="990" customFormat="false" ht="15" hidden="false" customHeight="false" outlineLevel="0" collapsed="false">
      <c r="C990" s="44"/>
      <c r="E990" s="44"/>
      <c r="F990" s="44"/>
      <c r="G990" s="48"/>
      <c r="H990" s="47"/>
      <c r="I990" s="47"/>
      <c r="J990" s="48"/>
      <c r="L990" s="45"/>
    </row>
    <row r="991" customFormat="false" ht="15" hidden="false" customHeight="false" outlineLevel="0" collapsed="false">
      <c r="C991" s="44"/>
      <c r="E991" s="44"/>
      <c r="F991" s="44"/>
      <c r="G991" s="48"/>
      <c r="H991" s="47"/>
      <c r="I991" s="47"/>
      <c r="J991" s="48"/>
      <c r="L991" s="45"/>
    </row>
    <row r="992" customFormat="false" ht="15" hidden="false" customHeight="false" outlineLevel="0" collapsed="false">
      <c r="C992" s="44"/>
      <c r="E992" s="44"/>
      <c r="F992" s="44"/>
      <c r="G992" s="48"/>
      <c r="H992" s="47"/>
      <c r="I992" s="47"/>
      <c r="J992" s="48"/>
      <c r="L992" s="45"/>
    </row>
    <row r="993" customFormat="false" ht="15" hidden="false" customHeight="false" outlineLevel="0" collapsed="false">
      <c r="C993" s="44"/>
      <c r="E993" s="44"/>
      <c r="F993" s="44"/>
      <c r="G993" s="48"/>
      <c r="H993" s="47"/>
      <c r="I993" s="47"/>
      <c r="J993" s="48"/>
      <c r="L993" s="45"/>
    </row>
    <row r="994" customFormat="false" ht="15" hidden="false" customHeight="false" outlineLevel="0" collapsed="false">
      <c r="C994" s="44"/>
      <c r="E994" s="44"/>
      <c r="F994" s="44"/>
      <c r="G994" s="48"/>
      <c r="H994" s="47"/>
      <c r="I994" s="47"/>
      <c r="J994" s="48"/>
      <c r="L994" s="45"/>
    </row>
    <row r="995" customFormat="false" ht="15" hidden="false" customHeight="false" outlineLevel="0" collapsed="false">
      <c r="C995" s="44"/>
      <c r="E995" s="44"/>
      <c r="F995" s="44"/>
      <c r="G995" s="48"/>
      <c r="H995" s="47"/>
      <c r="I995" s="47"/>
      <c r="J995" s="48"/>
      <c r="L995" s="45"/>
    </row>
    <row r="996" customFormat="false" ht="15" hidden="false" customHeight="false" outlineLevel="0" collapsed="false">
      <c r="C996" s="44"/>
      <c r="E996" s="44"/>
      <c r="F996" s="44"/>
      <c r="G996" s="48"/>
      <c r="H996" s="47"/>
      <c r="I996" s="47"/>
      <c r="J996" s="48"/>
      <c r="L996" s="45"/>
    </row>
    <row r="997" customFormat="false" ht="15" hidden="false" customHeight="false" outlineLevel="0" collapsed="false">
      <c r="C997" s="44"/>
      <c r="E997" s="44"/>
      <c r="F997" s="44"/>
      <c r="G997" s="48"/>
      <c r="H997" s="47"/>
      <c r="I997" s="47"/>
      <c r="J997" s="48"/>
      <c r="L997" s="45"/>
    </row>
    <row r="998" customFormat="false" ht="15" hidden="false" customHeight="false" outlineLevel="0" collapsed="false">
      <c r="C998" s="44"/>
      <c r="E998" s="44"/>
      <c r="F998" s="44"/>
      <c r="G998" s="48"/>
      <c r="H998" s="47"/>
      <c r="I998" s="47"/>
      <c r="J998" s="48"/>
      <c r="L998" s="45"/>
    </row>
    <row r="999" customFormat="false" ht="15" hidden="false" customHeight="false" outlineLevel="0" collapsed="false">
      <c r="C999" s="44"/>
      <c r="E999" s="44"/>
      <c r="F999" s="44"/>
      <c r="G999" s="48"/>
      <c r="H999" s="47"/>
      <c r="I999" s="47"/>
      <c r="J999" s="48"/>
      <c r="L999" s="45"/>
    </row>
    <row r="1000" customFormat="false" ht="15" hidden="false" customHeight="false" outlineLevel="0" collapsed="false">
      <c r="C1000" s="44"/>
      <c r="E1000" s="44"/>
      <c r="F1000" s="44"/>
      <c r="G1000" s="48"/>
      <c r="H1000" s="47"/>
      <c r="I1000" s="47"/>
      <c r="J1000" s="48"/>
      <c r="L1000" s="45"/>
    </row>
    <row r="1001" customFormat="false" ht="15" hidden="false" customHeight="false" outlineLevel="0" collapsed="false">
      <c r="C1001" s="44"/>
      <c r="E1001" s="44"/>
      <c r="F1001" s="44"/>
      <c r="G1001" s="48"/>
      <c r="H1001" s="47"/>
      <c r="I1001" s="47"/>
      <c r="J1001" s="48"/>
      <c r="L1001" s="45"/>
    </row>
    <row r="1002" customFormat="false" ht="15" hidden="false" customHeight="false" outlineLevel="0" collapsed="false">
      <c r="C1002" s="44"/>
      <c r="E1002" s="44"/>
      <c r="F1002" s="44"/>
      <c r="G1002" s="48"/>
      <c r="H1002" s="47"/>
      <c r="I1002" s="47"/>
      <c r="J1002" s="48"/>
      <c r="L1002" s="45"/>
    </row>
    <row r="1003" customFormat="false" ht="15" hidden="false" customHeight="false" outlineLevel="0" collapsed="false">
      <c r="C1003" s="44"/>
      <c r="E1003" s="44"/>
      <c r="F1003" s="44"/>
      <c r="G1003" s="48"/>
      <c r="H1003" s="47"/>
      <c r="I1003" s="47"/>
      <c r="J1003" s="48"/>
      <c r="L1003" s="45"/>
    </row>
    <row r="1004" customFormat="false" ht="15" hidden="false" customHeight="false" outlineLevel="0" collapsed="false">
      <c r="C1004" s="44"/>
      <c r="E1004" s="44"/>
      <c r="F1004" s="44"/>
      <c r="G1004" s="48"/>
      <c r="H1004" s="47"/>
      <c r="I1004" s="47"/>
      <c r="J1004" s="48"/>
      <c r="L1004" s="45"/>
    </row>
    <row r="1005" customFormat="false" ht="15" hidden="false" customHeight="false" outlineLevel="0" collapsed="false">
      <c r="C1005" s="44"/>
      <c r="E1005" s="44"/>
      <c r="F1005" s="44"/>
      <c r="G1005" s="48"/>
      <c r="H1005" s="47"/>
      <c r="I1005" s="47"/>
      <c r="J1005" s="48"/>
      <c r="L1005" s="45"/>
    </row>
  </sheetData>
  <conditionalFormatting sqref="C6:L5005">
    <cfRule type="expression" priority="2" aboveAverage="0" equalAverage="0" bottom="0" percent="0" rank="0" text="" dxfId="2">
      <formula>AND(LEN(TRIM($C6&amp;$D6&amp;$E6&amp;$F6&amp;$G6&amp;$H6&amp;$I6&amp;$J6&amp;$K6&amp;$L6))&gt;0,OR(LEN(TRIM($C6))=0,LEN(TRIM($D6))=0,LEN(TRIM($E6))=0,LEN(TRIM($F6))=0,LEN(TRIM($G6))=0,LEN(TRIM($H6))=0,LEN(TRIM($I6))=0,LEN(TRIM($J6))=0,LEN(TRIM($K6))=0,LEN(TRIM($L6))=0))</formula>
    </cfRule>
  </conditionalFormatting>
  <dataValidations count="7">
    <dataValidation allowBlank="true" error="El campo debe tener como maximo 50 caracteres" errorStyle="stop" errorTitle="Dato invalido" operator="lessThanOrEqual" showDropDown="false" showErrorMessage="true" showInputMessage="false" sqref="K6:K1010" type="textLength">
      <formula1>50</formula1>
      <formula2>0</formula2>
    </dataValidation>
    <dataValidation allowBlank="true" error="El campo debe contener 11 digitos numericos" errorStyle="stop" errorTitle="Dato invalido" operator="between" showDropDown="false" showErrorMessage="true" showInputMessage="false" sqref="C6:C1010" type="whole">
      <formula1>10000000000</formula1>
      <formula2>99999999999</formula2>
    </dataValidation>
    <dataValidation allowBlank="true" error="El campo debe tener como maximo 3 digitos numericos" errorStyle="stop" errorTitle="Dato invalido" operator="between" showDropDown="false" showErrorMessage="true" showInputMessage="false" sqref="E6:F1010" type="whole">
      <formula1>0</formula1>
      <formula2>999</formula2>
    </dataValidation>
    <dataValidation allowBlank="true" error="El campo debe tener como maximo 9.999.999.999.999,99 y no puede ser negativo" errorStyle="stop" errorTitle="Dato invalido" operator="between" showDropDown="false" showErrorMessage="true" showInputMessage="false" sqref="L6:L9 O6 O8 L10:L1010" type="decimal">
      <formula1>0</formula1>
      <formula2>999999999999999</formula2>
    </dataValidation>
    <dataValidation allowBlank="true" error="Seleccione un valor de la lista" errorStyle="stop" errorTitle="Dato invalido" operator="between" showDropDown="false" showErrorMessage="true" showInputMessage="false" sqref="D6:D1010" type="list">
      <formula1>Listas!$H$2:$H$3</formula1>
      <formula2>0</formula2>
    </dataValidation>
    <dataValidation allowBlank="true" error="El campo debe estar entre 01/01/1900 y 31/12/2100" errorStyle="stop" errorTitle="Dato invalido" operator="between" showDropDown="false" showErrorMessage="true" showInputMessage="false" sqref="G6:G1010 J6:J1010" type="date">
      <formula1>1</formula1>
      <formula2>73415</formula2>
    </dataValidation>
    <dataValidation allowBlank="true" error="El campo debe tener como maximo 30 caracteres" errorStyle="stop" errorTitle="Dato invalido" operator="lessThanOrEqual" showDropDown="false" showErrorMessage="true" showInputMessage="false" sqref="H6:I1010" type="textLength">
      <formula1>30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B1:H10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22"/>
    <col collapsed="false" customWidth="true" hidden="false" outlineLevel="0" max="5" min="4" style="0" width="20"/>
    <col collapsed="false" customWidth="true" hidden="false" outlineLevel="0" max="6" min="6" style="0" width="62"/>
    <col collapsed="false" customWidth="true" hidden="false" outlineLevel="0" max="7" min="7" style="0" width="3"/>
    <col collapsed="false" customWidth="true" hidden="false" outlineLevel="0" max="8" min="8" style="0" width="34"/>
  </cols>
  <sheetData>
    <row r="1" customFormat="false" ht="18" hidden="false" customHeight="true" outlineLevel="0" collapsed="false">
      <c r="B1" s="6" t="s">
        <v>354</v>
      </c>
      <c r="C1" s="6"/>
      <c r="D1" s="6"/>
      <c r="E1" s="6"/>
      <c r="F1" s="6"/>
    </row>
    <row r="2" customFormat="false" ht="21.75" hidden="false" customHeight="true" outlineLevel="0" collapsed="false">
      <c r="C2" s="7" t="s">
        <v>309</v>
      </c>
    </row>
    <row r="3" customFormat="false" ht="15" hidden="false" customHeight="false" outlineLevel="0" collapsed="false">
      <c r="C3" s="15" t="str">
        <f aca="false">"PERÍODO  "&amp;'Datos iniciales'!$D$10&amp;"      |      TIPO EJERCICIO  "&amp;'Datos iniciales'!$D$12&amp;"      |      SECUENCIA  "&amp;'Datos iniciales'!$D$11</f>
        <v>PERÍODO        |      TIPO EJERCICIO  Regular      |      SECUENCIA  Original</v>
      </c>
    </row>
    <row r="4" customFormat="false" ht="15" hidden="false" customHeight="false" outlineLevel="0" collapsed="false">
      <c r="C4" s="29" t="s">
        <v>355</v>
      </c>
    </row>
    <row r="5" customFormat="false" ht="31.5" hidden="false" customHeight="true" outlineLevel="0" collapsed="false">
      <c r="C5" s="26" t="s">
        <v>344</v>
      </c>
      <c r="D5" s="26" t="s">
        <v>356</v>
      </c>
      <c r="E5" s="26" t="s">
        <v>120</v>
      </c>
      <c r="F5" s="26" t="s">
        <v>342</v>
      </c>
      <c r="H5" s="26" t="s">
        <v>357</v>
      </c>
    </row>
    <row r="6" customFormat="false" ht="15" hidden="false" customHeight="false" outlineLevel="0" collapsed="false">
      <c r="C6" s="47"/>
      <c r="D6" s="48"/>
      <c r="E6" s="45"/>
      <c r="H6" s="16" t="n">
        <f aca="false">SUM(E6:E5005)</f>
        <v>0</v>
      </c>
    </row>
    <row r="7" customFormat="false" ht="15" hidden="false" customHeight="false" outlineLevel="0" collapsed="false">
      <c r="C7" s="47"/>
      <c r="D7" s="48"/>
      <c r="E7" s="45"/>
    </row>
    <row r="8" customFormat="false" ht="15" hidden="false" customHeight="false" outlineLevel="0" collapsed="false">
      <c r="C8" s="47"/>
      <c r="D8" s="48"/>
      <c r="E8" s="45"/>
    </row>
    <row r="9" customFormat="false" ht="15" hidden="false" customHeight="false" outlineLevel="0" collapsed="false">
      <c r="C9" s="47"/>
      <c r="D9" s="48"/>
      <c r="E9" s="45"/>
    </row>
    <row r="10" customFormat="false" ht="15" hidden="false" customHeight="false" outlineLevel="0" collapsed="false">
      <c r="C10" s="47"/>
      <c r="D10" s="48"/>
      <c r="E10" s="45"/>
    </row>
    <row r="11" customFormat="false" ht="15" hidden="false" customHeight="false" outlineLevel="0" collapsed="false">
      <c r="C11" s="47"/>
      <c r="D11" s="48"/>
      <c r="E11" s="45"/>
    </row>
    <row r="12" customFormat="false" ht="15" hidden="false" customHeight="false" outlineLevel="0" collapsed="false">
      <c r="C12" s="47"/>
      <c r="D12" s="48"/>
      <c r="E12" s="45"/>
    </row>
    <row r="13" customFormat="false" ht="15" hidden="false" customHeight="false" outlineLevel="0" collapsed="false">
      <c r="C13" s="47"/>
      <c r="D13" s="48"/>
      <c r="E13" s="45"/>
    </row>
    <row r="14" customFormat="false" ht="15" hidden="false" customHeight="false" outlineLevel="0" collapsed="false">
      <c r="C14" s="47"/>
      <c r="D14" s="48"/>
      <c r="E14" s="45"/>
    </row>
    <row r="15" customFormat="false" ht="15" hidden="false" customHeight="false" outlineLevel="0" collapsed="false">
      <c r="C15" s="47"/>
      <c r="D15" s="48"/>
      <c r="E15" s="45"/>
    </row>
    <row r="16" customFormat="false" ht="15" hidden="false" customHeight="false" outlineLevel="0" collapsed="false">
      <c r="C16" s="47"/>
      <c r="D16" s="48"/>
      <c r="E16" s="45"/>
    </row>
    <row r="17" customFormat="false" ht="15" hidden="false" customHeight="false" outlineLevel="0" collapsed="false">
      <c r="C17" s="47"/>
      <c r="D17" s="48"/>
      <c r="E17" s="45"/>
    </row>
    <row r="18" customFormat="false" ht="15" hidden="false" customHeight="false" outlineLevel="0" collapsed="false">
      <c r="C18" s="47"/>
      <c r="D18" s="48"/>
      <c r="E18" s="45"/>
    </row>
    <row r="19" customFormat="false" ht="15" hidden="false" customHeight="false" outlineLevel="0" collapsed="false">
      <c r="C19" s="47"/>
      <c r="D19" s="48"/>
      <c r="E19" s="45"/>
    </row>
    <row r="20" customFormat="false" ht="15" hidden="false" customHeight="false" outlineLevel="0" collapsed="false">
      <c r="C20" s="47"/>
      <c r="D20" s="48"/>
      <c r="E20" s="45"/>
    </row>
    <row r="21" customFormat="false" ht="15" hidden="false" customHeight="false" outlineLevel="0" collapsed="false">
      <c r="C21" s="47"/>
      <c r="D21" s="48"/>
      <c r="E21" s="45"/>
    </row>
    <row r="22" customFormat="false" ht="15" hidden="false" customHeight="false" outlineLevel="0" collapsed="false">
      <c r="C22" s="47"/>
      <c r="D22" s="48"/>
      <c r="E22" s="45"/>
    </row>
    <row r="23" customFormat="false" ht="15" hidden="false" customHeight="false" outlineLevel="0" collapsed="false">
      <c r="C23" s="47"/>
      <c r="D23" s="48"/>
      <c r="E23" s="45"/>
    </row>
    <row r="24" customFormat="false" ht="15" hidden="false" customHeight="false" outlineLevel="0" collapsed="false">
      <c r="C24" s="47"/>
      <c r="D24" s="48"/>
      <c r="E24" s="45"/>
    </row>
    <row r="25" customFormat="false" ht="15" hidden="false" customHeight="false" outlineLevel="0" collapsed="false">
      <c r="C25" s="47"/>
      <c r="D25" s="48"/>
      <c r="E25" s="45"/>
    </row>
    <row r="26" customFormat="false" ht="15" hidden="false" customHeight="false" outlineLevel="0" collapsed="false">
      <c r="C26" s="47"/>
      <c r="D26" s="48"/>
      <c r="E26" s="45"/>
    </row>
    <row r="27" customFormat="false" ht="15" hidden="false" customHeight="false" outlineLevel="0" collapsed="false">
      <c r="C27" s="47"/>
      <c r="D27" s="48"/>
      <c r="E27" s="45"/>
    </row>
    <row r="28" customFormat="false" ht="15" hidden="false" customHeight="false" outlineLevel="0" collapsed="false">
      <c r="C28" s="47"/>
      <c r="D28" s="48"/>
      <c r="E28" s="45"/>
    </row>
    <row r="29" customFormat="false" ht="15" hidden="false" customHeight="false" outlineLevel="0" collapsed="false">
      <c r="C29" s="47"/>
      <c r="D29" s="48"/>
      <c r="E29" s="45"/>
    </row>
    <row r="30" customFormat="false" ht="15" hidden="false" customHeight="false" outlineLevel="0" collapsed="false">
      <c r="C30" s="47"/>
      <c r="D30" s="48"/>
      <c r="E30" s="45"/>
    </row>
    <row r="31" customFormat="false" ht="15" hidden="false" customHeight="false" outlineLevel="0" collapsed="false">
      <c r="C31" s="47"/>
      <c r="D31" s="48"/>
      <c r="E31" s="45"/>
    </row>
    <row r="32" customFormat="false" ht="15" hidden="false" customHeight="false" outlineLevel="0" collapsed="false">
      <c r="C32" s="47"/>
      <c r="D32" s="48"/>
      <c r="E32" s="45"/>
    </row>
    <row r="33" customFormat="false" ht="15" hidden="false" customHeight="false" outlineLevel="0" collapsed="false">
      <c r="C33" s="47"/>
      <c r="D33" s="48"/>
      <c r="E33" s="45"/>
    </row>
    <row r="34" customFormat="false" ht="15" hidden="false" customHeight="false" outlineLevel="0" collapsed="false">
      <c r="C34" s="47"/>
      <c r="D34" s="48"/>
      <c r="E34" s="45"/>
    </row>
    <row r="35" customFormat="false" ht="15" hidden="false" customHeight="false" outlineLevel="0" collapsed="false">
      <c r="C35" s="47"/>
      <c r="D35" s="48"/>
      <c r="E35" s="45"/>
    </row>
    <row r="36" customFormat="false" ht="15" hidden="false" customHeight="false" outlineLevel="0" collapsed="false">
      <c r="C36" s="47"/>
      <c r="D36" s="48"/>
      <c r="E36" s="45"/>
    </row>
    <row r="37" customFormat="false" ht="15" hidden="false" customHeight="false" outlineLevel="0" collapsed="false">
      <c r="C37" s="47"/>
      <c r="D37" s="48"/>
      <c r="E37" s="45"/>
    </row>
    <row r="38" customFormat="false" ht="15" hidden="false" customHeight="false" outlineLevel="0" collapsed="false">
      <c r="C38" s="47"/>
      <c r="D38" s="48"/>
      <c r="E38" s="45"/>
    </row>
    <row r="39" customFormat="false" ht="15" hidden="false" customHeight="false" outlineLevel="0" collapsed="false">
      <c r="C39" s="47"/>
      <c r="D39" s="48"/>
      <c r="E39" s="45"/>
    </row>
    <row r="40" customFormat="false" ht="15" hidden="false" customHeight="false" outlineLevel="0" collapsed="false">
      <c r="C40" s="47"/>
      <c r="D40" s="48"/>
      <c r="E40" s="45"/>
    </row>
    <row r="41" customFormat="false" ht="15" hidden="false" customHeight="false" outlineLevel="0" collapsed="false">
      <c r="C41" s="47"/>
      <c r="D41" s="48"/>
      <c r="E41" s="45"/>
    </row>
    <row r="42" customFormat="false" ht="15" hidden="false" customHeight="false" outlineLevel="0" collapsed="false">
      <c r="C42" s="47"/>
      <c r="D42" s="48"/>
      <c r="E42" s="45"/>
    </row>
    <row r="43" customFormat="false" ht="15" hidden="false" customHeight="false" outlineLevel="0" collapsed="false">
      <c r="C43" s="47"/>
      <c r="D43" s="48"/>
      <c r="E43" s="45"/>
    </row>
    <row r="44" customFormat="false" ht="15" hidden="false" customHeight="false" outlineLevel="0" collapsed="false">
      <c r="C44" s="47"/>
      <c r="D44" s="48"/>
      <c r="E44" s="45"/>
    </row>
    <row r="45" customFormat="false" ht="15" hidden="false" customHeight="false" outlineLevel="0" collapsed="false">
      <c r="C45" s="47"/>
      <c r="D45" s="48"/>
      <c r="E45" s="45"/>
    </row>
    <row r="46" customFormat="false" ht="15" hidden="false" customHeight="false" outlineLevel="0" collapsed="false">
      <c r="C46" s="47"/>
      <c r="D46" s="48"/>
      <c r="E46" s="45"/>
    </row>
    <row r="47" customFormat="false" ht="15" hidden="false" customHeight="false" outlineLevel="0" collapsed="false">
      <c r="C47" s="47"/>
      <c r="D47" s="48"/>
      <c r="E47" s="45"/>
    </row>
    <row r="48" customFormat="false" ht="15" hidden="false" customHeight="false" outlineLevel="0" collapsed="false">
      <c r="C48" s="47"/>
      <c r="D48" s="48"/>
      <c r="E48" s="45"/>
    </row>
    <row r="49" customFormat="false" ht="15" hidden="false" customHeight="false" outlineLevel="0" collapsed="false">
      <c r="C49" s="47"/>
      <c r="D49" s="48"/>
      <c r="E49" s="45"/>
    </row>
    <row r="50" customFormat="false" ht="15" hidden="false" customHeight="false" outlineLevel="0" collapsed="false">
      <c r="C50" s="47"/>
      <c r="D50" s="48"/>
      <c r="E50" s="45"/>
    </row>
    <row r="51" customFormat="false" ht="15" hidden="false" customHeight="false" outlineLevel="0" collapsed="false">
      <c r="C51" s="47"/>
      <c r="D51" s="48"/>
      <c r="E51" s="45"/>
    </row>
    <row r="52" customFormat="false" ht="15" hidden="false" customHeight="false" outlineLevel="0" collapsed="false">
      <c r="C52" s="47"/>
      <c r="D52" s="48"/>
      <c r="E52" s="45"/>
    </row>
    <row r="53" customFormat="false" ht="15" hidden="false" customHeight="false" outlineLevel="0" collapsed="false">
      <c r="C53" s="47"/>
      <c r="D53" s="48"/>
      <c r="E53" s="45"/>
    </row>
    <row r="54" customFormat="false" ht="15" hidden="false" customHeight="false" outlineLevel="0" collapsed="false">
      <c r="C54" s="47"/>
      <c r="D54" s="48"/>
      <c r="E54" s="45"/>
    </row>
    <row r="55" customFormat="false" ht="15" hidden="false" customHeight="false" outlineLevel="0" collapsed="false">
      <c r="C55" s="47"/>
      <c r="D55" s="48"/>
      <c r="E55" s="45"/>
    </row>
    <row r="56" customFormat="false" ht="15" hidden="false" customHeight="false" outlineLevel="0" collapsed="false">
      <c r="C56" s="47"/>
      <c r="D56" s="48"/>
      <c r="E56" s="45"/>
    </row>
    <row r="57" customFormat="false" ht="15" hidden="false" customHeight="false" outlineLevel="0" collapsed="false">
      <c r="C57" s="47"/>
      <c r="D57" s="48"/>
      <c r="E57" s="45"/>
    </row>
    <row r="58" customFormat="false" ht="15" hidden="false" customHeight="false" outlineLevel="0" collapsed="false">
      <c r="C58" s="47"/>
      <c r="D58" s="48"/>
      <c r="E58" s="45"/>
    </row>
    <row r="59" customFormat="false" ht="15" hidden="false" customHeight="false" outlineLevel="0" collapsed="false">
      <c r="C59" s="47"/>
      <c r="D59" s="48"/>
      <c r="E59" s="45"/>
    </row>
    <row r="60" customFormat="false" ht="15" hidden="false" customHeight="false" outlineLevel="0" collapsed="false">
      <c r="C60" s="47"/>
      <c r="D60" s="48"/>
      <c r="E60" s="45"/>
    </row>
    <row r="61" customFormat="false" ht="15" hidden="false" customHeight="false" outlineLevel="0" collapsed="false">
      <c r="C61" s="47"/>
      <c r="D61" s="48"/>
      <c r="E61" s="45"/>
    </row>
    <row r="62" customFormat="false" ht="15" hidden="false" customHeight="false" outlineLevel="0" collapsed="false">
      <c r="C62" s="47"/>
      <c r="D62" s="48"/>
      <c r="E62" s="45"/>
    </row>
    <row r="63" customFormat="false" ht="15" hidden="false" customHeight="false" outlineLevel="0" collapsed="false">
      <c r="C63" s="47"/>
      <c r="D63" s="48"/>
      <c r="E63" s="45"/>
    </row>
    <row r="64" customFormat="false" ht="15" hidden="false" customHeight="false" outlineLevel="0" collapsed="false">
      <c r="C64" s="47"/>
      <c r="D64" s="48"/>
      <c r="E64" s="45"/>
    </row>
    <row r="65" customFormat="false" ht="15" hidden="false" customHeight="false" outlineLevel="0" collapsed="false">
      <c r="C65" s="47"/>
      <c r="D65" s="48"/>
      <c r="E65" s="45"/>
    </row>
    <row r="66" customFormat="false" ht="15" hidden="false" customHeight="false" outlineLevel="0" collapsed="false">
      <c r="C66" s="47"/>
      <c r="D66" s="48"/>
      <c r="E66" s="45"/>
    </row>
    <row r="67" customFormat="false" ht="15" hidden="false" customHeight="false" outlineLevel="0" collapsed="false">
      <c r="C67" s="47"/>
      <c r="D67" s="48"/>
      <c r="E67" s="45"/>
    </row>
    <row r="68" customFormat="false" ht="15" hidden="false" customHeight="false" outlineLevel="0" collapsed="false">
      <c r="C68" s="47"/>
      <c r="D68" s="48"/>
      <c r="E68" s="45"/>
    </row>
    <row r="69" customFormat="false" ht="15" hidden="false" customHeight="false" outlineLevel="0" collapsed="false">
      <c r="C69" s="47"/>
      <c r="D69" s="48"/>
      <c r="E69" s="45"/>
    </row>
    <row r="70" customFormat="false" ht="15" hidden="false" customHeight="false" outlineLevel="0" collapsed="false">
      <c r="C70" s="47"/>
      <c r="D70" s="48"/>
      <c r="E70" s="45"/>
    </row>
    <row r="71" customFormat="false" ht="15" hidden="false" customHeight="false" outlineLevel="0" collapsed="false">
      <c r="C71" s="47"/>
      <c r="D71" s="48"/>
      <c r="E71" s="45"/>
    </row>
    <row r="72" customFormat="false" ht="15" hidden="false" customHeight="false" outlineLevel="0" collapsed="false">
      <c r="C72" s="47"/>
      <c r="D72" s="48"/>
      <c r="E72" s="45"/>
    </row>
    <row r="73" customFormat="false" ht="15" hidden="false" customHeight="false" outlineLevel="0" collapsed="false">
      <c r="C73" s="47"/>
      <c r="D73" s="48"/>
      <c r="E73" s="45"/>
    </row>
    <row r="74" customFormat="false" ht="15" hidden="false" customHeight="false" outlineLevel="0" collapsed="false">
      <c r="C74" s="47"/>
      <c r="D74" s="48"/>
      <c r="E74" s="45"/>
    </row>
    <row r="75" customFormat="false" ht="15" hidden="false" customHeight="false" outlineLevel="0" collapsed="false">
      <c r="C75" s="47"/>
      <c r="D75" s="48"/>
      <c r="E75" s="45"/>
    </row>
    <row r="76" customFormat="false" ht="15" hidden="false" customHeight="false" outlineLevel="0" collapsed="false">
      <c r="C76" s="47"/>
      <c r="D76" s="48"/>
      <c r="E76" s="45"/>
    </row>
    <row r="77" customFormat="false" ht="15" hidden="false" customHeight="false" outlineLevel="0" collapsed="false">
      <c r="C77" s="47"/>
      <c r="D77" s="48"/>
      <c r="E77" s="45"/>
    </row>
    <row r="78" customFormat="false" ht="15" hidden="false" customHeight="false" outlineLevel="0" collapsed="false">
      <c r="C78" s="47"/>
      <c r="D78" s="48"/>
      <c r="E78" s="45"/>
    </row>
    <row r="79" customFormat="false" ht="15" hidden="false" customHeight="false" outlineLevel="0" collapsed="false">
      <c r="C79" s="47"/>
      <c r="D79" s="48"/>
      <c r="E79" s="45"/>
    </row>
    <row r="80" customFormat="false" ht="15" hidden="false" customHeight="false" outlineLevel="0" collapsed="false">
      <c r="C80" s="47"/>
      <c r="D80" s="48"/>
      <c r="E80" s="45"/>
    </row>
    <row r="81" customFormat="false" ht="15" hidden="false" customHeight="false" outlineLevel="0" collapsed="false">
      <c r="C81" s="47"/>
      <c r="D81" s="48"/>
      <c r="E81" s="45"/>
    </row>
    <row r="82" customFormat="false" ht="15" hidden="false" customHeight="false" outlineLevel="0" collapsed="false">
      <c r="C82" s="47"/>
      <c r="D82" s="48"/>
      <c r="E82" s="45"/>
    </row>
    <row r="83" customFormat="false" ht="15" hidden="false" customHeight="false" outlineLevel="0" collapsed="false">
      <c r="C83" s="47"/>
      <c r="D83" s="48"/>
      <c r="E83" s="45"/>
    </row>
    <row r="84" customFormat="false" ht="15" hidden="false" customHeight="false" outlineLevel="0" collapsed="false">
      <c r="C84" s="47"/>
      <c r="D84" s="48"/>
      <c r="E84" s="45"/>
    </row>
    <row r="85" customFormat="false" ht="15" hidden="false" customHeight="false" outlineLevel="0" collapsed="false">
      <c r="C85" s="47"/>
      <c r="D85" s="48"/>
      <c r="E85" s="45"/>
    </row>
    <row r="86" customFormat="false" ht="15" hidden="false" customHeight="false" outlineLevel="0" collapsed="false">
      <c r="C86" s="47"/>
      <c r="D86" s="48"/>
      <c r="E86" s="45"/>
    </row>
    <row r="87" customFormat="false" ht="15" hidden="false" customHeight="false" outlineLevel="0" collapsed="false">
      <c r="C87" s="47"/>
      <c r="D87" s="48"/>
      <c r="E87" s="45"/>
    </row>
    <row r="88" customFormat="false" ht="15" hidden="false" customHeight="false" outlineLevel="0" collapsed="false">
      <c r="C88" s="47"/>
      <c r="D88" s="48"/>
      <c r="E88" s="45"/>
    </row>
    <row r="89" customFormat="false" ht="15" hidden="false" customHeight="false" outlineLevel="0" collapsed="false">
      <c r="C89" s="47"/>
      <c r="D89" s="48"/>
      <c r="E89" s="45"/>
    </row>
    <row r="90" customFormat="false" ht="15" hidden="false" customHeight="false" outlineLevel="0" collapsed="false">
      <c r="C90" s="47"/>
      <c r="D90" s="48"/>
      <c r="E90" s="45"/>
    </row>
    <row r="91" customFormat="false" ht="15" hidden="false" customHeight="false" outlineLevel="0" collapsed="false">
      <c r="C91" s="47"/>
      <c r="D91" s="48"/>
      <c r="E91" s="45"/>
    </row>
    <row r="92" customFormat="false" ht="15" hidden="false" customHeight="false" outlineLevel="0" collapsed="false">
      <c r="C92" s="47"/>
      <c r="D92" s="48"/>
      <c r="E92" s="45"/>
    </row>
    <row r="93" customFormat="false" ht="15" hidden="false" customHeight="false" outlineLevel="0" collapsed="false">
      <c r="C93" s="47"/>
      <c r="D93" s="48"/>
      <c r="E93" s="45"/>
    </row>
    <row r="94" customFormat="false" ht="15" hidden="false" customHeight="false" outlineLevel="0" collapsed="false">
      <c r="C94" s="47"/>
      <c r="D94" s="48"/>
      <c r="E94" s="45"/>
    </row>
    <row r="95" customFormat="false" ht="15" hidden="false" customHeight="false" outlineLevel="0" collapsed="false">
      <c r="C95" s="47"/>
      <c r="D95" s="48"/>
      <c r="E95" s="45"/>
    </row>
    <row r="96" customFormat="false" ht="15" hidden="false" customHeight="false" outlineLevel="0" collapsed="false">
      <c r="C96" s="47"/>
      <c r="D96" s="48"/>
      <c r="E96" s="45"/>
    </row>
    <row r="97" customFormat="false" ht="15" hidden="false" customHeight="false" outlineLevel="0" collapsed="false">
      <c r="C97" s="47"/>
      <c r="D97" s="48"/>
      <c r="E97" s="45"/>
    </row>
    <row r="98" customFormat="false" ht="15" hidden="false" customHeight="false" outlineLevel="0" collapsed="false">
      <c r="C98" s="47"/>
      <c r="D98" s="48"/>
      <c r="E98" s="45"/>
    </row>
    <row r="99" customFormat="false" ht="15" hidden="false" customHeight="false" outlineLevel="0" collapsed="false">
      <c r="C99" s="47"/>
      <c r="D99" s="48"/>
      <c r="E99" s="45"/>
    </row>
    <row r="100" customFormat="false" ht="15" hidden="false" customHeight="false" outlineLevel="0" collapsed="false">
      <c r="C100" s="47"/>
      <c r="D100" s="48"/>
      <c r="E100" s="45"/>
    </row>
    <row r="101" customFormat="false" ht="15" hidden="false" customHeight="false" outlineLevel="0" collapsed="false">
      <c r="C101" s="47"/>
      <c r="D101" s="48"/>
      <c r="E101" s="45"/>
    </row>
    <row r="102" customFormat="false" ht="15" hidden="false" customHeight="false" outlineLevel="0" collapsed="false">
      <c r="C102" s="47"/>
      <c r="D102" s="48"/>
      <c r="E102" s="45"/>
    </row>
    <row r="103" customFormat="false" ht="15" hidden="false" customHeight="false" outlineLevel="0" collapsed="false">
      <c r="C103" s="47"/>
      <c r="D103" s="48"/>
      <c r="E103" s="45"/>
    </row>
    <row r="104" customFormat="false" ht="15" hidden="false" customHeight="false" outlineLevel="0" collapsed="false">
      <c r="C104" s="47"/>
      <c r="D104" s="48"/>
      <c r="E104" s="45"/>
    </row>
    <row r="105" customFormat="false" ht="15" hidden="false" customHeight="false" outlineLevel="0" collapsed="false">
      <c r="C105" s="47"/>
      <c r="D105" s="48"/>
      <c r="E105" s="45"/>
    </row>
    <row r="106" customFormat="false" ht="15" hidden="false" customHeight="false" outlineLevel="0" collapsed="false">
      <c r="C106" s="47"/>
      <c r="D106" s="48"/>
      <c r="E106" s="45"/>
    </row>
    <row r="107" customFormat="false" ht="15" hidden="false" customHeight="false" outlineLevel="0" collapsed="false">
      <c r="C107" s="47"/>
      <c r="D107" s="48"/>
      <c r="E107" s="45"/>
    </row>
    <row r="108" customFormat="false" ht="15" hidden="false" customHeight="false" outlineLevel="0" collapsed="false">
      <c r="C108" s="47"/>
      <c r="D108" s="48"/>
      <c r="E108" s="45"/>
    </row>
    <row r="109" customFormat="false" ht="15" hidden="false" customHeight="false" outlineLevel="0" collapsed="false">
      <c r="C109" s="47"/>
      <c r="D109" s="48"/>
      <c r="E109" s="45"/>
    </row>
    <row r="110" customFormat="false" ht="15" hidden="false" customHeight="false" outlineLevel="0" collapsed="false">
      <c r="C110" s="47"/>
      <c r="D110" s="48"/>
      <c r="E110" s="45"/>
    </row>
    <row r="111" customFormat="false" ht="15" hidden="false" customHeight="false" outlineLevel="0" collapsed="false">
      <c r="C111" s="47"/>
      <c r="D111" s="48"/>
      <c r="E111" s="45"/>
    </row>
    <row r="112" customFormat="false" ht="15" hidden="false" customHeight="false" outlineLevel="0" collapsed="false">
      <c r="C112" s="47"/>
      <c r="D112" s="48"/>
      <c r="E112" s="45"/>
    </row>
    <row r="113" customFormat="false" ht="15" hidden="false" customHeight="false" outlineLevel="0" collapsed="false">
      <c r="C113" s="47"/>
      <c r="D113" s="48"/>
      <c r="E113" s="45"/>
    </row>
    <row r="114" customFormat="false" ht="15" hidden="false" customHeight="false" outlineLevel="0" collapsed="false">
      <c r="C114" s="47"/>
      <c r="D114" s="48"/>
      <c r="E114" s="45"/>
    </row>
    <row r="115" customFormat="false" ht="15" hidden="false" customHeight="false" outlineLevel="0" collapsed="false">
      <c r="C115" s="47"/>
      <c r="D115" s="48"/>
      <c r="E115" s="45"/>
    </row>
    <row r="116" customFormat="false" ht="15" hidden="false" customHeight="false" outlineLevel="0" collapsed="false">
      <c r="C116" s="47"/>
      <c r="D116" s="48"/>
      <c r="E116" s="45"/>
    </row>
    <row r="117" customFormat="false" ht="15" hidden="false" customHeight="false" outlineLevel="0" collapsed="false">
      <c r="C117" s="47"/>
      <c r="D117" s="48"/>
      <c r="E117" s="45"/>
    </row>
    <row r="118" customFormat="false" ht="15" hidden="false" customHeight="false" outlineLevel="0" collapsed="false">
      <c r="C118" s="47"/>
      <c r="D118" s="48"/>
      <c r="E118" s="45"/>
    </row>
    <row r="119" customFormat="false" ht="15" hidden="false" customHeight="false" outlineLevel="0" collapsed="false">
      <c r="C119" s="47"/>
      <c r="D119" s="48"/>
      <c r="E119" s="45"/>
    </row>
    <row r="120" customFormat="false" ht="15" hidden="false" customHeight="false" outlineLevel="0" collapsed="false">
      <c r="C120" s="47"/>
      <c r="D120" s="48"/>
      <c r="E120" s="45"/>
    </row>
    <row r="121" customFormat="false" ht="15" hidden="false" customHeight="false" outlineLevel="0" collapsed="false">
      <c r="C121" s="47"/>
      <c r="D121" s="48"/>
      <c r="E121" s="45"/>
    </row>
    <row r="122" customFormat="false" ht="15" hidden="false" customHeight="false" outlineLevel="0" collapsed="false">
      <c r="C122" s="47"/>
      <c r="D122" s="48"/>
      <c r="E122" s="45"/>
    </row>
    <row r="123" customFormat="false" ht="15" hidden="false" customHeight="false" outlineLevel="0" collapsed="false">
      <c r="C123" s="47"/>
      <c r="D123" s="48"/>
      <c r="E123" s="45"/>
    </row>
    <row r="124" customFormat="false" ht="15" hidden="false" customHeight="false" outlineLevel="0" collapsed="false">
      <c r="C124" s="47"/>
      <c r="D124" s="48"/>
      <c r="E124" s="45"/>
    </row>
    <row r="125" customFormat="false" ht="15" hidden="false" customHeight="false" outlineLevel="0" collapsed="false">
      <c r="C125" s="47"/>
      <c r="D125" s="48"/>
      <c r="E125" s="45"/>
    </row>
    <row r="126" customFormat="false" ht="15" hidden="false" customHeight="false" outlineLevel="0" collapsed="false">
      <c r="C126" s="47"/>
      <c r="D126" s="48"/>
      <c r="E126" s="45"/>
    </row>
    <row r="127" customFormat="false" ht="15" hidden="false" customHeight="false" outlineLevel="0" collapsed="false">
      <c r="C127" s="47"/>
      <c r="D127" s="48"/>
      <c r="E127" s="45"/>
    </row>
    <row r="128" customFormat="false" ht="15" hidden="false" customHeight="false" outlineLevel="0" collapsed="false">
      <c r="C128" s="47"/>
      <c r="D128" s="48"/>
      <c r="E128" s="45"/>
    </row>
    <row r="129" customFormat="false" ht="15" hidden="false" customHeight="false" outlineLevel="0" collapsed="false">
      <c r="C129" s="47"/>
      <c r="D129" s="48"/>
      <c r="E129" s="45"/>
    </row>
    <row r="130" customFormat="false" ht="15" hidden="false" customHeight="false" outlineLevel="0" collapsed="false">
      <c r="C130" s="47"/>
      <c r="D130" s="48"/>
      <c r="E130" s="45"/>
    </row>
    <row r="131" customFormat="false" ht="15" hidden="false" customHeight="false" outlineLevel="0" collapsed="false">
      <c r="C131" s="47"/>
      <c r="D131" s="48"/>
      <c r="E131" s="45"/>
    </row>
    <row r="132" customFormat="false" ht="15" hidden="false" customHeight="false" outlineLevel="0" collapsed="false">
      <c r="C132" s="47"/>
      <c r="D132" s="48"/>
      <c r="E132" s="45"/>
    </row>
    <row r="133" customFormat="false" ht="15" hidden="false" customHeight="false" outlineLevel="0" collapsed="false">
      <c r="C133" s="47"/>
      <c r="D133" s="48"/>
      <c r="E133" s="45"/>
    </row>
    <row r="134" customFormat="false" ht="15" hidden="false" customHeight="false" outlineLevel="0" collapsed="false">
      <c r="C134" s="47"/>
      <c r="D134" s="48"/>
      <c r="E134" s="45"/>
    </row>
    <row r="135" customFormat="false" ht="15" hidden="false" customHeight="false" outlineLevel="0" collapsed="false">
      <c r="C135" s="47"/>
      <c r="D135" s="48"/>
      <c r="E135" s="45"/>
    </row>
    <row r="136" customFormat="false" ht="15" hidden="false" customHeight="false" outlineLevel="0" collapsed="false">
      <c r="C136" s="47"/>
      <c r="D136" s="48"/>
      <c r="E136" s="45"/>
    </row>
    <row r="137" customFormat="false" ht="15" hidden="false" customHeight="false" outlineLevel="0" collapsed="false">
      <c r="C137" s="47"/>
      <c r="D137" s="48"/>
      <c r="E137" s="45"/>
    </row>
    <row r="138" customFormat="false" ht="15" hidden="false" customHeight="false" outlineLevel="0" collapsed="false">
      <c r="C138" s="47"/>
      <c r="D138" s="48"/>
      <c r="E138" s="45"/>
    </row>
    <row r="139" customFormat="false" ht="15" hidden="false" customHeight="false" outlineLevel="0" collapsed="false">
      <c r="C139" s="47"/>
      <c r="D139" s="48"/>
      <c r="E139" s="45"/>
    </row>
    <row r="140" customFormat="false" ht="15" hidden="false" customHeight="false" outlineLevel="0" collapsed="false">
      <c r="C140" s="47"/>
      <c r="D140" s="48"/>
      <c r="E140" s="45"/>
    </row>
    <row r="141" customFormat="false" ht="15" hidden="false" customHeight="false" outlineLevel="0" collapsed="false">
      <c r="C141" s="47"/>
      <c r="D141" s="48"/>
      <c r="E141" s="45"/>
    </row>
    <row r="142" customFormat="false" ht="15" hidden="false" customHeight="false" outlineLevel="0" collapsed="false">
      <c r="C142" s="47"/>
      <c r="D142" s="48"/>
      <c r="E142" s="45"/>
    </row>
    <row r="143" customFormat="false" ht="15" hidden="false" customHeight="false" outlineLevel="0" collapsed="false">
      <c r="C143" s="47"/>
      <c r="D143" s="48"/>
      <c r="E143" s="45"/>
    </row>
    <row r="144" customFormat="false" ht="15" hidden="false" customHeight="false" outlineLevel="0" collapsed="false">
      <c r="C144" s="47"/>
      <c r="D144" s="48"/>
      <c r="E144" s="45"/>
    </row>
    <row r="145" customFormat="false" ht="15" hidden="false" customHeight="false" outlineLevel="0" collapsed="false">
      <c r="C145" s="47"/>
      <c r="D145" s="48"/>
      <c r="E145" s="45"/>
    </row>
    <row r="146" customFormat="false" ht="15" hidden="false" customHeight="false" outlineLevel="0" collapsed="false">
      <c r="C146" s="47"/>
      <c r="D146" s="48"/>
      <c r="E146" s="45"/>
    </row>
    <row r="147" customFormat="false" ht="15" hidden="false" customHeight="false" outlineLevel="0" collapsed="false">
      <c r="C147" s="47"/>
      <c r="D147" s="48"/>
      <c r="E147" s="45"/>
    </row>
    <row r="148" customFormat="false" ht="15" hidden="false" customHeight="false" outlineLevel="0" collapsed="false">
      <c r="C148" s="47"/>
      <c r="D148" s="48"/>
      <c r="E148" s="45"/>
    </row>
    <row r="149" customFormat="false" ht="15" hidden="false" customHeight="false" outlineLevel="0" collapsed="false">
      <c r="C149" s="47"/>
      <c r="D149" s="48"/>
      <c r="E149" s="45"/>
    </row>
    <row r="150" customFormat="false" ht="15" hidden="false" customHeight="false" outlineLevel="0" collapsed="false">
      <c r="C150" s="47"/>
      <c r="D150" s="48"/>
      <c r="E150" s="45"/>
    </row>
    <row r="151" customFormat="false" ht="15" hidden="false" customHeight="false" outlineLevel="0" collapsed="false">
      <c r="C151" s="47"/>
      <c r="D151" s="48"/>
      <c r="E151" s="45"/>
    </row>
    <row r="152" customFormat="false" ht="15" hidden="false" customHeight="false" outlineLevel="0" collapsed="false">
      <c r="C152" s="47"/>
      <c r="D152" s="48"/>
      <c r="E152" s="45"/>
    </row>
    <row r="153" customFormat="false" ht="15" hidden="false" customHeight="false" outlineLevel="0" collapsed="false">
      <c r="C153" s="47"/>
      <c r="D153" s="48"/>
      <c r="E153" s="45"/>
    </row>
    <row r="154" customFormat="false" ht="15" hidden="false" customHeight="false" outlineLevel="0" collapsed="false">
      <c r="C154" s="47"/>
      <c r="D154" s="48"/>
      <c r="E154" s="45"/>
    </row>
    <row r="155" customFormat="false" ht="15" hidden="false" customHeight="false" outlineLevel="0" collapsed="false">
      <c r="C155" s="47"/>
      <c r="D155" s="48"/>
      <c r="E155" s="45"/>
    </row>
    <row r="156" customFormat="false" ht="15" hidden="false" customHeight="false" outlineLevel="0" collapsed="false">
      <c r="C156" s="47"/>
      <c r="D156" s="48"/>
      <c r="E156" s="45"/>
    </row>
    <row r="157" customFormat="false" ht="15" hidden="false" customHeight="false" outlineLevel="0" collapsed="false">
      <c r="C157" s="47"/>
      <c r="D157" s="48"/>
      <c r="E157" s="45"/>
    </row>
    <row r="158" customFormat="false" ht="15" hidden="false" customHeight="false" outlineLevel="0" collapsed="false">
      <c r="C158" s="47"/>
      <c r="D158" s="48"/>
      <c r="E158" s="45"/>
    </row>
    <row r="159" customFormat="false" ht="15" hidden="false" customHeight="false" outlineLevel="0" collapsed="false">
      <c r="C159" s="47"/>
      <c r="D159" s="48"/>
      <c r="E159" s="45"/>
    </row>
    <row r="160" customFormat="false" ht="15" hidden="false" customHeight="false" outlineLevel="0" collapsed="false">
      <c r="C160" s="47"/>
      <c r="D160" s="48"/>
      <c r="E160" s="45"/>
    </row>
    <row r="161" customFormat="false" ht="15" hidden="false" customHeight="false" outlineLevel="0" collapsed="false">
      <c r="C161" s="47"/>
      <c r="D161" s="48"/>
      <c r="E161" s="45"/>
    </row>
    <row r="162" customFormat="false" ht="15" hidden="false" customHeight="false" outlineLevel="0" collapsed="false">
      <c r="C162" s="47"/>
      <c r="D162" s="48"/>
      <c r="E162" s="45"/>
    </row>
    <row r="163" customFormat="false" ht="15" hidden="false" customHeight="false" outlineLevel="0" collapsed="false">
      <c r="C163" s="47"/>
      <c r="D163" s="48"/>
      <c r="E163" s="45"/>
    </row>
    <row r="164" customFormat="false" ht="15" hidden="false" customHeight="false" outlineLevel="0" collapsed="false">
      <c r="C164" s="47"/>
      <c r="D164" s="48"/>
      <c r="E164" s="45"/>
    </row>
    <row r="165" customFormat="false" ht="15" hidden="false" customHeight="false" outlineLevel="0" collapsed="false">
      <c r="C165" s="47"/>
      <c r="D165" s="48"/>
      <c r="E165" s="45"/>
    </row>
    <row r="166" customFormat="false" ht="15" hidden="false" customHeight="false" outlineLevel="0" collapsed="false">
      <c r="C166" s="47"/>
      <c r="D166" s="48"/>
      <c r="E166" s="45"/>
    </row>
    <row r="167" customFormat="false" ht="15" hidden="false" customHeight="false" outlineLevel="0" collapsed="false">
      <c r="C167" s="47"/>
      <c r="D167" s="48"/>
      <c r="E167" s="45"/>
    </row>
    <row r="168" customFormat="false" ht="15" hidden="false" customHeight="false" outlineLevel="0" collapsed="false">
      <c r="C168" s="47"/>
      <c r="D168" s="48"/>
      <c r="E168" s="45"/>
    </row>
    <row r="169" customFormat="false" ht="15" hidden="false" customHeight="false" outlineLevel="0" collapsed="false">
      <c r="C169" s="47"/>
      <c r="D169" s="48"/>
      <c r="E169" s="45"/>
    </row>
    <row r="170" customFormat="false" ht="15" hidden="false" customHeight="false" outlineLevel="0" collapsed="false">
      <c r="C170" s="47"/>
      <c r="D170" s="48"/>
      <c r="E170" s="45"/>
    </row>
    <row r="171" customFormat="false" ht="15" hidden="false" customHeight="false" outlineLevel="0" collapsed="false">
      <c r="C171" s="47"/>
      <c r="D171" s="48"/>
      <c r="E171" s="45"/>
    </row>
    <row r="172" customFormat="false" ht="15" hidden="false" customHeight="false" outlineLevel="0" collapsed="false">
      <c r="C172" s="47"/>
      <c r="D172" s="48"/>
      <c r="E172" s="45"/>
    </row>
    <row r="173" customFormat="false" ht="15" hidden="false" customHeight="false" outlineLevel="0" collapsed="false">
      <c r="C173" s="47"/>
      <c r="D173" s="48"/>
      <c r="E173" s="45"/>
    </row>
    <row r="174" customFormat="false" ht="15" hidden="false" customHeight="false" outlineLevel="0" collapsed="false">
      <c r="C174" s="47"/>
      <c r="D174" s="48"/>
      <c r="E174" s="45"/>
    </row>
    <row r="175" customFormat="false" ht="15" hidden="false" customHeight="false" outlineLevel="0" collapsed="false">
      <c r="C175" s="47"/>
      <c r="D175" s="48"/>
      <c r="E175" s="45"/>
    </row>
    <row r="176" customFormat="false" ht="15" hidden="false" customHeight="false" outlineLevel="0" collapsed="false">
      <c r="C176" s="47"/>
      <c r="D176" s="48"/>
      <c r="E176" s="45"/>
    </row>
    <row r="177" customFormat="false" ht="15" hidden="false" customHeight="false" outlineLevel="0" collapsed="false">
      <c r="C177" s="47"/>
      <c r="D177" s="48"/>
      <c r="E177" s="45"/>
    </row>
    <row r="178" customFormat="false" ht="15" hidden="false" customHeight="false" outlineLevel="0" collapsed="false">
      <c r="C178" s="47"/>
      <c r="D178" s="48"/>
      <c r="E178" s="45"/>
    </row>
    <row r="179" customFormat="false" ht="15" hidden="false" customHeight="false" outlineLevel="0" collapsed="false">
      <c r="C179" s="47"/>
      <c r="D179" s="48"/>
      <c r="E179" s="45"/>
    </row>
    <row r="180" customFormat="false" ht="15" hidden="false" customHeight="false" outlineLevel="0" collapsed="false">
      <c r="C180" s="47"/>
      <c r="D180" s="48"/>
      <c r="E180" s="45"/>
    </row>
    <row r="181" customFormat="false" ht="15" hidden="false" customHeight="false" outlineLevel="0" collapsed="false">
      <c r="C181" s="47"/>
      <c r="D181" s="48"/>
      <c r="E181" s="45"/>
    </row>
    <row r="182" customFormat="false" ht="15" hidden="false" customHeight="false" outlineLevel="0" collapsed="false">
      <c r="C182" s="47"/>
      <c r="D182" s="48"/>
      <c r="E182" s="45"/>
    </row>
    <row r="183" customFormat="false" ht="15" hidden="false" customHeight="false" outlineLevel="0" collapsed="false">
      <c r="C183" s="47"/>
      <c r="D183" s="48"/>
      <c r="E183" s="45"/>
    </row>
    <row r="184" customFormat="false" ht="15" hidden="false" customHeight="false" outlineLevel="0" collapsed="false">
      <c r="C184" s="47"/>
      <c r="D184" s="48"/>
      <c r="E184" s="45"/>
    </row>
    <row r="185" customFormat="false" ht="15" hidden="false" customHeight="false" outlineLevel="0" collapsed="false">
      <c r="C185" s="47"/>
      <c r="D185" s="48"/>
      <c r="E185" s="45"/>
    </row>
    <row r="186" customFormat="false" ht="15" hidden="false" customHeight="false" outlineLevel="0" collapsed="false">
      <c r="C186" s="47"/>
      <c r="D186" s="48"/>
      <c r="E186" s="45"/>
    </row>
    <row r="187" customFormat="false" ht="15" hidden="false" customHeight="false" outlineLevel="0" collapsed="false">
      <c r="C187" s="47"/>
      <c r="D187" s="48"/>
      <c r="E187" s="45"/>
    </row>
    <row r="188" customFormat="false" ht="15" hidden="false" customHeight="false" outlineLevel="0" collapsed="false">
      <c r="C188" s="47"/>
      <c r="D188" s="48"/>
      <c r="E188" s="45"/>
    </row>
    <row r="189" customFormat="false" ht="15" hidden="false" customHeight="false" outlineLevel="0" collapsed="false">
      <c r="C189" s="47"/>
      <c r="D189" s="48"/>
      <c r="E189" s="45"/>
    </row>
    <row r="190" customFormat="false" ht="15" hidden="false" customHeight="false" outlineLevel="0" collapsed="false">
      <c r="C190" s="47"/>
      <c r="D190" s="48"/>
      <c r="E190" s="45"/>
    </row>
    <row r="191" customFormat="false" ht="15" hidden="false" customHeight="false" outlineLevel="0" collapsed="false">
      <c r="C191" s="47"/>
      <c r="D191" s="48"/>
      <c r="E191" s="45"/>
    </row>
    <row r="192" customFormat="false" ht="15" hidden="false" customHeight="false" outlineLevel="0" collapsed="false">
      <c r="C192" s="47"/>
      <c r="D192" s="48"/>
      <c r="E192" s="45"/>
    </row>
    <row r="193" customFormat="false" ht="15" hidden="false" customHeight="false" outlineLevel="0" collapsed="false">
      <c r="C193" s="47"/>
      <c r="D193" s="48"/>
      <c r="E193" s="45"/>
    </row>
    <row r="194" customFormat="false" ht="15" hidden="false" customHeight="false" outlineLevel="0" collapsed="false">
      <c r="C194" s="47"/>
      <c r="D194" s="48"/>
      <c r="E194" s="45"/>
    </row>
    <row r="195" customFormat="false" ht="15" hidden="false" customHeight="false" outlineLevel="0" collapsed="false">
      <c r="C195" s="47"/>
      <c r="D195" s="48"/>
      <c r="E195" s="45"/>
    </row>
    <row r="196" customFormat="false" ht="15" hidden="false" customHeight="false" outlineLevel="0" collapsed="false">
      <c r="C196" s="47"/>
      <c r="D196" s="48"/>
      <c r="E196" s="45"/>
    </row>
    <row r="197" customFormat="false" ht="15" hidden="false" customHeight="false" outlineLevel="0" collapsed="false">
      <c r="C197" s="47"/>
      <c r="D197" s="48"/>
      <c r="E197" s="45"/>
    </row>
    <row r="198" customFormat="false" ht="15" hidden="false" customHeight="false" outlineLevel="0" collapsed="false">
      <c r="C198" s="47"/>
      <c r="D198" s="48"/>
      <c r="E198" s="45"/>
    </row>
    <row r="199" customFormat="false" ht="15" hidden="false" customHeight="false" outlineLevel="0" collapsed="false">
      <c r="C199" s="47"/>
      <c r="D199" s="48"/>
      <c r="E199" s="45"/>
    </row>
    <row r="200" customFormat="false" ht="15" hidden="false" customHeight="false" outlineLevel="0" collapsed="false">
      <c r="C200" s="47"/>
      <c r="D200" s="48"/>
      <c r="E200" s="45"/>
    </row>
    <row r="201" customFormat="false" ht="15" hidden="false" customHeight="false" outlineLevel="0" collapsed="false">
      <c r="C201" s="47"/>
      <c r="D201" s="48"/>
      <c r="E201" s="45"/>
    </row>
    <row r="202" customFormat="false" ht="15" hidden="false" customHeight="false" outlineLevel="0" collapsed="false">
      <c r="C202" s="47"/>
      <c r="D202" s="48"/>
      <c r="E202" s="45"/>
    </row>
    <row r="203" customFormat="false" ht="15" hidden="false" customHeight="false" outlineLevel="0" collapsed="false">
      <c r="C203" s="47"/>
      <c r="D203" s="48"/>
      <c r="E203" s="45"/>
    </row>
    <row r="204" customFormat="false" ht="15" hidden="false" customHeight="false" outlineLevel="0" collapsed="false">
      <c r="C204" s="47"/>
      <c r="D204" s="48"/>
      <c r="E204" s="45"/>
    </row>
    <row r="205" customFormat="false" ht="15" hidden="false" customHeight="false" outlineLevel="0" collapsed="false">
      <c r="C205" s="47"/>
      <c r="D205" s="48"/>
      <c r="E205" s="45"/>
    </row>
    <row r="206" customFormat="false" ht="15" hidden="false" customHeight="false" outlineLevel="0" collapsed="false">
      <c r="C206" s="47"/>
      <c r="D206" s="48"/>
      <c r="E206" s="45"/>
    </row>
    <row r="207" customFormat="false" ht="15" hidden="false" customHeight="false" outlineLevel="0" collapsed="false">
      <c r="C207" s="47"/>
      <c r="D207" s="48"/>
      <c r="E207" s="45"/>
    </row>
    <row r="208" customFormat="false" ht="15" hidden="false" customHeight="false" outlineLevel="0" collapsed="false">
      <c r="C208" s="47"/>
      <c r="D208" s="48"/>
      <c r="E208" s="45"/>
    </row>
    <row r="209" customFormat="false" ht="15" hidden="false" customHeight="false" outlineLevel="0" collapsed="false">
      <c r="C209" s="47"/>
      <c r="D209" s="48"/>
      <c r="E209" s="45"/>
    </row>
    <row r="210" customFormat="false" ht="15" hidden="false" customHeight="false" outlineLevel="0" collapsed="false">
      <c r="C210" s="47"/>
      <c r="D210" s="48"/>
      <c r="E210" s="45"/>
    </row>
    <row r="211" customFormat="false" ht="15" hidden="false" customHeight="false" outlineLevel="0" collapsed="false">
      <c r="C211" s="47"/>
      <c r="D211" s="48"/>
      <c r="E211" s="45"/>
    </row>
    <row r="212" customFormat="false" ht="15" hidden="false" customHeight="false" outlineLevel="0" collapsed="false">
      <c r="C212" s="47"/>
      <c r="D212" s="48"/>
      <c r="E212" s="45"/>
    </row>
    <row r="213" customFormat="false" ht="15" hidden="false" customHeight="false" outlineLevel="0" collapsed="false">
      <c r="C213" s="47"/>
      <c r="D213" s="48"/>
      <c r="E213" s="45"/>
    </row>
    <row r="214" customFormat="false" ht="15" hidden="false" customHeight="false" outlineLevel="0" collapsed="false">
      <c r="C214" s="47"/>
      <c r="D214" s="48"/>
      <c r="E214" s="45"/>
    </row>
    <row r="215" customFormat="false" ht="15" hidden="false" customHeight="false" outlineLevel="0" collapsed="false">
      <c r="C215" s="47"/>
      <c r="D215" s="48"/>
      <c r="E215" s="45"/>
    </row>
    <row r="216" customFormat="false" ht="15" hidden="false" customHeight="false" outlineLevel="0" collapsed="false">
      <c r="C216" s="47"/>
      <c r="D216" s="48"/>
      <c r="E216" s="45"/>
    </row>
    <row r="217" customFormat="false" ht="15" hidden="false" customHeight="false" outlineLevel="0" collapsed="false">
      <c r="C217" s="47"/>
      <c r="D217" s="48"/>
      <c r="E217" s="45"/>
    </row>
    <row r="218" customFormat="false" ht="15" hidden="false" customHeight="false" outlineLevel="0" collapsed="false">
      <c r="C218" s="47"/>
      <c r="D218" s="48"/>
      <c r="E218" s="45"/>
    </row>
    <row r="219" customFormat="false" ht="15" hidden="false" customHeight="false" outlineLevel="0" collapsed="false">
      <c r="C219" s="47"/>
      <c r="D219" s="48"/>
      <c r="E219" s="45"/>
    </row>
    <row r="220" customFormat="false" ht="15" hidden="false" customHeight="false" outlineLevel="0" collapsed="false">
      <c r="C220" s="47"/>
      <c r="D220" s="48"/>
      <c r="E220" s="45"/>
    </row>
    <row r="221" customFormat="false" ht="15" hidden="false" customHeight="false" outlineLevel="0" collapsed="false">
      <c r="C221" s="47"/>
      <c r="D221" s="48"/>
      <c r="E221" s="45"/>
    </row>
    <row r="222" customFormat="false" ht="15" hidden="false" customHeight="false" outlineLevel="0" collapsed="false">
      <c r="C222" s="47"/>
      <c r="D222" s="48"/>
      <c r="E222" s="45"/>
    </row>
    <row r="223" customFormat="false" ht="15" hidden="false" customHeight="false" outlineLevel="0" collapsed="false">
      <c r="C223" s="47"/>
      <c r="D223" s="48"/>
      <c r="E223" s="45"/>
    </row>
    <row r="224" customFormat="false" ht="15" hidden="false" customHeight="false" outlineLevel="0" collapsed="false">
      <c r="C224" s="47"/>
      <c r="D224" s="48"/>
      <c r="E224" s="45"/>
    </row>
    <row r="225" customFormat="false" ht="15" hidden="false" customHeight="false" outlineLevel="0" collapsed="false">
      <c r="C225" s="47"/>
      <c r="D225" s="48"/>
      <c r="E225" s="45"/>
    </row>
    <row r="226" customFormat="false" ht="15" hidden="false" customHeight="false" outlineLevel="0" collapsed="false">
      <c r="C226" s="47"/>
      <c r="D226" s="48"/>
      <c r="E226" s="45"/>
    </row>
    <row r="227" customFormat="false" ht="15" hidden="false" customHeight="false" outlineLevel="0" collapsed="false">
      <c r="C227" s="47"/>
      <c r="D227" s="48"/>
      <c r="E227" s="45"/>
    </row>
    <row r="228" customFormat="false" ht="15" hidden="false" customHeight="false" outlineLevel="0" collapsed="false">
      <c r="C228" s="47"/>
      <c r="D228" s="48"/>
      <c r="E228" s="45"/>
    </row>
    <row r="229" customFormat="false" ht="15" hidden="false" customHeight="false" outlineLevel="0" collapsed="false">
      <c r="C229" s="47"/>
      <c r="D229" s="48"/>
      <c r="E229" s="45"/>
    </row>
    <row r="230" customFormat="false" ht="15" hidden="false" customHeight="false" outlineLevel="0" collapsed="false">
      <c r="C230" s="47"/>
      <c r="D230" s="48"/>
      <c r="E230" s="45"/>
    </row>
    <row r="231" customFormat="false" ht="15" hidden="false" customHeight="false" outlineLevel="0" collapsed="false">
      <c r="C231" s="47"/>
      <c r="D231" s="48"/>
      <c r="E231" s="45"/>
    </row>
    <row r="232" customFormat="false" ht="15" hidden="false" customHeight="false" outlineLevel="0" collapsed="false">
      <c r="C232" s="47"/>
      <c r="D232" s="48"/>
      <c r="E232" s="45"/>
    </row>
    <row r="233" customFormat="false" ht="15" hidden="false" customHeight="false" outlineLevel="0" collapsed="false">
      <c r="C233" s="47"/>
      <c r="D233" s="48"/>
      <c r="E233" s="45"/>
    </row>
    <row r="234" customFormat="false" ht="15" hidden="false" customHeight="false" outlineLevel="0" collapsed="false">
      <c r="C234" s="47"/>
      <c r="D234" s="48"/>
      <c r="E234" s="45"/>
    </row>
    <row r="235" customFormat="false" ht="15" hidden="false" customHeight="false" outlineLevel="0" collapsed="false">
      <c r="C235" s="47"/>
      <c r="D235" s="48"/>
      <c r="E235" s="45"/>
    </row>
    <row r="236" customFormat="false" ht="15" hidden="false" customHeight="false" outlineLevel="0" collapsed="false">
      <c r="C236" s="47"/>
      <c r="D236" s="48"/>
      <c r="E236" s="45"/>
    </row>
    <row r="237" customFormat="false" ht="15" hidden="false" customHeight="false" outlineLevel="0" collapsed="false">
      <c r="C237" s="47"/>
      <c r="D237" s="48"/>
      <c r="E237" s="45"/>
    </row>
    <row r="238" customFormat="false" ht="15" hidden="false" customHeight="false" outlineLevel="0" collapsed="false">
      <c r="C238" s="47"/>
      <c r="D238" s="48"/>
      <c r="E238" s="45"/>
    </row>
    <row r="239" customFormat="false" ht="15" hidden="false" customHeight="false" outlineLevel="0" collapsed="false">
      <c r="C239" s="47"/>
      <c r="D239" s="48"/>
      <c r="E239" s="45"/>
    </row>
    <row r="240" customFormat="false" ht="15" hidden="false" customHeight="false" outlineLevel="0" collapsed="false">
      <c r="C240" s="47"/>
      <c r="D240" s="48"/>
      <c r="E240" s="45"/>
    </row>
    <row r="241" customFormat="false" ht="15" hidden="false" customHeight="false" outlineLevel="0" collapsed="false">
      <c r="C241" s="47"/>
      <c r="D241" s="48"/>
      <c r="E241" s="45"/>
    </row>
    <row r="242" customFormat="false" ht="15" hidden="false" customHeight="false" outlineLevel="0" collapsed="false">
      <c r="C242" s="47"/>
      <c r="D242" s="48"/>
      <c r="E242" s="45"/>
    </row>
    <row r="243" customFormat="false" ht="15" hidden="false" customHeight="false" outlineLevel="0" collapsed="false">
      <c r="C243" s="47"/>
      <c r="D243" s="48"/>
      <c r="E243" s="45"/>
    </row>
    <row r="244" customFormat="false" ht="15" hidden="false" customHeight="false" outlineLevel="0" collapsed="false">
      <c r="C244" s="47"/>
      <c r="D244" s="48"/>
      <c r="E244" s="45"/>
    </row>
    <row r="245" customFormat="false" ht="15" hidden="false" customHeight="false" outlineLevel="0" collapsed="false">
      <c r="C245" s="47"/>
      <c r="D245" s="48"/>
      <c r="E245" s="45"/>
    </row>
    <row r="246" customFormat="false" ht="15" hidden="false" customHeight="false" outlineLevel="0" collapsed="false">
      <c r="C246" s="47"/>
      <c r="D246" s="48"/>
      <c r="E246" s="45"/>
    </row>
    <row r="247" customFormat="false" ht="15" hidden="false" customHeight="false" outlineLevel="0" collapsed="false">
      <c r="C247" s="47"/>
      <c r="D247" s="48"/>
      <c r="E247" s="45"/>
    </row>
    <row r="248" customFormat="false" ht="15" hidden="false" customHeight="false" outlineLevel="0" collapsed="false">
      <c r="C248" s="47"/>
      <c r="D248" s="48"/>
      <c r="E248" s="45"/>
    </row>
    <row r="249" customFormat="false" ht="15" hidden="false" customHeight="false" outlineLevel="0" collapsed="false">
      <c r="C249" s="47"/>
      <c r="D249" s="48"/>
      <c r="E249" s="45"/>
    </row>
    <row r="250" customFormat="false" ht="15" hidden="false" customHeight="false" outlineLevel="0" collapsed="false">
      <c r="C250" s="47"/>
      <c r="D250" s="48"/>
      <c r="E250" s="45"/>
    </row>
    <row r="251" customFormat="false" ht="15" hidden="false" customHeight="false" outlineLevel="0" collapsed="false">
      <c r="C251" s="47"/>
      <c r="D251" s="48"/>
      <c r="E251" s="45"/>
    </row>
    <row r="252" customFormat="false" ht="15" hidden="false" customHeight="false" outlineLevel="0" collapsed="false">
      <c r="C252" s="47"/>
      <c r="D252" s="48"/>
      <c r="E252" s="45"/>
    </row>
    <row r="253" customFormat="false" ht="15" hidden="false" customHeight="false" outlineLevel="0" collapsed="false">
      <c r="C253" s="47"/>
      <c r="D253" s="48"/>
      <c r="E253" s="45"/>
    </row>
    <row r="254" customFormat="false" ht="15" hidden="false" customHeight="false" outlineLevel="0" collapsed="false">
      <c r="C254" s="47"/>
      <c r="D254" s="48"/>
      <c r="E254" s="45"/>
    </row>
    <row r="255" customFormat="false" ht="15" hidden="false" customHeight="false" outlineLevel="0" collapsed="false">
      <c r="C255" s="47"/>
      <c r="D255" s="48"/>
      <c r="E255" s="45"/>
    </row>
    <row r="256" customFormat="false" ht="15" hidden="false" customHeight="false" outlineLevel="0" collapsed="false">
      <c r="C256" s="47"/>
      <c r="D256" s="48"/>
      <c r="E256" s="45"/>
    </row>
    <row r="257" customFormat="false" ht="15" hidden="false" customHeight="false" outlineLevel="0" collapsed="false">
      <c r="C257" s="47"/>
      <c r="D257" s="48"/>
      <c r="E257" s="45"/>
    </row>
    <row r="258" customFormat="false" ht="15" hidden="false" customHeight="false" outlineLevel="0" collapsed="false">
      <c r="C258" s="47"/>
      <c r="D258" s="48"/>
      <c r="E258" s="45"/>
    </row>
    <row r="259" customFormat="false" ht="15" hidden="false" customHeight="false" outlineLevel="0" collapsed="false">
      <c r="C259" s="47"/>
      <c r="D259" s="48"/>
      <c r="E259" s="45"/>
    </row>
    <row r="260" customFormat="false" ht="15" hidden="false" customHeight="false" outlineLevel="0" collapsed="false">
      <c r="C260" s="47"/>
      <c r="D260" s="48"/>
      <c r="E260" s="45"/>
    </row>
    <row r="261" customFormat="false" ht="15" hidden="false" customHeight="false" outlineLevel="0" collapsed="false">
      <c r="C261" s="47"/>
      <c r="D261" s="48"/>
      <c r="E261" s="45"/>
    </row>
    <row r="262" customFormat="false" ht="15" hidden="false" customHeight="false" outlineLevel="0" collapsed="false">
      <c r="C262" s="47"/>
      <c r="D262" s="48"/>
      <c r="E262" s="45"/>
    </row>
    <row r="263" customFormat="false" ht="15" hidden="false" customHeight="false" outlineLevel="0" collapsed="false">
      <c r="C263" s="47"/>
      <c r="D263" s="48"/>
      <c r="E263" s="45"/>
    </row>
    <row r="264" customFormat="false" ht="15" hidden="false" customHeight="false" outlineLevel="0" collapsed="false">
      <c r="C264" s="47"/>
      <c r="D264" s="48"/>
      <c r="E264" s="45"/>
    </row>
    <row r="265" customFormat="false" ht="15" hidden="false" customHeight="false" outlineLevel="0" collapsed="false">
      <c r="C265" s="47"/>
      <c r="D265" s="48"/>
      <c r="E265" s="45"/>
    </row>
    <row r="266" customFormat="false" ht="15" hidden="false" customHeight="false" outlineLevel="0" collapsed="false">
      <c r="C266" s="47"/>
      <c r="D266" s="48"/>
      <c r="E266" s="45"/>
    </row>
    <row r="267" customFormat="false" ht="15" hidden="false" customHeight="false" outlineLevel="0" collapsed="false">
      <c r="C267" s="47"/>
      <c r="D267" s="48"/>
      <c r="E267" s="45"/>
    </row>
    <row r="268" customFormat="false" ht="15" hidden="false" customHeight="false" outlineLevel="0" collapsed="false">
      <c r="C268" s="47"/>
      <c r="D268" s="48"/>
      <c r="E268" s="45"/>
    </row>
    <row r="269" customFormat="false" ht="15" hidden="false" customHeight="false" outlineLevel="0" collapsed="false">
      <c r="C269" s="47"/>
      <c r="D269" s="48"/>
      <c r="E269" s="45"/>
    </row>
    <row r="270" customFormat="false" ht="15" hidden="false" customHeight="false" outlineLevel="0" collapsed="false">
      <c r="C270" s="47"/>
      <c r="D270" s="48"/>
      <c r="E270" s="45"/>
    </row>
    <row r="271" customFormat="false" ht="15" hidden="false" customHeight="false" outlineLevel="0" collapsed="false">
      <c r="C271" s="47"/>
      <c r="D271" s="48"/>
      <c r="E271" s="45"/>
    </row>
    <row r="272" customFormat="false" ht="15" hidden="false" customHeight="false" outlineLevel="0" collapsed="false">
      <c r="C272" s="47"/>
      <c r="D272" s="48"/>
      <c r="E272" s="45"/>
    </row>
    <row r="273" customFormat="false" ht="15" hidden="false" customHeight="false" outlineLevel="0" collapsed="false">
      <c r="C273" s="47"/>
      <c r="D273" s="48"/>
      <c r="E273" s="45"/>
    </row>
    <row r="274" customFormat="false" ht="15" hidden="false" customHeight="false" outlineLevel="0" collapsed="false">
      <c r="C274" s="47"/>
      <c r="D274" s="48"/>
      <c r="E274" s="45"/>
    </row>
    <row r="275" customFormat="false" ht="15" hidden="false" customHeight="false" outlineLevel="0" collapsed="false">
      <c r="C275" s="47"/>
      <c r="D275" s="48"/>
      <c r="E275" s="45"/>
    </row>
    <row r="276" customFormat="false" ht="15" hidden="false" customHeight="false" outlineLevel="0" collapsed="false">
      <c r="C276" s="47"/>
      <c r="D276" s="48"/>
      <c r="E276" s="45"/>
    </row>
    <row r="277" customFormat="false" ht="15" hidden="false" customHeight="false" outlineLevel="0" collapsed="false">
      <c r="C277" s="47"/>
      <c r="D277" s="48"/>
      <c r="E277" s="45"/>
    </row>
    <row r="278" customFormat="false" ht="15" hidden="false" customHeight="false" outlineLevel="0" collapsed="false">
      <c r="C278" s="47"/>
      <c r="D278" s="48"/>
      <c r="E278" s="45"/>
    </row>
    <row r="279" customFormat="false" ht="15" hidden="false" customHeight="false" outlineLevel="0" collapsed="false">
      <c r="C279" s="47"/>
      <c r="D279" s="48"/>
      <c r="E279" s="45"/>
    </row>
    <row r="280" customFormat="false" ht="15" hidden="false" customHeight="false" outlineLevel="0" collapsed="false">
      <c r="C280" s="47"/>
      <c r="D280" s="48"/>
      <c r="E280" s="45"/>
    </row>
    <row r="281" customFormat="false" ht="15" hidden="false" customHeight="false" outlineLevel="0" collapsed="false">
      <c r="C281" s="47"/>
      <c r="D281" s="48"/>
      <c r="E281" s="45"/>
    </row>
    <row r="282" customFormat="false" ht="15" hidden="false" customHeight="false" outlineLevel="0" collapsed="false">
      <c r="C282" s="47"/>
      <c r="D282" s="48"/>
      <c r="E282" s="45"/>
    </row>
    <row r="283" customFormat="false" ht="15" hidden="false" customHeight="false" outlineLevel="0" collapsed="false">
      <c r="C283" s="47"/>
      <c r="D283" s="48"/>
      <c r="E283" s="45"/>
    </row>
    <row r="284" customFormat="false" ht="15" hidden="false" customHeight="false" outlineLevel="0" collapsed="false">
      <c r="C284" s="47"/>
      <c r="D284" s="48"/>
      <c r="E284" s="45"/>
    </row>
    <row r="285" customFormat="false" ht="15" hidden="false" customHeight="false" outlineLevel="0" collapsed="false">
      <c r="C285" s="47"/>
      <c r="D285" s="48"/>
      <c r="E285" s="45"/>
    </row>
    <row r="286" customFormat="false" ht="15" hidden="false" customHeight="false" outlineLevel="0" collapsed="false">
      <c r="C286" s="47"/>
      <c r="D286" s="48"/>
      <c r="E286" s="45"/>
    </row>
    <row r="287" customFormat="false" ht="15" hidden="false" customHeight="false" outlineLevel="0" collapsed="false">
      <c r="C287" s="47"/>
      <c r="D287" s="48"/>
      <c r="E287" s="45"/>
    </row>
    <row r="288" customFormat="false" ht="15" hidden="false" customHeight="false" outlineLevel="0" collapsed="false">
      <c r="C288" s="47"/>
      <c r="D288" s="48"/>
      <c r="E288" s="45"/>
    </row>
    <row r="289" customFormat="false" ht="15" hidden="false" customHeight="false" outlineLevel="0" collapsed="false">
      <c r="C289" s="47"/>
      <c r="D289" s="48"/>
      <c r="E289" s="45"/>
    </row>
    <row r="290" customFormat="false" ht="15" hidden="false" customHeight="false" outlineLevel="0" collapsed="false">
      <c r="C290" s="47"/>
      <c r="D290" s="48"/>
      <c r="E290" s="45"/>
    </row>
    <row r="291" customFormat="false" ht="15" hidden="false" customHeight="false" outlineLevel="0" collapsed="false">
      <c r="C291" s="47"/>
      <c r="D291" s="48"/>
      <c r="E291" s="45"/>
    </row>
    <row r="292" customFormat="false" ht="15" hidden="false" customHeight="false" outlineLevel="0" collapsed="false">
      <c r="C292" s="47"/>
      <c r="D292" s="48"/>
      <c r="E292" s="45"/>
    </row>
    <row r="293" customFormat="false" ht="15" hidden="false" customHeight="false" outlineLevel="0" collapsed="false">
      <c r="C293" s="47"/>
      <c r="D293" s="48"/>
      <c r="E293" s="45"/>
    </row>
    <row r="294" customFormat="false" ht="15" hidden="false" customHeight="false" outlineLevel="0" collapsed="false">
      <c r="C294" s="47"/>
      <c r="D294" s="48"/>
      <c r="E294" s="45"/>
    </row>
    <row r="295" customFormat="false" ht="15" hidden="false" customHeight="false" outlineLevel="0" collapsed="false">
      <c r="C295" s="47"/>
      <c r="D295" s="48"/>
      <c r="E295" s="45"/>
    </row>
    <row r="296" customFormat="false" ht="15" hidden="false" customHeight="false" outlineLevel="0" collapsed="false">
      <c r="C296" s="47"/>
      <c r="D296" s="48"/>
      <c r="E296" s="45"/>
    </row>
    <row r="297" customFormat="false" ht="15" hidden="false" customHeight="false" outlineLevel="0" collapsed="false">
      <c r="C297" s="47"/>
      <c r="D297" s="48"/>
      <c r="E297" s="45"/>
    </row>
    <row r="298" customFormat="false" ht="15" hidden="false" customHeight="false" outlineLevel="0" collapsed="false">
      <c r="C298" s="47"/>
      <c r="D298" s="48"/>
      <c r="E298" s="45"/>
    </row>
    <row r="299" customFormat="false" ht="15" hidden="false" customHeight="false" outlineLevel="0" collapsed="false">
      <c r="C299" s="47"/>
      <c r="D299" s="48"/>
      <c r="E299" s="45"/>
    </row>
    <row r="300" customFormat="false" ht="15" hidden="false" customHeight="false" outlineLevel="0" collapsed="false">
      <c r="C300" s="47"/>
      <c r="D300" s="48"/>
      <c r="E300" s="45"/>
    </row>
    <row r="301" customFormat="false" ht="15" hidden="false" customHeight="false" outlineLevel="0" collapsed="false">
      <c r="C301" s="47"/>
      <c r="D301" s="48"/>
      <c r="E301" s="45"/>
    </row>
    <row r="302" customFormat="false" ht="15" hidden="false" customHeight="false" outlineLevel="0" collapsed="false">
      <c r="C302" s="47"/>
      <c r="D302" s="48"/>
      <c r="E302" s="45"/>
    </row>
    <row r="303" customFormat="false" ht="15" hidden="false" customHeight="false" outlineLevel="0" collapsed="false">
      <c r="C303" s="47"/>
      <c r="D303" s="48"/>
      <c r="E303" s="45"/>
    </row>
    <row r="304" customFormat="false" ht="15" hidden="false" customHeight="false" outlineLevel="0" collapsed="false">
      <c r="C304" s="47"/>
      <c r="D304" s="48"/>
      <c r="E304" s="45"/>
    </row>
    <row r="305" customFormat="false" ht="15" hidden="false" customHeight="false" outlineLevel="0" collapsed="false">
      <c r="C305" s="47"/>
      <c r="D305" s="48"/>
      <c r="E305" s="45"/>
    </row>
    <row r="306" customFormat="false" ht="15" hidden="false" customHeight="false" outlineLevel="0" collapsed="false">
      <c r="C306" s="47"/>
      <c r="D306" s="48"/>
      <c r="E306" s="45"/>
    </row>
    <row r="307" customFormat="false" ht="15" hidden="false" customHeight="false" outlineLevel="0" collapsed="false">
      <c r="C307" s="47"/>
      <c r="D307" s="48"/>
      <c r="E307" s="45"/>
    </row>
    <row r="308" customFormat="false" ht="15" hidden="false" customHeight="false" outlineLevel="0" collapsed="false">
      <c r="C308" s="47"/>
      <c r="D308" s="48"/>
      <c r="E308" s="45"/>
    </row>
    <row r="309" customFormat="false" ht="15" hidden="false" customHeight="false" outlineLevel="0" collapsed="false">
      <c r="C309" s="47"/>
      <c r="D309" s="48"/>
      <c r="E309" s="45"/>
    </row>
    <row r="310" customFormat="false" ht="15" hidden="false" customHeight="false" outlineLevel="0" collapsed="false">
      <c r="C310" s="47"/>
      <c r="D310" s="48"/>
      <c r="E310" s="45"/>
    </row>
    <row r="311" customFormat="false" ht="15" hidden="false" customHeight="false" outlineLevel="0" collapsed="false">
      <c r="C311" s="47"/>
      <c r="D311" s="48"/>
      <c r="E311" s="45"/>
    </row>
    <row r="312" customFormat="false" ht="15" hidden="false" customHeight="false" outlineLevel="0" collapsed="false">
      <c r="C312" s="47"/>
      <c r="D312" s="48"/>
      <c r="E312" s="45"/>
    </row>
    <row r="313" customFormat="false" ht="15" hidden="false" customHeight="false" outlineLevel="0" collapsed="false">
      <c r="C313" s="47"/>
      <c r="D313" s="48"/>
      <c r="E313" s="45"/>
    </row>
    <row r="314" customFormat="false" ht="15" hidden="false" customHeight="false" outlineLevel="0" collapsed="false">
      <c r="C314" s="47"/>
      <c r="D314" s="48"/>
      <c r="E314" s="45"/>
    </row>
    <row r="315" customFormat="false" ht="15" hidden="false" customHeight="false" outlineLevel="0" collapsed="false">
      <c r="C315" s="47"/>
      <c r="D315" s="48"/>
      <c r="E315" s="45"/>
    </row>
    <row r="316" customFormat="false" ht="15" hidden="false" customHeight="false" outlineLevel="0" collapsed="false">
      <c r="C316" s="47"/>
      <c r="D316" s="48"/>
      <c r="E316" s="45"/>
    </row>
    <row r="317" customFormat="false" ht="15" hidden="false" customHeight="false" outlineLevel="0" collapsed="false">
      <c r="C317" s="47"/>
      <c r="D317" s="48"/>
      <c r="E317" s="45"/>
    </row>
    <row r="318" customFormat="false" ht="15" hidden="false" customHeight="false" outlineLevel="0" collapsed="false">
      <c r="C318" s="47"/>
      <c r="D318" s="48"/>
      <c r="E318" s="45"/>
    </row>
    <row r="319" customFormat="false" ht="15" hidden="false" customHeight="false" outlineLevel="0" collapsed="false">
      <c r="C319" s="47"/>
      <c r="D319" s="48"/>
      <c r="E319" s="45"/>
    </row>
    <row r="320" customFormat="false" ht="15" hidden="false" customHeight="false" outlineLevel="0" collapsed="false">
      <c r="C320" s="47"/>
      <c r="D320" s="48"/>
      <c r="E320" s="45"/>
    </row>
    <row r="321" customFormat="false" ht="15" hidden="false" customHeight="false" outlineLevel="0" collapsed="false">
      <c r="C321" s="47"/>
      <c r="D321" s="48"/>
      <c r="E321" s="45"/>
    </row>
    <row r="322" customFormat="false" ht="15" hidden="false" customHeight="false" outlineLevel="0" collapsed="false">
      <c r="C322" s="47"/>
      <c r="D322" s="48"/>
      <c r="E322" s="45"/>
    </row>
    <row r="323" customFormat="false" ht="15" hidden="false" customHeight="false" outlineLevel="0" collapsed="false">
      <c r="C323" s="47"/>
      <c r="D323" s="48"/>
      <c r="E323" s="45"/>
    </row>
    <row r="324" customFormat="false" ht="15" hidden="false" customHeight="false" outlineLevel="0" collapsed="false">
      <c r="C324" s="47"/>
      <c r="D324" s="48"/>
      <c r="E324" s="45"/>
    </row>
    <row r="325" customFormat="false" ht="15" hidden="false" customHeight="false" outlineLevel="0" collapsed="false">
      <c r="C325" s="47"/>
      <c r="D325" s="48"/>
      <c r="E325" s="45"/>
    </row>
    <row r="326" customFormat="false" ht="15" hidden="false" customHeight="false" outlineLevel="0" collapsed="false">
      <c r="C326" s="47"/>
      <c r="D326" s="48"/>
      <c r="E326" s="45"/>
    </row>
    <row r="327" customFormat="false" ht="15" hidden="false" customHeight="false" outlineLevel="0" collapsed="false">
      <c r="C327" s="47"/>
      <c r="D327" s="48"/>
      <c r="E327" s="45"/>
    </row>
    <row r="328" customFormat="false" ht="15" hidden="false" customHeight="false" outlineLevel="0" collapsed="false">
      <c r="C328" s="47"/>
      <c r="D328" s="48"/>
      <c r="E328" s="45"/>
    </row>
    <row r="329" customFormat="false" ht="15" hidden="false" customHeight="false" outlineLevel="0" collapsed="false">
      <c r="C329" s="47"/>
      <c r="D329" s="48"/>
      <c r="E329" s="45"/>
    </row>
    <row r="330" customFormat="false" ht="15" hidden="false" customHeight="false" outlineLevel="0" collapsed="false">
      <c r="C330" s="47"/>
      <c r="D330" s="48"/>
      <c r="E330" s="45"/>
    </row>
    <row r="331" customFormat="false" ht="15" hidden="false" customHeight="false" outlineLevel="0" collapsed="false">
      <c r="C331" s="47"/>
      <c r="D331" s="48"/>
      <c r="E331" s="45"/>
    </row>
    <row r="332" customFormat="false" ht="15" hidden="false" customHeight="false" outlineLevel="0" collapsed="false">
      <c r="C332" s="47"/>
      <c r="D332" s="48"/>
      <c r="E332" s="45"/>
    </row>
    <row r="333" customFormat="false" ht="15" hidden="false" customHeight="false" outlineLevel="0" collapsed="false">
      <c r="C333" s="47"/>
      <c r="D333" s="48"/>
      <c r="E333" s="45"/>
    </row>
    <row r="334" customFormat="false" ht="15" hidden="false" customHeight="false" outlineLevel="0" collapsed="false">
      <c r="C334" s="47"/>
      <c r="D334" s="48"/>
      <c r="E334" s="45"/>
    </row>
    <row r="335" customFormat="false" ht="15" hidden="false" customHeight="false" outlineLevel="0" collapsed="false">
      <c r="C335" s="47"/>
      <c r="D335" s="48"/>
      <c r="E335" s="45"/>
    </row>
    <row r="336" customFormat="false" ht="15" hidden="false" customHeight="false" outlineLevel="0" collapsed="false">
      <c r="C336" s="47"/>
      <c r="D336" s="48"/>
      <c r="E336" s="45"/>
    </row>
    <row r="337" customFormat="false" ht="15" hidden="false" customHeight="false" outlineLevel="0" collapsed="false">
      <c r="C337" s="47"/>
      <c r="D337" s="48"/>
      <c r="E337" s="45"/>
    </row>
    <row r="338" customFormat="false" ht="15" hidden="false" customHeight="false" outlineLevel="0" collapsed="false">
      <c r="C338" s="47"/>
      <c r="D338" s="48"/>
      <c r="E338" s="45"/>
    </row>
    <row r="339" customFormat="false" ht="15" hidden="false" customHeight="false" outlineLevel="0" collapsed="false">
      <c r="C339" s="47"/>
      <c r="D339" s="48"/>
      <c r="E339" s="45"/>
    </row>
    <row r="340" customFormat="false" ht="15" hidden="false" customHeight="false" outlineLevel="0" collapsed="false">
      <c r="C340" s="47"/>
      <c r="D340" s="48"/>
      <c r="E340" s="45"/>
    </row>
    <row r="341" customFormat="false" ht="15" hidden="false" customHeight="false" outlineLevel="0" collapsed="false">
      <c r="C341" s="47"/>
      <c r="D341" s="48"/>
      <c r="E341" s="45"/>
    </row>
    <row r="342" customFormat="false" ht="15" hidden="false" customHeight="false" outlineLevel="0" collapsed="false">
      <c r="C342" s="47"/>
      <c r="D342" s="48"/>
      <c r="E342" s="45"/>
    </row>
    <row r="343" customFormat="false" ht="15" hidden="false" customHeight="false" outlineLevel="0" collapsed="false">
      <c r="C343" s="47"/>
      <c r="D343" s="48"/>
      <c r="E343" s="45"/>
    </row>
    <row r="344" customFormat="false" ht="15" hidden="false" customHeight="false" outlineLevel="0" collapsed="false">
      <c r="C344" s="47"/>
      <c r="D344" s="48"/>
      <c r="E344" s="45"/>
    </row>
    <row r="345" customFormat="false" ht="15" hidden="false" customHeight="false" outlineLevel="0" collapsed="false">
      <c r="C345" s="47"/>
      <c r="D345" s="48"/>
      <c r="E345" s="45"/>
    </row>
    <row r="346" customFormat="false" ht="15" hidden="false" customHeight="false" outlineLevel="0" collapsed="false">
      <c r="C346" s="47"/>
      <c r="D346" s="48"/>
      <c r="E346" s="45"/>
    </row>
    <row r="347" customFormat="false" ht="15" hidden="false" customHeight="false" outlineLevel="0" collapsed="false">
      <c r="C347" s="47"/>
      <c r="D347" s="48"/>
      <c r="E347" s="45"/>
    </row>
    <row r="348" customFormat="false" ht="15" hidden="false" customHeight="false" outlineLevel="0" collapsed="false">
      <c r="C348" s="47"/>
      <c r="D348" s="48"/>
      <c r="E348" s="45"/>
    </row>
    <row r="349" customFormat="false" ht="15" hidden="false" customHeight="false" outlineLevel="0" collapsed="false">
      <c r="C349" s="47"/>
      <c r="D349" s="48"/>
      <c r="E349" s="45"/>
    </row>
    <row r="350" customFormat="false" ht="15" hidden="false" customHeight="false" outlineLevel="0" collapsed="false">
      <c r="C350" s="47"/>
      <c r="D350" s="48"/>
      <c r="E350" s="45"/>
    </row>
    <row r="351" customFormat="false" ht="15" hidden="false" customHeight="false" outlineLevel="0" collapsed="false">
      <c r="C351" s="47"/>
      <c r="D351" s="48"/>
      <c r="E351" s="45"/>
    </row>
    <row r="352" customFormat="false" ht="15" hidden="false" customHeight="false" outlineLevel="0" collapsed="false">
      <c r="C352" s="47"/>
      <c r="D352" s="48"/>
      <c r="E352" s="45"/>
    </row>
    <row r="353" customFormat="false" ht="15" hidden="false" customHeight="false" outlineLevel="0" collapsed="false">
      <c r="C353" s="47"/>
      <c r="D353" s="48"/>
      <c r="E353" s="45"/>
    </row>
    <row r="354" customFormat="false" ht="15" hidden="false" customHeight="false" outlineLevel="0" collapsed="false">
      <c r="C354" s="47"/>
      <c r="D354" s="48"/>
      <c r="E354" s="45"/>
    </row>
    <row r="355" customFormat="false" ht="15" hidden="false" customHeight="false" outlineLevel="0" collapsed="false">
      <c r="C355" s="47"/>
      <c r="D355" s="48"/>
      <c r="E355" s="45"/>
    </row>
    <row r="356" customFormat="false" ht="15" hidden="false" customHeight="false" outlineLevel="0" collapsed="false">
      <c r="C356" s="47"/>
      <c r="D356" s="48"/>
      <c r="E356" s="45"/>
    </row>
    <row r="357" customFormat="false" ht="15" hidden="false" customHeight="false" outlineLevel="0" collapsed="false">
      <c r="C357" s="47"/>
      <c r="D357" s="48"/>
      <c r="E357" s="45"/>
    </row>
    <row r="358" customFormat="false" ht="15" hidden="false" customHeight="false" outlineLevel="0" collapsed="false">
      <c r="C358" s="47"/>
      <c r="D358" s="48"/>
      <c r="E358" s="45"/>
    </row>
    <row r="359" customFormat="false" ht="15" hidden="false" customHeight="false" outlineLevel="0" collapsed="false">
      <c r="C359" s="47"/>
      <c r="D359" s="48"/>
      <c r="E359" s="45"/>
    </row>
    <row r="360" customFormat="false" ht="15" hidden="false" customHeight="false" outlineLevel="0" collapsed="false">
      <c r="C360" s="47"/>
      <c r="D360" s="48"/>
      <c r="E360" s="45"/>
    </row>
    <row r="361" customFormat="false" ht="15" hidden="false" customHeight="false" outlineLevel="0" collapsed="false">
      <c r="C361" s="47"/>
      <c r="D361" s="48"/>
      <c r="E361" s="45"/>
    </row>
    <row r="362" customFormat="false" ht="15" hidden="false" customHeight="false" outlineLevel="0" collapsed="false">
      <c r="C362" s="47"/>
      <c r="D362" s="48"/>
      <c r="E362" s="45"/>
    </row>
    <row r="363" customFormat="false" ht="15" hidden="false" customHeight="false" outlineLevel="0" collapsed="false">
      <c r="C363" s="47"/>
      <c r="D363" s="48"/>
      <c r="E363" s="45"/>
    </row>
    <row r="364" customFormat="false" ht="15" hidden="false" customHeight="false" outlineLevel="0" collapsed="false">
      <c r="C364" s="47"/>
      <c r="D364" s="48"/>
      <c r="E364" s="45"/>
    </row>
    <row r="365" customFormat="false" ht="15" hidden="false" customHeight="false" outlineLevel="0" collapsed="false">
      <c r="C365" s="47"/>
      <c r="D365" s="48"/>
      <c r="E365" s="45"/>
    </row>
    <row r="366" customFormat="false" ht="15" hidden="false" customHeight="false" outlineLevel="0" collapsed="false">
      <c r="C366" s="47"/>
      <c r="D366" s="48"/>
      <c r="E366" s="45"/>
    </row>
    <row r="367" customFormat="false" ht="15" hidden="false" customHeight="false" outlineLevel="0" collapsed="false">
      <c r="C367" s="47"/>
      <c r="D367" s="48"/>
      <c r="E367" s="45"/>
    </row>
    <row r="368" customFormat="false" ht="15" hidden="false" customHeight="false" outlineLevel="0" collapsed="false">
      <c r="C368" s="47"/>
      <c r="D368" s="48"/>
      <c r="E368" s="45"/>
    </row>
    <row r="369" customFormat="false" ht="15" hidden="false" customHeight="false" outlineLevel="0" collapsed="false">
      <c r="C369" s="47"/>
      <c r="D369" s="48"/>
      <c r="E369" s="45"/>
    </row>
    <row r="370" customFormat="false" ht="15" hidden="false" customHeight="false" outlineLevel="0" collapsed="false">
      <c r="C370" s="47"/>
      <c r="D370" s="48"/>
      <c r="E370" s="45"/>
    </row>
    <row r="371" customFormat="false" ht="15" hidden="false" customHeight="false" outlineLevel="0" collapsed="false">
      <c r="C371" s="47"/>
      <c r="D371" s="48"/>
      <c r="E371" s="45"/>
    </row>
    <row r="372" customFormat="false" ht="15" hidden="false" customHeight="false" outlineLevel="0" collapsed="false">
      <c r="C372" s="47"/>
      <c r="D372" s="48"/>
      <c r="E372" s="45"/>
    </row>
    <row r="373" customFormat="false" ht="15" hidden="false" customHeight="false" outlineLevel="0" collapsed="false">
      <c r="C373" s="47"/>
      <c r="D373" s="48"/>
      <c r="E373" s="45"/>
    </row>
    <row r="374" customFormat="false" ht="15" hidden="false" customHeight="false" outlineLevel="0" collapsed="false">
      <c r="C374" s="47"/>
      <c r="D374" s="48"/>
      <c r="E374" s="45"/>
    </row>
    <row r="375" customFormat="false" ht="15" hidden="false" customHeight="false" outlineLevel="0" collapsed="false">
      <c r="C375" s="47"/>
      <c r="D375" s="48"/>
      <c r="E375" s="45"/>
    </row>
    <row r="376" customFormat="false" ht="15" hidden="false" customHeight="false" outlineLevel="0" collapsed="false">
      <c r="C376" s="47"/>
      <c r="D376" s="48"/>
      <c r="E376" s="45"/>
    </row>
    <row r="377" customFormat="false" ht="15" hidden="false" customHeight="false" outlineLevel="0" collapsed="false">
      <c r="C377" s="47"/>
      <c r="D377" s="48"/>
      <c r="E377" s="45"/>
    </row>
    <row r="378" customFormat="false" ht="15" hidden="false" customHeight="false" outlineLevel="0" collapsed="false">
      <c r="C378" s="47"/>
      <c r="D378" s="48"/>
      <c r="E378" s="45"/>
    </row>
    <row r="379" customFormat="false" ht="15" hidden="false" customHeight="false" outlineLevel="0" collapsed="false">
      <c r="C379" s="47"/>
      <c r="D379" s="48"/>
      <c r="E379" s="45"/>
    </row>
    <row r="380" customFormat="false" ht="15" hidden="false" customHeight="false" outlineLevel="0" collapsed="false">
      <c r="C380" s="47"/>
      <c r="D380" s="48"/>
      <c r="E380" s="45"/>
    </row>
    <row r="381" customFormat="false" ht="15" hidden="false" customHeight="false" outlineLevel="0" collapsed="false">
      <c r="C381" s="47"/>
      <c r="D381" s="48"/>
      <c r="E381" s="45"/>
    </row>
    <row r="382" customFormat="false" ht="15" hidden="false" customHeight="false" outlineLevel="0" collapsed="false">
      <c r="C382" s="47"/>
      <c r="D382" s="48"/>
      <c r="E382" s="45"/>
    </row>
    <row r="383" customFormat="false" ht="15" hidden="false" customHeight="false" outlineLevel="0" collapsed="false">
      <c r="C383" s="47"/>
      <c r="D383" s="48"/>
      <c r="E383" s="45"/>
    </row>
    <row r="384" customFormat="false" ht="15" hidden="false" customHeight="false" outlineLevel="0" collapsed="false">
      <c r="C384" s="47"/>
      <c r="D384" s="48"/>
      <c r="E384" s="45"/>
    </row>
    <row r="385" customFormat="false" ht="15" hidden="false" customHeight="false" outlineLevel="0" collapsed="false">
      <c r="C385" s="47"/>
      <c r="D385" s="48"/>
      <c r="E385" s="45"/>
    </row>
    <row r="386" customFormat="false" ht="15" hidden="false" customHeight="false" outlineLevel="0" collapsed="false">
      <c r="C386" s="47"/>
      <c r="D386" s="48"/>
      <c r="E386" s="45"/>
    </row>
    <row r="387" customFormat="false" ht="15" hidden="false" customHeight="false" outlineLevel="0" collapsed="false">
      <c r="C387" s="47"/>
      <c r="D387" s="48"/>
      <c r="E387" s="45"/>
    </row>
    <row r="388" customFormat="false" ht="15" hidden="false" customHeight="false" outlineLevel="0" collapsed="false">
      <c r="C388" s="47"/>
      <c r="D388" s="48"/>
      <c r="E388" s="45"/>
    </row>
    <row r="389" customFormat="false" ht="15" hidden="false" customHeight="false" outlineLevel="0" collapsed="false">
      <c r="C389" s="47"/>
      <c r="D389" s="48"/>
      <c r="E389" s="45"/>
    </row>
    <row r="390" customFormat="false" ht="15" hidden="false" customHeight="false" outlineLevel="0" collapsed="false">
      <c r="C390" s="47"/>
      <c r="D390" s="48"/>
      <c r="E390" s="45"/>
    </row>
    <row r="391" customFormat="false" ht="15" hidden="false" customHeight="false" outlineLevel="0" collapsed="false">
      <c r="C391" s="47"/>
      <c r="D391" s="48"/>
      <c r="E391" s="45"/>
    </row>
    <row r="392" customFormat="false" ht="15" hidden="false" customHeight="false" outlineLevel="0" collapsed="false">
      <c r="C392" s="47"/>
      <c r="D392" s="48"/>
      <c r="E392" s="45"/>
    </row>
    <row r="393" customFormat="false" ht="15" hidden="false" customHeight="false" outlineLevel="0" collapsed="false">
      <c r="C393" s="47"/>
      <c r="D393" s="48"/>
      <c r="E393" s="45"/>
    </row>
    <row r="394" customFormat="false" ht="15" hidden="false" customHeight="false" outlineLevel="0" collapsed="false">
      <c r="C394" s="47"/>
      <c r="D394" s="48"/>
      <c r="E394" s="45"/>
    </row>
    <row r="395" customFormat="false" ht="15" hidden="false" customHeight="false" outlineLevel="0" collapsed="false">
      <c r="C395" s="47"/>
      <c r="D395" s="48"/>
      <c r="E395" s="45"/>
    </row>
    <row r="396" customFormat="false" ht="15" hidden="false" customHeight="false" outlineLevel="0" collapsed="false">
      <c r="C396" s="47"/>
      <c r="D396" s="48"/>
      <c r="E396" s="45"/>
    </row>
    <row r="397" customFormat="false" ht="15" hidden="false" customHeight="false" outlineLevel="0" collapsed="false">
      <c r="C397" s="47"/>
      <c r="D397" s="48"/>
      <c r="E397" s="45"/>
    </row>
    <row r="398" customFormat="false" ht="15" hidden="false" customHeight="false" outlineLevel="0" collapsed="false">
      <c r="C398" s="47"/>
      <c r="D398" s="48"/>
      <c r="E398" s="45"/>
    </row>
    <row r="399" customFormat="false" ht="15" hidden="false" customHeight="false" outlineLevel="0" collapsed="false">
      <c r="C399" s="47"/>
      <c r="D399" s="48"/>
      <c r="E399" s="45"/>
    </row>
    <row r="400" customFormat="false" ht="15" hidden="false" customHeight="false" outlineLevel="0" collapsed="false">
      <c r="C400" s="47"/>
      <c r="D400" s="48"/>
      <c r="E400" s="45"/>
    </row>
    <row r="401" customFormat="false" ht="15" hidden="false" customHeight="false" outlineLevel="0" collapsed="false">
      <c r="C401" s="47"/>
      <c r="D401" s="48"/>
      <c r="E401" s="45"/>
    </row>
    <row r="402" customFormat="false" ht="15" hidden="false" customHeight="false" outlineLevel="0" collapsed="false">
      <c r="C402" s="47"/>
      <c r="D402" s="48"/>
      <c r="E402" s="45"/>
    </row>
    <row r="403" customFormat="false" ht="15" hidden="false" customHeight="false" outlineLevel="0" collapsed="false">
      <c r="C403" s="47"/>
      <c r="D403" s="48"/>
      <c r="E403" s="45"/>
    </row>
    <row r="404" customFormat="false" ht="15" hidden="false" customHeight="false" outlineLevel="0" collapsed="false">
      <c r="C404" s="47"/>
      <c r="D404" s="48"/>
      <c r="E404" s="45"/>
    </row>
    <row r="405" customFormat="false" ht="15" hidden="false" customHeight="false" outlineLevel="0" collapsed="false">
      <c r="C405" s="47"/>
      <c r="D405" s="48"/>
      <c r="E405" s="45"/>
    </row>
    <row r="406" customFormat="false" ht="15" hidden="false" customHeight="false" outlineLevel="0" collapsed="false">
      <c r="C406" s="47"/>
      <c r="D406" s="48"/>
      <c r="E406" s="45"/>
    </row>
    <row r="407" customFormat="false" ht="15" hidden="false" customHeight="false" outlineLevel="0" collapsed="false">
      <c r="C407" s="47"/>
      <c r="D407" s="48"/>
      <c r="E407" s="45"/>
    </row>
    <row r="408" customFormat="false" ht="15" hidden="false" customHeight="false" outlineLevel="0" collapsed="false">
      <c r="C408" s="47"/>
      <c r="D408" s="48"/>
      <c r="E408" s="45"/>
    </row>
    <row r="409" customFormat="false" ht="15" hidden="false" customHeight="false" outlineLevel="0" collapsed="false">
      <c r="C409" s="47"/>
      <c r="D409" s="48"/>
      <c r="E409" s="45"/>
    </row>
    <row r="410" customFormat="false" ht="15" hidden="false" customHeight="false" outlineLevel="0" collapsed="false">
      <c r="C410" s="47"/>
      <c r="D410" s="48"/>
      <c r="E410" s="45"/>
    </row>
    <row r="411" customFormat="false" ht="15" hidden="false" customHeight="false" outlineLevel="0" collapsed="false">
      <c r="C411" s="47"/>
      <c r="D411" s="48"/>
      <c r="E411" s="45"/>
    </row>
    <row r="412" customFormat="false" ht="15" hidden="false" customHeight="false" outlineLevel="0" collapsed="false">
      <c r="C412" s="47"/>
      <c r="D412" s="48"/>
      <c r="E412" s="45"/>
    </row>
    <row r="413" customFormat="false" ht="15" hidden="false" customHeight="false" outlineLevel="0" collapsed="false">
      <c r="C413" s="47"/>
      <c r="D413" s="48"/>
      <c r="E413" s="45"/>
    </row>
    <row r="414" customFormat="false" ht="15" hidden="false" customHeight="false" outlineLevel="0" collapsed="false">
      <c r="C414" s="47"/>
      <c r="D414" s="48"/>
      <c r="E414" s="45"/>
    </row>
    <row r="415" customFormat="false" ht="15" hidden="false" customHeight="false" outlineLevel="0" collapsed="false">
      <c r="C415" s="47"/>
      <c r="D415" s="48"/>
      <c r="E415" s="45"/>
    </row>
    <row r="416" customFormat="false" ht="15" hidden="false" customHeight="false" outlineLevel="0" collapsed="false">
      <c r="C416" s="47"/>
      <c r="D416" s="48"/>
      <c r="E416" s="45"/>
    </row>
    <row r="417" customFormat="false" ht="15" hidden="false" customHeight="false" outlineLevel="0" collapsed="false">
      <c r="C417" s="47"/>
      <c r="D417" s="48"/>
      <c r="E417" s="45"/>
    </row>
    <row r="418" customFormat="false" ht="15" hidden="false" customHeight="false" outlineLevel="0" collapsed="false">
      <c r="C418" s="47"/>
      <c r="D418" s="48"/>
      <c r="E418" s="45"/>
    </row>
    <row r="419" customFormat="false" ht="15" hidden="false" customHeight="false" outlineLevel="0" collapsed="false">
      <c r="C419" s="47"/>
      <c r="D419" s="48"/>
      <c r="E419" s="45"/>
    </row>
    <row r="420" customFormat="false" ht="15" hidden="false" customHeight="false" outlineLevel="0" collapsed="false">
      <c r="C420" s="47"/>
      <c r="D420" s="48"/>
      <c r="E420" s="45"/>
    </row>
    <row r="421" customFormat="false" ht="15" hidden="false" customHeight="false" outlineLevel="0" collapsed="false">
      <c r="C421" s="47"/>
      <c r="D421" s="48"/>
      <c r="E421" s="45"/>
    </row>
    <row r="422" customFormat="false" ht="15" hidden="false" customHeight="false" outlineLevel="0" collapsed="false">
      <c r="C422" s="47"/>
      <c r="D422" s="48"/>
      <c r="E422" s="45"/>
    </row>
    <row r="423" customFormat="false" ht="15" hidden="false" customHeight="false" outlineLevel="0" collapsed="false">
      <c r="C423" s="47"/>
      <c r="D423" s="48"/>
      <c r="E423" s="45"/>
    </row>
    <row r="424" customFormat="false" ht="15" hidden="false" customHeight="false" outlineLevel="0" collapsed="false">
      <c r="C424" s="47"/>
      <c r="D424" s="48"/>
      <c r="E424" s="45"/>
    </row>
    <row r="425" customFormat="false" ht="15" hidden="false" customHeight="false" outlineLevel="0" collapsed="false">
      <c r="C425" s="47"/>
      <c r="D425" s="48"/>
      <c r="E425" s="45"/>
    </row>
    <row r="426" customFormat="false" ht="15" hidden="false" customHeight="false" outlineLevel="0" collapsed="false">
      <c r="C426" s="47"/>
      <c r="D426" s="48"/>
      <c r="E426" s="45"/>
    </row>
    <row r="427" customFormat="false" ht="15" hidden="false" customHeight="false" outlineLevel="0" collapsed="false">
      <c r="C427" s="47"/>
      <c r="D427" s="48"/>
      <c r="E427" s="45"/>
    </row>
    <row r="428" customFormat="false" ht="15" hidden="false" customHeight="false" outlineLevel="0" collapsed="false">
      <c r="C428" s="47"/>
      <c r="D428" s="48"/>
      <c r="E428" s="45"/>
    </row>
    <row r="429" customFormat="false" ht="15" hidden="false" customHeight="false" outlineLevel="0" collapsed="false">
      <c r="C429" s="47"/>
      <c r="D429" s="48"/>
      <c r="E429" s="45"/>
    </row>
    <row r="430" customFormat="false" ht="15" hidden="false" customHeight="false" outlineLevel="0" collapsed="false">
      <c r="C430" s="47"/>
      <c r="D430" s="48"/>
      <c r="E430" s="45"/>
    </row>
    <row r="431" customFormat="false" ht="15" hidden="false" customHeight="false" outlineLevel="0" collapsed="false">
      <c r="C431" s="47"/>
      <c r="D431" s="48"/>
      <c r="E431" s="45"/>
    </row>
    <row r="432" customFormat="false" ht="15" hidden="false" customHeight="false" outlineLevel="0" collapsed="false">
      <c r="C432" s="47"/>
      <c r="D432" s="48"/>
      <c r="E432" s="45"/>
    </row>
    <row r="433" customFormat="false" ht="15" hidden="false" customHeight="false" outlineLevel="0" collapsed="false">
      <c r="C433" s="47"/>
      <c r="D433" s="48"/>
      <c r="E433" s="45"/>
    </row>
    <row r="434" customFormat="false" ht="15" hidden="false" customHeight="false" outlineLevel="0" collapsed="false">
      <c r="C434" s="47"/>
      <c r="D434" s="48"/>
      <c r="E434" s="45"/>
    </row>
    <row r="435" customFormat="false" ht="15" hidden="false" customHeight="false" outlineLevel="0" collapsed="false">
      <c r="C435" s="47"/>
      <c r="D435" s="48"/>
      <c r="E435" s="45"/>
    </row>
    <row r="436" customFormat="false" ht="15" hidden="false" customHeight="false" outlineLevel="0" collapsed="false">
      <c r="C436" s="47"/>
      <c r="D436" s="48"/>
      <c r="E436" s="45"/>
    </row>
    <row r="437" customFormat="false" ht="15" hidden="false" customHeight="false" outlineLevel="0" collapsed="false">
      <c r="C437" s="47"/>
      <c r="D437" s="48"/>
      <c r="E437" s="45"/>
    </row>
    <row r="438" customFormat="false" ht="15" hidden="false" customHeight="false" outlineLevel="0" collapsed="false">
      <c r="C438" s="47"/>
      <c r="D438" s="48"/>
      <c r="E438" s="45"/>
    </row>
    <row r="439" customFormat="false" ht="15" hidden="false" customHeight="false" outlineLevel="0" collapsed="false">
      <c r="C439" s="47"/>
      <c r="D439" s="48"/>
      <c r="E439" s="45"/>
    </row>
    <row r="440" customFormat="false" ht="15" hidden="false" customHeight="false" outlineLevel="0" collapsed="false">
      <c r="C440" s="47"/>
      <c r="D440" s="48"/>
      <c r="E440" s="45"/>
    </row>
    <row r="441" customFormat="false" ht="15" hidden="false" customHeight="false" outlineLevel="0" collapsed="false">
      <c r="C441" s="47"/>
      <c r="D441" s="48"/>
      <c r="E441" s="45"/>
    </row>
    <row r="442" customFormat="false" ht="15" hidden="false" customHeight="false" outlineLevel="0" collapsed="false">
      <c r="C442" s="47"/>
      <c r="D442" s="48"/>
      <c r="E442" s="45"/>
    </row>
    <row r="443" customFormat="false" ht="15" hidden="false" customHeight="false" outlineLevel="0" collapsed="false">
      <c r="C443" s="47"/>
      <c r="D443" s="48"/>
      <c r="E443" s="45"/>
    </row>
    <row r="444" customFormat="false" ht="15" hidden="false" customHeight="false" outlineLevel="0" collapsed="false">
      <c r="C444" s="47"/>
      <c r="D444" s="48"/>
      <c r="E444" s="45"/>
    </row>
    <row r="445" customFormat="false" ht="15" hidden="false" customHeight="false" outlineLevel="0" collapsed="false">
      <c r="C445" s="47"/>
      <c r="D445" s="48"/>
      <c r="E445" s="45"/>
    </row>
    <row r="446" customFormat="false" ht="15" hidden="false" customHeight="false" outlineLevel="0" collapsed="false">
      <c r="C446" s="47"/>
      <c r="D446" s="48"/>
      <c r="E446" s="45"/>
    </row>
    <row r="447" customFormat="false" ht="15" hidden="false" customHeight="false" outlineLevel="0" collapsed="false">
      <c r="C447" s="47"/>
      <c r="D447" s="48"/>
      <c r="E447" s="45"/>
    </row>
    <row r="448" customFormat="false" ht="15" hidden="false" customHeight="false" outlineLevel="0" collapsed="false">
      <c r="C448" s="47"/>
      <c r="D448" s="48"/>
      <c r="E448" s="45"/>
    </row>
    <row r="449" customFormat="false" ht="15" hidden="false" customHeight="false" outlineLevel="0" collapsed="false">
      <c r="C449" s="47"/>
      <c r="D449" s="48"/>
      <c r="E449" s="45"/>
    </row>
    <row r="450" customFormat="false" ht="15" hidden="false" customHeight="false" outlineLevel="0" collapsed="false">
      <c r="C450" s="47"/>
      <c r="D450" s="48"/>
      <c r="E450" s="45"/>
    </row>
    <row r="451" customFormat="false" ht="15" hidden="false" customHeight="false" outlineLevel="0" collapsed="false">
      <c r="C451" s="47"/>
      <c r="D451" s="48"/>
      <c r="E451" s="45"/>
    </row>
    <row r="452" customFormat="false" ht="15" hidden="false" customHeight="false" outlineLevel="0" collapsed="false">
      <c r="C452" s="47"/>
      <c r="D452" s="48"/>
      <c r="E452" s="45"/>
    </row>
    <row r="453" customFormat="false" ht="15" hidden="false" customHeight="false" outlineLevel="0" collapsed="false">
      <c r="C453" s="47"/>
      <c r="D453" s="48"/>
      <c r="E453" s="45"/>
    </row>
    <row r="454" customFormat="false" ht="15" hidden="false" customHeight="false" outlineLevel="0" collapsed="false">
      <c r="C454" s="47"/>
      <c r="D454" s="48"/>
      <c r="E454" s="45"/>
    </row>
    <row r="455" customFormat="false" ht="15" hidden="false" customHeight="false" outlineLevel="0" collapsed="false">
      <c r="C455" s="47"/>
      <c r="D455" s="48"/>
      <c r="E455" s="45"/>
    </row>
    <row r="456" customFormat="false" ht="15" hidden="false" customHeight="false" outlineLevel="0" collapsed="false">
      <c r="C456" s="47"/>
      <c r="D456" s="48"/>
      <c r="E456" s="45"/>
    </row>
    <row r="457" customFormat="false" ht="15" hidden="false" customHeight="false" outlineLevel="0" collapsed="false">
      <c r="C457" s="47"/>
      <c r="D457" s="48"/>
      <c r="E457" s="45"/>
    </row>
    <row r="458" customFormat="false" ht="15" hidden="false" customHeight="false" outlineLevel="0" collapsed="false">
      <c r="C458" s="47"/>
      <c r="D458" s="48"/>
      <c r="E458" s="45"/>
    </row>
    <row r="459" customFormat="false" ht="15" hidden="false" customHeight="false" outlineLevel="0" collapsed="false">
      <c r="C459" s="47"/>
      <c r="D459" s="48"/>
      <c r="E459" s="45"/>
    </row>
    <row r="460" customFormat="false" ht="15" hidden="false" customHeight="false" outlineLevel="0" collapsed="false">
      <c r="C460" s="47"/>
      <c r="D460" s="48"/>
      <c r="E460" s="45"/>
    </row>
    <row r="461" customFormat="false" ht="15" hidden="false" customHeight="false" outlineLevel="0" collapsed="false">
      <c r="C461" s="47"/>
      <c r="D461" s="48"/>
      <c r="E461" s="45"/>
    </row>
    <row r="462" customFormat="false" ht="15" hidden="false" customHeight="false" outlineLevel="0" collapsed="false">
      <c r="C462" s="47"/>
      <c r="D462" s="48"/>
      <c r="E462" s="45"/>
    </row>
    <row r="463" customFormat="false" ht="15" hidden="false" customHeight="false" outlineLevel="0" collapsed="false">
      <c r="C463" s="47"/>
      <c r="D463" s="48"/>
      <c r="E463" s="45"/>
    </row>
    <row r="464" customFormat="false" ht="15" hidden="false" customHeight="false" outlineLevel="0" collapsed="false">
      <c r="C464" s="47"/>
      <c r="D464" s="48"/>
      <c r="E464" s="45"/>
    </row>
    <row r="465" customFormat="false" ht="15" hidden="false" customHeight="false" outlineLevel="0" collapsed="false">
      <c r="C465" s="47"/>
      <c r="D465" s="48"/>
      <c r="E465" s="45"/>
    </row>
    <row r="466" customFormat="false" ht="15" hidden="false" customHeight="false" outlineLevel="0" collapsed="false">
      <c r="C466" s="47"/>
      <c r="D466" s="48"/>
      <c r="E466" s="45"/>
    </row>
    <row r="467" customFormat="false" ht="15" hidden="false" customHeight="false" outlineLevel="0" collapsed="false">
      <c r="C467" s="47"/>
      <c r="D467" s="48"/>
      <c r="E467" s="45"/>
    </row>
    <row r="468" customFormat="false" ht="15" hidden="false" customHeight="false" outlineLevel="0" collapsed="false">
      <c r="C468" s="47"/>
      <c r="D468" s="48"/>
      <c r="E468" s="45"/>
    </row>
    <row r="469" customFormat="false" ht="15" hidden="false" customHeight="false" outlineLevel="0" collapsed="false">
      <c r="C469" s="47"/>
      <c r="D469" s="48"/>
      <c r="E469" s="45"/>
    </row>
    <row r="470" customFormat="false" ht="15" hidden="false" customHeight="false" outlineLevel="0" collapsed="false">
      <c r="C470" s="47"/>
      <c r="D470" s="48"/>
      <c r="E470" s="45"/>
    </row>
    <row r="471" customFormat="false" ht="15" hidden="false" customHeight="false" outlineLevel="0" collapsed="false">
      <c r="C471" s="47"/>
      <c r="D471" s="48"/>
      <c r="E471" s="45"/>
    </row>
    <row r="472" customFormat="false" ht="15" hidden="false" customHeight="false" outlineLevel="0" collapsed="false">
      <c r="C472" s="47"/>
      <c r="D472" s="48"/>
      <c r="E472" s="45"/>
    </row>
    <row r="473" customFormat="false" ht="15" hidden="false" customHeight="false" outlineLevel="0" collapsed="false">
      <c r="C473" s="47"/>
      <c r="D473" s="48"/>
      <c r="E473" s="45"/>
    </row>
    <row r="474" customFormat="false" ht="15" hidden="false" customHeight="false" outlineLevel="0" collapsed="false">
      <c r="C474" s="47"/>
      <c r="D474" s="48"/>
      <c r="E474" s="45"/>
    </row>
    <row r="475" customFormat="false" ht="15" hidden="false" customHeight="false" outlineLevel="0" collapsed="false">
      <c r="C475" s="47"/>
      <c r="D475" s="48"/>
      <c r="E475" s="45"/>
    </row>
    <row r="476" customFormat="false" ht="15" hidden="false" customHeight="false" outlineLevel="0" collapsed="false">
      <c r="C476" s="47"/>
      <c r="D476" s="48"/>
      <c r="E476" s="45"/>
    </row>
    <row r="477" customFormat="false" ht="15" hidden="false" customHeight="false" outlineLevel="0" collapsed="false">
      <c r="C477" s="47"/>
      <c r="D477" s="48"/>
      <c r="E477" s="45"/>
    </row>
    <row r="478" customFormat="false" ht="15" hidden="false" customHeight="false" outlineLevel="0" collapsed="false">
      <c r="C478" s="47"/>
      <c r="D478" s="48"/>
      <c r="E478" s="45"/>
    </row>
    <row r="479" customFormat="false" ht="15" hidden="false" customHeight="false" outlineLevel="0" collapsed="false">
      <c r="C479" s="47"/>
      <c r="D479" s="48"/>
      <c r="E479" s="45"/>
    </row>
    <row r="480" customFormat="false" ht="15" hidden="false" customHeight="false" outlineLevel="0" collapsed="false">
      <c r="C480" s="47"/>
      <c r="D480" s="48"/>
      <c r="E480" s="45"/>
    </row>
    <row r="481" customFormat="false" ht="15" hidden="false" customHeight="false" outlineLevel="0" collapsed="false">
      <c r="C481" s="47"/>
      <c r="D481" s="48"/>
      <c r="E481" s="45"/>
    </row>
    <row r="482" customFormat="false" ht="15" hidden="false" customHeight="false" outlineLevel="0" collapsed="false">
      <c r="C482" s="47"/>
      <c r="D482" s="48"/>
      <c r="E482" s="45"/>
    </row>
    <row r="483" customFormat="false" ht="15" hidden="false" customHeight="false" outlineLevel="0" collapsed="false">
      <c r="C483" s="47"/>
      <c r="D483" s="48"/>
      <c r="E483" s="45"/>
    </row>
    <row r="484" customFormat="false" ht="15" hidden="false" customHeight="false" outlineLevel="0" collapsed="false">
      <c r="C484" s="47"/>
      <c r="D484" s="48"/>
      <c r="E484" s="45"/>
    </row>
    <row r="485" customFormat="false" ht="15" hidden="false" customHeight="false" outlineLevel="0" collapsed="false">
      <c r="C485" s="47"/>
      <c r="D485" s="48"/>
      <c r="E485" s="45"/>
    </row>
    <row r="486" customFormat="false" ht="15" hidden="false" customHeight="false" outlineLevel="0" collapsed="false">
      <c r="C486" s="47"/>
      <c r="D486" s="48"/>
      <c r="E486" s="45"/>
    </row>
    <row r="487" customFormat="false" ht="15" hidden="false" customHeight="false" outlineLevel="0" collapsed="false">
      <c r="C487" s="47"/>
      <c r="D487" s="48"/>
      <c r="E487" s="45"/>
    </row>
    <row r="488" customFormat="false" ht="15" hidden="false" customHeight="false" outlineLevel="0" collapsed="false">
      <c r="C488" s="47"/>
      <c r="D488" s="48"/>
      <c r="E488" s="45"/>
    </row>
    <row r="489" customFormat="false" ht="15" hidden="false" customHeight="false" outlineLevel="0" collapsed="false">
      <c r="C489" s="47"/>
      <c r="D489" s="48"/>
      <c r="E489" s="45"/>
    </row>
    <row r="490" customFormat="false" ht="15" hidden="false" customHeight="false" outlineLevel="0" collapsed="false">
      <c r="C490" s="47"/>
      <c r="D490" s="48"/>
      <c r="E490" s="45"/>
    </row>
    <row r="491" customFormat="false" ht="15" hidden="false" customHeight="false" outlineLevel="0" collapsed="false">
      <c r="C491" s="47"/>
      <c r="D491" s="48"/>
      <c r="E491" s="45"/>
    </row>
    <row r="492" customFormat="false" ht="15" hidden="false" customHeight="false" outlineLevel="0" collapsed="false">
      <c r="C492" s="47"/>
      <c r="D492" s="48"/>
      <c r="E492" s="45"/>
    </row>
    <row r="493" customFormat="false" ht="15" hidden="false" customHeight="false" outlineLevel="0" collapsed="false">
      <c r="C493" s="47"/>
      <c r="D493" s="48"/>
      <c r="E493" s="45"/>
    </row>
    <row r="494" customFormat="false" ht="15" hidden="false" customHeight="false" outlineLevel="0" collapsed="false">
      <c r="C494" s="47"/>
      <c r="D494" s="48"/>
      <c r="E494" s="45"/>
    </row>
    <row r="495" customFormat="false" ht="15" hidden="false" customHeight="false" outlineLevel="0" collapsed="false">
      <c r="C495" s="47"/>
      <c r="D495" s="48"/>
      <c r="E495" s="45"/>
    </row>
    <row r="496" customFormat="false" ht="15" hidden="false" customHeight="false" outlineLevel="0" collapsed="false">
      <c r="C496" s="47"/>
      <c r="D496" s="48"/>
      <c r="E496" s="45"/>
    </row>
    <row r="497" customFormat="false" ht="15" hidden="false" customHeight="false" outlineLevel="0" collapsed="false">
      <c r="C497" s="47"/>
      <c r="D497" s="48"/>
      <c r="E497" s="45"/>
    </row>
    <row r="498" customFormat="false" ht="15" hidden="false" customHeight="false" outlineLevel="0" collapsed="false">
      <c r="C498" s="47"/>
      <c r="D498" s="48"/>
      <c r="E498" s="45"/>
    </row>
    <row r="499" customFormat="false" ht="15" hidden="false" customHeight="false" outlineLevel="0" collapsed="false">
      <c r="C499" s="47"/>
      <c r="D499" s="48"/>
      <c r="E499" s="45"/>
    </row>
    <row r="500" customFormat="false" ht="15" hidden="false" customHeight="false" outlineLevel="0" collapsed="false">
      <c r="C500" s="47"/>
      <c r="D500" s="48"/>
      <c r="E500" s="45"/>
    </row>
    <row r="501" customFormat="false" ht="15" hidden="false" customHeight="false" outlineLevel="0" collapsed="false">
      <c r="C501" s="47"/>
      <c r="D501" s="48"/>
      <c r="E501" s="45"/>
    </row>
    <row r="502" customFormat="false" ht="15" hidden="false" customHeight="false" outlineLevel="0" collapsed="false">
      <c r="C502" s="47"/>
      <c r="D502" s="48"/>
      <c r="E502" s="45"/>
    </row>
    <row r="503" customFormat="false" ht="15" hidden="false" customHeight="false" outlineLevel="0" collapsed="false">
      <c r="C503" s="47"/>
      <c r="D503" s="48"/>
      <c r="E503" s="45"/>
    </row>
    <row r="504" customFormat="false" ht="15" hidden="false" customHeight="false" outlineLevel="0" collapsed="false">
      <c r="C504" s="47"/>
      <c r="D504" s="48"/>
      <c r="E504" s="45"/>
    </row>
    <row r="505" customFormat="false" ht="15" hidden="false" customHeight="false" outlineLevel="0" collapsed="false">
      <c r="C505" s="47"/>
      <c r="D505" s="48"/>
      <c r="E505" s="45"/>
    </row>
    <row r="506" customFormat="false" ht="15" hidden="false" customHeight="false" outlineLevel="0" collapsed="false">
      <c r="C506" s="47"/>
      <c r="D506" s="48"/>
      <c r="E506" s="45"/>
    </row>
    <row r="507" customFormat="false" ht="15" hidden="false" customHeight="false" outlineLevel="0" collapsed="false">
      <c r="C507" s="47"/>
      <c r="D507" s="48"/>
      <c r="E507" s="45"/>
    </row>
    <row r="508" customFormat="false" ht="15" hidden="false" customHeight="false" outlineLevel="0" collapsed="false">
      <c r="C508" s="47"/>
      <c r="D508" s="48"/>
      <c r="E508" s="45"/>
    </row>
    <row r="509" customFormat="false" ht="15" hidden="false" customHeight="false" outlineLevel="0" collapsed="false">
      <c r="C509" s="47"/>
      <c r="D509" s="48"/>
      <c r="E509" s="45"/>
    </row>
    <row r="510" customFormat="false" ht="15" hidden="false" customHeight="false" outlineLevel="0" collapsed="false">
      <c r="C510" s="47"/>
      <c r="D510" s="48"/>
      <c r="E510" s="45"/>
    </row>
    <row r="511" customFormat="false" ht="15" hidden="false" customHeight="false" outlineLevel="0" collapsed="false">
      <c r="C511" s="47"/>
      <c r="D511" s="48"/>
      <c r="E511" s="45"/>
    </row>
    <row r="512" customFormat="false" ht="15" hidden="false" customHeight="false" outlineLevel="0" collapsed="false">
      <c r="C512" s="47"/>
      <c r="D512" s="48"/>
      <c r="E512" s="45"/>
    </row>
    <row r="513" customFormat="false" ht="15" hidden="false" customHeight="false" outlineLevel="0" collapsed="false">
      <c r="C513" s="47"/>
      <c r="D513" s="48"/>
      <c r="E513" s="45"/>
    </row>
    <row r="514" customFormat="false" ht="15" hidden="false" customHeight="false" outlineLevel="0" collapsed="false">
      <c r="C514" s="47"/>
      <c r="D514" s="48"/>
      <c r="E514" s="45"/>
    </row>
    <row r="515" customFormat="false" ht="15" hidden="false" customHeight="false" outlineLevel="0" collapsed="false">
      <c r="C515" s="47"/>
      <c r="D515" s="48"/>
      <c r="E515" s="45"/>
    </row>
    <row r="516" customFormat="false" ht="15" hidden="false" customHeight="false" outlineLevel="0" collapsed="false">
      <c r="C516" s="47"/>
      <c r="D516" s="48"/>
      <c r="E516" s="45"/>
    </row>
    <row r="517" customFormat="false" ht="15" hidden="false" customHeight="false" outlineLevel="0" collapsed="false">
      <c r="C517" s="47"/>
      <c r="D517" s="48"/>
      <c r="E517" s="45"/>
    </row>
    <row r="518" customFormat="false" ht="15" hidden="false" customHeight="false" outlineLevel="0" collapsed="false">
      <c r="C518" s="47"/>
      <c r="D518" s="48"/>
      <c r="E518" s="45"/>
    </row>
    <row r="519" customFormat="false" ht="15" hidden="false" customHeight="false" outlineLevel="0" collapsed="false">
      <c r="C519" s="47"/>
      <c r="D519" s="48"/>
      <c r="E519" s="45"/>
    </row>
    <row r="520" customFormat="false" ht="15" hidden="false" customHeight="false" outlineLevel="0" collapsed="false">
      <c r="C520" s="47"/>
      <c r="D520" s="48"/>
      <c r="E520" s="45"/>
    </row>
    <row r="521" customFormat="false" ht="15" hidden="false" customHeight="false" outlineLevel="0" collapsed="false">
      <c r="C521" s="47"/>
      <c r="D521" s="48"/>
      <c r="E521" s="45"/>
    </row>
    <row r="522" customFormat="false" ht="15" hidden="false" customHeight="false" outlineLevel="0" collapsed="false">
      <c r="C522" s="47"/>
      <c r="D522" s="48"/>
      <c r="E522" s="45"/>
    </row>
    <row r="523" customFormat="false" ht="15" hidden="false" customHeight="false" outlineLevel="0" collapsed="false">
      <c r="C523" s="47"/>
      <c r="D523" s="48"/>
      <c r="E523" s="45"/>
    </row>
    <row r="524" customFormat="false" ht="15" hidden="false" customHeight="false" outlineLevel="0" collapsed="false">
      <c r="C524" s="47"/>
      <c r="D524" s="48"/>
      <c r="E524" s="45"/>
    </row>
    <row r="525" customFormat="false" ht="15" hidden="false" customHeight="false" outlineLevel="0" collapsed="false">
      <c r="C525" s="47"/>
      <c r="D525" s="48"/>
      <c r="E525" s="45"/>
    </row>
    <row r="526" customFormat="false" ht="15" hidden="false" customHeight="false" outlineLevel="0" collapsed="false">
      <c r="C526" s="47"/>
      <c r="D526" s="48"/>
      <c r="E526" s="45"/>
    </row>
    <row r="527" customFormat="false" ht="15" hidden="false" customHeight="false" outlineLevel="0" collapsed="false">
      <c r="C527" s="47"/>
      <c r="D527" s="48"/>
      <c r="E527" s="45"/>
    </row>
    <row r="528" customFormat="false" ht="15" hidden="false" customHeight="false" outlineLevel="0" collapsed="false">
      <c r="C528" s="47"/>
      <c r="D528" s="48"/>
      <c r="E528" s="45"/>
    </row>
    <row r="529" customFormat="false" ht="15" hidden="false" customHeight="false" outlineLevel="0" collapsed="false">
      <c r="C529" s="47"/>
      <c r="D529" s="48"/>
      <c r="E529" s="45"/>
    </row>
    <row r="530" customFormat="false" ht="15" hidden="false" customHeight="false" outlineLevel="0" collapsed="false">
      <c r="C530" s="47"/>
      <c r="D530" s="48"/>
      <c r="E530" s="45"/>
    </row>
    <row r="531" customFormat="false" ht="15" hidden="false" customHeight="false" outlineLevel="0" collapsed="false">
      <c r="C531" s="47"/>
      <c r="D531" s="48"/>
      <c r="E531" s="45"/>
    </row>
    <row r="532" customFormat="false" ht="15" hidden="false" customHeight="false" outlineLevel="0" collapsed="false">
      <c r="C532" s="47"/>
      <c r="D532" s="48"/>
      <c r="E532" s="45"/>
    </row>
    <row r="533" customFormat="false" ht="15" hidden="false" customHeight="false" outlineLevel="0" collapsed="false">
      <c r="C533" s="47"/>
      <c r="D533" s="48"/>
      <c r="E533" s="45"/>
    </row>
    <row r="534" customFormat="false" ht="15" hidden="false" customHeight="false" outlineLevel="0" collapsed="false">
      <c r="C534" s="47"/>
      <c r="D534" s="48"/>
      <c r="E534" s="45"/>
    </row>
    <row r="535" customFormat="false" ht="15" hidden="false" customHeight="false" outlineLevel="0" collapsed="false">
      <c r="C535" s="47"/>
      <c r="D535" s="48"/>
      <c r="E535" s="45"/>
    </row>
    <row r="536" customFormat="false" ht="15" hidden="false" customHeight="false" outlineLevel="0" collapsed="false">
      <c r="C536" s="47"/>
      <c r="D536" s="48"/>
      <c r="E536" s="45"/>
    </row>
    <row r="537" customFormat="false" ht="15" hidden="false" customHeight="false" outlineLevel="0" collapsed="false">
      <c r="C537" s="47"/>
      <c r="D537" s="48"/>
      <c r="E537" s="45"/>
    </row>
    <row r="538" customFormat="false" ht="15" hidden="false" customHeight="false" outlineLevel="0" collapsed="false">
      <c r="C538" s="47"/>
      <c r="D538" s="48"/>
      <c r="E538" s="45"/>
    </row>
    <row r="539" customFormat="false" ht="15" hidden="false" customHeight="false" outlineLevel="0" collapsed="false">
      <c r="C539" s="47"/>
      <c r="D539" s="48"/>
      <c r="E539" s="45"/>
    </row>
    <row r="540" customFormat="false" ht="15" hidden="false" customHeight="false" outlineLevel="0" collapsed="false">
      <c r="C540" s="47"/>
      <c r="D540" s="48"/>
      <c r="E540" s="45"/>
    </row>
    <row r="541" customFormat="false" ht="15" hidden="false" customHeight="false" outlineLevel="0" collapsed="false">
      <c r="C541" s="47"/>
      <c r="D541" s="48"/>
      <c r="E541" s="45"/>
    </row>
    <row r="542" customFormat="false" ht="15" hidden="false" customHeight="false" outlineLevel="0" collapsed="false">
      <c r="C542" s="47"/>
      <c r="D542" s="48"/>
      <c r="E542" s="45"/>
    </row>
    <row r="543" customFormat="false" ht="15" hidden="false" customHeight="false" outlineLevel="0" collapsed="false">
      <c r="C543" s="47"/>
      <c r="D543" s="48"/>
      <c r="E543" s="45"/>
    </row>
    <row r="544" customFormat="false" ht="15" hidden="false" customHeight="false" outlineLevel="0" collapsed="false">
      <c r="C544" s="47"/>
      <c r="D544" s="48"/>
      <c r="E544" s="45"/>
    </row>
    <row r="545" customFormat="false" ht="15" hidden="false" customHeight="false" outlineLevel="0" collapsed="false">
      <c r="C545" s="47"/>
      <c r="D545" s="48"/>
      <c r="E545" s="45"/>
    </row>
    <row r="546" customFormat="false" ht="15" hidden="false" customHeight="false" outlineLevel="0" collapsed="false">
      <c r="C546" s="47"/>
      <c r="D546" s="48"/>
      <c r="E546" s="45"/>
    </row>
    <row r="547" customFormat="false" ht="15" hidden="false" customHeight="false" outlineLevel="0" collapsed="false">
      <c r="C547" s="47"/>
      <c r="D547" s="48"/>
      <c r="E547" s="45"/>
    </row>
    <row r="548" customFormat="false" ht="15" hidden="false" customHeight="false" outlineLevel="0" collapsed="false">
      <c r="C548" s="47"/>
      <c r="D548" s="48"/>
      <c r="E548" s="45"/>
    </row>
    <row r="549" customFormat="false" ht="15" hidden="false" customHeight="false" outlineLevel="0" collapsed="false">
      <c r="C549" s="47"/>
      <c r="D549" s="48"/>
      <c r="E549" s="45"/>
    </row>
    <row r="550" customFormat="false" ht="15" hidden="false" customHeight="false" outlineLevel="0" collapsed="false">
      <c r="C550" s="47"/>
      <c r="D550" s="48"/>
      <c r="E550" s="45"/>
    </row>
    <row r="551" customFormat="false" ht="15" hidden="false" customHeight="false" outlineLevel="0" collapsed="false">
      <c r="C551" s="47"/>
      <c r="D551" s="48"/>
      <c r="E551" s="45"/>
    </row>
    <row r="552" customFormat="false" ht="15" hidden="false" customHeight="false" outlineLevel="0" collapsed="false">
      <c r="C552" s="47"/>
      <c r="D552" s="48"/>
      <c r="E552" s="45"/>
    </row>
    <row r="553" customFormat="false" ht="15" hidden="false" customHeight="false" outlineLevel="0" collapsed="false">
      <c r="C553" s="47"/>
      <c r="D553" s="48"/>
      <c r="E553" s="45"/>
    </row>
    <row r="554" customFormat="false" ht="15" hidden="false" customHeight="false" outlineLevel="0" collapsed="false">
      <c r="C554" s="47"/>
      <c r="D554" s="48"/>
      <c r="E554" s="45"/>
    </row>
    <row r="555" customFormat="false" ht="15" hidden="false" customHeight="false" outlineLevel="0" collapsed="false">
      <c r="C555" s="47"/>
      <c r="D555" s="48"/>
      <c r="E555" s="45"/>
    </row>
    <row r="556" customFormat="false" ht="15" hidden="false" customHeight="false" outlineLevel="0" collapsed="false">
      <c r="C556" s="47"/>
      <c r="D556" s="48"/>
      <c r="E556" s="45"/>
    </row>
    <row r="557" customFormat="false" ht="15" hidden="false" customHeight="false" outlineLevel="0" collapsed="false">
      <c r="C557" s="47"/>
      <c r="D557" s="48"/>
      <c r="E557" s="45"/>
    </row>
    <row r="558" customFormat="false" ht="15" hidden="false" customHeight="false" outlineLevel="0" collapsed="false">
      <c r="C558" s="47"/>
      <c r="D558" s="48"/>
      <c r="E558" s="45"/>
    </row>
    <row r="559" customFormat="false" ht="15" hidden="false" customHeight="false" outlineLevel="0" collapsed="false">
      <c r="C559" s="47"/>
      <c r="D559" s="48"/>
      <c r="E559" s="45"/>
    </row>
    <row r="560" customFormat="false" ht="15" hidden="false" customHeight="false" outlineLevel="0" collapsed="false">
      <c r="C560" s="47"/>
      <c r="D560" s="48"/>
      <c r="E560" s="45"/>
    </row>
    <row r="561" customFormat="false" ht="15" hidden="false" customHeight="false" outlineLevel="0" collapsed="false">
      <c r="C561" s="47"/>
      <c r="D561" s="48"/>
      <c r="E561" s="45"/>
    </row>
    <row r="562" customFormat="false" ht="15" hidden="false" customHeight="false" outlineLevel="0" collapsed="false">
      <c r="C562" s="47"/>
      <c r="D562" s="48"/>
      <c r="E562" s="45"/>
    </row>
    <row r="563" customFormat="false" ht="15" hidden="false" customHeight="false" outlineLevel="0" collapsed="false">
      <c r="C563" s="47"/>
      <c r="D563" s="48"/>
      <c r="E563" s="45"/>
    </row>
    <row r="564" customFormat="false" ht="15" hidden="false" customHeight="false" outlineLevel="0" collapsed="false">
      <c r="C564" s="47"/>
      <c r="D564" s="48"/>
      <c r="E564" s="45"/>
    </row>
    <row r="565" customFormat="false" ht="15" hidden="false" customHeight="false" outlineLevel="0" collapsed="false">
      <c r="C565" s="47"/>
      <c r="D565" s="48"/>
      <c r="E565" s="45"/>
    </row>
    <row r="566" customFormat="false" ht="15" hidden="false" customHeight="false" outlineLevel="0" collapsed="false">
      <c r="C566" s="47"/>
      <c r="D566" s="48"/>
      <c r="E566" s="45"/>
    </row>
    <row r="567" customFormat="false" ht="15" hidden="false" customHeight="false" outlineLevel="0" collapsed="false">
      <c r="C567" s="47"/>
      <c r="D567" s="48"/>
      <c r="E567" s="45"/>
    </row>
    <row r="568" customFormat="false" ht="15" hidden="false" customHeight="false" outlineLevel="0" collapsed="false">
      <c r="C568" s="47"/>
      <c r="D568" s="48"/>
      <c r="E568" s="45"/>
    </row>
    <row r="569" customFormat="false" ht="15" hidden="false" customHeight="false" outlineLevel="0" collapsed="false">
      <c r="C569" s="47"/>
      <c r="D569" s="48"/>
      <c r="E569" s="45"/>
    </row>
    <row r="570" customFormat="false" ht="15" hidden="false" customHeight="false" outlineLevel="0" collapsed="false">
      <c r="C570" s="47"/>
      <c r="D570" s="48"/>
      <c r="E570" s="45"/>
    </row>
    <row r="571" customFormat="false" ht="15" hidden="false" customHeight="false" outlineLevel="0" collapsed="false">
      <c r="C571" s="47"/>
      <c r="D571" s="48"/>
      <c r="E571" s="45"/>
    </row>
    <row r="572" customFormat="false" ht="15" hidden="false" customHeight="false" outlineLevel="0" collapsed="false">
      <c r="C572" s="47"/>
      <c r="D572" s="48"/>
      <c r="E572" s="45"/>
    </row>
    <row r="573" customFormat="false" ht="15" hidden="false" customHeight="false" outlineLevel="0" collapsed="false">
      <c r="C573" s="47"/>
      <c r="D573" s="48"/>
      <c r="E573" s="45"/>
    </row>
    <row r="574" customFormat="false" ht="15" hidden="false" customHeight="false" outlineLevel="0" collapsed="false">
      <c r="C574" s="47"/>
      <c r="D574" s="48"/>
      <c r="E574" s="45"/>
    </row>
    <row r="575" customFormat="false" ht="15" hidden="false" customHeight="false" outlineLevel="0" collapsed="false">
      <c r="C575" s="47"/>
      <c r="D575" s="48"/>
      <c r="E575" s="45"/>
    </row>
    <row r="576" customFormat="false" ht="15" hidden="false" customHeight="false" outlineLevel="0" collapsed="false">
      <c r="C576" s="47"/>
      <c r="D576" s="48"/>
      <c r="E576" s="45"/>
    </row>
    <row r="577" customFormat="false" ht="15" hidden="false" customHeight="false" outlineLevel="0" collapsed="false">
      <c r="C577" s="47"/>
      <c r="D577" s="48"/>
      <c r="E577" s="45"/>
    </row>
    <row r="578" customFormat="false" ht="15" hidden="false" customHeight="false" outlineLevel="0" collapsed="false">
      <c r="C578" s="47"/>
      <c r="D578" s="48"/>
      <c r="E578" s="45"/>
    </row>
    <row r="579" customFormat="false" ht="15" hidden="false" customHeight="false" outlineLevel="0" collapsed="false">
      <c r="C579" s="47"/>
      <c r="D579" s="48"/>
      <c r="E579" s="45"/>
    </row>
    <row r="580" customFormat="false" ht="15" hidden="false" customHeight="false" outlineLevel="0" collapsed="false">
      <c r="C580" s="47"/>
      <c r="D580" s="48"/>
      <c r="E580" s="45"/>
    </row>
    <row r="581" customFormat="false" ht="15" hidden="false" customHeight="false" outlineLevel="0" collapsed="false">
      <c r="C581" s="47"/>
      <c r="D581" s="48"/>
      <c r="E581" s="45"/>
    </row>
    <row r="582" customFormat="false" ht="15" hidden="false" customHeight="false" outlineLevel="0" collapsed="false">
      <c r="C582" s="47"/>
      <c r="D582" s="48"/>
      <c r="E582" s="45"/>
    </row>
    <row r="583" customFormat="false" ht="15" hidden="false" customHeight="false" outlineLevel="0" collapsed="false">
      <c r="C583" s="47"/>
      <c r="D583" s="48"/>
      <c r="E583" s="45"/>
    </row>
    <row r="584" customFormat="false" ht="15" hidden="false" customHeight="false" outlineLevel="0" collapsed="false">
      <c r="C584" s="47"/>
      <c r="D584" s="48"/>
      <c r="E584" s="45"/>
    </row>
    <row r="585" customFormat="false" ht="15" hidden="false" customHeight="false" outlineLevel="0" collapsed="false">
      <c r="C585" s="47"/>
      <c r="D585" s="48"/>
      <c r="E585" s="45"/>
    </row>
    <row r="586" customFormat="false" ht="15" hidden="false" customHeight="false" outlineLevel="0" collapsed="false">
      <c r="C586" s="47"/>
      <c r="D586" s="48"/>
      <c r="E586" s="45"/>
    </row>
    <row r="587" customFormat="false" ht="15" hidden="false" customHeight="false" outlineLevel="0" collapsed="false">
      <c r="C587" s="47"/>
      <c r="D587" s="48"/>
      <c r="E587" s="45"/>
    </row>
    <row r="588" customFormat="false" ht="15" hidden="false" customHeight="false" outlineLevel="0" collapsed="false">
      <c r="C588" s="47"/>
      <c r="D588" s="48"/>
      <c r="E588" s="45"/>
    </row>
    <row r="589" customFormat="false" ht="15" hidden="false" customHeight="false" outlineLevel="0" collapsed="false">
      <c r="C589" s="47"/>
      <c r="D589" s="48"/>
      <c r="E589" s="45"/>
    </row>
    <row r="590" customFormat="false" ht="15" hidden="false" customHeight="false" outlineLevel="0" collapsed="false">
      <c r="C590" s="47"/>
      <c r="D590" s="48"/>
      <c r="E590" s="45"/>
    </row>
    <row r="591" customFormat="false" ht="15" hidden="false" customHeight="false" outlineLevel="0" collapsed="false">
      <c r="C591" s="47"/>
      <c r="D591" s="48"/>
      <c r="E591" s="45"/>
    </row>
    <row r="592" customFormat="false" ht="15" hidden="false" customHeight="false" outlineLevel="0" collapsed="false">
      <c r="C592" s="47"/>
      <c r="D592" s="48"/>
      <c r="E592" s="45"/>
    </row>
    <row r="593" customFormat="false" ht="15" hidden="false" customHeight="false" outlineLevel="0" collapsed="false">
      <c r="C593" s="47"/>
      <c r="D593" s="48"/>
      <c r="E593" s="45"/>
    </row>
    <row r="594" customFormat="false" ht="15" hidden="false" customHeight="false" outlineLevel="0" collapsed="false">
      <c r="C594" s="47"/>
      <c r="D594" s="48"/>
      <c r="E594" s="45"/>
    </row>
    <row r="595" customFormat="false" ht="15" hidden="false" customHeight="false" outlineLevel="0" collapsed="false">
      <c r="C595" s="47"/>
      <c r="D595" s="48"/>
      <c r="E595" s="45"/>
    </row>
    <row r="596" customFormat="false" ht="15" hidden="false" customHeight="false" outlineLevel="0" collapsed="false">
      <c r="C596" s="47"/>
      <c r="D596" s="48"/>
      <c r="E596" s="45"/>
    </row>
    <row r="597" customFormat="false" ht="15" hidden="false" customHeight="false" outlineLevel="0" collapsed="false">
      <c r="C597" s="47"/>
      <c r="D597" s="48"/>
      <c r="E597" s="45"/>
    </row>
    <row r="598" customFormat="false" ht="15" hidden="false" customHeight="false" outlineLevel="0" collapsed="false">
      <c r="C598" s="47"/>
      <c r="D598" s="48"/>
      <c r="E598" s="45"/>
    </row>
    <row r="599" customFormat="false" ht="15" hidden="false" customHeight="false" outlineLevel="0" collapsed="false">
      <c r="C599" s="47"/>
      <c r="D599" s="48"/>
      <c r="E599" s="45"/>
    </row>
    <row r="600" customFormat="false" ht="15" hidden="false" customHeight="false" outlineLevel="0" collapsed="false">
      <c r="C600" s="47"/>
      <c r="D600" s="48"/>
      <c r="E600" s="45"/>
    </row>
    <row r="601" customFormat="false" ht="15" hidden="false" customHeight="false" outlineLevel="0" collapsed="false">
      <c r="C601" s="47"/>
      <c r="D601" s="48"/>
      <c r="E601" s="45"/>
    </row>
    <row r="602" customFormat="false" ht="15" hidden="false" customHeight="false" outlineLevel="0" collapsed="false">
      <c r="C602" s="47"/>
      <c r="D602" s="48"/>
      <c r="E602" s="45"/>
    </row>
    <row r="603" customFormat="false" ht="15" hidden="false" customHeight="false" outlineLevel="0" collapsed="false">
      <c r="C603" s="47"/>
      <c r="D603" s="48"/>
      <c r="E603" s="45"/>
    </row>
    <row r="604" customFormat="false" ht="15" hidden="false" customHeight="false" outlineLevel="0" collapsed="false">
      <c r="C604" s="47"/>
      <c r="D604" s="48"/>
      <c r="E604" s="45"/>
    </row>
    <row r="605" customFormat="false" ht="15" hidden="false" customHeight="false" outlineLevel="0" collapsed="false">
      <c r="C605" s="47"/>
      <c r="D605" s="48"/>
      <c r="E605" s="45"/>
    </row>
    <row r="606" customFormat="false" ht="15" hidden="false" customHeight="false" outlineLevel="0" collapsed="false">
      <c r="C606" s="47"/>
      <c r="D606" s="48"/>
      <c r="E606" s="45"/>
    </row>
    <row r="607" customFormat="false" ht="15" hidden="false" customHeight="false" outlineLevel="0" collapsed="false">
      <c r="C607" s="47"/>
      <c r="D607" s="48"/>
      <c r="E607" s="45"/>
    </row>
    <row r="608" customFormat="false" ht="15" hidden="false" customHeight="false" outlineLevel="0" collapsed="false">
      <c r="C608" s="47"/>
      <c r="D608" s="48"/>
      <c r="E608" s="45"/>
    </row>
    <row r="609" customFormat="false" ht="15" hidden="false" customHeight="false" outlineLevel="0" collapsed="false">
      <c r="C609" s="47"/>
      <c r="D609" s="48"/>
      <c r="E609" s="45"/>
    </row>
    <row r="610" customFormat="false" ht="15" hidden="false" customHeight="false" outlineLevel="0" collapsed="false">
      <c r="C610" s="47"/>
      <c r="D610" s="48"/>
      <c r="E610" s="45"/>
    </row>
    <row r="611" customFormat="false" ht="15" hidden="false" customHeight="false" outlineLevel="0" collapsed="false">
      <c r="C611" s="47"/>
      <c r="D611" s="48"/>
      <c r="E611" s="45"/>
    </row>
    <row r="612" customFormat="false" ht="15" hidden="false" customHeight="false" outlineLevel="0" collapsed="false">
      <c r="C612" s="47"/>
      <c r="D612" s="48"/>
      <c r="E612" s="45"/>
    </row>
    <row r="613" customFormat="false" ht="15" hidden="false" customHeight="false" outlineLevel="0" collapsed="false">
      <c r="C613" s="47"/>
      <c r="D613" s="48"/>
      <c r="E613" s="45"/>
    </row>
    <row r="614" customFormat="false" ht="15" hidden="false" customHeight="false" outlineLevel="0" collapsed="false">
      <c r="C614" s="47"/>
      <c r="D614" s="48"/>
      <c r="E614" s="45"/>
    </row>
    <row r="615" customFormat="false" ht="15" hidden="false" customHeight="false" outlineLevel="0" collapsed="false">
      <c r="C615" s="47"/>
      <c r="D615" s="48"/>
      <c r="E615" s="45"/>
    </row>
    <row r="616" customFormat="false" ht="15" hidden="false" customHeight="false" outlineLevel="0" collapsed="false">
      <c r="C616" s="47"/>
      <c r="D616" s="48"/>
      <c r="E616" s="45"/>
    </row>
    <row r="617" customFormat="false" ht="15" hidden="false" customHeight="false" outlineLevel="0" collapsed="false">
      <c r="C617" s="47"/>
      <c r="D617" s="48"/>
      <c r="E617" s="45"/>
    </row>
    <row r="618" customFormat="false" ht="15" hidden="false" customHeight="false" outlineLevel="0" collapsed="false">
      <c r="C618" s="47"/>
      <c r="D618" s="48"/>
      <c r="E618" s="45"/>
    </row>
    <row r="619" customFormat="false" ht="15" hidden="false" customHeight="false" outlineLevel="0" collapsed="false">
      <c r="C619" s="47"/>
      <c r="D619" s="48"/>
      <c r="E619" s="45"/>
    </row>
    <row r="620" customFormat="false" ht="15" hidden="false" customHeight="false" outlineLevel="0" collapsed="false">
      <c r="C620" s="47"/>
      <c r="D620" s="48"/>
      <c r="E620" s="45"/>
    </row>
    <row r="621" customFormat="false" ht="15" hidden="false" customHeight="false" outlineLevel="0" collapsed="false">
      <c r="C621" s="47"/>
      <c r="D621" s="48"/>
      <c r="E621" s="45"/>
    </row>
    <row r="622" customFormat="false" ht="15" hidden="false" customHeight="false" outlineLevel="0" collapsed="false">
      <c r="C622" s="47"/>
      <c r="D622" s="48"/>
      <c r="E622" s="45"/>
    </row>
    <row r="623" customFormat="false" ht="15" hidden="false" customHeight="false" outlineLevel="0" collapsed="false">
      <c r="C623" s="47"/>
      <c r="D623" s="48"/>
      <c r="E623" s="45"/>
    </row>
    <row r="624" customFormat="false" ht="15" hidden="false" customHeight="false" outlineLevel="0" collapsed="false">
      <c r="C624" s="47"/>
      <c r="D624" s="48"/>
      <c r="E624" s="45"/>
    </row>
    <row r="625" customFormat="false" ht="15" hidden="false" customHeight="false" outlineLevel="0" collapsed="false">
      <c r="C625" s="47"/>
      <c r="D625" s="48"/>
      <c r="E625" s="45"/>
    </row>
    <row r="626" customFormat="false" ht="15" hidden="false" customHeight="false" outlineLevel="0" collapsed="false">
      <c r="C626" s="47"/>
      <c r="D626" s="48"/>
      <c r="E626" s="45"/>
    </row>
    <row r="627" customFormat="false" ht="15" hidden="false" customHeight="false" outlineLevel="0" collapsed="false">
      <c r="C627" s="47"/>
      <c r="D627" s="48"/>
      <c r="E627" s="45"/>
    </row>
    <row r="628" customFormat="false" ht="15" hidden="false" customHeight="false" outlineLevel="0" collapsed="false">
      <c r="C628" s="47"/>
      <c r="D628" s="48"/>
      <c r="E628" s="45"/>
    </row>
    <row r="629" customFormat="false" ht="15" hidden="false" customHeight="false" outlineLevel="0" collapsed="false">
      <c r="C629" s="47"/>
      <c r="D629" s="48"/>
      <c r="E629" s="45"/>
    </row>
    <row r="630" customFormat="false" ht="15" hidden="false" customHeight="false" outlineLevel="0" collapsed="false">
      <c r="C630" s="47"/>
      <c r="D630" s="48"/>
      <c r="E630" s="45"/>
    </row>
    <row r="631" customFormat="false" ht="15" hidden="false" customHeight="false" outlineLevel="0" collapsed="false">
      <c r="C631" s="47"/>
      <c r="D631" s="48"/>
      <c r="E631" s="45"/>
    </row>
    <row r="632" customFormat="false" ht="15" hidden="false" customHeight="false" outlineLevel="0" collapsed="false">
      <c r="C632" s="47"/>
      <c r="D632" s="48"/>
      <c r="E632" s="45"/>
    </row>
    <row r="633" customFormat="false" ht="15" hidden="false" customHeight="false" outlineLevel="0" collapsed="false">
      <c r="C633" s="47"/>
      <c r="D633" s="48"/>
      <c r="E633" s="45"/>
    </row>
    <row r="634" customFormat="false" ht="15" hidden="false" customHeight="false" outlineLevel="0" collapsed="false">
      <c r="C634" s="47"/>
      <c r="D634" s="48"/>
      <c r="E634" s="45"/>
    </row>
    <row r="635" customFormat="false" ht="15" hidden="false" customHeight="false" outlineLevel="0" collapsed="false">
      <c r="C635" s="47"/>
      <c r="D635" s="48"/>
      <c r="E635" s="45"/>
    </row>
    <row r="636" customFormat="false" ht="15" hidden="false" customHeight="false" outlineLevel="0" collapsed="false">
      <c r="C636" s="47"/>
      <c r="D636" s="48"/>
      <c r="E636" s="45"/>
    </row>
    <row r="637" customFormat="false" ht="15" hidden="false" customHeight="false" outlineLevel="0" collapsed="false">
      <c r="C637" s="47"/>
      <c r="D637" s="48"/>
      <c r="E637" s="45"/>
    </row>
    <row r="638" customFormat="false" ht="15" hidden="false" customHeight="false" outlineLevel="0" collapsed="false">
      <c r="C638" s="47"/>
      <c r="D638" s="48"/>
      <c r="E638" s="45"/>
    </row>
    <row r="639" customFormat="false" ht="15" hidden="false" customHeight="false" outlineLevel="0" collapsed="false">
      <c r="C639" s="47"/>
      <c r="D639" s="48"/>
      <c r="E639" s="45"/>
    </row>
    <row r="640" customFormat="false" ht="15" hidden="false" customHeight="false" outlineLevel="0" collapsed="false">
      <c r="C640" s="47"/>
      <c r="D640" s="48"/>
      <c r="E640" s="45"/>
    </row>
    <row r="641" customFormat="false" ht="15" hidden="false" customHeight="false" outlineLevel="0" collapsed="false">
      <c r="C641" s="47"/>
      <c r="D641" s="48"/>
      <c r="E641" s="45"/>
    </row>
    <row r="642" customFormat="false" ht="15" hidden="false" customHeight="false" outlineLevel="0" collapsed="false">
      <c r="C642" s="47"/>
      <c r="D642" s="48"/>
      <c r="E642" s="45"/>
    </row>
    <row r="643" customFormat="false" ht="15" hidden="false" customHeight="false" outlineLevel="0" collapsed="false">
      <c r="C643" s="47"/>
      <c r="D643" s="48"/>
      <c r="E643" s="45"/>
    </row>
    <row r="644" customFormat="false" ht="15" hidden="false" customHeight="false" outlineLevel="0" collapsed="false">
      <c r="C644" s="47"/>
      <c r="D644" s="48"/>
      <c r="E644" s="45"/>
    </row>
    <row r="645" customFormat="false" ht="15" hidden="false" customHeight="false" outlineLevel="0" collapsed="false">
      <c r="C645" s="47"/>
      <c r="D645" s="48"/>
      <c r="E645" s="45"/>
    </row>
    <row r="646" customFormat="false" ht="15" hidden="false" customHeight="false" outlineLevel="0" collapsed="false">
      <c r="C646" s="47"/>
      <c r="D646" s="48"/>
      <c r="E646" s="45"/>
    </row>
    <row r="647" customFormat="false" ht="15" hidden="false" customHeight="false" outlineLevel="0" collapsed="false">
      <c r="C647" s="47"/>
      <c r="D647" s="48"/>
      <c r="E647" s="45"/>
    </row>
    <row r="648" customFormat="false" ht="15" hidden="false" customHeight="false" outlineLevel="0" collapsed="false">
      <c r="C648" s="47"/>
      <c r="D648" s="48"/>
      <c r="E648" s="45"/>
    </row>
    <row r="649" customFormat="false" ht="15" hidden="false" customHeight="false" outlineLevel="0" collapsed="false">
      <c r="C649" s="47"/>
      <c r="D649" s="48"/>
      <c r="E649" s="45"/>
    </row>
    <row r="650" customFormat="false" ht="15" hidden="false" customHeight="false" outlineLevel="0" collapsed="false">
      <c r="C650" s="47"/>
      <c r="D650" s="48"/>
      <c r="E650" s="45"/>
    </row>
    <row r="651" customFormat="false" ht="15" hidden="false" customHeight="false" outlineLevel="0" collapsed="false">
      <c r="C651" s="47"/>
      <c r="D651" s="48"/>
      <c r="E651" s="45"/>
    </row>
    <row r="652" customFormat="false" ht="15" hidden="false" customHeight="false" outlineLevel="0" collapsed="false">
      <c r="C652" s="47"/>
      <c r="D652" s="48"/>
      <c r="E652" s="45"/>
    </row>
    <row r="653" customFormat="false" ht="15" hidden="false" customHeight="false" outlineLevel="0" collapsed="false">
      <c r="C653" s="47"/>
      <c r="D653" s="48"/>
      <c r="E653" s="45"/>
    </row>
    <row r="654" customFormat="false" ht="15" hidden="false" customHeight="false" outlineLevel="0" collapsed="false">
      <c r="C654" s="47"/>
      <c r="D654" s="48"/>
      <c r="E654" s="45"/>
    </row>
    <row r="655" customFormat="false" ht="15" hidden="false" customHeight="false" outlineLevel="0" collapsed="false">
      <c r="C655" s="47"/>
      <c r="D655" s="48"/>
      <c r="E655" s="45"/>
    </row>
    <row r="656" customFormat="false" ht="15" hidden="false" customHeight="false" outlineLevel="0" collapsed="false">
      <c r="C656" s="47"/>
      <c r="D656" s="48"/>
      <c r="E656" s="45"/>
    </row>
    <row r="657" customFormat="false" ht="15" hidden="false" customHeight="false" outlineLevel="0" collapsed="false">
      <c r="C657" s="47"/>
      <c r="D657" s="48"/>
      <c r="E657" s="45"/>
    </row>
    <row r="658" customFormat="false" ht="15" hidden="false" customHeight="false" outlineLevel="0" collapsed="false">
      <c r="C658" s="47"/>
      <c r="D658" s="48"/>
      <c r="E658" s="45"/>
    </row>
    <row r="659" customFormat="false" ht="15" hidden="false" customHeight="false" outlineLevel="0" collapsed="false">
      <c r="C659" s="47"/>
      <c r="D659" s="48"/>
      <c r="E659" s="45"/>
    </row>
    <row r="660" customFormat="false" ht="15" hidden="false" customHeight="false" outlineLevel="0" collapsed="false">
      <c r="C660" s="47"/>
      <c r="D660" s="48"/>
      <c r="E660" s="45"/>
    </row>
    <row r="661" customFormat="false" ht="15" hidden="false" customHeight="false" outlineLevel="0" collapsed="false">
      <c r="C661" s="47"/>
      <c r="D661" s="48"/>
      <c r="E661" s="45"/>
    </row>
    <row r="662" customFormat="false" ht="15" hidden="false" customHeight="false" outlineLevel="0" collapsed="false">
      <c r="C662" s="47"/>
      <c r="D662" s="48"/>
      <c r="E662" s="45"/>
    </row>
    <row r="663" customFormat="false" ht="15" hidden="false" customHeight="false" outlineLevel="0" collapsed="false">
      <c r="C663" s="47"/>
      <c r="D663" s="48"/>
      <c r="E663" s="45"/>
    </row>
    <row r="664" customFormat="false" ht="15" hidden="false" customHeight="false" outlineLevel="0" collapsed="false">
      <c r="C664" s="47"/>
      <c r="D664" s="48"/>
      <c r="E664" s="45"/>
    </row>
    <row r="665" customFormat="false" ht="15" hidden="false" customHeight="false" outlineLevel="0" collapsed="false">
      <c r="C665" s="47"/>
      <c r="D665" s="48"/>
      <c r="E665" s="45"/>
    </row>
    <row r="666" customFormat="false" ht="15" hidden="false" customHeight="false" outlineLevel="0" collapsed="false">
      <c r="C666" s="47"/>
      <c r="D666" s="48"/>
      <c r="E666" s="45"/>
    </row>
    <row r="667" customFormat="false" ht="15" hidden="false" customHeight="false" outlineLevel="0" collapsed="false">
      <c r="C667" s="47"/>
      <c r="D667" s="48"/>
      <c r="E667" s="45"/>
    </row>
    <row r="668" customFormat="false" ht="15" hidden="false" customHeight="false" outlineLevel="0" collapsed="false">
      <c r="C668" s="47"/>
      <c r="D668" s="48"/>
      <c r="E668" s="45"/>
    </row>
    <row r="669" customFormat="false" ht="15" hidden="false" customHeight="false" outlineLevel="0" collapsed="false">
      <c r="C669" s="47"/>
      <c r="D669" s="48"/>
      <c r="E669" s="45"/>
    </row>
    <row r="670" customFormat="false" ht="15" hidden="false" customHeight="false" outlineLevel="0" collapsed="false">
      <c r="C670" s="47"/>
      <c r="D670" s="48"/>
      <c r="E670" s="45"/>
    </row>
    <row r="671" customFormat="false" ht="15" hidden="false" customHeight="false" outlineLevel="0" collapsed="false">
      <c r="C671" s="47"/>
      <c r="D671" s="48"/>
      <c r="E671" s="45"/>
    </row>
    <row r="672" customFormat="false" ht="15" hidden="false" customHeight="false" outlineLevel="0" collapsed="false">
      <c r="C672" s="47"/>
      <c r="D672" s="48"/>
      <c r="E672" s="45"/>
    </row>
    <row r="673" customFormat="false" ht="15" hidden="false" customHeight="false" outlineLevel="0" collapsed="false">
      <c r="C673" s="47"/>
      <c r="D673" s="48"/>
      <c r="E673" s="45"/>
    </row>
    <row r="674" customFormat="false" ht="15" hidden="false" customHeight="false" outlineLevel="0" collapsed="false">
      <c r="C674" s="47"/>
      <c r="D674" s="48"/>
      <c r="E674" s="45"/>
    </row>
    <row r="675" customFormat="false" ht="15" hidden="false" customHeight="false" outlineLevel="0" collapsed="false">
      <c r="C675" s="47"/>
      <c r="D675" s="48"/>
      <c r="E675" s="45"/>
    </row>
    <row r="676" customFormat="false" ht="15" hidden="false" customHeight="false" outlineLevel="0" collapsed="false">
      <c r="C676" s="47"/>
      <c r="D676" s="48"/>
      <c r="E676" s="45"/>
    </row>
    <row r="677" customFormat="false" ht="15" hidden="false" customHeight="false" outlineLevel="0" collapsed="false">
      <c r="C677" s="47"/>
      <c r="D677" s="48"/>
      <c r="E677" s="45"/>
    </row>
    <row r="678" customFormat="false" ht="15" hidden="false" customHeight="false" outlineLevel="0" collapsed="false">
      <c r="C678" s="47"/>
      <c r="D678" s="48"/>
      <c r="E678" s="45"/>
    </row>
    <row r="679" customFormat="false" ht="15" hidden="false" customHeight="false" outlineLevel="0" collapsed="false">
      <c r="C679" s="47"/>
      <c r="D679" s="48"/>
      <c r="E679" s="45"/>
    </row>
    <row r="680" customFormat="false" ht="15" hidden="false" customHeight="false" outlineLevel="0" collapsed="false">
      <c r="C680" s="47"/>
      <c r="D680" s="48"/>
      <c r="E680" s="45"/>
    </row>
    <row r="681" customFormat="false" ht="15" hidden="false" customHeight="false" outlineLevel="0" collapsed="false">
      <c r="C681" s="47"/>
      <c r="D681" s="48"/>
      <c r="E681" s="45"/>
    </row>
    <row r="682" customFormat="false" ht="15" hidden="false" customHeight="false" outlineLevel="0" collapsed="false">
      <c r="C682" s="47"/>
      <c r="D682" s="48"/>
      <c r="E682" s="45"/>
    </row>
    <row r="683" customFormat="false" ht="15" hidden="false" customHeight="false" outlineLevel="0" collapsed="false">
      <c r="C683" s="47"/>
      <c r="D683" s="48"/>
      <c r="E683" s="45"/>
    </row>
    <row r="684" customFormat="false" ht="15" hidden="false" customHeight="false" outlineLevel="0" collapsed="false">
      <c r="C684" s="47"/>
      <c r="D684" s="48"/>
      <c r="E684" s="45"/>
    </row>
    <row r="685" customFormat="false" ht="15" hidden="false" customHeight="false" outlineLevel="0" collapsed="false">
      <c r="C685" s="47"/>
      <c r="D685" s="48"/>
      <c r="E685" s="45"/>
    </row>
    <row r="686" customFormat="false" ht="15" hidden="false" customHeight="false" outlineLevel="0" collapsed="false">
      <c r="C686" s="47"/>
      <c r="D686" s="48"/>
      <c r="E686" s="45"/>
    </row>
    <row r="687" customFormat="false" ht="15" hidden="false" customHeight="false" outlineLevel="0" collapsed="false">
      <c r="C687" s="47"/>
      <c r="D687" s="48"/>
      <c r="E687" s="45"/>
    </row>
    <row r="688" customFormat="false" ht="15" hidden="false" customHeight="false" outlineLevel="0" collapsed="false">
      <c r="C688" s="47"/>
      <c r="D688" s="48"/>
      <c r="E688" s="45"/>
    </row>
    <row r="689" customFormat="false" ht="15" hidden="false" customHeight="false" outlineLevel="0" collapsed="false">
      <c r="C689" s="47"/>
      <c r="D689" s="48"/>
      <c r="E689" s="45"/>
    </row>
    <row r="690" customFormat="false" ht="15" hidden="false" customHeight="false" outlineLevel="0" collapsed="false">
      <c r="C690" s="47"/>
      <c r="D690" s="48"/>
      <c r="E690" s="45"/>
    </row>
    <row r="691" customFormat="false" ht="15" hidden="false" customHeight="false" outlineLevel="0" collapsed="false">
      <c r="C691" s="47"/>
      <c r="D691" s="48"/>
      <c r="E691" s="45"/>
    </row>
    <row r="692" customFormat="false" ht="15" hidden="false" customHeight="false" outlineLevel="0" collapsed="false">
      <c r="C692" s="47"/>
      <c r="D692" s="48"/>
      <c r="E692" s="45"/>
    </row>
    <row r="693" customFormat="false" ht="15" hidden="false" customHeight="false" outlineLevel="0" collapsed="false">
      <c r="C693" s="47"/>
      <c r="D693" s="48"/>
      <c r="E693" s="45"/>
    </row>
    <row r="694" customFormat="false" ht="15" hidden="false" customHeight="false" outlineLevel="0" collapsed="false">
      <c r="C694" s="47"/>
      <c r="D694" s="48"/>
      <c r="E694" s="45"/>
    </row>
    <row r="695" customFormat="false" ht="15" hidden="false" customHeight="false" outlineLevel="0" collapsed="false">
      <c r="C695" s="47"/>
      <c r="D695" s="48"/>
      <c r="E695" s="45"/>
    </row>
    <row r="696" customFormat="false" ht="15" hidden="false" customHeight="false" outlineLevel="0" collapsed="false">
      <c r="C696" s="47"/>
      <c r="D696" s="48"/>
      <c r="E696" s="45"/>
    </row>
    <row r="697" customFormat="false" ht="15" hidden="false" customHeight="false" outlineLevel="0" collapsed="false">
      <c r="C697" s="47"/>
      <c r="D697" s="48"/>
      <c r="E697" s="45"/>
    </row>
    <row r="698" customFormat="false" ht="15" hidden="false" customHeight="false" outlineLevel="0" collapsed="false">
      <c r="C698" s="47"/>
      <c r="D698" s="48"/>
      <c r="E698" s="45"/>
    </row>
    <row r="699" customFormat="false" ht="15" hidden="false" customHeight="false" outlineLevel="0" collapsed="false">
      <c r="C699" s="47"/>
      <c r="D699" s="48"/>
      <c r="E699" s="45"/>
    </row>
    <row r="700" customFormat="false" ht="15" hidden="false" customHeight="false" outlineLevel="0" collapsed="false">
      <c r="C700" s="47"/>
      <c r="D700" s="48"/>
      <c r="E700" s="45"/>
    </row>
    <row r="701" customFormat="false" ht="15" hidden="false" customHeight="false" outlineLevel="0" collapsed="false">
      <c r="C701" s="47"/>
      <c r="D701" s="48"/>
      <c r="E701" s="45"/>
    </row>
    <row r="702" customFormat="false" ht="15" hidden="false" customHeight="false" outlineLevel="0" collapsed="false">
      <c r="C702" s="47"/>
      <c r="D702" s="48"/>
      <c r="E702" s="45"/>
    </row>
    <row r="703" customFormat="false" ht="15" hidden="false" customHeight="false" outlineLevel="0" collapsed="false">
      <c r="C703" s="47"/>
      <c r="D703" s="48"/>
      <c r="E703" s="45"/>
    </row>
    <row r="704" customFormat="false" ht="15" hidden="false" customHeight="false" outlineLevel="0" collapsed="false">
      <c r="C704" s="47"/>
      <c r="D704" s="48"/>
      <c r="E704" s="45"/>
    </row>
    <row r="705" customFormat="false" ht="15" hidden="false" customHeight="false" outlineLevel="0" collapsed="false">
      <c r="C705" s="47"/>
      <c r="D705" s="48"/>
      <c r="E705" s="45"/>
    </row>
    <row r="706" customFormat="false" ht="15" hidden="false" customHeight="false" outlineLevel="0" collapsed="false">
      <c r="C706" s="47"/>
      <c r="D706" s="48"/>
      <c r="E706" s="45"/>
    </row>
    <row r="707" customFormat="false" ht="15" hidden="false" customHeight="false" outlineLevel="0" collapsed="false">
      <c r="C707" s="47"/>
      <c r="D707" s="48"/>
      <c r="E707" s="45"/>
    </row>
    <row r="708" customFormat="false" ht="15" hidden="false" customHeight="false" outlineLevel="0" collapsed="false">
      <c r="C708" s="47"/>
      <c r="D708" s="48"/>
      <c r="E708" s="45"/>
    </row>
    <row r="709" customFormat="false" ht="15" hidden="false" customHeight="false" outlineLevel="0" collapsed="false">
      <c r="C709" s="47"/>
      <c r="D709" s="48"/>
      <c r="E709" s="45"/>
    </row>
    <row r="710" customFormat="false" ht="15" hidden="false" customHeight="false" outlineLevel="0" collapsed="false">
      <c r="C710" s="47"/>
      <c r="D710" s="48"/>
      <c r="E710" s="45"/>
    </row>
    <row r="711" customFormat="false" ht="15" hidden="false" customHeight="false" outlineLevel="0" collapsed="false">
      <c r="C711" s="47"/>
      <c r="D711" s="48"/>
      <c r="E711" s="45"/>
    </row>
    <row r="712" customFormat="false" ht="15" hidden="false" customHeight="false" outlineLevel="0" collapsed="false">
      <c r="C712" s="47"/>
      <c r="D712" s="48"/>
      <c r="E712" s="45"/>
    </row>
    <row r="713" customFormat="false" ht="15" hidden="false" customHeight="false" outlineLevel="0" collapsed="false">
      <c r="C713" s="47"/>
      <c r="D713" s="48"/>
      <c r="E713" s="45"/>
    </row>
    <row r="714" customFormat="false" ht="15" hidden="false" customHeight="false" outlineLevel="0" collapsed="false">
      <c r="C714" s="47"/>
      <c r="D714" s="48"/>
      <c r="E714" s="45"/>
    </row>
    <row r="715" customFormat="false" ht="15" hidden="false" customHeight="false" outlineLevel="0" collapsed="false">
      <c r="C715" s="47"/>
      <c r="D715" s="48"/>
      <c r="E715" s="45"/>
    </row>
    <row r="716" customFormat="false" ht="15" hidden="false" customHeight="false" outlineLevel="0" collapsed="false">
      <c r="C716" s="47"/>
      <c r="D716" s="48"/>
      <c r="E716" s="45"/>
    </row>
    <row r="717" customFormat="false" ht="15" hidden="false" customHeight="false" outlineLevel="0" collapsed="false">
      <c r="C717" s="47"/>
      <c r="D717" s="48"/>
      <c r="E717" s="45"/>
    </row>
    <row r="718" customFormat="false" ht="15" hidden="false" customHeight="false" outlineLevel="0" collapsed="false">
      <c r="C718" s="47"/>
      <c r="D718" s="48"/>
      <c r="E718" s="45"/>
    </row>
    <row r="719" customFormat="false" ht="15" hidden="false" customHeight="false" outlineLevel="0" collapsed="false">
      <c r="C719" s="47"/>
      <c r="D719" s="48"/>
      <c r="E719" s="45"/>
    </row>
    <row r="720" customFormat="false" ht="15" hidden="false" customHeight="false" outlineLevel="0" collapsed="false">
      <c r="C720" s="47"/>
      <c r="D720" s="48"/>
      <c r="E720" s="45"/>
    </row>
    <row r="721" customFormat="false" ht="15" hidden="false" customHeight="false" outlineLevel="0" collapsed="false">
      <c r="C721" s="47"/>
      <c r="D721" s="48"/>
      <c r="E721" s="45"/>
    </row>
    <row r="722" customFormat="false" ht="15" hidden="false" customHeight="false" outlineLevel="0" collapsed="false">
      <c r="C722" s="47"/>
      <c r="D722" s="48"/>
      <c r="E722" s="45"/>
    </row>
    <row r="723" customFormat="false" ht="15" hidden="false" customHeight="false" outlineLevel="0" collapsed="false">
      <c r="C723" s="47"/>
      <c r="D723" s="48"/>
      <c r="E723" s="45"/>
    </row>
    <row r="724" customFormat="false" ht="15" hidden="false" customHeight="false" outlineLevel="0" collapsed="false">
      <c r="C724" s="47"/>
      <c r="D724" s="48"/>
      <c r="E724" s="45"/>
    </row>
    <row r="725" customFormat="false" ht="15" hidden="false" customHeight="false" outlineLevel="0" collapsed="false">
      <c r="C725" s="47"/>
      <c r="D725" s="48"/>
      <c r="E725" s="45"/>
    </row>
    <row r="726" customFormat="false" ht="15" hidden="false" customHeight="false" outlineLevel="0" collapsed="false">
      <c r="C726" s="47"/>
      <c r="D726" s="48"/>
      <c r="E726" s="45"/>
    </row>
    <row r="727" customFormat="false" ht="15" hidden="false" customHeight="false" outlineLevel="0" collapsed="false">
      <c r="C727" s="47"/>
      <c r="D727" s="48"/>
      <c r="E727" s="45"/>
    </row>
    <row r="728" customFormat="false" ht="15" hidden="false" customHeight="false" outlineLevel="0" collapsed="false">
      <c r="C728" s="47"/>
      <c r="D728" s="48"/>
      <c r="E728" s="45"/>
    </row>
    <row r="729" customFormat="false" ht="15" hidden="false" customHeight="false" outlineLevel="0" collapsed="false">
      <c r="C729" s="47"/>
      <c r="D729" s="48"/>
      <c r="E729" s="45"/>
    </row>
    <row r="730" customFormat="false" ht="15" hidden="false" customHeight="false" outlineLevel="0" collapsed="false">
      <c r="C730" s="47"/>
      <c r="D730" s="48"/>
      <c r="E730" s="45"/>
    </row>
    <row r="731" customFormat="false" ht="15" hidden="false" customHeight="false" outlineLevel="0" collapsed="false">
      <c r="C731" s="47"/>
      <c r="D731" s="48"/>
      <c r="E731" s="45"/>
    </row>
    <row r="732" customFormat="false" ht="15" hidden="false" customHeight="false" outlineLevel="0" collapsed="false">
      <c r="C732" s="47"/>
      <c r="D732" s="48"/>
      <c r="E732" s="45"/>
    </row>
    <row r="733" customFormat="false" ht="15" hidden="false" customHeight="false" outlineLevel="0" collapsed="false">
      <c r="C733" s="47"/>
      <c r="D733" s="48"/>
      <c r="E733" s="45"/>
    </row>
    <row r="734" customFormat="false" ht="15" hidden="false" customHeight="false" outlineLevel="0" collapsed="false">
      <c r="C734" s="47"/>
      <c r="D734" s="48"/>
      <c r="E734" s="45"/>
    </row>
    <row r="735" customFormat="false" ht="15" hidden="false" customHeight="false" outlineLevel="0" collapsed="false">
      <c r="C735" s="47"/>
      <c r="D735" s="48"/>
      <c r="E735" s="45"/>
    </row>
    <row r="736" customFormat="false" ht="15" hidden="false" customHeight="false" outlineLevel="0" collapsed="false">
      <c r="C736" s="47"/>
      <c r="D736" s="48"/>
      <c r="E736" s="45"/>
    </row>
    <row r="737" customFormat="false" ht="15" hidden="false" customHeight="false" outlineLevel="0" collapsed="false">
      <c r="C737" s="47"/>
      <c r="D737" s="48"/>
      <c r="E737" s="45"/>
    </row>
    <row r="738" customFormat="false" ht="15" hidden="false" customHeight="false" outlineLevel="0" collapsed="false">
      <c r="C738" s="47"/>
      <c r="D738" s="48"/>
      <c r="E738" s="45"/>
    </row>
    <row r="739" customFormat="false" ht="15" hidden="false" customHeight="false" outlineLevel="0" collapsed="false">
      <c r="C739" s="47"/>
      <c r="D739" s="48"/>
      <c r="E739" s="45"/>
    </row>
    <row r="740" customFormat="false" ht="15" hidden="false" customHeight="false" outlineLevel="0" collapsed="false">
      <c r="C740" s="47"/>
      <c r="D740" s="48"/>
      <c r="E740" s="45"/>
    </row>
    <row r="741" customFormat="false" ht="15" hidden="false" customHeight="false" outlineLevel="0" collapsed="false">
      <c r="C741" s="47"/>
      <c r="D741" s="48"/>
      <c r="E741" s="45"/>
    </row>
    <row r="742" customFormat="false" ht="15" hidden="false" customHeight="false" outlineLevel="0" collapsed="false">
      <c r="C742" s="47"/>
      <c r="D742" s="48"/>
      <c r="E742" s="45"/>
    </row>
    <row r="743" customFormat="false" ht="15" hidden="false" customHeight="false" outlineLevel="0" collapsed="false">
      <c r="C743" s="47"/>
      <c r="D743" s="48"/>
      <c r="E743" s="45"/>
    </row>
    <row r="744" customFormat="false" ht="15" hidden="false" customHeight="false" outlineLevel="0" collapsed="false">
      <c r="C744" s="47"/>
      <c r="D744" s="48"/>
      <c r="E744" s="45"/>
    </row>
    <row r="745" customFormat="false" ht="15" hidden="false" customHeight="false" outlineLevel="0" collapsed="false">
      <c r="C745" s="47"/>
      <c r="D745" s="48"/>
      <c r="E745" s="45"/>
    </row>
    <row r="746" customFormat="false" ht="15" hidden="false" customHeight="false" outlineLevel="0" collapsed="false">
      <c r="C746" s="47"/>
      <c r="D746" s="48"/>
      <c r="E746" s="45"/>
    </row>
    <row r="747" customFormat="false" ht="15" hidden="false" customHeight="false" outlineLevel="0" collapsed="false">
      <c r="C747" s="47"/>
      <c r="D747" s="48"/>
      <c r="E747" s="45"/>
    </row>
    <row r="748" customFormat="false" ht="15" hidden="false" customHeight="false" outlineLevel="0" collapsed="false">
      <c r="C748" s="47"/>
      <c r="D748" s="48"/>
      <c r="E748" s="45"/>
    </row>
    <row r="749" customFormat="false" ht="15" hidden="false" customHeight="false" outlineLevel="0" collapsed="false">
      <c r="C749" s="47"/>
      <c r="D749" s="48"/>
      <c r="E749" s="45"/>
    </row>
    <row r="750" customFormat="false" ht="15" hidden="false" customHeight="false" outlineLevel="0" collapsed="false">
      <c r="C750" s="47"/>
      <c r="D750" s="48"/>
      <c r="E750" s="45"/>
    </row>
    <row r="751" customFormat="false" ht="15" hidden="false" customHeight="false" outlineLevel="0" collapsed="false">
      <c r="C751" s="47"/>
      <c r="D751" s="48"/>
      <c r="E751" s="45"/>
    </row>
    <row r="752" customFormat="false" ht="15" hidden="false" customHeight="false" outlineLevel="0" collapsed="false">
      <c r="C752" s="47"/>
      <c r="D752" s="48"/>
      <c r="E752" s="45"/>
    </row>
    <row r="753" customFormat="false" ht="15" hidden="false" customHeight="false" outlineLevel="0" collapsed="false">
      <c r="C753" s="47"/>
      <c r="D753" s="48"/>
      <c r="E753" s="45"/>
    </row>
    <row r="754" customFormat="false" ht="15" hidden="false" customHeight="false" outlineLevel="0" collapsed="false">
      <c r="C754" s="47"/>
      <c r="D754" s="48"/>
      <c r="E754" s="45"/>
    </row>
    <row r="755" customFormat="false" ht="15" hidden="false" customHeight="false" outlineLevel="0" collapsed="false">
      <c r="C755" s="47"/>
      <c r="D755" s="48"/>
      <c r="E755" s="45"/>
    </row>
    <row r="756" customFormat="false" ht="15" hidden="false" customHeight="false" outlineLevel="0" collapsed="false">
      <c r="C756" s="47"/>
      <c r="D756" s="48"/>
      <c r="E756" s="45"/>
    </row>
    <row r="757" customFormat="false" ht="15" hidden="false" customHeight="false" outlineLevel="0" collapsed="false">
      <c r="C757" s="47"/>
      <c r="D757" s="48"/>
      <c r="E757" s="45"/>
    </row>
    <row r="758" customFormat="false" ht="15" hidden="false" customHeight="false" outlineLevel="0" collapsed="false">
      <c r="C758" s="47"/>
      <c r="D758" s="48"/>
      <c r="E758" s="45"/>
    </row>
    <row r="759" customFormat="false" ht="15" hidden="false" customHeight="false" outlineLevel="0" collapsed="false">
      <c r="C759" s="47"/>
      <c r="D759" s="48"/>
      <c r="E759" s="45"/>
    </row>
    <row r="760" customFormat="false" ht="15" hidden="false" customHeight="false" outlineLevel="0" collapsed="false">
      <c r="C760" s="47"/>
      <c r="D760" s="48"/>
      <c r="E760" s="45"/>
    </row>
    <row r="761" customFormat="false" ht="15" hidden="false" customHeight="false" outlineLevel="0" collapsed="false">
      <c r="C761" s="47"/>
      <c r="D761" s="48"/>
      <c r="E761" s="45"/>
    </row>
    <row r="762" customFormat="false" ht="15" hidden="false" customHeight="false" outlineLevel="0" collapsed="false">
      <c r="C762" s="47"/>
      <c r="D762" s="48"/>
      <c r="E762" s="45"/>
    </row>
    <row r="763" customFormat="false" ht="15" hidden="false" customHeight="false" outlineLevel="0" collapsed="false">
      <c r="C763" s="47"/>
      <c r="D763" s="48"/>
      <c r="E763" s="45"/>
    </row>
    <row r="764" customFormat="false" ht="15" hidden="false" customHeight="false" outlineLevel="0" collapsed="false">
      <c r="C764" s="47"/>
      <c r="D764" s="48"/>
      <c r="E764" s="45"/>
    </row>
    <row r="765" customFormat="false" ht="15" hidden="false" customHeight="false" outlineLevel="0" collapsed="false">
      <c r="C765" s="47"/>
      <c r="D765" s="48"/>
      <c r="E765" s="45"/>
    </row>
    <row r="766" customFormat="false" ht="15" hidden="false" customHeight="false" outlineLevel="0" collapsed="false">
      <c r="C766" s="47"/>
      <c r="D766" s="48"/>
      <c r="E766" s="45"/>
    </row>
    <row r="767" customFormat="false" ht="15" hidden="false" customHeight="false" outlineLevel="0" collapsed="false">
      <c r="C767" s="47"/>
      <c r="D767" s="48"/>
      <c r="E767" s="45"/>
    </row>
    <row r="768" customFormat="false" ht="15" hidden="false" customHeight="false" outlineLevel="0" collapsed="false">
      <c r="C768" s="47"/>
      <c r="D768" s="48"/>
      <c r="E768" s="45"/>
    </row>
    <row r="769" customFormat="false" ht="15" hidden="false" customHeight="false" outlineLevel="0" collapsed="false">
      <c r="C769" s="47"/>
      <c r="D769" s="48"/>
      <c r="E769" s="45"/>
    </row>
    <row r="770" customFormat="false" ht="15" hidden="false" customHeight="false" outlineLevel="0" collapsed="false">
      <c r="C770" s="47"/>
      <c r="D770" s="48"/>
      <c r="E770" s="45"/>
    </row>
    <row r="771" customFormat="false" ht="15" hidden="false" customHeight="false" outlineLevel="0" collapsed="false">
      <c r="C771" s="47"/>
      <c r="D771" s="48"/>
      <c r="E771" s="45"/>
    </row>
    <row r="772" customFormat="false" ht="15" hidden="false" customHeight="false" outlineLevel="0" collapsed="false">
      <c r="C772" s="47"/>
      <c r="D772" s="48"/>
      <c r="E772" s="45"/>
    </row>
    <row r="773" customFormat="false" ht="15" hidden="false" customHeight="false" outlineLevel="0" collapsed="false">
      <c r="C773" s="47"/>
      <c r="D773" s="48"/>
      <c r="E773" s="45"/>
    </row>
    <row r="774" customFormat="false" ht="15" hidden="false" customHeight="false" outlineLevel="0" collapsed="false">
      <c r="C774" s="47"/>
      <c r="D774" s="48"/>
      <c r="E774" s="45"/>
    </row>
    <row r="775" customFormat="false" ht="15" hidden="false" customHeight="false" outlineLevel="0" collapsed="false">
      <c r="C775" s="47"/>
      <c r="D775" s="48"/>
      <c r="E775" s="45"/>
    </row>
    <row r="776" customFormat="false" ht="15" hidden="false" customHeight="false" outlineLevel="0" collapsed="false">
      <c r="C776" s="47"/>
      <c r="D776" s="48"/>
      <c r="E776" s="45"/>
    </row>
    <row r="777" customFormat="false" ht="15" hidden="false" customHeight="false" outlineLevel="0" collapsed="false">
      <c r="C777" s="47"/>
      <c r="D777" s="48"/>
      <c r="E777" s="45"/>
    </row>
    <row r="778" customFormat="false" ht="15" hidden="false" customHeight="false" outlineLevel="0" collapsed="false">
      <c r="C778" s="47"/>
      <c r="D778" s="48"/>
      <c r="E778" s="45"/>
    </row>
    <row r="779" customFormat="false" ht="15" hidden="false" customHeight="false" outlineLevel="0" collapsed="false">
      <c r="C779" s="47"/>
      <c r="D779" s="48"/>
      <c r="E779" s="45"/>
    </row>
    <row r="780" customFormat="false" ht="15" hidden="false" customHeight="false" outlineLevel="0" collapsed="false">
      <c r="C780" s="47"/>
      <c r="D780" s="48"/>
      <c r="E780" s="45"/>
    </row>
    <row r="781" customFormat="false" ht="15" hidden="false" customHeight="false" outlineLevel="0" collapsed="false">
      <c r="C781" s="47"/>
      <c r="D781" s="48"/>
      <c r="E781" s="45"/>
    </row>
    <row r="782" customFormat="false" ht="15" hidden="false" customHeight="false" outlineLevel="0" collapsed="false">
      <c r="C782" s="47"/>
      <c r="D782" s="48"/>
      <c r="E782" s="45"/>
    </row>
    <row r="783" customFormat="false" ht="15" hidden="false" customHeight="false" outlineLevel="0" collapsed="false">
      <c r="C783" s="47"/>
      <c r="D783" s="48"/>
      <c r="E783" s="45"/>
    </row>
    <row r="784" customFormat="false" ht="15" hidden="false" customHeight="false" outlineLevel="0" collapsed="false">
      <c r="C784" s="47"/>
      <c r="D784" s="48"/>
      <c r="E784" s="45"/>
    </row>
    <row r="785" customFormat="false" ht="15" hidden="false" customHeight="false" outlineLevel="0" collapsed="false">
      <c r="C785" s="47"/>
      <c r="D785" s="48"/>
      <c r="E785" s="45"/>
    </row>
    <row r="786" customFormat="false" ht="15" hidden="false" customHeight="false" outlineLevel="0" collapsed="false">
      <c r="C786" s="47"/>
      <c r="D786" s="48"/>
      <c r="E786" s="45"/>
    </row>
    <row r="787" customFormat="false" ht="15" hidden="false" customHeight="false" outlineLevel="0" collapsed="false">
      <c r="C787" s="47"/>
      <c r="D787" s="48"/>
      <c r="E787" s="45"/>
    </row>
    <row r="788" customFormat="false" ht="15" hidden="false" customHeight="false" outlineLevel="0" collapsed="false">
      <c r="C788" s="47"/>
      <c r="D788" s="48"/>
      <c r="E788" s="45"/>
    </row>
    <row r="789" customFormat="false" ht="15" hidden="false" customHeight="false" outlineLevel="0" collapsed="false">
      <c r="C789" s="47"/>
      <c r="D789" s="48"/>
      <c r="E789" s="45"/>
    </row>
    <row r="790" customFormat="false" ht="15" hidden="false" customHeight="false" outlineLevel="0" collapsed="false">
      <c r="C790" s="47"/>
      <c r="D790" s="48"/>
      <c r="E790" s="45"/>
    </row>
    <row r="791" customFormat="false" ht="15" hidden="false" customHeight="false" outlineLevel="0" collapsed="false">
      <c r="C791" s="47"/>
      <c r="D791" s="48"/>
      <c r="E791" s="45"/>
    </row>
    <row r="792" customFormat="false" ht="15" hidden="false" customHeight="false" outlineLevel="0" collapsed="false">
      <c r="C792" s="47"/>
      <c r="D792" s="48"/>
      <c r="E792" s="45"/>
    </row>
    <row r="793" customFormat="false" ht="15" hidden="false" customHeight="false" outlineLevel="0" collapsed="false">
      <c r="C793" s="47"/>
      <c r="D793" s="48"/>
      <c r="E793" s="45"/>
    </row>
    <row r="794" customFormat="false" ht="15" hidden="false" customHeight="false" outlineLevel="0" collapsed="false">
      <c r="C794" s="47"/>
      <c r="D794" s="48"/>
      <c r="E794" s="45"/>
    </row>
    <row r="795" customFormat="false" ht="15" hidden="false" customHeight="false" outlineLevel="0" collapsed="false">
      <c r="C795" s="47"/>
      <c r="D795" s="48"/>
      <c r="E795" s="45"/>
    </row>
    <row r="796" customFormat="false" ht="15" hidden="false" customHeight="false" outlineLevel="0" collapsed="false">
      <c r="C796" s="47"/>
      <c r="D796" s="48"/>
      <c r="E796" s="45"/>
    </row>
    <row r="797" customFormat="false" ht="15" hidden="false" customHeight="false" outlineLevel="0" collapsed="false">
      <c r="C797" s="47"/>
      <c r="D797" s="48"/>
      <c r="E797" s="45"/>
    </row>
    <row r="798" customFormat="false" ht="15" hidden="false" customHeight="false" outlineLevel="0" collapsed="false">
      <c r="C798" s="47"/>
      <c r="D798" s="48"/>
      <c r="E798" s="45"/>
    </row>
    <row r="799" customFormat="false" ht="15" hidden="false" customHeight="false" outlineLevel="0" collapsed="false">
      <c r="C799" s="47"/>
      <c r="D799" s="48"/>
      <c r="E799" s="45"/>
    </row>
    <row r="800" customFormat="false" ht="15" hidden="false" customHeight="false" outlineLevel="0" collapsed="false">
      <c r="C800" s="47"/>
      <c r="D800" s="48"/>
      <c r="E800" s="45"/>
    </row>
    <row r="801" customFormat="false" ht="15" hidden="false" customHeight="false" outlineLevel="0" collapsed="false">
      <c r="C801" s="47"/>
      <c r="D801" s="48"/>
      <c r="E801" s="45"/>
    </row>
    <row r="802" customFormat="false" ht="15" hidden="false" customHeight="false" outlineLevel="0" collapsed="false">
      <c r="C802" s="47"/>
      <c r="D802" s="48"/>
      <c r="E802" s="45"/>
    </row>
    <row r="803" customFormat="false" ht="15" hidden="false" customHeight="false" outlineLevel="0" collapsed="false">
      <c r="C803" s="47"/>
      <c r="D803" s="48"/>
      <c r="E803" s="45"/>
    </row>
    <row r="804" customFormat="false" ht="15" hidden="false" customHeight="false" outlineLevel="0" collapsed="false">
      <c r="C804" s="47"/>
      <c r="D804" s="48"/>
      <c r="E804" s="45"/>
    </row>
    <row r="805" customFormat="false" ht="15" hidden="false" customHeight="false" outlineLevel="0" collapsed="false">
      <c r="C805" s="47"/>
      <c r="D805" s="48"/>
      <c r="E805" s="45"/>
    </row>
    <row r="806" customFormat="false" ht="15" hidden="false" customHeight="false" outlineLevel="0" collapsed="false">
      <c r="C806" s="47"/>
      <c r="D806" s="48"/>
      <c r="E806" s="45"/>
    </row>
    <row r="807" customFormat="false" ht="15" hidden="false" customHeight="false" outlineLevel="0" collapsed="false">
      <c r="C807" s="47"/>
      <c r="D807" s="48"/>
      <c r="E807" s="45"/>
    </row>
    <row r="808" customFormat="false" ht="15" hidden="false" customHeight="false" outlineLevel="0" collapsed="false">
      <c r="C808" s="47"/>
      <c r="D808" s="48"/>
      <c r="E808" s="45"/>
    </row>
    <row r="809" customFormat="false" ht="15" hidden="false" customHeight="false" outlineLevel="0" collapsed="false">
      <c r="C809" s="47"/>
      <c r="D809" s="48"/>
      <c r="E809" s="45"/>
    </row>
    <row r="810" customFormat="false" ht="15" hidden="false" customHeight="false" outlineLevel="0" collapsed="false">
      <c r="C810" s="47"/>
      <c r="D810" s="48"/>
      <c r="E810" s="45"/>
    </row>
    <row r="811" customFormat="false" ht="15" hidden="false" customHeight="false" outlineLevel="0" collapsed="false">
      <c r="C811" s="47"/>
      <c r="D811" s="48"/>
      <c r="E811" s="45"/>
    </row>
    <row r="812" customFormat="false" ht="15" hidden="false" customHeight="false" outlineLevel="0" collapsed="false">
      <c r="C812" s="47"/>
      <c r="D812" s="48"/>
      <c r="E812" s="45"/>
    </row>
    <row r="813" customFormat="false" ht="15" hidden="false" customHeight="false" outlineLevel="0" collapsed="false">
      <c r="C813" s="47"/>
      <c r="D813" s="48"/>
      <c r="E813" s="45"/>
    </row>
    <row r="814" customFormat="false" ht="15" hidden="false" customHeight="false" outlineLevel="0" collapsed="false">
      <c r="C814" s="47"/>
      <c r="D814" s="48"/>
      <c r="E814" s="45"/>
    </row>
    <row r="815" customFormat="false" ht="15" hidden="false" customHeight="false" outlineLevel="0" collapsed="false">
      <c r="C815" s="47"/>
      <c r="D815" s="48"/>
      <c r="E815" s="45"/>
    </row>
    <row r="816" customFormat="false" ht="15" hidden="false" customHeight="false" outlineLevel="0" collapsed="false">
      <c r="C816" s="47"/>
      <c r="D816" s="48"/>
      <c r="E816" s="45"/>
    </row>
    <row r="817" customFormat="false" ht="15" hidden="false" customHeight="false" outlineLevel="0" collapsed="false">
      <c r="C817" s="47"/>
      <c r="D817" s="48"/>
      <c r="E817" s="45"/>
    </row>
    <row r="818" customFormat="false" ht="15" hidden="false" customHeight="false" outlineLevel="0" collapsed="false">
      <c r="C818" s="47"/>
      <c r="D818" s="48"/>
      <c r="E818" s="45"/>
    </row>
    <row r="819" customFormat="false" ht="15" hidden="false" customHeight="false" outlineLevel="0" collapsed="false">
      <c r="C819" s="47"/>
      <c r="D819" s="48"/>
      <c r="E819" s="45"/>
    </row>
    <row r="820" customFormat="false" ht="15" hidden="false" customHeight="false" outlineLevel="0" collapsed="false">
      <c r="C820" s="47"/>
      <c r="D820" s="48"/>
      <c r="E820" s="45"/>
    </row>
    <row r="821" customFormat="false" ht="15" hidden="false" customHeight="false" outlineLevel="0" collapsed="false">
      <c r="C821" s="47"/>
      <c r="D821" s="48"/>
      <c r="E821" s="45"/>
    </row>
    <row r="822" customFormat="false" ht="15" hidden="false" customHeight="false" outlineLevel="0" collapsed="false">
      <c r="C822" s="47"/>
      <c r="D822" s="48"/>
      <c r="E822" s="45"/>
    </row>
    <row r="823" customFormat="false" ht="15" hidden="false" customHeight="false" outlineLevel="0" collapsed="false">
      <c r="C823" s="47"/>
      <c r="D823" s="48"/>
      <c r="E823" s="45"/>
    </row>
    <row r="824" customFormat="false" ht="15" hidden="false" customHeight="false" outlineLevel="0" collapsed="false">
      <c r="C824" s="47"/>
      <c r="D824" s="48"/>
      <c r="E824" s="45"/>
    </row>
    <row r="825" customFormat="false" ht="15" hidden="false" customHeight="false" outlineLevel="0" collapsed="false">
      <c r="C825" s="47"/>
      <c r="D825" s="48"/>
      <c r="E825" s="45"/>
    </row>
    <row r="826" customFormat="false" ht="15" hidden="false" customHeight="false" outlineLevel="0" collapsed="false">
      <c r="C826" s="47"/>
      <c r="D826" s="48"/>
      <c r="E826" s="45"/>
    </row>
    <row r="827" customFormat="false" ht="15" hidden="false" customHeight="false" outlineLevel="0" collapsed="false">
      <c r="C827" s="47"/>
      <c r="D827" s="48"/>
      <c r="E827" s="45"/>
    </row>
    <row r="828" customFormat="false" ht="15" hidden="false" customHeight="false" outlineLevel="0" collapsed="false">
      <c r="C828" s="47"/>
      <c r="D828" s="48"/>
      <c r="E828" s="45"/>
    </row>
    <row r="829" customFormat="false" ht="15" hidden="false" customHeight="false" outlineLevel="0" collapsed="false">
      <c r="C829" s="47"/>
      <c r="D829" s="48"/>
      <c r="E829" s="45"/>
    </row>
    <row r="830" customFormat="false" ht="15" hidden="false" customHeight="false" outlineLevel="0" collapsed="false">
      <c r="C830" s="47"/>
      <c r="D830" s="48"/>
      <c r="E830" s="45"/>
    </row>
    <row r="831" customFormat="false" ht="15" hidden="false" customHeight="false" outlineLevel="0" collapsed="false">
      <c r="C831" s="47"/>
      <c r="D831" s="48"/>
      <c r="E831" s="45"/>
    </row>
    <row r="832" customFormat="false" ht="15" hidden="false" customHeight="false" outlineLevel="0" collapsed="false">
      <c r="C832" s="47"/>
      <c r="D832" s="48"/>
      <c r="E832" s="45"/>
    </row>
    <row r="833" customFormat="false" ht="15" hidden="false" customHeight="false" outlineLevel="0" collapsed="false">
      <c r="C833" s="47"/>
      <c r="D833" s="48"/>
      <c r="E833" s="45"/>
    </row>
    <row r="834" customFormat="false" ht="15" hidden="false" customHeight="false" outlineLevel="0" collapsed="false">
      <c r="C834" s="47"/>
      <c r="D834" s="48"/>
      <c r="E834" s="45"/>
    </row>
    <row r="835" customFormat="false" ht="15" hidden="false" customHeight="false" outlineLevel="0" collapsed="false">
      <c r="C835" s="47"/>
      <c r="D835" s="48"/>
      <c r="E835" s="45"/>
    </row>
    <row r="836" customFormat="false" ht="15" hidden="false" customHeight="false" outlineLevel="0" collapsed="false">
      <c r="C836" s="47"/>
      <c r="D836" s="48"/>
      <c r="E836" s="45"/>
    </row>
    <row r="837" customFormat="false" ht="15" hidden="false" customHeight="false" outlineLevel="0" collapsed="false">
      <c r="C837" s="47"/>
      <c r="D837" s="48"/>
      <c r="E837" s="45"/>
    </row>
    <row r="838" customFormat="false" ht="15" hidden="false" customHeight="false" outlineLevel="0" collapsed="false">
      <c r="C838" s="47"/>
      <c r="D838" s="48"/>
      <c r="E838" s="45"/>
    </row>
    <row r="839" customFormat="false" ht="15" hidden="false" customHeight="false" outlineLevel="0" collapsed="false">
      <c r="C839" s="47"/>
      <c r="D839" s="48"/>
      <c r="E839" s="45"/>
    </row>
    <row r="840" customFormat="false" ht="15" hidden="false" customHeight="false" outlineLevel="0" collapsed="false">
      <c r="C840" s="47"/>
      <c r="D840" s="48"/>
      <c r="E840" s="45"/>
    </row>
    <row r="841" customFormat="false" ht="15" hidden="false" customHeight="false" outlineLevel="0" collapsed="false">
      <c r="C841" s="47"/>
      <c r="D841" s="48"/>
      <c r="E841" s="45"/>
    </row>
    <row r="842" customFormat="false" ht="15" hidden="false" customHeight="false" outlineLevel="0" collapsed="false">
      <c r="C842" s="47"/>
      <c r="D842" s="48"/>
      <c r="E842" s="45"/>
    </row>
    <row r="843" customFormat="false" ht="15" hidden="false" customHeight="false" outlineLevel="0" collapsed="false">
      <c r="C843" s="47"/>
      <c r="D843" s="48"/>
      <c r="E843" s="45"/>
    </row>
    <row r="844" customFormat="false" ht="15" hidden="false" customHeight="false" outlineLevel="0" collapsed="false">
      <c r="C844" s="47"/>
      <c r="D844" s="48"/>
      <c r="E844" s="45"/>
    </row>
    <row r="845" customFormat="false" ht="15" hidden="false" customHeight="false" outlineLevel="0" collapsed="false">
      <c r="C845" s="47"/>
      <c r="D845" s="48"/>
      <c r="E845" s="45"/>
    </row>
    <row r="846" customFormat="false" ht="15" hidden="false" customHeight="false" outlineLevel="0" collapsed="false">
      <c r="C846" s="47"/>
      <c r="D846" s="48"/>
      <c r="E846" s="45"/>
    </row>
    <row r="847" customFormat="false" ht="15" hidden="false" customHeight="false" outlineLevel="0" collapsed="false">
      <c r="C847" s="47"/>
      <c r="D847" s="48"/>
      <c r="E847" s="45"/>
    </row>
    <row r="848" customFormat="false" ht="15" hidden="false" customHeight="false" outlineLevel="0" collapsed="false">
      <c r="C848" s="47"/>
      <c r="D848" s="48"/>
      <c r="E848" s="45"/>
    </row>
    <row r="849" customFormat="false" ht="15" hidden="false" customHeight="false" outlineLevel="0" collapsed="false">
      <c r="C849" s="47"/>
      <c r="D849" s="48"/>
      <c r="E849" s="45"/>
    </row>
    <row r="850" customFormat="false" ht="15" hidden="false" customHeight="false" outlineLevel="0" collapsed="false">
      <c r="C850" s="47"/>
      <c r="D850" s="48"/>
      <c r="E850" s="45"/>
    </row>
    <row r="851" customFormat="false" ht="15" hidden="false" customHeight="false" outlineLevel="0" collapsed="false">
      <c r="C851" s="47"/>
      <c r="D851" s="48"/>
      <c r="E851" s="45"/>
    </row>
    <row r="852" customFormat="false" ht="15" hidden="false" customHeight="false" outlineLevel="0" collapsed="false">
      <c r="C852" s="47"/>
      <c r="D852" s="48"/>
      <c r="E852" s="45"/>
    </row>
    <row r="853" customFormat="false" ht="15" hidden="false" customHeight="false" outlineLevel="0" collapsed="false">
      <c r="C853" s="47"/>
      <c r="D853" s="48"/>
      <c r="E853" s="45"/>
    </row>
    <row r="854" customFormat="false" ht="15" hidden="false" customHeight="false" outlineLevel="0" collapsed="false">
      <c r="C854" s="47"/>
      <c r="D854" s="48"/>
      <c r="E854" s="45"/>
    </row>
    <row r="855" customFormat="false" ht="15" hidden="false" customHeight="false" outlineLevel="0" collapsed="false">
      <c r="C855" s="47"/>
      <c r="D855" s="48"/>
      <c r="E855" s="45"/>
    </row>
    <row r="856" customFormat="false" ht="15" hidden="false" customHeight="false" outlineLevel="0" collapsed="false">
      <c r="C856" s="47"/>
      <c r="D856" s="48"/>
      <c r="E856" s="45"/>
    </row>
    <row r="857" customFormat="false" ht="15" hidden="false" customHeight="false" outlineLevel="0" collapsed="false">
      <c r="C857" s="47"/>
      <c r="D857" s="48"/>
      <c r="E857" s="45"/>
    </row>
    <row r="858" customFormat="false" ht="15" hidden="false" customHeight="false" outlineLevel="0" collapsed="false">
      <c r="C858" s="47"/>
      <c r="D858" s="48"/>
      <c r="E858" s="45"/>
    </row>
    <row r="859" customFormat="false" ht="15" hidden="false" customHeight="false" outlineLevel="0" collapsed="false">
      <c r="C859" s="47"/>
      <c r="D859" s="48"/>
      <c r="E859" s="45"/>
    </row>
    <row r="860" customFormat="false" ht="15" hidden="false" customHeight="false" outlineLevel="0" collapsed="false">
      <c r="C860" s="47"/>
      <c r="D860" s="48"/>
      <c r="E860" s="45"/>
    </row>
    <row r="861" customFormat="false" ht="15" hidden="false" customHeight="false" outlineLevel="0" collapsed="false">
      <c r="C861" s="47"/>
      <c r="D861" s="48"/>
      <c r="E861" s="45"/>
    </row>
    <row r="862" customFormat="false" ht="15" hidden="false" customHeight="false" outlineLevel="0" collapsed="false">
      <c r="C862" s="47"/>
      <c r="D862" s="48"/>
      <c r="E862" s="45"/>
    </row>
    <row r="863" customFormat="false" ht="15" hidden="false" customHeight="false" outlineLevel="0" collapsed="false">
      <c r="C863" s="47"/>
      <c r="D863" s="48"/>
      <c r="E863" s="45"/>
    </row>
    <row r="864" customFormat="false" ht="15" hidden="false" customHeight="false" outlineLevel="0" collapsed="false">
      <c r="C864" s="47"/>
      <c r="D864" s="48"/>
      <c r="E864" s="45"/>
    </row>
    <row r="865" customFormat="false" ht="15" hidden="false" customHeight="false" outlineLevel="0" collapsed="false">
      <c r="C865" s="47"/>
      <c r="D865" s="48"/>
      <c r="E865" s="45"/>
    </row>
    <row r="866" customFormat="false" ht="15" hidden="false" customHeight="false" outlineLevel="0" collapsed="false">
      <c r="C866" s="47"/>
      <c r="D866" s="48"/>
      <c r="E866" s="45"/>
    </row>
    <row r="867" customFormat="false" ht="15" hidden="false" customHeight="false" outlineLevel="0" collapsed="false">
      <c r="C867" s="47"/>
      <c r="D867" s="48"/>
      <c r="E867" s="45"/>
    </row>
    <row r="868" customFormat="false" ht="15" hidden="false" customHeight="false" outlineLevel="0" collapsed="false">
      <c r="C868" s="47"/>
      <c r="D868" s="48"/>
      <c r="E868" s="45"/>
    </row>
    <row r="869" customFormat="false" ht="15" hidden="false" customHeight="false" outlineLevel="0" collapsed="false">
      <c r="C869" s="47"/>
      <c r="D869" s="48"/>
      <c r="E869" s="45"/>
    </row>
    <row r="870" customFormat="false" ht="15" hidden="false" customHeight="false" outlineLevel="0" collapsed="false">
      <c r="C870" s="47"/>
      <c r="D870" s="48"/>
      <c r="E870" s="45"/>
    </row>
    <row r="871" customFormat="false" ht="15" hidden="false" customHeight="false" outlineLevel="0" collapsed="false">
      <c r="C871" s="47"/>
      <c r="D871" s="48"/>
      <c r="E871" s="45"/>
    </row>
    <row r="872" customFormat="false" ht="15" hidden="false" customHeight="false" outlineLevel="0" collapsed="false">
      <c r="C872" s="47"/>
      <c r="D872" s="48"/>
      <c r="E872" s="45"/>
    </row>
    <row r="873" customFormat="false" ht="15" hidden="false" customHeight="false" outlineLevel="0" collapsed="false">
      <c r="C873" s="47"/>
      <c r="D873" s="48"/>
      <c r="E873" s="45"/>
    </row>
    <row r="874" customFormat="false" ht="15" hidden="false" customHeight="false" outlineLevel="0" collapsed="false">
      <c r="C874" s="47"/>
      <c r="D874" s="48"/>
      <c r="E874" s="45"/>
    </row>
    <row r="875" customFormat="false" ht="15" hidden="false" customHeight="false" outlineLevel="0" collapsed="false">
      <c r="C875" s="47"/>
      <c r="D875" s="48"/>
      <c r="E875" s="45"/>
    </row>
    <row r="876" customFormat="false" ht="15" hidden="false" customHeight="false" outlineLevel="0" collapsed="false">
      <c r="C876" s="47"/>
      <c r="D876" s="48"/>
      <c r="E876" s="45"/>
    </row>
    <row r="877" customFormat="false" ht="15" hidden="false" customHeight="false" outlineLevel="0" collapsed="false">
      <c r="C877" s="47"/>
      <c r="D877" s="48"/>
      <c r="E877" s="45"/>
    </row>
    <row r="878" customFormat="false" ht="15" hidden="false" customHeight="false" outlineLevel="0" collapsed="false">
      <c r="C878" s="47"/>
      <c r="D878" s="48"/>
      <c r="E878" s="45"/>
    </row>
    <row r="879" customFormat="false" ht="15" hidden="false" customHeight="false" outlineLevel="0" collapsed="false">
      <c r="C879" s="47"/>
      <c r="D879" s="48"/>
      <c r="E879" s="45"/>
    </row>
    <row r="880" customFormat="false" ht="15" hidden="false" customHeight="false" outlineLevel="0" collapsed="false">
      <c r="C880" s="47"/>
      <c r="D880" s="48"/>
      <c r="E880" s="45"/>
    </row>
    <row r="881" customFormat="false" ht="15" hidden="false" customHeight="false" outlineLevel="0" collapsed="false">
      <c r="C881" s="47"/>
      <c r="D881" s="48"/>
      <c r="E881" s="45"/>
    </row>
    <row r="882" customFormat="false" ht="15" hidden="false" customHeight="false" outlineLevel="0" collapsed="false">
      <c r="C882" s="47"/>
      <c r="D882" s="48"/>
      <c r="E882" s="45"/>
    </row>
    <row r="883" customFormat="false" ht="15" hidden="false" customHeight="false" outlineLevel="0" collapsed="false">
      <c r="C883" s="47"/>
      <c r="D883" s="48"/>
      <c r="E883" s="45"/>
    </row>
    <row r="884" customFormat="false" ht="15" hidden="false" customHeight="false" outlineLevel="0" collapsed="false">
      <c r="C884" s="47"/>
      <c r="D884" s="48"/>
      <c r="E884" s="45"/>
    </row>
    <row r="885" customFormat="false" ht="15" hidden="false" customHeight="false" outlineLevel="0" collapsed="false">
      <c r="C885" s="47"/>
      <c r="D885" s="48"/>
      <c r="E885" s="45"/>
    </row>
    <row r="886" customFormat="false" ht="15" hidden="false" customHeight="false" outlineLevel="0" collapsed="false">
      <c r="C886" s="47"/>
      <c r="D886" s="48"/>
      <c r="E886" s="45"/>
    </row>
    <row r="887" customFormat="false" ht="15" hidden="false" customHeight="false" outlineLevel="0" collapsed="false">
      <c r="C887" s="47"/>
      <c r="D887" s="48"/>
      <c r="E887" s="45"/>
    </row>
    <row r="888" customFormat="false" ht="15" hidden="false" customHeight="false" outlineLevel="0" collapsed="false">
      <c r="C888" s="47"/>
      <c r="D888" s="48"/>
      <c r="E888" s="45"/>
    </row>
    <row r="889" customFormat="false" ht="15" hidden="false" customHeight="false" outlineLevel="0" collapsed="false">
      <c r="C889" s="47"/>
      <c r="D889" s="48"/>
      <c r="E889" s="45"/>
    </row>
    <row r="890" customFormat="false" ht="15" hidden="false" customHeight="false" outlineLevel="0" collapsed="false">
      <c r="C890" s="47"/>
      <c r="D890" s="48"/>
      <c r="E890" s="45"/>
    </row>
    <row r="891" customFormat="false" ht="15" hidden="false" customHeight="false" outlineLevel="0" collapsed="false">
      <c r="C891" s="47"/>
      <c r="D891" s="48"/>
      <c r="E891" s="45"/>
    </row>
    <row r="892" customFormat="false" ht="15" hidden="false" customHeight="false" outlineLevel="0" collapsed="false">
      <c r="C892" s="47"/>
      <c r="D892" s="48"/>
      <c r="E892" s="45"/>
    </row>
    <row r="893" customFormat="false" ht="15" hidden="false" customHeight="false" outlineLevel="0" collapsed="false">
      <c r="C893" s="47"/>
      <c r="D893" s="48"/>
      <c r="E893" s="45"/>
    </row>
    <row r="894" customFormat="false" ht="15" hidden="false" customHeight="false" outlineLevel="0" collapsed="false">
      <c r="C894" s="47"/>
      <c r="D894" s="48"/>
      <c r="E894" s="45"/>
    </row>
    <row r="895" customFormat="false" ht="15" hidden="false" customHeight="false" outlineLevel="0" collapsed="false">
      <c r="C895" s="47"/>
      <c r="D895" s="48"/>
      <c r="E895" s="45"/>
    </row>
    <row r="896" customFormat="false" ht="15" hidden="false" customHeight="false" outlineLevel="0" collapsed="false">
      <c r="C896" s="47"/>
      <c r="D896" s="48"/>
      <c r="E896" s="45"/>
    </row>
    <row r="897" customFormat="false" ht="15" hidden="false" customHeight="false" outlineLevel="0" collapsed="false">
      <c r="C897" s="47"/>
      <c r="D897" s="48"/>
      <c r="E897" s="45"/>
    </row>
    <row r="898" customFormat="false" ht="15" hidden="false" customHeight="false" outlineLevel="0" collapsed="false">
      <c r="C898" s="47"/>
      <c r="D898" s="48"/>
      <c r="E898" s="45"/>
    </row>
    <row r="899" customFormat="false" ht="15" hidden="false" customHeight="false" outlineLevel="0" collapsed="false">
      <c r="C899" s="47"/>
      <c r="D899" s="48"/>
      <c r="E899" s="45"/>
    </row>
    <row r="900" customFormat="false" ht="15" hidden="false" customHeight="false" outlineLevel="0" collapsed="false">
      <c r="C900" s="47"/>
      <c r="D900" s="48"/>
      <c r="E900" s="45"/>
    </row>
    <row r="901" customFormat="false" ht="15" hidden="false" customHeight="false" outlineLevel="0" collapsed="false">
      <c r="C901" s="47"/>
      <c r="D901" s="48"/>
      <c r="E901" s="45"/>
    </row>
    <row r="902" customFormat="false" ht="15" hidden="false" customHeight="false" outlineLevel="0" collapsed="false">
      <c r="C902" s="47"/>
      <c r="D902" s="48"/>
      <c r="E902" s="45"/>
    </row>
    <row r="903" customFormat="false" ht="15" hidden="false" customHeight="false" outlineLevel="0" collapsed="false">
      <c r="C903" s="47"/>
      <c r="D903" s="48"/>
      <c r="E903" s="45"/>
    </row>
    <row r="904" customFormat="false" ht="15" hidden="false" customHeight="false" outlineLevel="0" collapsed="false">
      <c r="C904" s="47"/>
      <c r="D904" s="48"/>
      <c r="E904" s="45"/>
    </row>
    <row r="905" customFormat="false" ht="15" hidden="false" customHeight="false" outlineLevel="0" collapsed="false">
      <c r="C905" s="47"/>
      <c r="D905" s="48"/>
      <c r="E905" s="45"/>
    </row>
    <row r="906" customFormat="false" ht="15" hidden="false" customHeight="false" outlineLevel="0" collapsed="false">
      <c r="C906" s="47"/>
      <c r="D906" s="48"/>
      <c r="E906" s="45"/>
    </row>
    <row r="907" customFormat="false" ht="15" hidden="false" customHeight="false" outlineLevel="0" collapsed="false">
      <c r="C907" s="47"/>
      <c r="D907" s="48"/>
      <c r="E907" s="45"/>
    </row>
    <row r="908" customFormat="false" ht="15" hidden="false" customHeight="false" outlineLevel="0" collapsed="false">
      <c r="C908" s="47"/>
      <c r="D908" s="48"/>
      <c r="E908" s="45"/>
    </row>
    <row r="909" customFormat="false" ht="15" hidden="false" customHeight="false" outlineLevel="0" collapsed="false">
      <c r="C909" s="47"/>
      <c r="D909" s="48"/>
      <c r="E909" s="45"/>
    </row>
    <row r="910" customFormat="false" ht="15" hidden="false" customHeight="false" outlineLevel="0" collapsed="false">
      <c r="C910" s="47"/>
      <c r="D910" s="48"/>
      <c r="E910" s="45"/>
    </row>
    <row r="911" customFormat="false" ht="15" hidden="false" customHeight="false" outlineLevel="0" collapsed="false">
      <c r="C911" s="47"/>
      <c r="D911" s="48"/>
      <c r="E911" s="45"/>
    </row>
    <row r="912" customFormat="false" ht="15" hidden="false" customHeight="false" outlineLevel="0" collapsed="false">
      <c r="C912" s="47"/>
      <c r="D912" s="48"/>
      <c r="E912" s="45"/>
    </row>
    <row r="913" customFormat="false" ht="15" hidden="false" customHeight="false" outlineLevel="0" collapsed="false">
      <c r="C913" s="47"/>
      <c r="D913" s="48"/>
      <c r="E913" s="45"/>
    </row>
    <row r="914" customFormat="false" ht="15" hidden="false" customHeight="false" outlineLevel="0" collapsed="false">
      <c r="C914" s="47"/>
      <c r="D914" s="48"/>
      <c r="E914" s="45"/>
    </row>
    <row r="915" customFormat="false" ht="15" hidden="false" customHeight="false" outlineLevel="0" collapsed="false">
      <c r="C915" s="47"/>
      <c r="D915" s="48"/>
      <c r="E915" s="45"/>
    </row>
    <row r="916" customFormat="false" ht="15" hidden="false" customHeight="false" outlineLevel="0" collapsed="false">
      <c r="C916" s="47"/>
      <c r="D916" s="48"/>
      <c r="E916" s="45"/>
    </row>
    <row r="917" customFormat="false" ht="15" hidden="false" customHeight="false" outlineLevel="0" collapsed="false">
      <c r="C917" s="47"/>
      <c r="D917" s="48"/>
      <c r="E917" s="45"/>
    </row>
    <row r="918" customFormat="false" ht="15" hidden="false" customHeight="false" outlineLevel="0" collapsed="false">
      <c r="C918" s="47"/>
      <c r="D918" s="48"/>
      <c r="E918" s="45"/>
    </row>
    <row r="919" customFormat="false" ht="15" hidden="false" customHeight="false" outlineLevel="0" collapsed="false">
      <c r="C919" s="47"/>
      <c r="D919" s="48"/>
      <c r="E919" s="45"/>
    </row>
    <row r="920" customFormat="false" ht="15" hidden="false" customHeight="false" outlineLevel="0" collapsed="false">
      <c r="C920" s="47"/>
      <c r="D920" s="48"/>
      <c r="E920" s="45"/>
    </row>
    <row r="921" customFormat="false" ht="15" hidden="false" customHeight="false" outlineLevel="0" collapsed="false">
      <c r="C921" s="47"/>
      <c r="D921" s="48"/>
      <c r="E921" s="45"/>
    </row>
    <row r="922" customFormat="false" ht="15" hidden="false" customHeight="false" outlineLevel="0" collapsed="false">
      <c r="C922" s="47"/>
      <c r="D922" s="48"/>
      <c r="E922" s="45"/>
    </row>
    <row r="923" customFormat="false" ht="15" hidden="false" customHeight="false" outlineLevel="0" collapsed="false">
      <c r="C923" s="47"/>
      <c r="D923" s="48"/>
      <c r="E923" s="45"/>
    </row>
    <row r="924" customFormat="false" ht="15" hidden="false" customHeight="false" outlineLevel="0" collapsed="false">
      <c r="C924" s="47"/>
      <c r="D924" s="48"/>
      <c r="E924" s="45"/>
    </row>
    <row r="925" customFormat="false" ht="15" hidden="false" customHeight="false" outlineLevel="0" collapsed="false">
      <c r="C925" s="47"/>
      <c r="D925" s="48"/>
      <c r="E925" s="45"/>
    </row>
    <row r="926" customFormat="false" ht="15" hidden="false" customHeight="false" outlineLevel="0" collapsed="false">
      <c r="C926" s="47"/>
      <c r="D926" s="48"/>
      <c r="E926" s="45"/>
    </row>
    <row r="927" customFormat="false" ht="15" hidden="false" customHeight="false" outlineLevel="0" collapsed="false">
      <c r="C927" s="47"/>
      <c r="D927" s="48"/>
      <c r="E927" s="45"/>
    </row>
    <row r="928" customFormat="false" ht="15" hidden="false" customHeight="false" outlineLevel="0" collapsed="false">
      <c r="C928" s="47"/>
      <c r="D928" s="48"/>
      <c r="E928" s="45"/>
    </row>
    <row r="929" customFormat="false" ht="15" hidden="false" customHeight="false" outlineLevel="0" collapsed="false">
      <c r="C929" s="47"/>
      <c r="D929" s="48"/>
      <c r="E929" s="45"/>
    </row>
    <row r="930" customFormat="false" ht="15" hidden="false" customHeight="false" outlineLevel="0" collapsed="false">
      <c r="C930" s="47"/>
      <c r="D930" s="48"/>
      <c r="E930" s="45"/>
    </row>
    <row r="931" customFormat="false" ht="15" hidden="false" customHeight="false" outlineLevel="0" collapsed="false">
      <c r="C931" s="47"/>
      <c r="D931" s="48"/>
      <c r="E931" s="45"/>
    </row>
    <row r="932" customFormat="false" ht="15" hidden="false" customHeight="false" outlineLevel="0" collapsed="false">
      <c r="C932" s="47"/>
      <c r="D932" s="48"/>
      <c r="E932" s="45"/>
    </row>
    <row r="933" customFormat="false" ht="15" hidden="false" customHeight="false" outlineLevel="0" collapsed="false">
      <c r="C933" s="47"/>
      <c r="D933" s="48"/>
      <c r="E933" s="45"/>
    </row>
    <row r="934" customFormat="false" ht="15" hidden="false" customHeight="false" outlineLevel="0" collapsed="false">
      <c r="C934" s="47"/>
      <c r="D934" s="48"/>
      <c r="E934" s="45"/>
    </row>
    <row r="935" customFormat="false" ht="15" hidden="false" customHeight="false" outlineLevel="0" collapsed="false">
      <c r="C935" s="47"/>
      <c r="D935" s="48"/>
      <c r="E935" s="45"/>
    </row>
    <row r="936" customFormat="false" ht="15" hidden="false" customHeight="false" outlineLevel="0" collapsed="false">
      <c r="C936" s="47"/>
      <c r="D936" s="48"/>
      <c r="E936" s="45"/>
    </row>
    <row r="937" customFormat="false" ht="15" hidden="false" customHeight="false" outlineLevel="0" collapsed="false">
      <c r="C937" s="47"/>
      <c r="D937" s="48"/>
      <c r="E937" s="45"/>
    </row>
    <row r="938" customFormat="false" ht="15" hidden="false" customHeight="false" outlineLevel="0" collapsed="false">
      <c r="C938" s="47"/>
      <c r="D938" s="48"/>
      <c r="E938" s="45"/>
    </row>
    <row r="939" customFormat="false" ht="15" hidden="false" customHeight="false" outlineLevel="0" collapsed="false">
      <c r="C939" s="47"/>
      <c r="D939" s="48"/>
      <c r="E939" s="45"/>
    </row>
    <row r="940" customFormat="false" ht="15" hidden="false" customHeight="false" outlineLevel="0" collapsed="false">
      <c r="C940" s="47"/>
      <c r="D940" s="48"/>
      <c r="E940" s="45"/>
    </row>
    <row r="941" customFormat="false" ht="15" hidden="false" customHeight="false" outlineLevel="0" collapsed="false">
      <c r="C941" s="47"/>
      <c r="D941" s="48"/>
      <c r="E941" s="45"/>
    </row>
    <row r="942" customFormat="false" ht="15" hidden="false" customHeight="false" outlineLevel="0" collapsed="false">
      <c r="C942" s="47"/>
      <c r="D942" s="48"/>
      <c r="E942" s="45"/>
    </row>
    <row r="943" customFormat="false" ht="15" hidden="false" customHeight="false" outlineLevel="0" collapsed="false">
      <c r="C943" s="47"/>
      <c r="D943" s="48"/>
      <c r="E943" s="45"/>
    </row>
    <row r="944" customFormat="false" ht="15" hidden="false" customHeight="false" outlineLevel="0" collapsed="false">
      <c r="C944" s="47"/>
      <c r="D944" s="48"/>
      <c r="E944" s="45"/>
    </row>
    <row r="945" customFormat="false" ht="15" hidden="false" customHeight="false" outlineLevel="0" collapsed="false">
      <c r="C945" s="47"/>
      <c r="D945" s="48"/>
      <c r="E945" s="45"/>
    </row>
    <row r="946" customFormat="false" ht="15" hidden="false" customHeight="false" outlineLevel="0" collapsed="false">
      <c r="C946" s="47"/>
      <c r="D946" s="48"/>
      <c r="E946" s="45"/>
    </row>
    <row r="947" customFormat="false" ht="15" hidden="false" customHeight="false" outlineLevel="0" collapsed="false">
      <c r="C947" s="47"/>
      <c r="D947" s="48"/>
      <c r="E947" s="45"/>
    </row>
    <row r="948" customFormat="false" ht="15" hidden="false" customHeight="false" outlineLevel="0" collapsed="false">
      <c r="C948" s="47"/>
      <c r="D948" s="48"/>
      <c r="E948" s="45"/>
    </row>
    <row r="949" customFormat="false" ht="15" hidden="false" customHeight="false" outlineLevel="0" collapsed="false">
      <c r="C949" s="47"/>
      <c r="D949" s="48"/>
      <c r="E949" s="45"/>
    </row>
    <row r="950" customFormat="false" ht="15" hidden="false" customHeight="false" outlineLevel="0" collapsed="false">
      <c r="C950" s="47"/>
      <c r="D950" s="48"/>
      <c r="E950" s="45"/>
    </row>
    <row r="951" customFormat="false" ht="15" hidden="false" customHeight="false" outlineLevel="0" collapsed="false">
      <c r="C951" s="47"/>
      <c r="D951" s="48"/>
      <c r="E951" s="45"/>
    </row>
    <row r="952" customFormat="false" ht="15" hidden="false" customHeight="false" outlineLevel="0" collapsed="false">
      <c r="C952" s="47"/>
      <c r="D952" s="48"/>
      <c r="E952" s="45"/>
    </row>
    <row r="953" customFormat="false" ht="15" hidden="false" customHeight="false" outlineLevel="0" collapsed="false">
      <c r="C953" s="47"/>
      <c r="D953" s="48"/>
      <c r="E953" s="45"/>
    </row>
    <row r="954" customFormat="false" ht="15" hidden="false" customHeight="false" outlineLevel="0" collapsed="false">
      <c r="C954" s="47"/>
      <c r="D954" s="48"/>
      <c r="E954" s="45"/>
    </row>
    <row r="955" customFormat="false" ht="15" hidden="false" customHeight="false" outlineLevel="0" collapsed="false">
      <c r="C955" s="47"/>
      <c r="D955" s="48"/>
      <c r="E955" s="45"/>
    </row>
    <row r="956" customFormat="false" ht="15" hidden="false" customHeight="false" outlineLevel="0" collapsed="false">
      <c r="C956" s="47"/>
      <c r="D956" s="48"/>
      <c r="E956" s="45"/>
    </row>
    <row r="957" customFormat="false" ht="15" hidden="false" customHeight="false" outlineLevel="0" collapsed="false">
      <c r="C957" s="47"/>
      <c r="D957" s="48"/>
      <c r="E957" s="45"/>
    </row>
    <row r="958" customFormat="false" ht="15" hidden="false" customHeight="false" outlineLevel="0" collapsed="false">
      <c r="C958" s="47"/>
      <c r="D958" s="48"/>
      <c r="E958" s="45"/>
    </row>
    <row r="959" customFormat="false" ht="15" hidden="false" customHeight="false" outlineLevel="0" collapsed="false">
      <c r="C959" s="47"/>
      <c r="D959" s="48"/>
      <c r="E959" s="45"/>
    </row>
    <row r="960" customFormat="false" ht="15" hidden="false" customHeight="false" outlineLevel="0" collapsed="false">
      <c r="C960" s="47"/>
      <c r="D960" s="48"/>
      <c r="E960" s="45"/>
    </row>
    <row r="961" customFormat="false" ht="15" hidden="false" customHeight="false" outlineLevel="0" collapsed="false">
      <c r="C961" s="47"/>
      <c r="D961" s="48"/>
      <c r="E961" s="45"/>
    </row>
    <row r="962" customFormat="false" ht="15" hidden="false" customHeight="false" outlineLevel="0" collapsed="false">
      <c r="C962" s="47"/>
      <c r="D962" s="48"/>
      <c r="E962" s="45"/>
    </row>
    <row r="963" customFormat="false" ht="15" hidden="false" customHeight="false" outlineLevel="0" collapsed="false">
      <c r="C963" s="47"/>
      <c r="D963" s="48"/>
      <c r="E963" s="45"/>
    </row>
    <row r="964" customFormat="false" ht="15" hidden="false" customHeight="false" outlineLevel="0" collapsed="false">
      <c r="C964" s="47"/>
      <c r="D964" s="48"/>
      <c r="E964" s="45"/>
    </row>
    <row r="965" customFormat="false" ht="15" hidden="false" customHeight="false" outlineLevel="0" collapsed="false">
      <c r="C965" s="47"/>
      <c r="D965" s="48"/>
      <c r="E965" s="45"/>
    </row>
    <row r="966" customFormat="false" ht="15" hidden="false" customHeight="false" outlineLevel="0" collapsed="false">
      <c r="C966" s="47"/>
      <c r="D966" s="48"/>
      <c r="E966" s="45"/>
    </row>
    <row r="967" customFormat="false" ht="15" hidden="false" customHeight="false" outlineLevel="0" collapsed="false">
      <c r="C967" s="47"/>
      <c r="D967" s="48"/>
      <c r="E967" s="45"/>
    </row>
    <row r="968" customFormat="false" ht="15" hidden="false" customHeight="false" outlineLevel="0" collapsed="false">
      <c r="C968" s="47"/>
      <c r="D968" s="48"/>
      <c r="E968" s="45"/>
    </row>
    <row r="969" customFormat="false" ht="15" hidden="false" customHeight="false" outlineLevel="0" collapsed="false">
      <c r="C969" s="47"/>
      <c r="D969" s="48"/>
      <c r="E969" s="45"/>
    </row>
    <row r="970" customFormat="false" ht="15" hidden="false" customHeight="false" outlineLevel="0" collapsed="false">
      <c r="C970" s="47"/>
      <c r="D970" s="48"/>
      <c r="E970" s="45"/>
    </row>
    <row r="971" customFormat="false" ht="15" hidden="false" customHeight="false" outlineLevel="0" collapsed="false">
      <c r="C971" s="47"/>
      <c r="D971" s="48"/>
      <c r="E971" s="45"/>
    </row>
    <row r="972" customFormat="false" ht="15" hidden="false" customHeight="false" outlineLevel="0" collapsed="false">
      <c r="C972" s="47"/>
      <c r="D972" s="48"/>
      <c r="E972" s="45"/>
    </row>
    <row r="973" customFormat="false" ht="15" hidden="false" customHeight="false" outlineLevel="0" collapsed="false">
      <c r="C973" s="47"/>
      <c r="D973" s="48"/>
      <c r="E973" s="45"/>
    </row>
    <row r="974" customFormat="false" ht="15" hidden="false" customHeight="false" outlineLevel="0" collapsed="false">
      <c r="C974" s="47"/>
      <c r="D974" s="48"/>
      <c r="E974" s="45"/>
    </row>
    <row r="975" customFormat="false" ht="15" hidden="false" customHeight="false" outlineLevel="0" collapsed="false">
      <c r="C975" s="47"/>
      <c r="D975" s="48"/>
      <c r="E975" s="45"/>
    </row>
    <row r="976" customFormat="false" ht="15" hidden="false" customHeight="false" outlineLevel="0" collapsed="false">
      <c r="C976" s="47"/>
      <c r="D976" s="48"/>
      <c r="E976" s="45"/>
    </row>
    <row r="977" customFormat="false" ht="15" hidden="false" customHeight="false" outlineLevel="0" collapsed="false">
      <c r="C977" s="47"/>
      <c r="D977" s="48"/>
      <c r="E977" s="45"/>
    </row>
    <row r="978" customFormat="false" ht="15" hidden="false" customHeight="false" outlineLevel="0" collapsed="false">
      <c r="C978" s="47"/>
      <c r="D978" s="48"/>
      <c r="E978" s="45"/>
    </row>
    <row r="979" customFormat="false" ht="15" hidden="false" customHeight="false" outlineLevel="0" collapsed="false">
      <c r="C979" s="47"/>
      <c r="D979" s="48"/>
      <c r="E979" s="45"/>
    </row>
    <row r="980" customFormat="false" ht="15" hidden="false" customHeight="false" outlineLevel="0" collapsed="false">
      <c r="C980" s="47"/>
      <c r="D980" s="48"/>
      <c r="E980" s="45"/>
    </row>
    <row r="981" customFormat="false" ht="15" hidden="false" customHeight="false" outlineLevel="0" collapsed="false">
      <c r="C981" s="47"/>
      <c r="D981" s="48"/>
      <c r="E981" s="45"/>
    </row>
    <row r="982" customFormat="false" ht="15" hidden="false" customHeight="false" outlineLevel="0" collapsed="false">
      <c r="C982" s="47"/>
      <c r="D982" s="48"/>
      <c r="E982" s="45"/>
    </row>
    <row r="983" customFormat="false" ht="15" hidden="false" customHeight="false" outlineLevel="0" collapsed="false">
      <c r="C983" s="47"/>
      <c r="D983" s="48"/>
      <c r="E983" s="45"/>
    </row>
    <row r="984" customFormat="false" ht="15" hidden="false" customHeight="false" outlineLevel="0" collapsed="false">
      <c r="C984" s="47"/>
      <c r="D984" s="48"/>
      <c r="E984" s="45"/>
    </row>
    <row r="985" customFormat="false" ht="15" hidden="false" customHeight="false" outlineLevel="0" collapsed="false">
      <c r="C985" s="47"/>
      <c r="D985" s="48"/>
      <c r="E985" s="45"/>
    </row>
    <row r="986" customFormat="false" ht="15" hidden="false" customHeight="false" outlineLevel="0" collapsed="false">
      <c r="C986" s="47"/>
      <c r="D986" s="48"/>
      <c r="E986" s="45"/>
    </row>
    <row r="987" customFormat="false" ht="15" hidden="false" customHeight="false" outlineLevel="0" collapsed="false">
      <c r="C987" s="47"/>
      <c r="D987" s="48"/>
      <c r="E987" s="45"/>
    </row>
    <row r="988" customFormat="false" ht="15" hidden="false" customHeight="false" outlineLevel="0" collapsed="false">
      <c r="C988" s="47"/>
      <c r="D988" s="48"/>
      <c r="E988" s="45"/>
    </row>
    <row r="989" customFormat="false" ht="15" hidden="false" customHeight="false" outlineLevel="0" collapsed="false">
      <c r="C989" s="47"/>
      <c r="D989" s="48"/>
      <c r="E989" s="45"/>
    </row>
    <row r="990" customFormat="false" ht="15" hidden="false" customHeight="false" outlineLevel="0" collapsed="false">
      <c r="C990" s="47"/>
      <c r="D990" s="48"/>
      <c r="E990" s="45"/>
    </row>
    <row r="991" customFormat="false" ht="15" hidden="false" customHeight="false" outlineLevel="0" collapsed="false">
      <c r="C991" s="47"/>
      <c r="D991" s="48"/>
      <c r="E991" s="45"/>
    </row>
    <row r="992" customFormat="false" ht="15" hidden="false" customHeight="false" outlineLevel="0" collapsed="false">
      <c r="C992" s="47"/>
      <c r="D992" s="48"/>
      <c r="E992" s="45"/>
    </row>
    <row r="993" customFormat="false" ht="15" hidden="false" customHeight="false" outlineLevel="0" collapsed="false">
      <c r="C993" s="47"/>
      <c r="D993" s="48"/>
      <c r="E993" s="45"/>
    </row>
    <row r="994" customFormat="false" ht="15" hidden="false" customHeight="false" outlineLevel="0" collapsed="false">
      <c r="C994" s="47"/>
      <c r="D994" s="48"/>
      <c r="E994" s="45"/>
    </row>
    <row r="995" customFormat="false" ht="15" hidden="false" customHeight="false" outlineLevel="0" collapsed="false">
      <c r="C995" s="47"/>
      <c r="D995" s="48"/>
      <c r="E995" s="45"/>
    </row>
    <row r="996" customFormat="false" ht="15" hidden="false" customHeight="false" outlineLevel="0" collapsed="false">
      <c r="C996" s="47"/>
      <c r="D996" s="48"/>
      <c r="E996" s="45"/>
    </row>
    <row r="997" customFormat="false" ht="15" hidden="false" customHeight="false" outlineLevel="0" collapsed="false">
      <c r="C997" s="47"/>
      <c r="D997" s="48"/>
      <c r="E997" s="45"/>
    </row>
    <row r="998" customFormat="false" ht="15" hidden="false" customHeight="false" outlineLevel="0" collapsed="false">
      <c r="C998" s="47"/>
      <c r="D998" s="48"/>
      <c r="E998" s="45"/>
    </row>
    <row r="999" customFormat="false" ht="15" hidden="false" customHeight="false" outlineLevel="0" collapsed="false">
      <c r="C999" s="47"/>
      <c r="D999" s="48"/>
      <c r="E999" s="45"/>
    </row>
    <row r="1000" customFormat="false" ht="15" hidden="false" customHeight="false" outlineLevel="0" collapsed="false">
      <c r="C1000" s="47"/>
      <c r="D1000" s="48"/>
      <c r="E1000" s="45"/>
    </row>
    <row r="1001" customFormat="false" ht="15" hidden="false" customHeight="false" outlineLevel="0" collapsed="false">
      <c r="C1001" s="47"/>
      <c r="D1001" s="48"/>
      <c r="E1001" s="45"/>
    </row>
    <row r="1002" customFormat="false" ht="15" hidden="false" customHeight="false" outlineLevel="0" collapsed="false">
      <c r="C1002" s="47"/>
      <c r="D1002" s="48"/>
      <c r="E1002" s="45"/>
    </row>
    <row r="1003" customFormat="false" ht="15" hidden="false" customHeight="false" outlineLevel="0" collapsed="false">
      <c r="C1003" s="47"/>
      <c r="D1003" s="48"/>
      <c r="E1003" s="45"/>
    </row>
    <row r="1004" customFormat="false" ht="15" hidden="false" customHeight="false" outlineLevel="0" collapsed="false">
      <c r="C1004" s="47"/>
      <c r="D1004" s="48"/>
      <c r="E1004" s="45"/>
    </row>
    <row r="1005" customFormat="false" ht="15" hidden="false" customHeight="false" outlineLevel="0" collapsed="false">
      <c r="C1005" s="47"/>
      <c r="D1005" s="48"/>
      <c r="E1005" s="45"/>
    </row>
  </sheetData>
  <conditionalFormatting sqref="C6:F5005">
    <cfRule type="expression" priority="2" aboveAverage="0" equalAverage="0" bottom="0" percent="0" rank="0" text="" dxfId="2">
      <formula>AND(LEN(TRIM($C6&amp;$D6&amp;$E6&amp;$F6))&gt;0,OR(LEN(TRIM($C6))=0,LEN(TRIM($D6))=0,LEN(TRIM($E6))=0,LEN(TRIM($F6))=0))</formula>
    </cfRule>
  </conditionalFormatting>
  <conditionalFormatting sqref="C6:C5005">
    <cfRule type="expression" priority="3" aboveAverage="0" equalAverage="0" bottom="0" percent="0" rank="0" text="" dxfId="1">
      <formula>AND(LEN(TRIM(C6))&gt;0,NOT(ISNUMBER(--C6)))</formula>
    </cfRule>
  </conditionalFormatting>
  <dataValidations count="4">
    <dataValidation allowBlank="true" error="El campo debe tener como maximo 9.999.999.999.999,99 y no puede ser negativo" errorStyle="stop" errorTitle="Dato invalido" operator="between" showDropDown="false" showErrorMessage="true" showInputMessage="false" sqref="E6:E1006" type="decimal">
      <formula1>0</formula1>
      <formula2>999999999999999</formula2>
    </dataValidation>
    <dataValidation allowBlank="true" error="El campo debe estar entre 01/01/1900 y 31/12/2100" errorStyle="stop" errorTitle="Dato invalido" operator="between" showDropDown="false" showErrorMessage="true" showInputMessage="false" sqref="D6:D1006" type="date">
      <formula1>1</formula1>
      <formula2>73415</formula2>
    </dataValidation>
    <dataValidation allowBlank="true" error="El campo debe tener como maximo 30 caracteres" errorStyle="stop" errorTitle="Dato invalido" operator="lessThanOrEqual" showDropDown="false" showErrorMessage="true" showInputMessage="false" sqref="C6:C1006" type="textLength">
      <formula1>30</formula1>
      <formula2>0</formula2>
    </dataValidation>
    <dataValidation allowBlank="true" error="Seleccione un valor de la lista" errorStyle="stop" errorTitle="Dato invalido" operator="between" showDropDown="false" showErrorMessage="true" showInputMessage="false" sqref="F6:F1006" type="list">
      <formula1>Listas!$I$2:$I$8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N2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30"/>
  </cols>
  <sheetData>
    <row r="1" customFormat="false" ht="15" hidden="false" customHeight="false" outlineLevel="0" collapsed="false">
      <c r="A1" s="6" t="s">
        <v>358</v>
      </c>
      <c r="B1" s="6" t="s">
        <v>328</v>
      </c>
      <c r="C1" s="6" t="s">
        <v>359</v>
      </c>
      <c r="D1" s="6" t="s">
        <v>29</v>
      </c>
      <c r="E1" s="6" t="s">
        <v>360</v>
      </c>
      <c r="F1" s="6" t="s">
        <v>361</v>
      </c>
      <c r="G1" s="6" t="s">
        <v>136</v>
      </c>
      <c r="H1" s="6" t="s">
        <v>340</v>
      </c>
      <c r="I1" s="6" t="s">
        <v>362</v>
      </c>
      <c r="J1" s="6" t="s">
        <v>133</v>
      </c>
      <c r="K1" s="6" t="s">
        <v>363</v>
      </c>
      <c r="L1" s="6" t="s">
        <v>221</v>
      </c>
      <c r="M1" s="6" t="s">
        <v>364</v>
      </c>
      <c r="N1" s="6" t="s">
        <v>365</v>
      </c>
    </row>
    <row r="2" customFormat="false" ht="15" hidden="false" customHeight="false" outlineLevel="0" collapsed="false">
      <c r="A2" s="49" t="s">
        <v>366</v>
      </c>
      <c r="B2" s="49" t="s">
        <v>367</v>
      </c>
      <c r="C2" s="49" t="s">
        <v>32</v>
      </c>
      <c r="D2" s="49" t="s">
        <v>30</v>
      </c>
      <c r="E2" s="49" t="s">
        <v>113</v>
      </c>
      <c r="F2" s="49" t="s">
        <v>368</v>
      </c>
      <c r="G2" s="49" t="s">
        <v>369</v>
      </c>
      <c r="H2" s="49" t="s">
        <v>370</v>
      </c>
      <c r="I2" s="49" t="s">
        <v>371</v>
      </c>
      <c r="J2" s="49" t="s">
        <v>372</v>
      </c>
      <c r="K2" s="49" t="n">
        <v>1</v>
      </c>
      <c r="L2" s="49" t="s">
        <v>373</v>
      </c>
      <c r="M2" s="49" t="s">
        <v>374</v>
      </c>
      <c r="N2" s="49" t="s">
        <v>166</v>
      </c>
    </row>
    <row r="3" customFormat="false" ht="15" hidden="false" customHeight="false" outlineLevel="0" collapsed="false">
      <c r="A3" s="49" t="s">
        <v>4</v>
      </c>
      <c r="B3" s="49" t="s">
        <v>375</v>
      </c>
      <c r="C3" s="49" t="s">
        <v>376</v>
      </c>
      <c r="D3" s="49" t="s">
        <v>377</v>
      </c>
      <c r="E3" s="49" t="s">
        <v>114</v>
      </c>
      <c r="F3" s="49" t="s">
        <v>378</v>
      </c>
      <c r="G3" s="49" t="s">
        <v>379</v>
      </c>
      <c r="H3" s="49" t="s">
        <v>380</v>
      </c>
      <c r="I3" s="49" t="s">
        <v>381</v>
      </c>
      <c r="J3" s="49" t="s">
        <v>382</v>
      </c>
      <c r="K3" s="49" t="n">
        <v>2</v>
      </c>
      <c r="L3" s="49" t="s">
        <v>383</v>
      </c>
      <c r="M3" s="49" t="s">
        <v>384</v>
      </c>
    </row>
    <row r="4" customFormat="false" ht="15" hidden="false" customHeight="false" outlineLevel="0" collapsed="false">
      <c r="D4" s="49" t="s">
        <v>385</v>
      </c>
      <c r="E4" s="49" t="s">
        <v>115</v>
      </c>
      <c r="F4" s="49" t="s">
        <v>386</v>
      </c>
      <c r="G4" s="49" t="s">
        <v>387</v>
      </c>
      <c r="I4" s="49" t="s">
        <v>388</v>
      </c>
      <c r="K4" s="49" t="n">
        <v>3</v>
      </c>
      <c r="M4" s="49" t="s">
        <v>389</v>
      </c>
    </row>
    <row r="5" customFormat="false" ht="15" hidden="false" customHeight="false" outlineLevel="0" collapsed="false">
      <c r="D5" s="49" t="s">
        <v>390</v>
      </c>
      <c r="E5" s="49" t="s">
        <v>70</v>
      </c>
      <c r="F5" s="49" t="s">
        <v>391</v>
      </c>
      <c r="G5" s="49" t="s">
        <v>392</v>
      </c>
      <c r="I5" s="49" t="s">
        <v>393</v>
      </c>
      <c r="K5" s="49" t="n">
        <v>4</v>
      </c>
      <c r="M5" s="49" t="s">
        <v>394</v>
      </c>
    </row>
    <row r="6" customFormat="false" ht="15" hidden="false" customHeight="false" outlineLevel="0" collapsed="false">
      <c r="D6" s="49" t="s">
        <v>395</v>
      </c>
      <c r="E6" s="49" t="s">
        <v>116</v>
      </c>
      <c r="F6" s="49" t="s">
        <v>396</v>
      </c>
      <c r="G6" s="49" t="s">
        <v>397</v>
      </c>
      <c r="I6" s="49" t="s">
        <v>398</v>
      </c>
      <c r="K6" s="49" t="n">
        <v>5</v>
      </c>
      <c r="M6" s="49" t="s">
        <v>399</v>
      </c>
    </row>
    <row r="7" customFormat="false" ht="15" hidden="false" customHeight="false" outlineLevel="0" collapsed="false">
      <c r="D7" s="49" t="s">
        <v>400</v>
      </c>
      <c r="F7" s="49" t="s">
        <v>401</v>
      </c>
      <c r="G7" s="49" t="s">
        <v>402</v>
      </c>
      <c r="I7" s="49" t="s">
        <v>403</v>
      </c>
      <c r="K7" s="49" t="n">
        <v>6</v>
      </c>
    </row>
    <row r="8" customFormat="false" ht="15" hidden="false" customHeight="false" outlineLevel="0" collapsed="false">
      <c r="D8" s="49" t="s">
        <v>404</v>
      </c>
      <c r="F8" s="49" t="s">
        <v>405</v>
      </c>
      <c r="G8" s="49" t="s">
        <v>406</v>
      </c>
      <c r="I8" s="49" t="s">
        <v>407</v>
      </c>
      <c r="K8" s="49" t="n">
        <v>7</v>
      </c>
    </row>
    <row r="9" customFormat="false" ht="15" hidden="false" customHeight="false" outlineLevel="0" collapsed="false">
      <c r="D9" s="49" t="s">
        <v>408</v>
      </c>
      <c r="F9" s="49" t="s">
        <v>409</v>
      </c>
      <c r="G9" s="49" t="s">
        <v>410</v>
      </c>
      <c r="K9" s="49" t="n">
        <v>8</v>
      </c>
    </row>
    <row r="10" customFormat="false" ht="15" hidden="false" customHeight="false" outlineLevel="0" collapsed="false">
      <c r="D10" s="49" t="s">
        <v>411</v>
      </c>
      <c r="F10" s="49" t="s">
        <v>412</v>
      </c>
      <c r="G10" s="49" t="s">
        <v>413</v>
      </c>
      <c r="K10" s="49" t="n">
        <v>9</v>
      </c>
    </row>
    <row r="11" customFormat="false" ht="15" hidden="false" customHeight="false" outlineLevel="0" collapsed="false">
      <c r="D11" s="49" t="s">
        <v>414</v>
      </c>
      <c r="F11" s="49" t="s">
        <v>415</v>
      </c>
      <c r="G11" s="49" t="s">
        <v>416</v>
      </c>
      <c r="K11" s="49" t="n">
        <v>10</v>
      </c>
    </row>
    <row r="12" customFormat="false" ht="15" hidden="false" customHeight="false" outlineLevel="0" collapsed="false">
      <c r="F12" s="49" t="s">
        <v>417</v>
      </c>
      <c r="G12" s="49" t="s">
        <v>418</v>
      </c>
      <c r="K12" s="49" t="n">
        <v>11</v>
      </c>
    </row>
    <row r="13" customFormat="false" ht="15" hidden="false" customHeight="false" outlineLevel="0" collapsed="false">
      <c r="F13" s="49" t="s">
        <v>419</v>
      </c>
      <c r="G13" s="49" t="s">
        <v>420</v>
      </c>
      <c r="K13" s="49" t="n">
        <v>12</v>
      </c>
    </row>
    <row r="14" customFormat="false" ht="15" hidden="false" customHeight="false" outlineLevel="0" collapsed="false">
      <c r="F14" s="49" t="s">
        <v>421</v>
      </c>
      <c r="G14" s="49" t="s">
        <v>422</v>
      </c>
    </row>
    <row r="15" customFormat="false" ht="15" hidden="false" customHeight="false" outlineLevel="0" collapsed="false">
      <c r="F15" s="49" t="s">
        <v>423</v>
      </c>
      <c r="G15" s="49" t="s">
        <v>424</v>
      </c>
    </row>
    <row r="16" customFormat="false" ht="15" hidden="false" customHeight="false" outlineLevel="0" collapsed="false">
      <c r="G16" s="49" t="s">
        <v>425</v>
      </c>
    </row>
    <row r="17" customFormat="false" ht="15" hidden="false" customHeight="false" outlineLevel="0" collapsed="false">
      <c r="G17" s="49" t="s">
        <v>426</v>
      </c>
    </row>
    <row r="18" customFormat="false" ht="15" hidden="false" customHeight="false" outlineLevel="0" collapsed="false">
      <c r="G18" s="49" t="s">
        <v>427</v>
      </c>
    </row>
    <row r="19" customFormat="false" ht="15" hidden="false" customHeight="false" outlineLevel="0" collapsed="false">
      <c r="G19" s="49" t="s">
        <v>428</v>
      </c>
    </row>
    <row r="20" customFormat="false" ht="15" hidden="false" customHeight="false" outlineLevel="0" collapsed="false">
      <c r="G20" s="49" t="s">
        <v>429</v>
      </c>
    </row>
    <row r="21" customFormat="false" ht="15" hidden="false" customHeight="false" outlineLevel="0" collapsed="false">
      <c r="G21" s="49" t="s">
        <v>430</v>
      </c>
    </row>
    <row r="22" customFormat="false" ht="15" hidden="false" customHeight="false" outlineLevel="0" collapsed="false">
      <c r="G22" s="49" t="s">
        <v>431</v>
      </c>
    </row>
    <row r="23" customFormat="false" ht="15" hidden="false" customHeight="false" outlineLevel="0" collapsed="false">
      <c r="G23" s="49" t="s">
        <v>432</v>
      </c>
    </row>
    <row r="24" customFormat="false" ht="15" hidden="false" customHeight="false" outlineLevel="0" collapsed="false">
      <c r="G24" s="49" t="s">
        <v>433</v>
      </c>
    </row>
    <row r="25" customFormat="false" ht="15" hidden="false" customHeight="false" outlineLevel="0" collapsed="false">
      <c r="G25" s="49" t="s">
        <v>434</v>
      </c>
    </row>
    <row r="26" customFormat="false" ht="15" hidden="false" customHeight="false" outlineLevel="0" collapsed="false">
      <c r="G26" s="49" t="s">
        <v>435</v>
      </c>
    </row>
    <row r="27" customFormat="false" ht="15" hidden="false" customHeight="false" outlineLevel="0" collapsed="false">
      <c r="G27" s="49" t="s">
        <v>436</v>
      </c>
    </row>
    <row r="28" customFormat="false" ht="15" hidden="false" customHeight="false" outlineLevel="0" collapsed="false">
      <c r="G28" s="49" t="s">
        <v>437</v>
      </c>
    </row>
    <row r="29" customFormat="false" ht="15" hidden="false" customHeight="false" outlineLevel="0" collapsed="false">
      <c r="G29" s="49" t="s">
        <v>438</v>
      </c>
    </row>
    <row r="30" customFormat="false" ht="15" hidden="false" customHeight="false" outlineLevel="0" collapsed="false">
      <c r="G30" s="49" t="s">
        <v>439</v>
      </c>
    </row>
    <row r="31" customFormat="false" ht="15" hidden="false" customHeight="false" outlineLevel="0" collapsed="false">
      <c r="G31" s="49" t="s">
        <v>440</v>
      </c>
    </row>
    <row r="32" customFormat="false" ht="15" hidden="false" customHeight="false" outlineLevel="0" collapsed="false">
      <c r="G32" s="49" t="s">
        <v>441</v>
      </c>
    </row>
    <row r="33" customFormat="false" ht="15" hidden="false" customHeight="false" outlineLevel="0" collapsed="false">
      <c r="G33" s="49" t="s">
        <v>442</v>
      </c>
    </row>
    <row r="34" customFormat="false" ht="15" hidden="false" customHeight="false" outlineLevel="0" collapsed="false">
      <c r="G34" s="49" t="s">
        <v>443</v>
      </c>
    </row>
    <row r="35" customFormat="false" ht="15" hidden="false" customHeight="false" outlineLevel="0" collapsed="false">
      <c r="G35" s="49" t="s">
        <v>444</v>
      </c>
    </row>
    <row r="36" customFormat="false" ht="15" hidden="false" customHeight="false" outlineLevel="0" collapsed="false">
      <c r="G36" s="49" t="s">
        <v>445</v>
      </c>
    </row>
    <row r="37" customFormat="false" ht="15" hidden="false" customHeight="false" outlineLevel="0" collapsed="false">
      <c r="G37" s="49" t="s">
        <v>446</v>
      </c>
    </row>
    <row r="38" customFormat="false" ht="15" hidden="false" customHeight="false" outlineLevel="0" collapsed="false">
      <c r="G38" s="49" t="s">
        <v>447</v>
      </c>
    </row>
    <row r="39" customFormat="false" ht="15" hidden="false" customHeight="false" outlineLevel="0" collapsed="false">
      <c r="G39" s="49" t="s">
        <v>448</v>
      </c>
    </row>
    <row r="40" customFormat="false" ht="15" hidden="false" customHeight="false" outlineLevel="0" collapsed="false">
      <c r="G40" s="49" t="s">
        <v>449</v>
      </c>
    </row>
    <row r="41" customFormat="false" ht="15" hidden="false" customHeight="false" outlineLevel="0" collapsed="false">
      <c r="G41" s="49" t="s">
        <v>450</v>
      </c>
    </row>
    <row r="42" customFormat="false" ht="15" hidden="false" customHeight="false" outlineLevel="0" collapsed="false">
      <c r="G42" s="49" t="s">
        <v>451</v>
      </c>
    </row>
    <row r="43" customFormat="false" ht="15" hidden="false" customHeight="false" outlineLevel="0" collapsed="false">
      <c r="G43" s="49" t="s">
        <v>452</v>
      </c>
    </row>
    <row r="44" customFormat="false" ht="15" hidden="false" customHeight="false" outlineLevel="0" collapsed="false">
      <c r="G44" s="49" t="s">
        <v>453</v>
      </c>
    </row>
    <row r="45" customFormat="false" ht="15" hidden="false" customHeight="false" outlineLevel="0" collapsed="false">
      <c r="G45" s="49" t="s">
        <v>454</v>
      </c>
    </row>
    <row r="46" customFormat="false" ht="15" hidden="false" customHeight="false" outlineLevel="0" collapsed="false">
      <c r="G46" s="49" t="s">
        <v>455</v>
      </c>
    </row>
    <row r="47" customFormat="false" ht="15" hidden="false" customHeight="false" outlineLevel="0" collapsed="false">
      <c r="G47" s="49" t="s">
        <v>456</v>
      </c>
    </row>
    <row r="48" customFormat="false" ht="15" hidden="false" customHeight="false" outlineLevel="0" collapsed="false">
      <c r="G48" s="49" t="s">
        <v>457</v>
      </c>
    </row>
    <row r="49" customFormat="false" ht="15" hidden="false" customHeight="false" outlineLevel="0" collapsed="false">
      <c r="G49" s="49" t="s">
        <v>458</v>
      </c>
    </row>
    <row r="50" customFormat="false" ht="15" hidden="false" customHeight="false" outlineLevel="0" collapsed="false">
      <c r="G50" s="49" t="s">
        <v>459</v>
      </c>
    </row>
    <row r="51" customFormat="false" ht="15" hidden="false" customHeight="false" outlineLevel="0" collapsed="false">
      <c r="G51" s="49" t="s">
        <v>460</v>
      </c>
    </row>
    <row r="52" customFormat="false" ht="15" hidden="false" customHeight="false" outlineLevel="0" collapsed="false">
      <c r="G52" s="49" t="s">
        <v>461</v>
      </c>
    </row>
    <row r="53" customFormat="false" ht="15" hidden="false" customHeight="false" outlineLevel="0" collapsed="false">
      <c r="G53" s="49" t="s">
        <v>462</v>
      </c>
    </row>
    <row r="54" customFormat="false" ht="15" hidden="false" customHeight="false" outlineLevel="0" collapsed="false">
      <c r="G54" s="49" t="s">
        <v>463</v>
      </c>
    </row>
    <row r="55" customFormat="false" ht="15" hidden="false" customHeight="false" outlineLevel="0" collapsed="false">
      <c r="G55" s="49" t="s">
        <v>464</v>
      </c>
    </row>
    <row r="56" customFormat="false" ht="15" hidden="false" customHeight="false" outlineLevel="0" collapsed="false">
      <c r="G56" s="49" t="s">
        <v>465</v>
      </c>
    </row>
    <row r="57" customFormat="false" ht="15" hidden="false" customHeight="false" outlineLevel="0" collapsed="false">
      <c r="G57" s="49" t="s">
        <v>466</v>
      </c>
    </row>
    <row r="58" customFormat="false" ht="15" hidden="false" customHeight="false" outlineLevel="0" collapsed="false">
      <c r="G58" s="49" t="s">
        <v>467</v>
      </c>
    </row>
    <row r="59" customFormat="false" ht="15" hidden="false" customHeight="false" outlineLevel="0" collapsed="false">
      <c r="G59" s="49" t="s">
        <v>468</v>
      </c>
    </row>
    <row r="60" customFormat="false" ht="15" hidden="false" customHeight="false" outlineLevel="0" collapsed="false">
      <c r="G60" s="49" t="s">
        <v>469</v>
      </c>
    </row>
    <row r="61" customFormat="false" ht="15" hidden="false" customHeight="false" outlineLevel="0" collapsed="false">
      <c r="G61" s="49" t="s">
        <v>470</v>
      </c>
    </row>
    <row r="62" customFormat="false" ht="15" hidden="false" customHeight="false" outlineLevel="0" collapsed="false">
      <c r="G62" s="49" t="s">
        <v>471</v>
      </c>
    </row>
    <row r="63" customFormat="false" ht="15" hidden="false" customHeight="false" outlineLevel="0" collapsed="false">
      <c r="G63" s="49" t="s">
        <v>472</v>
      </c>
    </row>
    <row r="64" customFormat="false" ht="15" hidden="false" customHeight="false" outlineLevel="0" collapsed="false">
      <c r="G64" s="49" t="s">
        <v>473</v>
      </c>
    </row>
    <row r="65" customFormat="false" ht="15" hidden="false" customHeight="false" outlineLevel="0" collapsed="false">
      <c r="G65" s="49" t="s">
        <v>474</v>
      </c>
    </row>
    <row r="66" customFormat="false" ht="15" hidden="false" customHeight="false" outlineLevel="0" collapsed="false">
      <c r="G66" s="49" t="s">
        <v>475</v>
      </c>
    </row>
    <row r="67" customFormat="false" ht="15" hidden="false" customHeight="false" outlineLevel="0" collapsed="false">
      <c r="G67" s="49" t="s">
        <v>476</v>
      </c>
    </row>
    <row r="68" customFormat="false" ht="15" hidden="false" customHeight="false" outlineLevel="0" collapsed="false">
      <c r="G68" s="49" t="s">
        <v>477</v>
      </c>
    </row>
    <row r="69" customFormat="false" ht="15" hidden="false" customHeight="false" outlineLevel="0" collapsed="false">
      <c r="G69" s="49" t="s">
        <v>478</v>
      </c>
    </row>
    <row r="70" customFormat="false" ht="15" hidden="false" customHeight="false" outlineLevel="0" collapsed="false">
      <c r="G70" s="49" t="s">
        <v>479</v>
      </c>
    </row>
    <row r="71" customFormat="false" ht="15" hidden="false" customHeight="false" outlineLevel="0" collapsed="false">
      <c r="G71" s="49" t="s">
        <v>480</v>
      </c>
    </row>
    <row r="72" customFormat="false" ht="15" hidden="false" customHeight="false" outlineLevel="0" collapsed="false">
      <c r="G72" s="49" t="s">
        <v>481</v>
      </c>
    </row>
    <row r="73" customFormat="false" ht="15" hidden="false" customHeight="false" outlineLevel="0" collapsed="false">
      <c r="G73" s="49" t="s">
        <v>482</v>
      </c>
    </row>
    <row r="74" customFormat="false" ht="15" hidden="false" customHeight="false" outlineLevel="0" collapsed="false">
      <c r="G74" s="49" t="s">
        <v>483</v>
      </c>
    </row>
    <row r="75" customFormat="false" ht="15" hidden="false" customHeight="false" outlineLevel="0" collapsed="false">
      <c r="G75" s="49" t="s">
        <v>484</v>
      </c>
    </row>
    <row r="76" customFormat="false" ht="15" hidden="false" customHeight="false" outlineLevel="0" collapsed="false">
      <c r="G76" s="49" t="s">
        <v>485</v>
      </c>
    </row>
    <row r="77" customFormat="false" ht="15" hidden="false" customHeight="false" outlineLevel="0" collapsed="false">
      <c r="G77" s="49" t="s">
        <v>486</v>
      </c>
    </row>
    <row r="78" customFormat="false" ht="15" hidden="false" customHeight="false" outlineLevel="0" collapsed="false">
      <c r="G78" s="49" t="s">
        <v>487</v>
      </c>
    </row>
    <row r="79" customFormat="false" ht="15" hidden="false" customHeight="false" outlineLevel="0" collapsed="false">
      <c r="G79" s="49" t="s">
        <v>488</v>
      </c>
    </row>
    <row r="80" customFormat="false" ht="15" hidden="false" customHeight="false" outlineLevel="0" collapsed="false">
      <c r="G80" s="49" t="s">
        <v>489</v>
      </c>
    </row>
    <row r="81" customFormat="false" ht="15" hidden="false" customHeight="false" outlineLevel="0" collapsed="false">
      <c r="G81" s="49" t="s">
        <v>490</v>
      </c>
    </row>
    <row r="82" customFormat="false" ht="15" hidden="false" customHeight="false" outlineLevel="0" collapsed="false">
      <c r="G82" s="49" t="s">
        <v>491</v>
      </c>
    </row>
    <row r="83" customFormat="false" ht="15" hidden="false" customHeight="false" outlineLevel="0" collapsed="false">
      <c r="G83" s="49" t="s">
        <v>492</v>
      </c>
    </row>
    <row r="84" customFormat="false" ht="15" hidden="false" customHeight="false" outlineLevel="0" collapsed="false">
      <c r="G84" s="49" t="s">
        <v>493</v>
      </c>
    </row>
    <row r="85" customFormat="false" ht="15" hidden="false" customHeight="false" outlineLevel="0" collapsed="false">
      <c r="G85" s="49" t="s">
        <v>494</v>
      </c>
    </row>
    <row r="86" customFormat="false" ht="15" hidden="false" customHeight="false" outlineLevel="0" collapsed="false">
      <c r="G86" s="49" t="s">
        <v>495</v>
      </c>
    </row>
    <row r="87" customFormat="false" ht="15" hidden="false" customHeight="false" outlineLevel="0" collapsed="false">
      <c r="G87" s="49" t="s">
        <v>496</v>
      </c>
    </row>
    <row r="88" customFormat="false" ht="15" hidden="false" customHeight="false" outlineLevel="0" collapsed="false">
      <c r="G88" s="49" t="s">
        <v>497</v>
      </c>
    </row>
    <row r="89" customFormat="false" ht="15" hidden="false" customHeight="false" outlineLevel="0" collapsed="false">
      <c r="G89" s="49" t="s">
        <v>498</v>
      </c>
    </row>
    <row r="90" customFormat="false" ht="15" hidden="false" customHeight="false" outlineLevel="0" collapsed="false">
      <c r="G90" s="49" t="s">
        <v>499</v>
      </c>
    </row>
    <row r="91" customFormat="false" ht="15" hidden="false" customHeight="false" outlineLevel="0" collapsed="false">
      <c r="G91" s="49" t="s">
        <v>500</v>
      </c>
    </row>
    <row r="92" customFormat="false" ht="15" hidden="false" customHeight="false" outlineLevel="0" collapsed="false">
      <c r="G92" s="49" t="s">
        <v>501</v>
      </c>
    </row>
    <row r="93" customFormat="false" ht="15" hidden="false" customHeight="false" outlineLevel="0" collapsed="false">
      <c r="G93" s="49" t="s">
        <v>502</v>
      </c>
    </row>
    <row r="94" customFormat="false" ht="15" hidden="false" customHeight="false" outlineLevel="0" collapsed="false">
      <c r="G94" s="49" t="s">
        <v>503</v>
      </c>
    </row>
    <row r="95" customFormat="false" ht="15" hidden="false" customHeight="false" outlineLevel="0" collapsed="false">
      <c r="G95" s="49" t="s">
        <v>504</v>
      </c>
    </row>
    <row r="96" customFormat="false" ht="15" hidden="false" customHeight="false" outlineLevel="0" collapsed="false">
      <c r="G96" s="49" t="s">
        <v>505</v>
      </c>
    </row>
    <row r="97" customFormat="false" ht="15" hidden="false" customHeight="false" outlineLevel="0" collapsed="false">
      <c r="G97" s="49" t="s">
        <v>506</v>
      </c>
    </row>
    <row r="98" customFormat="false" ht="15" hidden="false" customHeight="false" outlineLevel="0" collapsed="false">
      <c r="G98" s="49" t="s">
        <v>507</v>
      </c>
    </row>
    <row r="99" customFormat="false" ht="15" hidden="false" customHeight="false" outlineLevel="0" collapsed="false">
      <c r="G99" s="49" t="s">
        <v>508</v>
      </c>
    </row>
    <row r="100" customFormat="false" ht="15" hidden="false" customHeight="false" outlineLevel="0" collapsed="false">
      <c r="G100" s="49" t="s">
        <v>509</v>
      </c>
    </row>
    <row r="101" customFormat="false" ht="15" hidden="false" customHeight="false" outlineLevel="0" collapsed="false">
      <c r="G101" s="49" t="s">
        <v>510</v>
      </c>
    </row>
    <row r="102" customFormat="false" ht="15" hidden="false" customHeight="false" outlineLevel="0" collapsed="false">
      <c r="G102" s="49" t="s">
        <v>511</v>
      </c>
    </row>
    <row r="103" customFormat="false" ht="15" hidden="false" customHeight="false" outlineLevel="0" collapsed="false">
      <c r="G103" s="49" t="s">
        <v>512</v>
      </c>
    </row>
    <row r="104" customFormat="false" ht="15" hidden="false" customHeight="false" outlineLevel="0" collapsed="false">
      <c r="G104" s="49" t="s">
        <v>513</v>
      </c>
    </row>
    <row r="105" customFormat="false" ht="15" hidden="false" customHeight="false" outlineLevel="0" collapsed="false">
      <c r="G105" s="49" t="s">
        <v>514</v>
      </c>
    </row>
    <row r="106" customFormat="false" ht="15" hidden="false" customHeight="false" outlineLevel="0" collapsed="false">
      <c r="G106" s="49" t="s">
        <v>515</v>
      </c>
    </row>
    <row r="107" customFormat="false" ht="15" hidden="false" customHeight="false" outlineLevel="0" collapsed="false">
      <c r="G107" s="49" t="s">
        <v>516</v>
      </c>
    </row>
    <row r="108" customFormat="false" ht="15" hidden="false" customHeight="false" outlineLevel="0" collapsed="false">
      <c r="G108" s="49" t="s">
        <v>517</v>
      </c>
    </row>
    <row r="109" customFormat="false" ht="15" hidden="false" customHeight="false" outlineLevel="0" collapsed="false">
      <c r="G109" s="49" t="s">
        <v>518</v>
      </c>
    </row>
    <row r="110" customFormat="false" ht="15" hidden="false" customHeight="false" outlineLevel="0" collapsed="false">
      <c r="G110" s="49" t="s">
        <v>519</v>
      </c>
    </row>
    <row r="111" customFormat="false" ht="15" hidden="false" customHeight="false" outlineLevel="0" collapsed="false">
      <c r="G111" s="49" t="s">
        <v>520</v>
      </c>
    </row>
    <row r="112" customFormat="false" ht="15" hidden="false" customHeight="false" outlineLevel="0" collapsed="false">
      <c r="G112" s="49" t="s">
        <v>521</v>
      </c>
    </row>
    <row r="113" customFormat="false" ht="15" hidden="false" customHeight="false" outlineLevel="0" collapsed="false">
      <c r="G113" s="49" t="s">
        <v>522</v>
      </c>
    </row>
    <row r="114" customFormat="false" ht="15" hidden="false" customHeight="false" outlineLevel="0" collapsed="false">
      <c r="G114" s="49" t="s">
        <v>523</v>
      </c>
    </row>
    <row r="115" customFormat="false" ht="15" hidden="false" customHeight="false" outlineLevel="0" collapsed="false">
      <c r="G115" s="49" t="s">
        <v>524</v>
      </c>
    </row>
    <row r="116" customFormat="false" ht="15" hidden="false" customHeight="false" outlineLevel="0" collapsed="false">
      <c r="G116" s="49" t="s">
        <v>525</v>
      </c>
    </row>
    <row r="117" customFormat="false" ht="15" hidden="false" customHeight="false" outlineLevel="0" collapsed="false">
      <c r="G117" s="49" t="s">
        <v>526</v>
      </c>
    </row>
    <row r="118" customFormat="false" ht="15" hidden="false" customHeight="false" outlineLevel="0" collapsed="false">
      <c r="G118" s="49" t="s">
        <v>527</v>
      </c>
    </row>
    <row r="119" customFormat="false" ht="15" hidden="false" customHeight="false" outlineLevel="0" collapsed="false">
      <c r="G119" s="49" t="s">
        <v>528</v>
      </c>
    </row>
    <row r="120" customFormat="false" ht="15" hidden="false" customHeight="false" outlineLevel="0" collapsed="false">
      <c r="G120" s="49" t="s">
        <v>529</v>
      </c>
    </row>
    <row r="121" customFormat="false" ht="15" hidden="false" customHeight="false" outlineLevel="0" collapsed="false">
      <c r="G121" s="49" t="s">
        <v>530</v>
      </c>
    </row>
    <row r="122" customFormat="false" ht="15" hidden="false" customHeight="false" outlineLevel="0" collapsed="false">
      <c r="G122" s="49" t="s">
        <v>531</v>
      </c>
    </row>
    <row r="123" customFormat="false" ht="15" hidden="false" customHeight="false" outlineLevel="0" collapsed="false">
      <c r="G123" s="49" t="s">
        <v>532</v>
      </c>
    </row>
    <row r="124" customFormat="false" ht="15" hidden="false" customHeight="false" outlineLevel="0" collapsed="false">
      <c r="G124" s="49" t="s">
        <v>533</v>
      </c>
    </row>
    <row r="125" customFormat="false" ht="15" hidden="false" customHeight="false" outlineLevel="0" collapsed="false">
      <c r="G125" s="49" t="s">
        <v>534</v>
      </c>
    </row>
    <row r="126" customFormat="false" ht="15" hidden="false" customHeight="false" outlineLevel="0" collapsed="false">
      <c r="G126" s="49" t="s">
        <v>535</v>
      </c>
    </row>
    <row r="127" customFormat="false" ht="15" hidden="false" customHeight="false" outlineLevel="0" collapsed="false">
      <c r="G127" s="49" t="s">
        <v>536</v>
      </c>
    </row>
    <row r="128" customFormat="false" ht="15" hidden="false" customHeight="false" outlineLevel="0" collapsed="false">
      <c r="G128" s="49" t="s">
        <v>537</v>
      </c>
    </row>
    <row r="129" customFormat="false" ht="15" hidden="false" customHeight="false" outlineLevel="0" collapsed="false">
      <c r="G129" s="49" t="s">
        <v>538</v>
      </c>
    </row>
    <row r="130" customFormat="false" ht="15" hidden="false" customHeight="false" outlineLevel="0" collapsed="false">
      <c r="G130" s="49" t="s">
        <v>539</v>
      </c>
    </row>
    <row r="131" customFormat="false" ht="15" hidden="false" customHeight="false" outlineLevel="0" collapsed="false">
      <c r="G131" s="49" t="s">
        <v>540</v>
      </c>
    </row>
    <row r="132" customFormat="false" ht="15" hidden="false" customHeight="false" outlineLevel="0" collapsed="false">
      <c r="G132" s="49" t="s">
        <v>541</v>
      </c>
    </row>
    <row r="133" customFormat="false" ht="15" hidden="false" customHeight="false" outlineLevel="0" collapsed="false">
      <c r="G133" s="49" t="s">
        <v>542</v>
      </c>
    </row>
    <row r="134" customFormat="false" ht="15" hidden="false" customHeight="false" outlineLevel="0" collapsed="false">
      <c r="G134" s="49" t="s">
        <v>543</v>
      </c>
    </row>
    <row r="135" customFormat="false" ht="15" hidden="false" customHeight="false" outlineLevel="0" collapsed="false">
      <c r="G135" s="49" t="s">
        <v>544</v>
      </c>
    </row>
    <row r="136" customFormat="false" ht="15" hidden="false" customHeight="false" outlineLevel="0" collapsed="false">
      <c r="G136" s="49" t="s">
        <v>545</v>
      </c>
    </row>
    <row r="137" customFormat="false" ht="15" hidden="false" customHeight="false" outlineLevel="0" collapsed="false">
      <c r="G137" s="49" t="s">
        <v>546</v>
      </c>
    </row>
    <row r="138" customFormat="false" ht="15" hidden="false" customHeight="false" outlineLevel="0" collapsed="false">
      <c r="G138" s="49" t="s">
        <v>547</v>
      </c>
    </row>
    <row r="139" customFormat="false" ht="15" hidden="false" customHeight="false" outlineLevel="0" collapsed="false">
      <c r="G139" s="49" t="s">
        <v>548</v>
      </c>
    </row>
    <row r="140" customFormat="false" ht="15" hidden="false" customHeight="false" outlineLevel="0" collapsed="false">
      <c r="G140" s="49" t="s">
        <v>549</v>
      </c>
    </row>
    <row r="141" customFormat="false" ht="15" hidden="false" customHeight="false" outlineLevel="0" collapsed="false">
      <c r="G141" s="49" t="s">
        <v>550</v>
      </c>
    </row>
    <row r="142" customFormat="false" ht="15" hidden="false" customHeight="false" outlineLevel="0" collapsed="false">
      <c r="G142" s="49" t="s">
        <v>551</v>
      </c>
    </row>
    <row r="143" customFormat="false" ht="15" hidden="false" customHeight="false" outlineLevel="0" collapsed="false">
      <c r="G143" s="49" t="s">
        <v>552</v>
      </c>
    </row>
    <row r="144" customFormat="false" ht="15" hidden="false" customHeight="false" outlineLevel="0" collapsed="false">
      <c r="G144" s="49" t="s">
        <v>553</v>
      </c>
    </row>
    <row r="145" customFormat="false" ht="15" hidden="false" customHeight="false" outlineLevel="0" collapsed="false">
      <c r="G145" s="49" t="s">
        <v>554</v>
      </c>
    </row>
    <row r="146" customFormat="false" ht="15" hidden="false" customHeight="false" outlineLevel="0" collapsed="false">
      <c r="G146" s="49" t="s">
        <v>555</v>
      </c>
    </row>
    <row r="147" customFormat="false" ht="15" hidden="false" customHeight="false" outlineLevel="0" collapsed="false">
      <c r="G147" s="49" t="s">
        <v>556</v>
      </c>
    </row>
    <row r="148" customFormat="false" ht="15" hidden="false" customHeight="false" outlineLevel="0" collapsed="false">
      <c r="G148" s="49" t="s">
        <v>557</v>
      </c>
    </row>
    <row r="149" customFormat="false" ht="15" hidden="false" customHeight="false" outlineLevel="0" collapsed="false">
      <c r="G149" s="49" t="s">
        <v>558</v>
      </c>
    </row>
    <row r="150" customFormat="false" ht="15" hidden="false" customHeight="false" outlineLevel="0" collapsed="false">
      <c r="G150" s="49" t="s">
        <v>559</v>
      </c>
    </row>
    <row r="151" customFormat="false" ht="15" hidden="false" customHeight="false" outlineLevel="0" collapsed="false">
      <c r="G151" s="49" t="s">
        <v>560</v>
      </c>
    </row>
    <row r="152" customFormat="false" ht="15" hidden="false" customHeight="false" outlineLevel="0" collapsed="false">
      <c r="G152" s="49" t="s">
        <v>561</v>
      </c>
    </row>
    <row r="153" customFormat="false" ht="15" hidden="false" customHeight="false" outlineLevel="0" collapsed="false">
      <c r="G153" s="49" t="s">
        <v>562</v>
      </c>
    </row>
    <row r="154" customFormat="false" ht="15" hidden="false" customHeight="false" outlineLevel="0" collapsed="false">
      <c r="G154" s="49" t="s">
        <v>563</v>
      </c>
    </row>
    <row r="155" customFormat="false" ht="15" hidden="false" customHeight="false" outlineLevel="0" collapsed="false">
      <c r="G155" s="49" t="s">
        <v>564</v>
      </c>
    </row>
    <row r="156" customFormat="false" ht="15" hidden="false" customHeight="false" outlineLevel="0" collapsed="false">
      <c r="G156" s="49" t="s">
        <v>565</v>
      </c>
    </row>
    <row r="157" customFormat="false" ht="15" hidden="false" customHeight="false" outlineLevel="0" collapsed="false">
      <c r="G157" s="49" t="s">
        <v>566</v>
      </c>
    </row>
    <row r="158" customFormat="false" ht="15" hidden="false" customHeight="false" outlineLevel="0" collapsed="false">
      <c r="G158" s="49" t="s">
        <v>567</v>
      </c>
    </row>
    <row r="159" customFormat="false" ht="15" hidden="false" customHeight="false" outlineLevel="0" collapsed="false">
      <c r="G159" s="49" t="s">
        <v>568</v>
      </c>
    </row>
    <row r="160" customFormat="false" ht="15" hidden="false" customHeight="false" outlineLevel="0" collapsed="false">
      <c r="G160" s="49" t="s">
        <v>569</v>
      </c>
    </row>
    <row r="161" customFormat="false" ht="15" hidden="false" customHeight="false" outlineLevel="0" collapsed="false">
      <c r="G161" s="49" t="s">
        <v>570</v>
      </c>
    </row>
    <row r="162" customFormat="false" ht="15" hidden="false" customHeight="false" outlineLevel="0" collapsed="false">
      <c r="G162" s="49" t="s">
        <v>571</v>
      </c>
    </row>
    <row r="163" customFormat="false" ht="15" hidden="false" customHeight="false" outlineLevel="0" collapsed="false">
      <c r="G163" s="49" t="s">
        <v>572</v>
      </c>
    </row>
    <row r="164" customFormat="false" ht="15" hidden="false" customHeight="false" outlineLevel="0" collapsed="false">
      <c r="G164" s="49" t="s">
        <v>573</v>
      </c>
    </row>
    <row r="165" customFormat="false" ht="15" hidden="false" customHeight="false" outlineLevel="0" collapsed="false">
      <c r="G165" s="49" t="s">
        <v>574</v>
      </c>
    </row>
    <row r="166" customFormat="false" ht="15" hidden="false" customHeight="false" outlineLevel="0" collapsed="false">
      <c r="G166" s="49" t="s">
        <v>575</v>
      </c>
    </row>
    <row r="167" customFormat="false" ht="15" hidden="false" customHeight="false" outlineLevel="0" collapsed="false">
      <c r="G167" s="49" t="s">
        <v>576</v>
      </c>
    </row>
    <row r="168" customFormat="false" ht="15" hidden="false" customHeight="false" outlineLevel="0" collapsed="false">
      <c r="G168" s="49" t="s">
        <v>577</v>
      </c>
    </row>
    <row r="169" customFormat="false" ht="15" hidden="false" customHeight="false" outlineLevel="0" collapsed="false">
      <c r="G169" s="49" t="s">
        <v>578</v>
      </c>
    </row>
    <row r="170" customFormat="false" ht="15" hidden="false" customHeight="false" outlineLevel="0" collapsed="false">
      <c r="G170" s="49" t="s">
        <v>579</v>
      </c>
    </row>
    <row r="171" customFormat="false" ht="15" hidden="false" customHeight="false" outlineLevel="0" collapsed="false">
      <c r="G171" s="49" t="s">
        <v>580</v>
      </c>
    </row>
    <row r="172" customFormat="false" ht="15" hidden="false" customHeight="false" outlineLevel="0" collapsed="false">
      <c r="G172" s="49" t="s">
        <v>581</v>
      </c>
    </row>
    <row r="173" customFormat="false" ht="15" hidden="false" customHeight="false" outlineLevel="0" collapsed="false">
      <c r="G173" s="49" t="s">
        <v>582</v>
      </c>
    </row>
    <row r="174" customFormat="false" ht="15" hidden="false" customHeight="false" outlineLevel="0" collapsed="false">
      <c r="G174" s="49" t="s">
        <v>583</v>
      </c>
    </row>
    <row r="175" customFormat="false" ht="15" hidden="false" customHeight="false" outlineLevel="0" collapsed="false">
      <c r="G175" s="49" t="s">
        <v>584</v>
      </c>
    </row>
    <row r="176" customFormat="false" ht="15" hidden="false" customHeight="false" outlineLevel="0" collapsed="false">
      <c r="G176" s="49" t="s">
        <v>585</v>
      </c>
    </row>
    <row r="177" customFormat="false" ht="15" hidden="false" customHeight="false" outlineLevel="0" collapsed="false">
      <c r="G177" s="49" t="s">
        <v>586</v>
      </c>
    </row>
    <row r="178" customFormat="false" ht="15" hidden="false" customHeight="false" outlineLevel="0" collapsed="false">
      <c r="G178" s="49" t="s">
        <v>587</v>
      </c>
    </row>
    <row r="179" customFormat="false" ht="15" hidden="false" customHeight="false" outlineLevel="0" collapsed="false">
      <c r="G179" s="49" t="s">
        <v>588</v>
      </c>
    </row>
    <row r="180" customFormat="false" ht="15" hidden="false" customHeight="false" outlineLevel="0" collapsed="false">
      <c r="G180" s="49" t="s">
        <v>589</v>
      </c>
    </row>
    <row r="181" customFormat="false" ht="15" hidden="false" customHeight="false" outlineLevel="0" collapsed="false">
      <c r="G181" s="49" t="s">
        <v>590</v>
      </c>
    </row>
    <row r="182" customFormat="false" ht="15" hidden="false" customHeight="false" outlineLevel="0" collapsed="false">
      <c r="G182" s="49" t="s">
        <v>591</v>
      </c>
    </row>
    <row r="183" customFormat="false" ht="15" hidden="false" customHeight="false" outlineLevel="0" collapsed="false">
      <c r="G183" s="49" t="s">
        <v>592</v>
      </c>
    </row>
    <row r="184" customFormat="false" ht="15" hidden="false" customHeight="false" outlineLevel="0" collapsed="false">
      <c r="G184" s="49" t="s">
        <v>593</v>
      </c>
    </row>
    <row r="185" customFormat="false" ht="15" hidden="false" customHeight="false" outlineLevel="0" collapsed="false">
      <c r="G185" s="49" t="s">
        <v>594</v>
      </c>
    </row>
    <row r="186" customFormat="false" ht="15" hidden="false" customHeight="false" outlineLevel="0" collapsed="false">
      <c r="G186" s="49" t="s">
        <v>595</v>
      </c>
    </row>
    <row r="187" customFormat="false" ht="15" hidden="false" customHeight="false" outlineLevel="0" collapsed="false">
      <c r="G187" s="49" t="s">
        <v>596</v>
      </c>
    </row>
    <row r="188" customFormat="false" ht="15" hidden="false" customHeight="false" outlineLevel="0" collapsed="false">
      <c r="G188" s="49" t="s">
        <v>597</v>
      </c>
    </row>
    <row r="189" customFormat="false" ht="15" hidden="false" customHeight="false" outlineLevel="0" collapsed="false">
      <c r="G189" s="49" t="s">
        <v>598</v>
      </c>
    </row>
    <row r="190" customFormat="false" ht="15" hidden="false" customHeight="false" outlineLevel="0" collapsed="false">
      <c r="G190" s="49" t="s">
        <v>599</v>
      </c>
    </row>
    <row r="191" customFormat="false" ht="15" hidden="false" customHeight="false" outlineLevel="0" collapsed="false">
      <c r="G191" s="49" t="s">
        <v>600</v>
      </c>
    </row>
    <row r="192" customFormat="false" ht="15" hidden="false" customHeight="false" outlineLevel="0" collapsed="false">
      <c r="G192" s="49" t="s">
        <v>601</v>
      </c>
    </row>
    <row r="193" customFormat="false" ht="15" hidden="false" customHeight="false" outlineLevel="0" collapsed="false">
      <c r="G193" s="49" t="s">
        <v>602</v>
      </c>
    </row>
    <row r="194" customFormat="false" ht="15" hidden="false" customHeight="false" outlineLevel="0" collapsed="false">
      <c r="G194" s="49" t="s">
        <v>603</v>
      </c>
    </row>
    <row r="195" customFormat="false" ht="15" hidden="false" customHeight="false" outlineLevel="0" collapsed="false">
      <c r="G195" s="49" t="s">
        <v>604</v>
      </c>
    </row>
    <row r="196" customFormat="false" ht="15" hidden="false" customHeight="false" outlineLevel="0" collapsed="false">
      <c r="G196" s="49" t="s">
        <v>605</v>
      </c>
    </row>
    <row r="197" customFormat="false" ht="15" hidden="false" customHeight="false" outlineLevel="0" collapsed="false">
      <c r="G197" s="49" t="s">
        <v>606</v>
      </c>
    </row>
    <row r="198" customFormat="false" ht="15" hidden="false" customHeight="false" outlineLevel="0" collapsed="false">
      <c r="G198" s="49" t="s">
        <v>607</v>
      </c>
    </row>
    <row r="199" customFormat="false" ht="15" hidden="false" customHeight="false" outlineLevel="0" collapsed="false">
      <c r="G199" s="49" t="s">
        <v>608</v>
      </c>
    </row>
    <row r="200" customFormat="false" ht="15" hidden="false" customHeight="false" outlineLevel="0" collapsed="false">
      <c r="G200" s="49" t="s">
        <v>609</v>
      </c>
    </row>
    <row r="201" customFormat="false" ht="15" hidden="false" customHeight="false" outlineLevel="0" collapsed="false">
      <c r="G201" s="49" t="s">
        <v>610</v>
      </c>
    </row>
    <row r="202" customFormat="false" ht="15" hidden="false" customHeight="false" outlineLevel="0" collapsed="false">
      <c r="G202" s="49" t="s">
        <v>611</v>
      </c>
    </row>
    <row r="203" customFormat="false" ht="15" hidden="false" customHeight="false" outlineLevel="0" collapsed="false">
      <c r="G203" s="49" t="s">
        <v>612</v>
      </c>
    </row>
    <row r="204" customFormat="false" ht="15" hidden="false" customHeight="false" outlineLevel="0" collapsed="false">
      <c r="G204" s="49" t="s">
        <v>613</v>
      </c>
    </row>
    <row r="205" customFormat="false" ht="15" hidden="false" customHeight="false" outlineLevel="0" collapsed="false">
      <c r="G205" s="49" t="s">
        <v>614</v>
      </c>
    </row>
    <row r="206" customFormat="false" ht="15" hidden="false" customHeight="false" outlineLevel="0" collapsed="false">
      <c r="G206" s="49" t="s">
        <v>615</v>
      </c>
    </row>
    <row r="207" customFormat="false" ht="15" hidden="false" customHeight="false" outlineLevel="0" collapsed="false">
      <c r="G207" s="49" t="s">
        <v>616</v>
      </c>
    </row>
    <row r="208" customFormat="false" ht="15" hidden="false" customHeight="false" outlineLevel="0" collapsed="false">
      <c r="G208" s="49" t="s">
        <v>617</v>
      </c>
    </row>
    <row r="209" customFormat="false" ht="15" hidden="false" customHeight="false" outlineLevel="0" collapsed="false">
      <c r="G209" s="49" t="s">
        <v>618</v>
      </c>
    </row>
    <row r="210" customFormat="false" ht="15" hidden="false" customHeight="false" outlineLevel="0" collapsed="false">
      <c r="G210" s="49" t="s">
        <v>619</v>
      </c>
    </row>
    <row r="211" customFormat="false" ht="15" hidden="false" customHeight="false" outlineLevel="0" collapsed="false">
      <c r="G211" s="49" t="s">
        <v>620</v>
      </c>
    </row>
    <row r="212" customFormat="false" ht="15" hidden="false" customHeight="false" outlineLevel="0" collapsed="false">
      <c r="G212" s="49" t="s">
        <v>621</v>
      </c>
    </row>
    <row r="213" customFormat="false" ht="15" hidden="false" customHeight="false" outlineLevel="0" collapsed="false">
      <c r="G213" s="49" t="s">
        <v>622</v>
      </c>
    </row>
    <row r="214" customFormat="false" ht="15" hidden="false" customHeight="false" outlineLevel="0" collapsed="false">
      <c r="G214" s="49" t="s">
        <v>623</v>
      </c>
    </row>
    <row r="215" customFormat="false" ht="15" hidden="false" customHeight="false" outlineLevel="0" collapsed="false">
      <c r="G215" s="49" t="s">
        <v>624</v>
      </c>
    </row>
    <row r="216" customFormat="false" ht="15" hidden="false" customHeight="false" outlineLevel="0" collapsed="false">
      <c r="G216" s="49" t="s">
        <v>625</v>
      </c>
    </row>
    <row r="217" customFormat="false" ht="15" hidden="false" customHeight="false" outlineLevel="0" collapsed="false">
      <c r="G217" s="49" t="s">
        <v>626</v>
      </c>
    </row>
    <row r="218" customFormat="false" ht="15" hidden="false" customHeight="false" outlineLevel="0" collapsed="false">
      <c r="G218" s="49" t="s">
        <v>627</v>
      </c>
    </row>
    <row r="219" customFormat="false" ht="15" hidden="false" customHeight="false" outlineLevel="0" collapsed="false">
      <c r="G219" s="49" t="s">
        <v>628</v>
      </c>
    </row>
    <row r="220" customFormat="false" ht="15" hidden="false" customHeight="false" outlineLevel="0" collapsed="false">
      <c r="G220" s="49" t="s">
        <v>629</v>
      </c>
    </row>
    <row r="221" customFormat="false" ht="15" hidden="false" customHeight="false" outlineLevel="0" collapsed="false">
      <c r="G221" s="49" t="s">
        <v>630</v>
      </c>
    </row>
    <row r="222" customFormat="false" ht="15" hidden="false" customHeight="false" outlineLevel="0" collapsed="false">
      <c r="G222" s="49" t="s">
        <v>631</v>
      </c>
    </row>
    <row r="223" customFormat="false" ht="15" hidden="false" customHeight="false" outlineLevel="0" collapsed="false">
      <c r="G223" s="49" t="s">
        <v>632</v>
      </c>
    </row>
    <row r="224" customFormat="false" ht="15" hidden="false" customHeight="false" outlineLevel="0" collapsed="false">
      <c r="G224" s="49" t="s">
        <v>633</v>
      </c>
    </row>
    <row r="225" customFormat="false" ht="15" hidden="false" customHeight="false" outlineLevel="0" collapsed="false">
      <c r="G225" s="49" t="s">
        <v>634</v>
      </c>
    </row>
    <row r="226" customFormat="false" ht="15" hidden="false" customHeight="false" outlineLevel="0" collapsed="false">
      <c r="G226" s="49" t="s">
        <v>635</v>
      </c>
    </row>
    <row r="227" customFormat="false" ht="15" hidden="false" customHeight="false" outlineLevel="0" collapsed="false">
      <c r="G227" s="49" t="s">
        <v>636</v>
      </c>
    </row>
    <row r="228" customFormat="false" ht="15" hidden="false" customHeight="false" outlineLevel="0" collapsed="false">
      <c r="G228" s="49" t="s">
        <v>637</v>
      </c>
    </row>
    <row r="229" customFormat="false" ht="15" hidden="false" customHeight="false" outlineLevel="0" collapsed="false">
      <c r="G229" s="49" t="s">
        <v>638</v>
      </c>
    </row>
    <row r="230" customFormat="false" ht="15" hidden="false" customHeight="false" outlineLevel="0" collapsed="false">
      <c r="G230" s="49" t="s">
        <v>639</v>
      </c>
    </row>
    <row r="231" customFormat="false" ht="15" hidden="false" customHeight="false" outlineLevel="0" collapsed="false">
      <c r="G231" s="49" t="s">
        <v>640</v>
      </c>
    </row>
    <row r="232" customFormat="false" ht="15" hidden="false" customHeight="false" outlineLevel="0" collapsed="false">
      <c r="G232" s="49" t="s">
        <v>641</v>
      </c>
    </row>
    <row r="233" customFormat="false" ht="15" hidden="false" customHeight="false" outlineLevel="0" collapsed="false">
      <c r="G233" s="49" t="s">
        <v>642</v>
      </c>
    </row>
    <row r="234" customFormat="false" ht="15" hidden="false" customHeight="false" outlineLevel="0" collapsed="false">
      <c r="G234" s="49" t="s">
        <v>643</v>
      </c>
    </row>
    <row r="235" customFormat="false" ht="15" hidden="false" customHeight="false" outlineLevel="0" collapsed="false">
      <c r="G235" s="49" t="s">
        <v>644</v>
      </c>
    </row>
    <row r="236" customFormat="false" ht="15" hidden="false" customHeight="false" outlineLevel="0" collapsed="false">
      <c r="G236" s="49" t="s">
        <v>645</v>
      </c>
    </row>
    <row r="237" customFormat="false" ht="15" hidden="false" customHeight="false" outlineLevel="0" collapsed="false">
      <c r="G237" s="49" t="s">
        <v>646</v>
      </c>
    </row>
    <row r="238" customFormat="false" ht="15" hidden="false" customHeight="false" outlineLevel="0" collapsed="false">
      <c r="G238" s="49" t="s">
        <v>647</v>
      </c>
    </row>
    <row r="239" customFormat="false" ht="15" hidden="false" customHeight="false" outlineLevel="0" collapsed="false">
      <c r="G239" s="49" t="s">
        <v>648</v>
      </c>
    </row>
    <row r="240" customFormat="false" ht="15" hidden="false" customHeight="false" outlineLevel="0" collapsed="false">
      <c r="G240" s="49" t="s">
        <v>649</v>
      </c>
    </row>
    <row r="241" customFormat="false" ht="15" hidden="false" customHeight="false" outlineLevel="0" collapsed="false">
      <c r="G241" s="49" t="s">
        <v>650</v>
      </c>
    </row>
    <row r="242" customFormat="false" ht="15" hidden="false" customHeight="false" outlineLevel="0" collapsed="false">
      <c r="G242" s="49" t="s">
        <v>651</v>
      </c>
    </row>
    <row r="243" customFormat="false" ht="15" hidden="false" customHeight="false" outlineLevel="0" collapsed="false">
      <c r="G243" s="49" t="s">
        <v>652</v>
      </c>
    </row>
    <row r="244" customFormat="false" ht="15" hidden="false" customHeight="false" outlineLevel="0" collapsed="false">
      <c r="G244" s="49" t="s">
        <v>653</v>
      </c>
    </row>
    <row r="245" customFormat="false" ht="15" hidden="false" customHeight="false" outlineLevel="0" collapsed="false">
      <c r="G245" s="49" t="s">
        <v>654</v>
      </c>
    </row>
    <row r="246" customFormat="false" ht="15" hidden="false" customHeight="false" outlineLevel="0" collapsed="false">
      <c r="G246" s="49" t="s">
        <v>655</v>
      </c>
    </row>
    <row r="247" customFormat="false" ht="15" hidden="false" customHeight="false" outlineLevel="0" collapsed="false">
      <c r="G247" s="49" t="s">
        <v>656</v>
      </c>
    </row>
    <row r="248" customFormat="false" ht="15" hidden="false" customHeight="false" outlineLevel="0" collapsed="false">
      <c r="G248" s="49" t="s">
        <v>657</v>
      </c>
    </row>
    <row r="249" customFormat="false" ht="15" hidden="false" customHeight="false" outlineLevel="0" collapsed="false">
      <c r="G249" s="49" t="s">
        <v>658</v>
      </c>
    </row>
    <row r="250" customFormat="false" ht="15" hidden="false" customHeight="false" outlineLevel="0" collapsed="false">
      <c r="G250" s="49" t="s">
        <v>659</v>
      </c>
    </row>
    <row r="251" customFormat="false" ht="15" hidden="false" customHeight="false" outlineLevel="0" collapsed="false">
      <c r="G251" s="49" t="s">
        <v>660</v>
      </c>
    </row>
    <row r="252" customFormat="false" ht="15" hidden="false" customHeight="false" outlineLevel="0" collapsed="false">
      <c r="G252" s="49" t="s">
        <v>661</v>
      </c>
    </row>
    <row r="253" customFormat="false" ht="15" hidden="false" customHeight="false" outlineLevel="0" collapsed="false">
      <c r="G253" s="49" t="s">
        <v>662</v>
      </c>
    </row>
    <row r="254" customFormat="false" ht="15" hidden="false" customHeight="false" outlineLevel="0" collapsed="false">
      <c r="G254" s="49" t="s">
        <v>663</v>
      </c>
    </row>
    <row r="255" customFormat="false" ht="15" hidden="false" customHeight="false" outlineLevel="0" collapsed="false">
      <c r="G255" s="49" t="s">
        <v>664</v>
      </c>
    </row>
    <row r="256" customFormat="false" ht="15" hidden="false" customHeight="false" outlineLevel="0" collapsed="false">
      <c r="G256" s="49" t="s">
        <v>665</v>
      </c>
    </row>
    <row r="257" customFormat="false" ht="15" hidden="false" customHeight="false" outlineLevel="0" collapsed="false">
      <c r="G257" s="49" t="s">
        <v>666</v>
      </c>
    </row>
    <row r="258" customFormat="false" ht="15" hidden="false" customHeight="false" outlineLevel="0" collapsed="false">
      <c r="G258" s="49" t="s">
        <v>667</v>
      </c>
    </row>
    <row r="259" customFormat="false" ht="15" hidden="false" customHeight="false" outlineLevel="0" collapsed="false">
      <c r="G259" s="49" t="s">
        <v>668</v>
      </c>
    </row>
    <row r="260" customFormat="false" ht="15" hidden="false" customHeight="false" outlineLevel="0" collapsed="false">
      <c r="G260" s="49" t="s">
        <v>669</v>
      </c>
    </row>
    <row r="261" customFormat="false" ht="15" hidden="false" customHeight="false" outlineLevel="0" collapsed="false">
      <c r="G261" s="49" t="s">
        <v>670</v>
      </c>
    </row>
    <row r="262" customFormat="false" ht="15" hidden="false" customHeight="false" outlineLevel="0" collapsed="false">
      <c r="G262" s="49" t="s">
        <v>671</v>
      </c>
    </row>
    <row r="263" customFormat="false" ht="15" hidden="false" customHeight="false" outlineLevel="0" collapsed="false">
      <c r="G263" s="49" t="s">
        <v>672</v>
      </c>
    </row>
    <row r="264" customFormat="false" ht="15" hidden="false" customHeight="false" outlineLevel="0" collapsed="false">
      <c r="G264" s="49" t="s">
        <v>673</v>
      </c>
    </row>
    <row r="265" customFormat="false" ht="15" hidden="false" customHeight="false" outlineLevel="0" collapsed="false">
      <c r="G265" s="49" t="s">
        <v>674</v>
      </c>
    </row>
    <row r="266" customFormat="false" ht="15" hidden="false" customHeight="false" outlineLevel="0" collapsed="false">
      <c r="G266" s="49" t="s">
        <v>675</v>
      </c>
    </row>
    <row r="267" customFormat="false" ht="15" hidden="false" customHeight="false" outlineLevel="0" collapsed="false">
      <c r="G267" s="49" t="s">
        <v>676</v>
      </c>
    </row>
    <row r="268" customFormat="false" ht="15" hidden="false" customHeight="false" outlineLevel="0" collapsed="false">
      <c r="G268" s="49" t="s">
        <v>677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2026-10-27T14:00:15Z</dcterms:created>
  <dc:creator>openpyxl</dc:creator>
  <dc:description/>
  <dc:language>en-US</dc:language>
  <cp:lastModifiedBy/>
  <dcterms:modified xsi:type="dcterms:W3CDTF">2026-10-27T14:00:15Z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