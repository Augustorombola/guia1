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ugusto\Downloads\"/>
    </mc:Choice>
  </mc:AlternateContent>
  <xr:revisionPtr revIDLastSave="0" documentId="13_ncr:1_{4D8AAE56-0263-4D87-A496-394FB2F92D9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mandos" sheetId="1" r:id="rId1"/>
    <sheet name="Guia de Uso" sheetId="2" r:id="rId2"/>
    <sheet name="Datos generales" sheetId="3" r:id="rId3"/>
    <sheet name="Periodo a genera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4" l="1"/>
  <c r="B8" i="4"/>
  <c r="B9" i="4" s="1"/>
  <c r="B12" i="4" s="1"/>
  <c r="D7" i="4"/>
  <c r="D6" i="4"/>
  <c r="D5" i="4"/>
  <c r="D7" i="3"/>
  <c r="D6" i="3"/>
  <c r="D5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8" authorId="0" shapeId="0" xr:uid="{00000000-0006-0000-0300-000001000000}">
      <text>
        <r>
          <rPr>
            <sz val="10"/>
            <rFont val="Arial"/>
            <family val="2"/>
          </rPr>
          <t>Estructura del registro Cabecera (Reg. Tipo 01), 259 caracteres:
01 (Tipo Registro, 2) + CUIT (11) + Periodo (6) + Secuencia (2) + Denominación (200) + Hora (6) + 0103 (Cód. Impuesto, 4) + 812 (Cód. Concepto, 3) + Número Verificador (6) + 8126 (Nro. Formulario, 4) + 00300 (Versión, 5) + 0000000001 (Cant. registros detalle, 10) = 259 caracteres.
OJO: esta celda SIEMPRE muestra 259 caracteres, incluso si algún dato de origen está vacío o mal cargado (se rellena solo con ceros/espacios). El control real está en "Estado general" (B12): la macro NO genera el archivo si no dice "LISTO PARA GENERAR".</t>
        </r>
      </text>
    </comment>
  </commentList>
</comments>
</file>

<file path=xl/sharedStrings.xml><?xml version="1.0" encoding="utf-8"?>
<sst xmlns="http://schemas.openxmlformats.org/spreadsheetml/2006/main" count="47" uniqueCount="43">
  <si>
    <t>F.8126 — Sin Movimientos</t>
  </si>
  <si>
    <t>GENERAR TXT DEL PERÍODO ACTUAL</t>
  </si>
  <si>
    <t>F.8126 – Sin Movimientos</t>
  </si>
  <si>
    <t>Paso 1: Ir a la solapa "Datos generales" y completar las celdas amarillas: CUIT Informante, Denominación Informante, Hora y Número verificador. Estos datos no cambian mes a mes.</t>
  </si>
  <si>
    <t>Paso 2: Ir a la solapa "Periodo a generar" y escribir el período del mes que se quiere presentar (formato AAAAMM, por ej. 202604 para abril 2026).</t>
  </si>
  <si>
    <t>Paso 3: Revisar "Secuencia": dejar 00 si es la presentación ORIGINAL de ese mes. Si ya se presentó antes y esto es una RECTIFICATIVA, cambiar a 01, 02, etc. (y subir también la "Secuencia de archivo").</t>
  </si>
  <si>
    <t>Paso 4: Confirmar que "Estado general" (fila 12) diga "LISTO PARA GENERAR" en verde. Si dice "REVISAR ERRORES", mirar qué campo está en rojo (columna "Validación") y corregirlo.</t>
  </si>
  <si>
    <t>Paso 5: Ir a la solapa "Comandos" y presionar el botón "GENERAR TXT DEL PERÍODO ACTUAL".</t>
  </si>
  <si>
    <t>Paso 6: Elegir la carpeta de destino. Va a aparecer un único archivo .txt con el nombre correcto.</t>
  </si>
  <si>
    <t>Paso 8: Al mes siguiente, repetir desde el Paso 2 cambiando solo el período (y la Secuencia si corresponde).</t>
  </si>
  <si>
    <t>Datos generales del informante</t>
  </si>
  <si>
    <t>Campo</t>
  </si>
  <si>
    <t>Valor</t>
  </si>
  <si>
    <t>Observación</t>
  </si>
  <si>
    <t>Validación</t>
  </si>
  <si>
    <t>CUIT Informante</t>
  </si>
  <si>
    <t>00000000000</t>
  </si>
  <si>
    <t>Hora (HHMMSS)</t>
  </si>
  <si>
    <t>120000</t>
  </si>
  <si>
    <t>Formato HHMMSS. Mínimo 000000, máximo 235959. Ejemplo 120000 = 12:00:00.</t>
  </si>
  <si>
    <t>Número verificador</t>
  </si>
  <si>
    <t>000000</t>
  </si>
  <si>
    <t>Período a informar (AAAAMM)</t>
  </si>
  <si>
    <t>202604</t>
  </si>
  <si>
    <t>Secuencia (00=Original / rectificativa)</t>
  </si>
  <si>
    <t>00</t>
  </si>
  <si>
    <t>00 = original. 01, 02... si es rectificativa de ese mes.</t>
  </si>
  <si>
    <t>Secuencia de archivo (4 dígitos)</t>
  </si>
  <si>
    <t>0000</t>
  </si>
  <si>
    <t>Registro Cabecera (259 caracteres)</t>
  </si>
  <si>
    <t>Se arma solo. No editar.</t>
  </si>
  <si>
    <t>Longitud (debe ser 259)</t>
  </si>
  <si>
    <t>Nombre de archivo sugerido</t>
  </si>
  <si>
    <t>Estado general</t>
  </si>
  <si>
    <t>g</t>
  </si>
  <si>
    <t>Numero secuencial</t>
  </si>
  <si>
    <t>Paso 7: Subir ese archivo .txt</t>
  </si>
  <si>
    <t xml:space="preserve">Celdas amarillas = completar / revisar. </t>
  </si>
  <si>
    <t>Éste es el nombre con el que se va a guardar el archivo.</t>
  </si>
  <si>
    <t>Numérico 000000-999999.</t>
  </si>
  <si>
    <t xml:space="preserve">11 dígitos, sin guiones. </t>
  </si>
  <si>
    <t>Razon Social</t>
  </si>
  <si>
    <t>Periodo a generar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</si>
</sst>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2"/>
      <color rgb="FFFFFFFF"/>
      <name val="Arial"/>
      <charset val="1"/>
    </font>
    <font>
      <i/>
      <sz val="9"/>
      <color rgb="FFC00000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9"/>
      <name val="Arial"/>
      <charset val="1"/>
    </font>
    <font>
      <sz val="8"/>
      <name val="Consolas"/>
      <charset val="1"/>
    </font>
    <font>
      <sz val="9"/>
      <name val="Consolas"/>
      <charset val="1"/>
    </font>
    <font>
      <b/>
      <sz val="11"/>
      <name val="Arial"/>
      <charset val="1"/>
    </font>
    <font>
      <sz val="10"/>
      <name val="Arial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i/>
      <sz val="9"/>
      <color rgb="FFC00000"/>
      <name val="Arial"/>
      <family val="2"/>
    </font>
    <font>
      <i/>
      <sz val="9"/>
      <color rgb="FF595959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4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A8"/>
      </patternFill>
    </fill>
    <fill>
      <patternFill patternType="solid">
        <fgColor rgb="FFEAF1FB"/>
        <bgColor rgb="FFFFFFFF"/>
      </patternFill>
    </fill>
    <fill>
      <patternFill patternType="solid">
        <fgColor rgb="FF4472A8"/>
        <bgColor rgb="FF2E75B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4" fillId="0" borderId="1" xfId="0" applyFont="1" applyBorder="1" applyAlignment="1">
      <alignment horizontal="center"/>
    </xf>
    <xf numFmtId="0" fontId="4" fillId="0" borderId="0" xfId="0" applyFont="1"/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4" borderId="1" xfId="0" applyFont="1" applyFill="1" applyBorder="1" applyAlignment="1">
      <alignment vertical="center" wrapText="1" indent="1"/>
    </xf>
    <xf numFmtId="0" fontId="5" fillId="0" borderId="1" xfId="0" applyFont="1" applyBorder="1" applyAlignment="1">
      <alignment vertical="center" wrapText="1" indent="1"/>
    </xf>
    <xf numFmtId="0" fontId="7" fillId="5" borderId="1" xfId="0" applyFont="1" applyFill="1" applyBorder="1" applyAlignment="1">
      <alignment horizontal="center"/>
    </xf>
    <xf numFmtId="0" fontId="8" fillId="4" borderId="1" xfId="0" applyFont="1" applyFill="1" applyBorder="1"/>
    <xf numFmtId="49" fontId="9" fillId="6" borderId="1" xfId="0" applyNumberFormat="1" applyFont="1" applyFill="1" applyBorder="1"/>
    <xf numFmtId="0" fontId="10" fillId="4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wrapText="1"/>
    </xf>
    <xf numFmtId="0" fontId="8" fillId="0" borderId="1" xfId="0" applyFont="1" applyBorder="1"/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5" fillId="0" borderId="1" xfId="0" applyFont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/>
    <xf numFmtId="0" fontId="17" fillId="4" borderId="1" xfId="0" applyFont="1" applyFill="1" applyBorder="1" applyAlignment="1">
      <alignment vertical="center" wrapText="1" indent="1"/>
    </xf>
    <xf numFmtId="0" fontId="18" fillId="0" borderId="0" xfId="0" applyFont="1"/>
    <xf numFmtId="0" fontId="19" fillId="0" borderId="1" xfId="0" applyFont="1" applyBorder="1" applyAlignment="1">
      <alignment vertical="center" wrapText="1"/>
    </xf>
    <xf numFmtId="49" fontId="20" fillId="6" borderId="1" xfId="0" applyNumberFormat="1" applyFont="1" applyFill="1" applyBorder="1"/>
    <xf numFmtId="0" fontId="19" fillId="4" borderId="1" xfId="0" applyFont="1" applyFill="1" applyBorder="1" applyAlignment="1">
      <alignment vertical="center" wrapText="1"/>
    </xf>
    <xf numFmtId="0" fontId="21" fillId="0" borderId="1" xfId="0" applyFont="1" applyBorder="1"/>
    <xf numFmtId="0" fontId="22" fillId="2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4472A8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</xdr:row>
          <xdr:rowOff>0</xdr:rowOff>
        </xdr:from>
        <xdr:to>
          <xdr:col>3</xdr:col>
          <xdr:colOff>0</xdr:colOff>
          <xdr:row>7</xdr:row>
          <xdr:rowOff>0</xdr:rowOff>
        </xdr:to>
        <xdr:sp macro="" textlink="">
          <xdr:nvSpPr>
            <xdr:cNvPr id="2049" name="btnGenerarF8126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57C203BE-C303-5A64-4E8A-E18977A3E3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AR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GENERAR TXT DEL PERIODO ACTUAL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C9"/>
  <sheetViews>
    <sheetView showGridLines="0" tabSelected="1" zoomScaleNormal="100" workbookViewId="0">
      <selection activeCell="B4" sqref="B4"/>
    </sheetView>
  </sheetViews>
  <sheetFormatPr defaultColWidth="8.6640625" defaultRowHeight="14.4" x14ac:dyDescent="0.3"/>
  <cols>
    <col min="1" max="1" width="4" customWidth="1"/>
    <col min="2" max="2" width="55" customWidth="1"/>
    <col min="3" max="3" width="45" customWidth="1"/>
  </cols>
  <sheetData>
    <row r="2" spans="2:3" ht="31.5" customHeight="1" x14ac:dyDescent="0.3">
      <c r="B2" s="7" t="s">
        <v>0</v>
      </c>
      <c r="C2" s="7"/>
    </row>
    <row r="3" spans="2:3" ht="19.5" customHeight="1" x14ac:dyDescent="0.3">
      <c r="B3" s="6"/>
      <c r="C3" s="6"/>
    </row>
    <row r="6" spans="2:3" ht="19.5" customHeight="1" x14ac:dyDescent="0.3">
      <c r="B6" s="5" t="s">
        <v>1</v>
      </c>
      <c r="C6" s="5"/>
    </row>
    <row r="7" spans="2:3" ht="19.5" customHeight="1" x14ac:dyDescent="0.3">
      <c r="B7" s="5"/>
      <c r="C7" s="5"/>
    </row>
    <row r="9" spans="2:3" ht="45" customHeight="1" x14ac:dyDescent="0.3">
      <c r="B9" s="4"/>
      <c r="C9" s="4"/>
    </row>
  </sheetData>
  <mergeCells count="4">
    <mergeCell ref="B2:C2"/>
    <mergeCell ref="B3:C3"/>
    <mergeCell ref="B6:C7"/>
    <mergeCell ref="B9:C9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tnGenerarF8126">
              <controlPr defaultSize="0" print="0" autoFill="0" autoPict="0" macro="[0]!GenerarTXT_F8126_SinMovimientos">
                <anchor moveWithCells="1" siz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3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B12"/>
  <sheetViews>
    <sheetView showGridLines="0" zoomScaleNormal="100" workbookViewId="0">
      <selection activeCell="F11" sqref="F11"/>
    </sheetView>
  </sheetViews>
  <sheetFormatPr defaultColWidth="8.6640625" defaultRowHeight="14.4" x14ac:dyDescent="0.3"/>
  <cols>
    <col min="1" max="1" width="4" customWidth="1"/>
    <col min="2" max="2" width="110" customWidth="1"/>
  </cols>
  <sheetData>
    <row r="2" spans="2:2" ht="31.5" customHeight="1" x14ac:dyDescent="0.3">
      <c r="B2" s="8" t="s">
        <v>2</v>
      </c>
    </row>
    <row r="3" spans="2:2" x14ac:dyDescent="0.3">
      <c r="B3" s="9"/>
    </row>
    <row r="5" spans="2:2" ht="39.75" customHeight="1" x14ac:dyDescent="0.3">
      <c r="B5" s="10" t="s">
        <v>3</v>
      </c>
    </row>
    <row r="6" spans="2:2" ht="39.75" customHeight="1" x14ac:dyDescent="0.3">
      <c r="B6" s="11" t="s">
        <v>4</v>
      </c>
    </row>
    <row r="7" spans="2:2" ht="39.75" customHeight="1" x14ac:dyDescent="0.3">
      <c r="B7" s="10" t="s">
        <v>5</v>
      </c>
    </row>
    <row r="8" spans="2:2" ht="39.75" customHeight="1" x14ac:dyDescent="0.3">
      <c r="B8" s="11" t="s">
        <v>6</v>
      </c>
    </row>
    <row r="9" spans="2:2" ht="39.75" customHeight="1" x14ac:dyDescent="0.3">
      <c r="B9" s="10" t="s">
        <v>7</v>
      </c>
    </row>
    <row r="10" spans="2:2" ht="39.75" customHeight="1" x14ac:dyDescent="0.3">
      <c r="B10" s="11" t="s">
        <v>8</v>
      </c>
    </row>
    <row r="11" spans="2:2" ht="39.75" customHeight="1" x14ac:dyDescent="0.3">
      <c r="B11" s="24" t="s">
        <v>36</v>
      </c>
    </row>
    <row r="12" spans="2:2" ht="39.75" customHeight="1" x14ac:dyDescent="0.3">
      <c r="B12" s="11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9"/>
  <sheetViews>
    <sheetView showGridLines="0" zoomScaleNormal="100" workbookViewId="0">
      <selection activeCell="A6" sqref="A6"/>
    </sheetView>
  </sheetViews>
  <sheetFormatPr defaultColWidth="8.6640625" defaultRowHeight="14.4" x14ac:dyDescent="0.3"/>
  <cols>
    <col min="1" max="1" width="32" customWidth="1"/>
    <col min="2" max="2" width="28" customWidth="1"/>
    <col min="3" max="3" width="55" customWidth="1"/>
    <col min="4" max="4" width="34" customWidth="1"/>
  </cols>
  <sheetData>
    <row r="1" spans="1:4" ht="27.75" customHeight="1" x14ac:dyDescent="0.3">
      <c r="A1" s="3" t="s">
        <v>10</v>
      </c>
      <c r="B1" s="3"/>
      <c r="C1" s="3"/>
      <c r="D1" s="3"/>
    </row>
    <row r="3" spans="1:4" x14ac:dyDescent="0.3">
      <c r="A3" s="12" t="s">
        <v>11</v>
      </c>
      <c r="B3" s="12" t="s">
        <v>12</v>
      </c>
      <c r="C3" s="12" t="s">
        <v>13</v>
      </c>
      <c r="D3" s="12" t="s">
        <v>14</v>
      </c>
    </row>
    <row r="4" spans="1:4" ht="33.75" customHeight="1" x14ac:dyDescent="0.3">
      <c r="A4" s="13" t="s">
        <v>15</v>
      </c>
      <c r="B4" s="14" t="s">
        <v>16</v>
      </c>
      <c r="C4" s="28" t="s">
        <v>40</v>
      </c>
      <c r="D4" s="16" t="str">
        <f>IF(LEN(TRIM(B4))&lt;&gt;11,"ERROR: debe tener 11 dígitos",IF(IFERROR(VALUE(B4),"x")="x","ERROR: solo dígitos","OK"))</f>
        <v>OK</v>
      </c>
    </row>
    <row r="5" spans="1:4" ht="33.75" customHeight="1" x14ac:dyDescent="0.3">
      <c r="A5" s="29" t="s">
        <v>41</v>
      </c>
      <c r="B5" s="27" t="s">
        <v>34</v>
      </c>
      <c r="C5" s="18"/>
      <c r="D5" s="16" t="str">
        <f>IF(TRIM(B5)="","ERROR: no puede estar vacío",IF(LEN(B5)&gt;200,"ERROR: máx. 200 caracteres","OK"))</f>
        <v>OK</v>
      </c>
    </row>
    <row r="6" spans="1:4" ht="33.75" customHeight="1" x14ac:dyDescent="0.3">
      <c r="A6" s="13" t="s">
        <v>17</v>
      </c>
      <c r="B6" s="14" t="s">
        <v>18</v>
      </c>
      <c r="C6" s="15" t="s">
        <v>19</v>
      </c>
      <c r="D6" s="16" t="str">
        <f>IF(LEN(TRIM(B6))&lt;&gt;6,"ERROR: debe tener 6 dígitos",IF(IFERROR(VALUE(B6),"x")="x","ERROR: solo dígitos",IF(OR(VALUE(MID(B6,1,2))&gt;23,VALUE(MID(B6,3,2))&gt;59,VALUE(MID(B6,5,2))&gt;59),"ERROR: hora/min/seg inválido","OK")))</f>
        <v>OK</v>
      </c>
    </row>
    <row r="7" spans="1:4" ht="33.75" customHeight="1" x14ac:dyDescent="0.3">
      <c r="A7" s="17" t="s">
        <v>20</v>
      </c>
      <c r="B7" s="14" t="s">
        <v>21</v>
      </c>
      <c r="C7" s="26" t="s">
        <v>39</v>
      </c>
      <c r="D7" s="16" t="str">
        <f>IF(LEN(TRIM(B7))&lt;&gt;6,"ERROR: debe tener 6 dígitos",IF(IFERROR(VALUE(B7),"x")="x","ERROR: solo dígitos","OK"))</f>
        <v>OK</v>
      </c>
    </row>
    <row r="9" spans="1:4" x14ac:dyDescent="0.3">
      <c r="A9" s="25" t="s">
        <v>37</v>
      </c>
      <c r="B9" s="2"/>
      <c r="C9" s="2"/>
    </row>
  </sheetData>
  <mergeCells count="2">
    <mergeCell ref="A1:D1"/>
    <mergeCell ref="A9:C9"/>
  </mergeCells>
  <conditionalFormatting sqref="D4:D7">
    <cfRule type="cellIs" dxfId="7" priority="2" operator="equal">
      <formula>"OK"</formula>
    </cfRule>
    <cfRule type="cellIs" dxfId="6" priority="3" operator="notEqual">
      <formula>"OK"</formula>
    </cfRule>
  </conditionalFormatting>
  <dataValidations count="4">
    <dataValidation type="custom" showErrorMessage="1" errorTitle="CUIT inválido" error="El CUIT debe tener exactamente 11 dígitos numéricos, sin guiones." sqref="B4" xr:uid="{00000000-0002-0000-0200-000000000000}">
      <formula1>AND(LEN(TRIM(B4))=11,ISNUMBER(VALUE(B4)))</formula1>
      <formula2>0</formula2>
    </dataValidation>
    <dataValidation type="custom" showErrorMessage="1" errorTitle="Denominación inválida" error="La Denominación no puede estar vacía (máximo 200 caracteres)." sqref="B5" xr:uid="{00000000-0002-0000-0200-000001000000}">
      <formula1>AND(TRIM(B5)&lt;&gt;"",LEN(B5)&lt;=200)</formula1>
      <formula2>0</formula2>
    </dataValidation>
    <dataValidation type="custom" showErrorMessage="1" errorTitle="Hora inválida" error="La Hora debe tener 6 dígitos en formato HHMMSS válido (HH 00-23, MM/SS 00-59)." sqref="B6" xr:uid="{00000000-0002-0000-0200-000002000000}">
      <formula1>AND(LEN(TRIM(B6))=6,ISNUMBER(VALUE(B6)),VALUE(MID(B6,1,2))&lt;=23,VALUE(MID(B6,3,2))&lt;=59,VALUE(MID(B6,5,2))&lt;=59)</formula1>
      <formula2>0</formula2>
    </dataValidation>
    <dataValidation type="custom" showErrorMessage="1" errorTitle="Número verificador inválido" error="El Número verificador debe tener exactamente 6 dígitos numéricos (000000-999999)." sqref="B7" xr:uid="{00000000-0002-0000-0200-000003000000}">
      <formula1>AND(LEN(TRIM(B7))=6,ISNUMBER(VALUE(B7)))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2"/>
  <sheetViews>
    <sheetView showGridLines="0" zoomScaleNormal="100" workbookViewId="0">
      <selection activeCell="A2" sqref="A2:D2"/>
    </sheetView>
  </sheetViews>
  <sheetFormatPr defaultColWidth="8.6640625" defaultRowHeight="14.4" x14ac:dyDescent="0.3"/>
  <cols>
    <col min="1" max="1" width="32" customWidth="1"/>
    <col min="2" max="2" width="70" customWidth="1"/>
    <col min="3" max="3" width="50" customWidth="1"/>
    <col min="4" max="4" width="32" customWidth="1"/>
  </cols>
  <sheetData>
    <row r="1" spans="1:4" ht="27.75" customHeight="1" x14ac:dyDescent="0.3">
      <c r="A1" s="30" t="s">
        <v>42</v>
      </c>
      <c r="B1" s="3"/>
      <c r="C1" s="3"/>
      <c r="D1" s="3"/>
    </row>
    <row r="2" spans="1:4" x14ac:dyDescent="0.3">
      <c r="A2" s="6"/>
      <c r="B2" s="6"/>
      <c r="C2" s="6"/>
      <c r="D2" s="6"/>
    </row>
    <row r="4" spans="1:4" x14ac:dyDescent="0.3">
      <c r="A4" s="12" t="s">
        <v>11</v>
      </c>
      <c r="B4" s="12" t="s">
        <v>12</v>
      </c>
      <c r="C4" s="12" t="s">
        <v>13</v>
      </c>
      <c r="D4" s="12" t="s">
        <v>14</v>
      </c>
    </row>
    <row r="5" spans="1:4" ht="25.5" customHeight="1" x14ac:dyDescent="0.3">
      <c r="A5" s="13" t="s">
        <v>22</v>
      </c>
      <c r="B5" s="14" t="s">
        <v>23</v>
      </c>
      <c r="C5" s="15"/>
      <c r="D5" s="16" t="str">
        <f>IF(LEN(TRIM(B5))&lt;&gt;6,"ERROR: debe tener 6 dígitos",IF(IFERROR(VALUE(B5),"x")="x","ERROR: solo dígitos",IF(OR(VALUE(MID(B5,5,2))&lt;1,VALUE(MID(B5,5,2))&gt;12),"ERROR: mes inválido (01-12)",IF(VALUE(B5)&lt;202604,"ERROR: menor al mínimo 202604","OK"))))</f>
        <v>OK</v>
      </c>
    </row>
    <row r="6" spans="1:4" ht="25.5" customHeight="1" x14ac:dyDescent="0.3">
      <c r="A6" s="17" t="s">
        <v>24</v>
      </c>
      <c r="B6" s="14" t="s">
        <v>25</v>
      </c>
      <c r="C6" s="18" t="s">
        <v>26</v>
      </c>
      <c r="D6" s="16" t="str">
        <f>IF(LEN(TRIM(B6))&lt;&gt;2,"ERROR: debe tener 2 dígitos",IF(IFERROR(VALUE(B6),"x")="x","ERROR: solo dígitos","OK"))</f>
        <v>OK</v>
      </c>
    </row>
    <row r="7" spans="1:4" ht="39.75" customHeight="1" x14ac:dyDescent="0.3">
      <c r="A7" s="13" t="s">
        <v>27</v>
      </c>
      <c r="B7" s="14" t="s">
        <v>28</v>
      </c>
      <c r="C7" s="15" t="s">
        <v>35</v>
      </c>
      <c r="D7" s="16" t="str">
        <f>IF(LEN(TRIM(B7))&lt;&gt;4,"ERROR: debe tener 4 dígitos",IF(IFERROR(VALUE(B7),"x")="x","ERROR: solo dígitos","OK"))</f>
        <v>OK</v>
      </c>
    </row>
    <row r="8" spans="1:4" ht="60" customHeight="1" x14ac:dyDescent="0.3">
      <c r="A8" s="17" t="s">
        <v>29</v>
      </c>
      <c r="B8" s="19" t="str">
        <f>"01"&amp;RIGHT(REPT("0",11)&amp;'Datos generales'!$B$4,11)&amp;B5&amp;RIGHT(REPT("0",2)&amp;B6,2)&amp;LEFT('Datos generales'!$B$5&amp;REPT(" ",200),200)&amp;RIGHT(REPT("0",6)&amp;'Datos generales'!$B$6,6)&amp;"0103"&amp;"812"&amp;RIGHT(REPT("0",6)&amp;'Datos generales'!$B$7,6)&amp;"8126"&amp;"00300"&amp;"0000000001"</f>
        <v>010000000000020260400g                                                                                                                                                                                                       12000001038120000008126003000000000001</v>
      </c>
      <c r="C8" s="20" t="s">
        <v>30</v>
      </c>
    </row>
    <row r="9" spans="1:4" ht="25.5" customHeight="1" x14ac:dyDescent="0.3">
      <c r="A9" s="13" t="s">
        <v>31</v>
      </c>
      <c r="B9" s="21">
        <f>LEN(B8)</f>
        <v>259</v>
      </c>
      <c r="C9" s="15"/>
    </row>
    <row r="10" spans="1:4" ht="25.5" customHeight="1" x14ac:dyDescent="0.3">
      <c r="A10" s="17" t="s">
        <v>32</v>
      </c>
      <c r="B10" s="22" t="str">
        <f>"F8126."&amp;RIGHT(REPT("0",11)&amp;'Datos generales'!$B$4,11)&amp;"."&amp;B5&amp;"00."&amp;RIGHT(REPT("0",4)&amp;B7,4)&amp;".txt"</f>
        <v>F8126.00000000000.20260400.0000.txt</v>
      </c>
      <c r="C10" s="26" t="s">
        <v>38</v>
      </c>
    </row>
    <row r="12" spans="1:4" ht="25.5" customHeight="1" x14ac:dyDescent="0.3">
      <c r="A12" s="23" t="s">
        <v>33</v>
      </c>
      <c r="B12" s="1" t="str">
        <f>IF(AND(COUNTIF('Datos generales'!D4:D7,"OK")=4,COUNTIF(D5:D7,"OK")=3,B9=259),"LISTO PARA GENERAR","REVISAR ERRORES EN ROJO (arriba o en Datos generales)")</f>
        <v>LISTO PARA GENERAR</v>
      </c>
      <c r="C12" s="1"/>
      <c r="D12" s="1"/>
    </row>
  </sheetData>
  <mergeCells count="3">
    <mergeCell ref="A1:D1"/>
    <mergeCell ref="A2:D2"/>
    <mergeCell ref="B12:D12"/>
  </mergeCells>
  <conditionalFormatting sqref="B9">
    <cfRule type="cellIs" dxfId="5" priority="2" operator="equal">
      <formula>259</formula>
    </cfRule>
    <cfRule type="cellIs" dxfId="4" priority="3" operator="notEqual">
      <formula>259</formula>
    </cfRule>
  </conditionalFormatting>
  <conditionalFormatting sqref="B12">
    <cfRule type="cellIs" dxfId="3" priority="6" operator="equal">
      <formula>"LISTO PARA GENERAR"</formula>
    </cfRule>
    <cfRule type="cellIs" dxfId="2" priority="7" operator="notEqual">
      <formula>"LISTO PARA GENERAR"</formula>
    </cfRule>
  </conditionalFormatting>
  <conditionalFormatting sqref="D5:D7">
    <cfRule type="cellIs" dxfId="1" priority="4" operator="equal">
      <formula>"OK"</formula>
    </cfRule>
    <cfRule type="cellIs" dxfId="0" priority="5" operator="notEqual">
      <formula>"OK"</formula>
    </cfRule>
  </conditionalFormatting>
  <dataValidations count="3">
    <dataValidation type="custom" showErrorMessage="1" errorTitle="Período inválido" error="El Período debe tener formato AAAAMM válido (mes 01-12), y no puede ser anterior a 202604." sqref="B5" xr:uid="{00000000-0002-0000-0300-000000000000}">
      <formula1>AND(LEN(TRIM(B5))=6,ISNUMBER(VALUE(B5)),VALUE(MID(B5,5,2))&gt;=1,VALUE(MID(B5,5,2))&lt;=12,VALUE(B5)&gt;=202604)</formula1>
      <formula2>0</formula2>
    </dataValidation>
    <dataValidation type="custom" showErrorMessage="1" errorTitle="Secuencia inválida" error="La Secuencia debe tener exactamente 2 dígitos numéricos (00, 01, 02...)." sqref="B6" xr:uid="{00000000-0002-0000-0300-000001000000}">
      <formula1>AND(LEN(TRIM(B6))=2,ISNUMBER(VALUE(B6)))</formula1>
      <formula2>0</formula2>
    </dataValidation>
    <dataValidation type="custom" showErrorMessage="1" errorTitle="Secuencia de archivo inválida" error="La Secuencia de archivo debe tener exactamente 4 dígitos numéricos (0000, 0001...)." sqref="B7" xr:uid="{00000000-0002-0000-0300-000002000000}">
      <formula1>AND(LEN(TRIM(B7))=4,ISNUMBER(VALUE(B7)))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Comandos</vt:lpstr>
      <vt:lpstr>Guia de Uso</vt:lpstr>
      <vt:lpstr>Datos generales</vt:lpstr>
      <vt:lpstr>Periodo a generar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Augusto Rombolá</cp:lastModifiedBy>
  <cp:revision>0</cp:revision>
  <dcterms:created xsi:type="dcterms:W3CDTF">2026-09-09T19:13:35Z</dcterms:created>
  <dcterms:modified xsi:type="dcterms:W3CDTF">2026-09-09T19:20:36Z</dcterms:modified>
  <dc:language>en-US</dc:language>
</cp:coreProperties>
</file>