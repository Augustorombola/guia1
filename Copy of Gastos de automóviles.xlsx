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mbola\Documents\templates\"/>
    </mc:Choice>
  </mc:AlternateContent>
  <xr:revisionPtr revIDLastSave="0" documentId="8_{6EBEFA5F-3E95-4571-B893-815CA15F135D}" xr6:coauthVersionLast="47" xr6:coauthVersionMax="47" xr10:uidLastSave="{00000000-0000-0000-0000-000000000000}"/>
  <bookViews>
    <workbookView xWindow="-110" yWindow="-110" windowWidth="19420" windowHeight="10300" activeTab="1" xr2:uid="{1CBB8647-9DA4-4057-BF4B-FD6A92755A77}"/>
  </bookViews>
  <sheets>
    <sheet name="Ejemplos" sheetId="2" r:id="rId1"/>
    <sheet name="Ajuste" sheetId="3" r:id="rId2"/>
  </sheets>
  <definedNames>
    <definedName name="_xlnm.Print_Area" localSheetId="0">Ejemplos!$A$1:$I$64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0" i="2" l="1"/>
  <c r="E8" i="3"/>
  <c r="D57" i="2"/>
  <c r="D52" i="2"/>
  <c r="G50" i="2"/>
  <c r="G52" i="2" s="1"/>
  <c r="C41" i="2"/>
  <c r="E40" i="2"/>
  <c r="F52" i="2" s="1"/>
  <c r="E39" i="2"/>
  <c r="E38" i="2"/>
  <c r="D24" i="2"/>
  <c r="D19" i="2"/>
  <c r="G19" i="2" s="1"/>
  <c r="F17" i="2"/>
  <c r="F19" i="2" s="1"/>
  <c r="C10" i="2"/>
  <c r="D59" i="2" l="1"/>
  <c r="E41" i="2"/>
  <c r="D35" i="2"/>
</calcChain>
</file>

<file path=xl/sharedStrings.xml><?xml version="1.0" encoding="utf-8"?>
<sst xmlns="http://schemas.openxmlformats.org/spreadsheetml/2006/main" count="75" uniqueCount="51">
  <si>
    <t>CASO 1</t>
  </si>
  <si>
    <t>Empresa A</t>
  </si>
  <si>
    <t>Actividad economica: Servicio de remiseria</t>
  </si>
  <si>
    <t xml:space="preserve">No hay Ajuste. </t>
  </si>
  <si>
    <t>Autos en patrimonio</t>
  </si>
  <si>
    <t>Gastos de mantenimiento</t>
  </si>
  <si>
    <t>Tope por auto $7.200</t>
  </si>
  <si>
    <t>1. Peugeot 208</t>
  </si>
  <si>
    <t>2. Ford Fiesta</t>
  </si>
  <si>
    <t>3. Citroen C3</t>
  </si>
  <si>
    <t xml:space="preserve">En este caso la deducibilidad no tiene limite, ya que, lo automoviles constituyen el objeto principal de la empresa. </t>
  </si>
  <si>
    <t>Gastos de automoviles</t>
  </si>
  <si>
    <t>REF.</t>
  </si>
  <si>
    <t>IMPORTE</t>
  </si>
  <si>
    <t>Utilitario</t>
  </si>
  <si>
    <t>Rodado</t>
  </si>
  <si>
    <t>Gastos de mantenimiento de automoviles</t>
  </si>
  <si>
    <t>BS</t>
  </si>
  <si>
    <t>Total Gastos de automoviles</t>
  </si>
  <si>
    <t>I</t>
  </si>
  <si>
    <t>Cantidad de automoviles no utilitarios</t>
  </si>
  <si>
    <t>II</t>
  </si>
  <si>
    <t>Tope deducción gastos de automoviles</t>
  </si>
  <si>
    <t>I * II</t>
  </si>
  <si>
    <t>Ajuste</t>
  </si>
  <si>
    <t>GAN  (+)</t>
  </si>
  <si>
    <t>CASO 2</t>
  </si>
  <si>
    <t>Empresa B</t>
  </si>
  <si>
    <t>Actividad economica: Servicio de Marketing</t>
  </si>
  <si>
    <t>Ajuste positivo +</t>
  </si>
  <si>
    <t>Deducción</t>
  </si>
  <si>
    <t>3. Camioneta Renault (Utilitario)</t>
  </si>
  <si>
    <t xml:space="preserve">En este caso, el tope tendrá lugar en aquellos automoviles que no son utilitarios para la empresa, ya que, no constituyen el objeto principal de la misma. </t>
  </si>
  <si>
    <t xml:space="preserve">La camioneta al ser utilitario para la empresa no tiene limite de deducción. </t>
  </si>
  <si>
    <t>Gastos de Automóviles</t>
  </si>
  <si>
    <t>Automóvil</t>
  </si>
  <si>
    <t>Gastos</t>
  </si>
  <si>
    <t>Tope deducible</t>
  </si>
  <si>
    <t>Gasto no deducible</t>
  </si>
  <si>
    <t>GAN (+)</t>
  </si>
  <si>
    <t>Ajuste a Ganancia</t>
  </si>
  <si>
    <t>[A]</t>
  </si>
  <si>
    <t>[B]</t>
  </si>
  <si>
    <t>[C]</t>
  </si>
  <si>
    <t>[D]</t>
  </si>
  <si>
    <t>Detalle de los automoviles de la compañía. Los mismos deben ligar con el CTF utilizado para el calculo de las amortizaciones impositivas. Los automóviles sujetos a limitación en la deducción de sus gastos son auqellos "para el transporte de personas de hasta ocho plazas (excluido conductor) con cuatro o más ruedas, y los de tres ruedas que exeda los mil kg de peso" Ley 24.449. Art 5°.</t>
  </si>
  <si>
    <t>Apertura de los gastos por automóvil, la cual debe ser efectuada por la compañía. Debe ligarse el total de los gastos con las cuentas del sumas y saldos que identifican los gastos de rodados.</t>
  </si>
  <si>
    <t>ARCA establece mediante RG N°94 que se podrán deducir hasta $7.200 por unidad, en concepto de gastos de mantenimiento y funcionamiento de automóviles.</t>
  </si>
  <si>
    <t>Detalle de los gastos por automóvil que exceden los $7.200. En esta columna se exponen los gastos no deducibles en la determinación del impuesto a las ganancias.</t>
  </si>
  <si>
    <t>Tope S/ Art.  92 inciso l)</t>
  </si>
  <si>
    <t>Tope por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</si>
</sst>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Daytona"/>
      <family val="2"/>
    </font>
    <font>
      <sz val="11"/>
      <color theme="1"/>
      <name val="Daytona"/>
      <family val="2"/>
    </font>
    <font>
      <sz val="10"/>
      <name val="Aptos Narrow"/>
      <family val="2"/>
      <scheme val="minor"/>
    </font>
    <font>
      <b/>
      <sz val="11"/>
      <color rgb="FFFF0000"/>
      <name val="Daytona"/>
      <family val="2"/>
    </font>
    <font>
      <sz val="10"/>
      <name val="Daytona"/>
      <family val="2"/>
    </font>
    <font>
      <b/>
      <sz val="11"/>
      <color rgb="FF0070C0"/>
      <name val="Aptos Narrow"/>
      <family val="2"/>
      <scheme val="minor"/>
    </font>
    <font>
      <b/>
      <sz val="10"/>
      <color indexed="12"/>
      <name val="Daytona"/>
      <family val="2"/>
    </font>
    <font>
      <sz val="9"/>
      <name val="Arial"/>
      <family val="2"/>
    </font>
    <font>
      <b/>
      <u/>
      <sz val="12"/>
      <name val="Arial"/>
      <family val="2"/>
    </font>
    <font>
      <i/>
      <u/>
      <sz val="9"/>
      <name val="Arial"/>
      <family val="2"/>
    </font>
    <font>
      <sz val="8"/>
      <name val="Arial"/>
      <family val="2"/>
    </font>
    <font>
      <sz val="8"/>
      <name val="Wingdings"/>
      <charset val="2"/>
    </font>
    <font>
      <sz val="8"/>
      <name val="Comic Sans MS"/>
      <family val="4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16" fillId="0" borderId="0"/>
  </cellStyleXfs>
  <cellXfs count="61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right"/>
    </xf>
    <xf numFmtId="3" fontId="0" fillId="0" borderId="0" xfId="0" applyNumberFormat="1"/>
    <xf numFmtId="3" fontId="0" fillId="0" borderId="6" xfId="0" applyNumberFormat="1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4" fillId="0" borderId="9" xfId="2" applyFont="1" applyBorder="1" applyAlignment="1">
      <alignment horizontal="left"/>
    </xf>
    <xf numFmtId="0" fontId="4" fillId="0" borderId="9" xfId="2" applyFont="1" applyBorder="1" applyAlignment="1">
      <alignment horizontal="center"/>
    </xf>
    <xf numFmtId="165" fontId="4" fillId="0" borderId="9" xfId="3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43" fontId="5" fillId="0" borderId="0" xfId="1" applyFont="1" applyFill="1" applyAlignment="1">
      <alignment horizontal="center"/>
    </xf>
    <xf numFmtId="2" fontId="5" fillId="0" borderId="0" xfId="1" applyNumberFormat="1" applyFont="1" applyFill="1" applyAlignment="1">
      <alignment horizontal="center"/>
    </xf>
    <xf numFmtId="0" fontId="4" fillId="0" borderId="10" xfId="2" applyFont="1" applyBorder="1"/>
    <xf numFmtId="0" fontId="8" fillId="0" borderId="10" xfId="4" applyFont="1" applyBorder="1"/>
    <xf numFmtId="165" fontId="4" fillId="0" borderId="10" xfId="4" applyNumberFormat="1" applyFont="1" applyBorder="1"/>
    <xf numFmtId="0" fontId="9" fillId="0" borderId="0" xfId="0" applyFont="1"/>
    <xf numFmtId="0" fontId="8" fillId="0" borderId="0" xfId="4" applyFont="1" applyAlignment="1">
      <alignment horizontal="center"/>
    </xf>
    <xf numFmtId="43" fontId="8" fillId="0" borderId="0" xfId="1" applyFont="1" applyFill="1" applyBorder="1"/>
    <xf numFmtId="166" fontId="8" fillId="0" borderId="0" xfId="1" applyNumberFormat="1" applyFont="1" applyFill="1" applyBorder="1"/>
    <xf numFmtId="0" fontId="10" fillId="0" borderId="10" xfId="5" applyFont="1" applyBorder="1" applyAlignment="1">
      <alignment horizontal="center"/>
    </xf>
    <xf numFmtId="165" fontId="4" fillId="0" borderId="10" xfId="2" applyNumberFormat="1" applyFont="1" applyBorder="1" applyAlignment="1">
      <alignment vertical="center"/>
    </xf>
    <xf numFmtId="0" fontId="8" fillId="0" borderId="11" xfId="4" applyFont="1" applyBorder="1"/>
    <xf numFmtId="0" fontId="10" fillId="0" borderId="12" xfId="5" applyFont="1" applyBorder="1" applyAlignment="1">
      <alignment horizontal="center"/>
    </xf>
    <xf numFmtId="165" fontId="4" fillId="0" borderId="13" xfId="4" applyNumberFormat="1" applyFont="1" applyBorder="1"/>
    <xf numFmtId="0" fontId="7" fillId="0" borderId="0" xfId="0" applyFont="1"/>
    <xf numFmtId="3" fontId="2" fillId="0" borderId="0" xfId="0" applyNumberFormat="1" applyFont="1"/>
    <xf numFmtId="0" fontId="11" fillId="2" borderId="0" xfId="5" applyFont="1" applyFill="1" applyAlignment="1">
      <alignment horizontal="center"/>
    </xf>
    <xf numFmtId="0" fontId="11" fillId="2" borderId="0" xfId="5" applyFont="1" applyFill="1"/>
    <xf numFmtId="0" fontId="12" fillId="2" borderId="0" xfId="5" applyFont="1" applyFill="1"/>
    <xf numFmtId="0" fontId="13" fillId="2" borderId="0" xfId="5" applyFont="1" applyFill="1"/>
    <xf numFmtId="0" fontId="14" fillId="2" borderId="0" xfId="5" applyFont="1" applyFill="1" applyAlignment="1">
      <alignment horizontal="center"/>
    </xf>
    <xf numFmtId="0" fontId="14" fillId="2" borderId="0" xfId="5" applyFont="1" applyFill="1"/>
    <xf numFmtId="0" fontId="15" fillId="2" borderId="0" xfId="5" applyFont="1" applyFill="1"/>
    <xf numFmtId="39" fontId="17" fillId="2" borderId="9" xfId="6" applyNumberFormat="1" applyFont="1" applyFill="1" applyBorder="1" applyAlignment="1">
      <alignment horizontal="center"/>
    </xf>
    <xf numFmtId="39" fontId="17" fillId="2" borderId="9" xfId="6" applyNumberFormat="1" applyFont="1" applyFill="1" applyBorder="1" applyAlignment="1">
      <alignment horizontal="center" wrapText="1"/>
    </xf>
    <xf numFmtId="39" fontId="17" fillId="2" borderId="0" xfId="6" applyNumberFormat="1" applyFont="1" applyFill="1" applyAlignment="1">
      <alignment horizontal="center" wrapText="1"/>
    </xf>
    <xf numFmtId="0" fontId="17" fillId="2" borderId="0" xfId="2" applyFont="1" applyFill="1"/>
    <xf numFmtId="0" fontId="11" fillId="2" borderId="0" xfId="2" applyFont="1" applyFill="1" applyAlignment="1">
      <alignment horizontal="center"/>
    </xf>
    <xf numFmtId="0" fontId="17" fillId="2" borderId="0" xfId="2" applyFont="1" applyFill="1" applyAlignment="1">
      <alignment horizontal="center"/>
    </xf>
    <xf numFmtId="164" fontId="17" fillId="2" borderId="0" xfId="3" applyFont="1" applyFill="1" applyBorder="1" applyAlignment="1">
      <alignment horizontal="center"/>
    </xf>
    <xf numFmtId="43" fontId="11" fillId="2" borderId="6" xfId="1" applyFont="1" applyFill="1" applyBorder="1"/>
    <xf numFmtId="0" fontId="18" fillId="2" borderId="0" xfId="5" applyFont="1" applyFill="1" applyAlignment="1">
      <alignment horizontal="center"/>
    </xf>
    <xf numFmtId="43" fontId="11" fillId="2" borderId="0" xfId="1" applyFont="1" applyFill="1" applyBorder="1"/>
    <xf numFmtId="0" fontId="18" fillId="2" borderId="0" xfId="5" applyFont="1" applyFill="1"/>
    <xf numFmtId="39" fontId="19" fillId="2" borderId="0" xfId="6" applyNumberFormat="1" applyFont="1" applyFill="1" applyAlignment="1">
      <alignment horizontal="center"/>
    </xf>
    <xf numFmtId="39" fontId="19" fillId="2" borderId="0" xfId="6" applyNumberFormat="1" applyFont="1" applyFill="1" applyAlignment="1">
      <alignment horizontal="center" wrapText="1"/>
    </xf>
    <xf numFmtId="0" fontId="20" fillId="0" borderId="0" xfId="0" applyFont="1"/>
    <xf numFmtId="0" fontId="11" fillId="2" borderId="14" xfId="5" applyFont="1" applyFill="1" applyBorder="1"/>
    <xf numFmtId="0" fontId="11" fillId="2" borderId="14" xfId="5" applyFont="1" applyFill="1" applyBorder="1" applyAlignment="1">
      <alignment horizontal="center"/>
    </xf>
    <xf numFmtId="0" fontId="18" fillId="2" borderId="14" xfId="5" applyFont="1" applyFill="1" applyBorder="1" applyAlignment="1">
      <alignment horizontal="center"/>
    </xf>
    <xf numFmtId="43" fontId="11" fillId="2" borderId="14" xfId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7">
    <cellStyle name="Comma" xfId="1" builtinId="3"/>
    <cellStyle name="Comma_Provisión GCIAS Y GMP 2003 2 2 2" xfId="3" xr:uid="{1EDA2FA4-FA6A-4A5A-B93C-BA596BAAC494}"/>
    <cellStyle name="Normal" xfId="0" builtinId="0"/>
    <cellStyle name="Normal - Modelo1" xfId="4" xr:uid="{ACA3930D-122E-4F3B-827F-790EF5384E5E}"/>
    <cellStyle name="Normal_ELECTRONIC CIA" xfId="6" xr:uid="{27A6DD57-5AF0-4AE2-9B4D-BB8927E96E06}"/>
    <cellStyle name="Normal_Provisión GCIAS Y GMP 2003 2" xfId="2" xr:uid="{FF5B0069-165A-45AD-B8D4-25E131C5C41E}"/>
    <cellStyle name="Normal_SHEET 2 2" xfId="5" xr:uid="{CC6D854B-051C-46D8-B13A-ABDD28EAE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14F7-118B-4496-9B29-0C6A11C275CC}">
  <dimension ref="B2:H59"/>
  <sheetViews>
    <sheetView showGridLines="0" view="pageBreakPreview" zoomScale="60" zoomScaleNormal="50" workbookViewId="0">
      <selection activeCell="G12" sqref="G12"/>
    </sheetView>
  </sheetViews>
  <sheetFormatPr defaultRowHeight="14.5" x14ac:dyDescent="0.35"/>
  <cols>
    <col min="2" max="2" width="92.08984375" customWidth="1"/>
    <col min="3" max="3" width="23.453125" customWidth="1"/>
    <col min="4" max="4" width="18.26953125" customWidth="1"/>
    <col min="5" max="5" width="9.54296875" bestFit="1" customWidth="1"/>
    <col min="6" max="6" width="16.90625" customWidth="1"/>
    <col min="7" max="7" width="15.6328125" bestFit="1" customWidth="1"/>
  </cols>
  <sheetData>
    <row r="2" spans="2:8" x14ac:dyDescent="0.35">
      <c r="B2" s="1" t="s">
        <v>0</v>
      </c>
      <c r="C2" s="2"/>
      <c r="D2" s="2"/>
      <c r="E2" s="2"/>
      <c r="F2" s="2"/>
      <c r="G2" s="2"/>
      <c r="H2" s="3"/>
    </row>
    <row r="3" spans="2:8" x14ac:dyDescent="0.35">
      <c r="B3" s="4" t="s">
        <v>1</v>
      </c>
      <c r="H3" s="5"/>
    </row>
    <row r="4" spans="2:8" x14ac:dyDescent="0.35">
      <c r="B4" s="4" t="s">
        <v>2</v>
      </c>
      <c r="C4" s="6" t="s">
        <v>3</v>
      </c>
      <c r="H4" s="5"/>
    </row>
    <row r="5" spans="2:8" x14ac:dyDescent="0.35">
      <c r="B5" s="4"/>
      <c r="H5" s="5"/>
    </row>
    <row r="6" spans="2:8" x14ac:dyDescent="0.35">
      <c r="B6" s="4" t="s">
        <v>4</v>
      </c>
      <c r="C6" t="s">
        <v>5</v>
      </c>
      <c r="D6" t="s">
        <v>6</v>
      </c>
      <c r="H6" s="5"/>
    </row>
    <row r="7" spans="2:8" x14ac:dyDescent="0.35">
      <c r="B7" s="4" t="s">
        <v>7</v>
      </c>
      <c r="C7" s="7">
        <v>100000</v>
      </c>
      <c r="D7">
        <v>0</v>
      </c>
      <c r="H7" s="5"/>
    </row>
    <row r="8" spans="2:8" x14ac:dyDescent="0.35">
      <c r="B8" s="4" t="s">
        <v>8</v>
      </c>
      <c r="C8" s="7">
        <v>70000</v>
      </c>
      <c r="D8">
        <v>0</v>
      </c>
      <c r="H8" s="5"/>
    </row>
    <row r="9" spans="2:8" x14ac:dyDescent="0.35">
      <c r="B9" s="4" t="s">
        <v>9</v>
      </c>
      <c r="C9" s="8">
        <v>50000</v>
      </c>
      <c r="D9">
        <v>0</v>
      </c>
      <c r="H9" s="5"/>
    </row>
    <row r="10" spans="2:8" x14ac:dyDescent="0.35">
      <c r="B10" s="4"/>
      <c r="C10" s="7">
        <f>SUM(C7:C9)</f>
        <v>220000</v>
      </c>
      <c r="H10" s="5"/>
    </row>
    <row r="11" spans="2:8" x14ac:dyDescent="0.35">
      <c r="B11" s="4"/>
      <c r="H11" s="5"/>
    </row>
    <row r="12" spans="2:8" x14ac:dyDescent="0.35">
      <c r="B12" s="4" t="s">
        <v>10</v>
      </c>
      <c r="H12" s="5"/>
    </row>
    <row r="13" spans="2:8" x14ac:dyDescent="0.35">
      <c r="B13" s="9"/>
      <c r="C13" s="10"/>
      <c r="D13" s="10"/>
      <c r="E13" s="10"/>
      <c r="F13" s="10"/>
      <c r="G13" s="10"/>
      <c r="H13" s="11"/>
    </row>
    <row r="15" spans="2:8" ht="16" thickBot="1" x14ac:dyDescent="0.5">
      <c r="B15" s="12" t="s">
        <v>11</v>
      </c>
      <c r="C15" s="13" t="s">
        <v>12</v>
      </c>
      <c r="D15" s="14" t="s">
        <v>13</v>
      </c>
      <c r="F15" s="14" t="s">
        <v>14</v>
      </c>
      <c r="G15" s="14" t="s">
        <v>15</v>
      </c>
    </row>
    <row r="16" spans="2:8" ht="16.5" x14ac:dyDescent="0.5">
      <c r="B16" s="15"/>
      <c r="C16" s="15"/>
      <c r="D16" s="15"/>
      <c r="F16" s="16"/>
    </row>
    <row r="17" spans="2:7" ht="16.5" x14ac:dyDescent="0.5">
      <c r="B17" s="15" t="s">
        <v>16</v>
      </c>
      <c r="C17" s="17" t="s">
        <v>17</v>
      </c>
      <c r="D17" s="18">
        <v>220000</v>
      </c>
      <c r="F17" s="18">
        <f>+D17</f>
        <v>220000</v>
      </c>
      <c r="G17" s="19">
        <v>0</v>
      </c>
    </row>
    <row r="18" spans="2:7" ht="16.5" x14ac:dyDescent="0.5">
      <c r="B18" s="15"/>
      <c r="C18" s="15"/>
      <c r="D18" s="15"/>
    </row>
    <row r="19" spans="2:7" ht="16" thickBot="1" x14ac:dyDescent="0.5">
      <c r="B19" s="20" t="s">
        <v>18</v>
      </c>
      <c r="C19" s="21"/>
      <c r="D19" s="22">
        <f>+D17</f>
        <v>220000</v>
      </c>
      <c r="E19" s="23"/>
      <c r="F19" s="22">
        <f>+F17</f>
        <v>220000</v>
      </c>
      <c r="G19" s="22">
        <f>+D19*G17</f>
        <v>0</v>
      </c>
    </row>
    <row r="20" spans="2:7" ht="16.5" x14ac:dyDescent="0.5">
      <c r="B20" s="15"/>
      <c r="C20" s="15"/>
      <c r="D20" s="15"/>
    </row>
    <row r="21" spans="2:7" ht="16.5" x14ac:dyDescent="0.5">
      <c r="B21" s="15" t="s">
        <v>49</v>
      </c>
      <c r="C21" s="24"/>
      <c r="D21" s="25">
        <v>7200</v>
      </c>
      <c r="E21" s="23" t="s">
        <v>19</v>
      </c>
    </row>
    <row r="22" spans="2:7" ht="16.5" x14ac:dyDescent="0.5">
      <c r="B22" s="15" t="s">
        <v>20</v>
      </c>
      <c r="C22" s="24"/>
      <c r="D22" s="26">
        <v>0</v>
      </c>
      <c r="E22" s="23" t="s">
        <v>21</v>
      </c>
    </row>
    <row r="23" spans="2:7" ht="16.5" x14ac:dyDescent="0.5">
      <c r="B23" s="15"/>
      <c r="C23" s="15"/>
      <c r="D23" s="15"/>
    </row>
    <row r="24" spans="2:7" ht="16" thickBot="1" x14ac:dyDescent="0.5">
      <c r="B24" s="20" t="s">
        <v>22</v>
      </c>
      <c r="C24" s="27" t="s">
        <v>23</v>
      </c>
      <c r="D24" s="28">
        <f>+D21*D22</f>
        <v>0</v>
      </c>
    </row>
    <row r="25" spans="2:7" ht="17" thickBot="1" x14ac:dyDescent="0.55000000000000004">
      <c r="B25" s="15"/>
      <c r="C25" s="15"/>
      <c r="D25" s="15"/>
    </row>
    <row r="26" spans="2:7" ht="17" thickBot="1" x14ac:dyDescent="0.55000000000000004">
      <c r="B26" s="29" t="s">
        <v>24</v>
      </c>
      <c r="C26" s="30"/>
      <c r="D26" s="31">
        <v>0</v>
      </c>
      <c r="E26" s="32" t="s">
        <v>25</v>
      </c>
    </row>
    <row r="33" spans="2:8" x14ac:dyDescent="0.35">
      <c r="B33" s="1" t="s">
        <v>26</v>
      </c>
      <c r="C33" s="2"/>
      <c r="D33" s="2"/>
      <c r="E33" s="2"/>
      <c r="F33" s="2"/>
      <c r="G33" s="2"/>
      <c r="H33" s="3"/>
    </row>
    <row r="34" spans="2:8" x14ac:dyDescent="0.35">
      <c r="B34" s="4" t="s">
        <v>27</v>
      </c>
      <c r="H34" s="5"/>
    </row>
    <row r="35" spans="2:8" x14ac:dyDescent="0.35">
      <c r="B35" s="4" t="s">
        <v>28</v>
      </c>
      <c r="C35" s="6" t="s">
        <v>29</v>
      </c>
      <c r="D35" s="33">
        <f>+C41-E41</f>
        <v>155600</v>
      </c>
      <c r="H35" s="5"/>
    </row>
    <row r="36" spans="2:8" x14ac:dyDescent="0.35">
      <c r="B36" s="4"/>
      <c r="H36" s="5"/>
    </row>
    <row r="37" spans="2:8" x14ac:dyDescent="0.35">
      <c r="B37" s="4" t="s">
        <v>4</v>
      </c>
      <c r="C37" t="s">
        <v>5</v>
      </c>
      <c r="D37" t="s">
        <v>50</v>
      </c>
      <c r="E37" t="s">
        <v>30</v>
      </c>
      <c r="H37" s="5"/>
    </row>
    <row r="38" spans="2:8" x14ac:dyDescent="0.35">
      <c r="B38" s="4" t="s">
        <v>7</v>
      </c>
      <c r="C38" s="7">
        <v>100000</v>
      </c>
      <c r="D38" s="7">
        <v>7200</v>
      </c>
      <c r="E38" s="7">
        <f>+D38</f>
        <v>7200</v>
      </c>
      <c r="H38" s="5"/>
    </row>
    <row r="39" spans="2:8" x14ac:dyDescent="0.35">
      <c r="B39" s="4" t="s">
        <v>8</v>
      </c>
      <c r="C39" s="7">
        <v>70000</v>
      </c>
      <c r="D39" s="7">
        <v>7200</v>
      </c>
      <c r="E39" s="7">
        <f>+D39</f>
        <v>7200</v>
      </c>
      <c r="H39" s="5"/>
    </row>
    <row r="40" spans="2:8" x14ac:dyDescent="0.35">
      <c r="B40" s="4" t="s">
        <v>31</v>
      </c>
      <c r="C40" s="8">
        <v>50000</v>
      </c>
      <c r="D40" s="10">
        <v>0</v>
      </c>
      <c r="E40" s="8">
        <f>+C40</f>
        <v>50000</v>
      </c>
      <c r="H40" s="5"/>
    </row>
    <row r="41" spans="2:8" x14ac:dyDescent="0.35">
      <c r="B41" s="4"/>
      <c r="C41" s="7">
        <f>SUM(C38:C40)</f>
        <v>220000</v>
      </c>
      <c r="E41" s="7">
        <f>SUM(E38:E40)</f>
        <v>64400</v>
      </c>
      <c r="H41" s="5"/>
    </row>
    <row r="42" spans="2:8" x14ac:dyDescent="0.35">
      <c r="B42" s="4"/>
      <c r="H42" s="5"/>
    </row>
    <row r="43" spans="2:8" x14ac:dyDescent="0.35">
      <c r="B43" s="4" t="s">
        <v>32</v>
      </c>
      <c r="H43" s="5"/>
    </row>
    <row r="44" spans="2:8" x14ac:dyDescent="0.35">
      <c r="B44" s="4" t="s">
        <v>33</v>
      </c>
      <c r="H44" s="5"/>
    </row>
    <row r="45" spans="2:8" x14ac:dyDescent="0.35">
      <c r="B45" s="9"/>
      <c r="C45" s="10"/>
      <c r="D45" s="10"/>
      <c r="E45" s="10"/>
      <c r="F45" s="10"/>
      <c r="G45" s="10"/>
      <c r="H45" s="11"/>
    </row>
    <row r="48" spans="2:8" ht="16" thickBot="1" x14ac:dyDescent="0.5">
      <c r="B48" s="12" t="s">
        <v>11</v>
      </c>
      <c r="C48" s="13" t="s">
        <v>12</v>
      </c>
      <c r="D48" s="14" t="s">
        <v>13</v>
      </c>
      <c r="F48" s="14" t="s">
        <v>14</v>
      </c>
      <c r="G48" s="14" t="s">
        <v>15</v>
      </c>
    </row>
    <row r="49" spans="2:7" ht="16.5" x14ac:dyDescent="0.5">
      <c r="B49" s="15"/>
      <c r="C49" s="15"/>
      <c r="D49" s="15"/>
      <c r="F49" s="16"/>
    </row>
    <row r="50" spans="2:7" ht="16.5" x14ac:dyDescent="0.5">
      <c r="B50" s="15" t="s">
        <v>16</v>
      </c>
      <c r="C50" s="17" t="s">
        <v>17</v>
      </c>
      <c r="D50" s="18">
        <v>220000</v>
      </c>
      <c r="F50" s="18">
        <f>+C40</f>
        <v>50000</v>
      </c>
      <c r="G50" s="18">
        <f>+C38+C39</f>
        <v>170000</v>
      </c>
    </row>
    <row r="51" spans="2:7" ht="16.5" x14ac:dyDescent="0.5">
      <c r="B51" s="15"/>
      <c r="C51" s="15"/>
      <c r="D51" s="15"/>
    </row>
    <row r="52" spans="2:7" ht="16" thickBot="1" x14ac:dyDescent="0.5">
      <c r="B52" s="20" t="s">
        <v>18</v>
      </c>
      <c r="C52" s="21"/>
      <c r="D52" s="22">
        <f>+D50</f>
        <v>220000</v>
      </c>
      <c r="E52" s="23"/>
      <c r="F52" s="22">
        <f>+F50</f>
        <v>50000</v>
      </c>
      <c r="G52" s="22">
        <f>+G50</f>
        <v>170000</v>
      </c>
    </row>
    <row r="53" spans="2:7" ht="16.5" x14ac:dyDescent="0.5">
      <c r="B53" s="15"/>
      <c r="C53" s="15"/>
      <c r="D53" s="15"/>
    </row>
    <row r="54" spans="2:7" ht="16.5" x14ac:dyDescent="0.5">
      <c r="B54" s="15" t="s">
        <v>49</v>
      </c>
      <c r="C54" s="24"/>
      <c r="D54" s="25">
        <v>7200</v>
      </c>
      <c r="E54" s="23" t="s">
        <v>19</v>
      </c>
    </row>
    <row r="55" spans="2:7" ht="16.5" x14ac:dyDescent="0.5">
      <c r="B55" s="15" t="s">
        <v>20</v>
      </c>
      <c r="C55" s="24"/>
      <c r="D55" s="26">
        <v>2</v>
      </c>
      <c r="E55" s="23" t="s">
        <v>21</v>
      </c>
    </row>
    <row r="56" spans="2:7" ht="16.5" x14ac:dyDescent="0.5">
      <c r="B56" s="15"/>
      <c r="C56" s="15"/>
      <c r="D56" s="15"/>
    </row>
    <row r="57" spans="2:7" ht="16" thickBot="1" x14ac:dyDescent="0.5">
      <c r="B57" s="20" t="s">
        <v>22</v>
      </c>
      <c r="C57" s="27" t="s">
        <v>23</v>
      </c>
      <c r="D57" s="28">
        <f>+D54*D55</f>
        <v>14400</v>
      </c>
    </row>
    <row r="58" spans="2:7" ht="17" thickBot="1" x14ac:dyDescent="0.55000000000000004">
      <c r="B58" s="15"/>
      <c r="C58" s="15"/>
      <c r="D58" s="15"/>
    </row>
    <row r="59" spans="2:7" ht="17" thickBot="1" x14ac:dyDescent="0.55000000000000004">
      <c r="B59" s="29" t="s">
        <v>24</v>
      </c>
      <c r="C59" s="30"/>
      <c r="D59" s="31">
        <f>+G52-D57</f>
        <v>155600</v>
      </c>
      <c r="E59" s="32" t="s">
        <v>25</v>
      </c>
    </row>
  </sheetData>
  <pageMargins left="0.7" right="0.7" top="0.75" bottom="0.75" header="0.3" footer="0.3"/>
  <pageSetup paperSize="9" scale="3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6D04-0D80-4C9C-B676-D01E931F42C3}">
  <dimension ref="A2:M20"/>
  <sheetViews>
    <sheetView showGridLines="0" tabSelected="1" zoomScale="90" zoomScaleNormal="90" workbookViewId="0">
      <selection activeCell="J6" sqref="J6"/>
    </sheetView>
  </sheetViews>
  <sheetFormatPr defaultRowHeight="14.5" x14ac:dyDescent="0.35"/>
  <cols>
    <col min="1" max="1" width="3.36328125" bestFit="1" customWidth="1"/>
    <col min="2" max="2" width="25.6328125" bestFit="1" customWidth="1"/>
    <col min="3" max="3" width="6.36328125" bestFit="1" customWidth="1"/>
    <col min="4" max="4" width="13.1796875" bestFit="1" customWidth="1"/>
    <col min="5" max="5" width="18.90625" customWidth="1"/>
  </cols>
  <sheetData>
    <row r="2" spans="1:13" ht="15.5" x14ac:dyDescent="0.35">
      <c r="B2" s="36" t="s">
        <v>34</v>
      </c>
      <c r="C2" s="34"/>
      <c r="D2" s="35"/>
      <c r="E2" s="35"/>
      <c r="F2" s="35"/>
    </row>
    <row r="3" spans="1:13" x14ac:dyDescent="0.35">
      <c r="B3" s="35"/>
      <c r="C3" s="34"/>
      <c r="D3" s="35"/>
      <c r="E3" s="35"/>
      <c r="F3" s="35"/>
    </row>
    <row r="4" spans="1:13" x14ac:dyDescent="0.35">
      <c r="B4" s="37"/>
      <c r="C4" s="38"/>
      <c r="D4" s="39"/>
      <c r="E4" s="39"/>
      <c r="F4" s="40"/>
    </row>
    <row r="5" spans="1:13" ht="15" thickBot="1" x14ac:dyDescent="0.4">
      <c r="B5" s="41" t="s">
        <v>35</v>
      </c>
      <c r="C5" s="41" t="s">
        <v>36</v>
      </c>
      <c r="D5" s="41" t="s">
        <v>37</v>
      </c>
      <c r="E5" s="42" t="s">
        <v>38</v>
      </c>
      <c r="F5" s="43"/>
    </row>
    <row r="6" spans="1:13" x14ac:dyDescent="0.35">
      <c r="B6" s="52" t="s">
        <v>41</v>
      </c>
      <c r="C6" s="52" t="s">
        <v>42</v>
      </c>
      <c r="D6" s="52" t="s">
        <v>43</v>
      </c>
      <c r="E6" s="53" t="s">
        <v>44</v>
      </c>
      <c r="F6" s="43"/>
    </row>
    <row r="7" spans="1:13" x14ac:dyDescent="0.35">
      <c r="B7" s="44"/>
      <c r="C7" s="45"/>
      <c r="D7" s="46"/>
      <c r="E7" s="47"/>
      <c r="F7" s="40"/>
    </row>
    <row r="8" spans="1:13" x14ac:dyDescent="0.35">
      <c r="B8" s="48">
        <v>0</v>
      </c>
      <c r="C8" s="48">
        <v>0</v>
      </c>
      <c r="D8" s="48">
        <v>7200</v>
      </c>
      <c r="E8" s="48">
        <f>IF((+C8-D8)&gt;0,(+C8-D8),0)</f>
        <v>0</v>
      </c>
      <c r="F8" s="40"/>
    </row>
    <row r="9" spans="1:13" ht="15" thickBot="1" x14ac:dyDescent="0.4">
      <c r="B9" s="55" t="s">
        <v>40</v>
      </c>
      <c r="C9" s="56"/>
      <c r="D9" s="57"/>
      <c r="E9" s="58">
        <v>0</v>
      </c>
      <c r="F9" s="51" t="s">
        <v>39</v>
      </c>
    </row>
    <row r="10" spans="1:13" ht="15" thickTop="1" x14ac:dyDescent="0.35">
      <c r="B10" s="35"/>
      <c r="C10" s="34"/>
      <c r="D10" s="35"/>
      <c r="E10" s="35"/>
      <c r="F10" s="40"/>
    </row>
    <row r="11" spans="1:13" x14ac:dyDescent="0.35">
      <c r="B11" s="35"/>
      <c r="C11" s="34"/>
      <c r="D11" s="49"/>
      <c r="E11" s="50"/>
      <c r="F11" s="51"/>
    </row>
    <row r="14" spans="1:13" ht="14.5" customHeight="1" x14ac:dyDescent="0.35">
      <c r="A14" s="54" t="s">
        <v>41</v>
      </c>
      <c r="B14" s="60" t="s">
        <v>45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</row>
    <row r="15" spans="1:13" x14ac:dyDescent="0.35">
      <c r="A15" s="54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</row>
    <row r="16" spans="1:13" x14ac:dyDescent="0.35">
      <c r="A16" s="54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</row>
    <row r="17" spans="1:13" ht="14.5" customHeight="1" x14ac:dyDescent="0.35">
      <c r="A17" s="54" t="s">
        <v>42</v>
      </c>
      <c r="B17" s="60" t="s">
        <v>46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</row>
    <row r="18" spans="1:13" x14ac:dyDescent="0.35">
      <c r="A18" s="54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</row>
    <row r="19" spans="1:13" x14ac:dyDescent="0.35">
      <c r="A19" s="54" t="s">
        <v>43</v>
      </c>
      <c r="B19" s="59" t="s">
        <v>47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x14ac:dyDescent="0.35">
      <c r="A20" s="54" t="s">
        <v>44</v>
      </c>
      <c r="B20" s="59" t="s">
        <v>48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</row>
  </sheetData>
  <mergeCells count="4">
    <mergeCell ref="B20:M20"/>
    <mergeCell ref="B14:M16"/>
    <mergeCell ref="B17:M18"/>
    <mergeCell ref="B19:M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Ejemplos</vt:lpstr>
      <vt:lpstr>Ajuste</vt:lpstr>
      <vt:lpstr>Ejemplos!Print_Area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Anabel Natalia</dc:creator>
  <cp:lastModifiedBy>Rombola, Augusto</cp:lastModifiedBy>
  <cp:lastPrinted>2026-07-15T17:49:50Z</cp:lastPrinted>
  <dcterms:created xsi:type="dcterms:W3CDTF">2026-07-15T17:49:24Z</dcterms:created>
  <dcterms:modified xsi:type="dcterms:W3CDTF">2026-07-24T14:39:42Z</dcterms:modified>
</cp:coreProperties>
</file>