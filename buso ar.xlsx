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assallo\Desktop\"/>
    </mc:Choice>
  </mc:AlternateContent>
  <xr:revisionPtr revIDLastSave="0" documentId="8_{750236C4-B601-46B1-8062-3B8EB4B4ECBD}" xr6:coauthVersionLast="47" xr6:coauthVersionMax="47" xr10:uidLastSave="{00000000-0000-0000-0000-000000000000}"/>
  <bookViews>
    <workbookView xWindow="-110" yWindow="-110" windowWidth="19420" windowHeight="11500" xr2:uid="{FE8A7E83-4865-47DD-AB58-C547421A5585}"/>
  </bookViews>
  <sheets>
    <sheet name="bs de uso" sheetId="1" r:id="rId1"/>
  </sheets>
  <externalReferences>
    <externalReference r:id="rId2"/>
  </externalReferences>
  <definedNames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KEYS">#REF!</definedName>
    <definedName name="TESTVKEY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K5" i="1"/>
  <c r="F6" i="1"/>
  <c r="K6" i="1"/>
  <c r="F7" i="1"/>
  <c r="K7" i="1"/>
  <c r="F8" i="1"/>
  <c r="H8" i="1"/>
  <c r="K8" i="1"/>
  <c r="K9" i="1"/>
  <c r="K10" i="1" s="1"/>
</calcChain>
</file>

<file path=xl/sharedStrings.xml><?xml version="1.0" encoding="utf-8"?>
<sst xmlns="http://schemas.openxmlformats.org/spreadsheetml/2006/main" count="27" uniqueCount="16">
  <si>
    <t/>
  </si>
  <si>
    <t>BS</t>
  </si>
  <si>
    <t>OC</t>
  </si>
  <si>
    <t>100-3</t>
  </si>
  <si>
    <t>100-2</t>
  </si>
  <si>
    <t>100-1</t>
  </si>
  <si>
    <t>final</t>
  </si>
  <si>
    <t>traslado</t>
  </si>
  <si>
    <t>altas</t>
  </si>
  <si>
    <t>Rubro</t>
  </si>
  <si>
    <t>ID</t>
  </si>
  <si>
    <t>fecha</t>
  </si>
  <si>
    <t>Herramienta</t>
  </si>
  <si>
    <t>mano</t>
  </si>
  <si>
    <t>AxI</t>
  </si>
  <si>
    <t>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</si>
</sst>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2" fillId="0" borderId="0" xfId="0" applyNumberFormat="1" applyFont="1"/>
    <xf numFmtId="0" fontId="3" fillId="0" borderId="0" xfId="0" applyFont="1"/>
    <xf numFmtId="17" fontId="3" fillId="0" borderId="1" xfId="0" applyNumberFormat="1" applyFont="1" applyBorder="1" applyAlignment="1">
      <alignment horizontal="center" vertical="center" wrapText="1"/>
    </xf>
    <xf numFmtId="43" fontId="0" fillId="0" borderId="0" xfId="1" applyFont="1"/>
    <xf numFmtId="0" fontId="0" fillId="2" borderId="0" xfId="0" applyFill="1" applyAlignment="1">
      <alignment horizontal="right"/>
    </xf>
    <xf numFmtId="1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TO%20DO.xlsx" TargetMode="External"/><Relationship Id="rId2" Type="http://schemas.openxmlformats.org/officeDocument/2006/relationships/externalLinkPath" Target="file:///C:\Users\fvassallo\Documents\TO%20DO.xlsx" TargetMode="External"/><Relationship Id="rId1" Type="http://schemas.openxmlformats.org/officeDocument/2006/relationships/externalLinkPath" Target="/Users/fvassallo/Documents/TO%20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 DO"/>
      <sheetName val="OS"/>
      <sheetName val="Cartera clientes"/>
      <sheetName val="amortización"/>
      <sheetName val="Facturación "/>
      <sheetName val="facturación|1"/>
      <sheetName val="camila"/>
      <sheetName val="passwords"/>
      <sheetName val="Accor"/>
      <sheetName val="Dublin"/>
      <sheetName val="DUBLIN|1"/>
      <sheetName val="pedidos ya"/>
      <sheetName val="Europe 2026"/>
      <sheetName val="Reorganizaciones"/>
      <sheetName val="hawaii"/>
      <sheetName val="west co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DD86-929E-4BEF-B5A9-E30C0ADE2E8C}">
  <sheetPr codeName="Sheet17"/>
  <dimension ref="A2:N17"/>
  <sheetViews>
    <sheetView tabSelected="1" workbookViewId="0">
      <selection activeCell="B5" sqref="B5:B7"/>
    </sheetView>
  </sheetViews>
  <sheetFormatPr defaultRowHeight="14.5" x14ac:dyDescent="0.35"/>
  <sheetData>
    <row r="2" spans="1:14" x14ac:dyDescent="0.35">
      <c r="B2" t="s">
        <v>15</v>
      </c>
      <c r="H2" t="s">
        <v>14</v>
      </c>
      <c r="K2" t="s">
        <v>14</v>
      </c>
    </row>
    <row r="3" spans="1:14" x14ac:dyDescent="0.35">
      <c r="H3" t="s">
        <v>13</v>
      </c>
      <c r="K3" t="s">
        <v>12</v>
      </c>
    </row>
    <row r="4" spans="1:14" x14ac:dyDescent="0.35">
      <c r="A4" t="s">
        <v>11</v>
      </c>
      <c r="B4" t="s">
        <v>10</v>
      </c>
      <c r="C4" t="s">
        <v>9</v>
      </c>
      <c r="D4" t="s">
        <v>8</v>
      </c>
      <c r="E4" t="s">
        <v>7</v>
      </c>
      <c r="F4" t="s">
        <v>6</v>
      </c>
    </row>
    <row r="5" spans="1:14" x14ac:dyDescent="0.35">
      <c r="A5" s="6">
        <v>46037</v>
      </c>
      <c r="B5" s="5" t="s">
        <v>5</v>
      </c>
      <c r="C5" t="s">
        <v>2</v>
      </c>
      <c r="D5" s="4">
        <v>100</v>
      </c>
      <c r="E5" s="4">
        <v>-100</v>
      </c>
      <c r="F5" s="4">
        <f>+D5+E5</f>
        <v>0</v>
      </c>
      <c r="K5">
        <f>+D5*N17/C17</f>
        <v>128.70307375681952</v>
      </c>
    </row>
    <row r="6" spans="1:14" x14ac:dyDescent="0.35">
      <c r="A6" s="6">
        <v>46115</v>
      </c>
      <c r="B6" s="5" t="s">
        <v>4</v>
      </c>
      <c r="C6" t="s">
        <v>2</v>
      </c>
      <c r="D6" s="4">
        <v>100</v>
      </c>
      <c r="E6" s="4">
        <v>-100</v>
      </c>
      <c r="F6" s="4">
        <f>+D6+E6</f>
        <v>0</v>
      </c>
      <c r="K6">
        <f>+D6*N17/F17</f>
        <v>117.88765263654368</v>
      </c>
    </row>
    <row r="7" spans="1:14" x14ac:dyDescent="0.35">
      <c r="A7" s="6">
        <v>46161</v>
      </c>
      <c r="B7" s="5" t="s">
        <v>3</v>
      </c>
      <c r="C7" t="s">
        <v>2</v>
      </c>
      <c r="D7" s="4">
        <v>100</v>
      </c>
      <c r="E7" s="4">
        <v>-100</v>
      </c>
      <c r="F7" s="4">
        <f>+D7+E7</f>
        <v>0</v>
      </c>
      <c r="K7">
        <f>+D7*N17/G17</f>
        <v>116.14420199210575</v>
      </c>
    </row>
    <row r="8" spans="1:14" x14ac:dyDescent="0.35">
      <c r="A8" s="6">
        <v>46183</v>
      </c>
      <c r="B8" s="5">
        <v>100</v>
      </c>
      <c r="C8" t="s">
        <v>1</v>
      </c>
      <c r="D8" s="4">
        <v>0</v>
      </c>
      <c r="E8" s="4">
        <v>300</v>
      </c>
      <c r="F8" s="4">
        <f>+D8+E8</f>
        <v>300</v>
      </c>
      <c r="H8">
        <f>+F8*N17/H17</f>
        <v>342.88161027184691</v>
      </c>
      <c r="K8">
        <f>+SUM(K5:K7)</f>
        <v>362.73492838546895</v>
      </c>
    </row>
    <row r="9" spans="1:14" x14ac:dyDescent="0.35">
      <c r="K9" s="4">
        <f>+K8-H8</f>
        <v>19.853318113622038</v>
      </c>
    </row>
    <row r="10" spans="1:14" x14ac:dyDescent="0.35">
      <c r="K10" s="4">
        <f>+K9/H8</f>
        <v>5.790137913165342E-2</v>
      </c>
    </row>
    <row r="13" spans="1:14" x14ac:dyDescent="0.35">
      <c r="C13" s="3">
        <v>45658</v>
      </c>
      <c r="D13" s="3">
        <v>45689</v>
      </c>
      <c r="E13" s="3">
        <v>45717</v>
      </c>
      <c r="F13" s="3">
        <v>45748</v>
      </c>
      <c r="G13" s="3">
        <v>45778</v>
      </c>
      <c r="H13" s="3">
        <v>45809</v>
      </c>
      <c r="I13" s="3">
        <v>45839</v>
      </c>
      <c r="J13" s="3">
        <v>45870</v>
      </c>
      <c r="K13" s="3">
        <v>45901</v>
      </c>
      <c r="L13" s="3">
        <v>45931</v>
      </c>
      <c r="M13" s="3">
        <v>45962</v>
      </c>
      <c r="N13" s="3">
        <v>45992</v>
      </c>
    </row>
    <row r="14" spans="1:14" x14ac:dyDescent="0.35">
      <c r="C14" s="2"/>
      <c r="D14" s="2"/>
      <c r="E14" s="2"/>
      <c r="F14" s="2"/>
      <c r="G14" s="2"/>
      <c r="H14" s="2"/>
      <c r="I14" s="2"/>
      <c r="J14" s="2"/>
      <c r="K14" s="2" t="s">
        <v>0</v>
      </c>
      <c r="L14" s="2" t="s">
        <v>0</v>
      </c>
      <c r="M14" s="2" t="s">
        <v>0</v>
      </c>
      <c r="N14" s="2"/>
    </row>
    <row r="15" spans="1:14" x14ac:dyDescent="0.35">
      <c r="C15" s="2"/>
      <c r="D15" s="2"/>
      <c r="E15" s="2"/>
      <c r="F15" s="2"/>
      <c r="G15" s="2"/>
      <c r="H15" s="2"/>
      <c r="I15" s="2"/>
      <c r="J15" s="2"/>
      <c r="K15" s="2" t="s">
        <v>0</v>
      </c>
      <c r="L15" s="2" t="s">
        <v>0</v>
      </c>
      <c r="M15" s="2" t="s">
        <v>0</v>
      </c>
      <c r="N15" s="2"/>
    </row>
    <row r="16" spans="1:14" x14ac:dyDescent="0.35">
      <c r="C16" s="2"/>
      <c r="D16" s="2"/>
      <c r="E16" s="2"/>
      <c r="F16" s="2"/>
      <c r="G16" s="2"/>
      <c r="H16" s="2"/>
      <c r="I16" s="2"/>
      <c r="J16" s="2"/>
      <c r="K16" s="2" t="s">
        <v>0</v>
      </c>
      <c r="L16" s="2" t="s">
        <v>0</v>
      </c>
      <c r="M16" s="2" t="s">
        <v>0</v>
      </c>
      <c r="N16" s="2"/>
    </row>
    <row r="17" spans="3:14" x14ac:dyDescent="0.35">
      <c r="C17" s="1">
        <v>7864.1256999999996</v>
      </c>
      <c r="D17" s="1">
        <v>8052.9926999999998</v>
      </c>
      <c r="E17" s="1">
        <v>8353.3158000000003</v>
      </c>
      <c r="F17" s="1">
        <v>8585.6077999999998</v>
      </c>
      <c r="G17" s="1">
        <v>8714.4871000000003</v>
      </c>
      <c r="H17" s="1">
        <v>8855.5681000000004</v>
      </c>
      <c r="I17" s="1">
        <v>9023.973</v>
      </c>
      <c r="J17" s="1">
        <v>9193.2440999999999</v>
      </c>
      <c r="K17" s="1">
        <v>9384.0921999999991</v>
      </c>
      <c r="L17" s="1">
        <v>9603.8623000000007</v>
      </c>
      <c r="M17" s="1">
        <v>9841.3580999999995</v>
      </c>
      <c r="N17" s="1">
        <v>10121.371499999999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 de 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Vassallo, Franco Lujan</dc:creator>
  <cp:lastModifiedBy>Vassallo, Franco Lujan</cp:lastModifiedBy>
  <dcterms:created xsi:type="dcterms:W3CDTF">2026-08-06T15:19:22Z</dcterms:created>
  <dcterms:modified xsi:type="dcterms:W3CDTF">2026-08-06T15:19:36Z</dcterms:modified>
</cp:coreProperties>
</file>