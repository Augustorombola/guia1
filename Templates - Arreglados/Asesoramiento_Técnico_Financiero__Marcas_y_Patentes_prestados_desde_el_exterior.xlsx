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nsolidado"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<sst xmlns="http://schemas.openxmlformats.org/spreadsheetml/2006/main" count="199" uniqueCount="163">
  <si>
    <t xml:space="preserve">Legislación</t>
  </si>
  <si>
    <t xml:space="preserve">Asesoramiento Técnico Financiero – Marcas y Patentes prestados desde el exterior</t>
  </si>
  <si>
    <t xml:space="preserve">1. Concepto</t>
  </si>
  <si>
    <t xml:space="preserve">Asesoramiento Técnico:</t>
  </si>
  <si>
    <t xml:space="preserve">La Resolución (INTI) 13/1987 define que el término asesoramiento técnico comprende aquellos servicios de asistencia técnica, ingeniería o consultoría brindados conforme a las reglas del arte, que se cumplan bajo la forma de locación de obra intelectual o locación de servicios, se paguen en forma proporcional a la duración o monto del trabajo realizado y en los que el proveedor asuma una obligación de brindar prestaciones específicas determinadas.</t>
  </si>
  <si>
    <t xml:space="preserve">Marcas:</t>
  </si>
  <si>
    <t xml:space="preserve">La marca es el identificador comercial de los bienes y servicios que ofrece una empresa y los diferencia de los de la competencia.</t>
  </si>
  <si>
    <t xml:space="preserve">La marca identifica al producto o servicio que se ofrece en el mercado y permite que los consumidores lo reconozcan. Así, por ejemplo, las bebidas gaseosas de Coca-Cola son ampliamente reconocidas por los consumidores quienes las buscan y las diferencian de otros productos muy similares.</t>
  </si>
  <si>
    <t xml:space="preserve">Patentes:</t>
  </si>
  <si>
    <t xml:space="preserve">Una patente es un derecho otorgado por el Estado (u otra autoridad pertinente) a un inventor de modo que este sea el único autorizado para explotar y obtener ganancias de su invención durante un período de tiempo limitado.</t>
  </si>
  <si>
    <t xml:space="preserve">Una patente es un derecho exclusivo que se otorga al creador o inventor de un cierto producto o servicio. Este derecho le permite fabricar y comercializar su invento de manera exclusiva, pudiendo demandar a cualquier otra persona u organización que intente copiar su invento.</t>
  </si>
  <si>
    <t xml:space="preserve">2. Encuadre de Fuente y Objeto</t>
  </si>
  <si>
    <t xml:space="preserve">Art. 13 LIG:</t>
  </si>
  <si>
    <t xml:space="preserve">"Serán consideradas ganancias de fuente argentina las remuneraciones o sueldos de miembros de directorios, consejos u otros organismos -de empresas o entidades constituidas o domiciliadas en el país- que actúen en el extranjero."</t>
  </si>
  <si>
    <t xml:space="preserve">Asimismo, serán considerados de fuente argentina los honorarios u otras remuneraciones originados por asesoramiento técnico, financiero o de otra índole prestado desde el exterior.</t>
  </si>
  <si>
    <t xml:space="preserve">Art. 5 LIG:</t>
  </si>
  <si>
    <t xml:space="preserve">"En general, y sin perjuicio de las disposiciones especiales de los artículos siguientes, son ganancias de fuente argentina aquellas que provienen de bienes situados, colocados o utilizados económicamente en la República, de la realización en el territorio de la Nación de cualquier acto o actividad susceptible de producir beneficios, o de hechos ocurridos dentro del límite de la misma, sin tener en cuenta nacionalidad, domicilio o residencia del titular o de las partes que intervengan en las operaciones, ni el lugar de celebración de los contratos."</t>
  </si>
  <si>
    <t xml:space="preserve">3. Limitaciones a la Deducibilidad (Gastos No Admitidos)</t>
  </si>
  <si>
    <t xml:space="preserve">Art. 92 LIG:</t>
  </si>
  <si>
    <t xml:space="preserve">No serán deducibles, sin distinción de categorías:</t>
  </si>
  <si>
    <t xml:space="preserve">inc. E:</t>
  </si>
  <si>
    <t xml:space="preserve">"Las remuneraciones o sueldos que se abonen a miembros de directorios, consejos u otros organismos que actúen en el extranjero, y los honorarios y otras remuneraciones pagadas por asesoramiento técnico-financiero o de otra índole prestado desde el exterior, en los montos que excedan de los límites que al respecto fije la reglamentación."</t>
  </si>
  <si>
    <t xml:space="preserve">(Cálculo del límite) Art. 228 DR LIG:</t>
  </si>
  <si>
    <t xml:space="preserve">A efectos de lo dispuesto por el inciso e) del artículo 92 de la ley, el importe a deducir en concepto de honorarios u otras remuneraciones pagadas por asesoramiento técnico-financiero o de otra índole prestado desde el exterior, no podrá exceder alguno de los siguientes límites:</t>
  </si>
  <si>
    <t xml:space="preserve">a) el TRES POR CIENTO (3 %) de las ventas o ingresos que se tomen como base contractual para la retribución del asesoramiento;</t>
  </si>
  <si>
    <t xml:space="preserve">b) el CINCO POR CIENTO (5 %) del monto de la inversión efectivamente realizada con motivo del asesoramiento.</t>
  </si>
  <si>
    <t xml:space="preserve">inc. M:</t>
  </si>
  <si>
    <t xml:space="preserve">"Las retribuciones por la explotación de marcas y patentes pertenecientes a sujetos del exterior, en los montos que excedan los límites que al respecto fije la reglamentación."</t>
  </si>
  <si>
    <t xml:space="preserve">(Cálculo del límite) Art. 229 DR LIG:</t>
  </si>
  <si>
    <t xml:space="preserve">A efectos de lo dispuesto por el inciso m) del artículo 92 de la ley, sólo será deducible el OCHENTA POR CIENTO (80 %) de las retribuciones que se abonen por la explotación de marcas y patentes a sujetos del exterior, en cuyo caso serán de aplicación las disposiciones establecidas en el último párrafo del artículo 24 de la ley.</t>
  </si>
  <si>
    <t xml:space="preserve">La limitación prevista en el párrafo anterior procederá tanto para las empresas independientes como para las empresas vinculadas. Respecto de estas últimas, dicha limitación será aplicable de acuerdo con lo dispuesto en el artículo 17 de la ley, sobre el precio normal de mercado entre partes independientes.</t>
  </si>
  <si>
    <t xml:space="preserve">4. Criterio de Pago y Vinculación</t>
  </si>
  <si>
    <t xml:space="preserve">Art. 24 (último párrafo) LIG:</t>
  </si>
  <si>
    <t xml:space="preserve">"Tratándose de erogaciones efectuadas por empresas locales que resulten ganancias de fuente argentina para personas o entes del extranjero con los que dichas empresas se encuentren vinculadas o para personas o entes ubicados, constituidos, radicados o domiciliados en jurisdicciones no cooperantes o de baja o nula tributación, la imputación al balance impositivo solo podrá efectuarse cuando se paguen o configure alguno de los casos previstos en el sexto párrafo de este artículo o, en su defecto, si alguna de las circunstancias mencionadas se configura dentro del plazo previsto para la presentación de la declaración jurada en la que se haya devengado la respectiva erogación."</t>
  </si>
  <si>
    <t xml:space="preserve">Teoria</t>
  </si>
  <si>
    <t xml:space="preserve">Resumen para vinculadas o no vinculadas</t>
  </si>
  <si>
    <t xml:space="preserve">Asesoramiento técnico</t>
  </si>
  <si>
    <t xml:space="preserve">- Local: deducible 100%.</t>
  </si>
  <si>
    <t xml:space="preserve">- Exterior: deducible con límite del 3% de ventas o 5% de la inversión (art. 228 DR).</t>
  </si>
  <si>
    <t xml:space="preserve">- Vinculada: sólo se deduce sobre lo pagado (o pagado antes del vencimiento de la DJ).</t>
  </si>
  <si>
    <t xml:space="preserve">- No vinculada: la limitación aplica aunque no esté pagado.</t>
  </si>
  <si>
    <t xml:space="preserve">- Verificar registración ante INPI cuando corresponda.</t>
  </si>
  <si>
    <t xml:space="preserve">Marcas y patentes</t>
  </si>
  <si>
    <t xml:space="preserve">- Exterior: deducible sólo el 80% de la retribución (art. 229 DR).</t>
  </si>
  <si>
    <t xml:space="preserve">- Vinculada: el 80% se aplica únicamente sobre lo pagado (o pagado antes del vencimiento de la DJ).</t>
  </si>
  <si>
    <t xml:space="preserve">- No vinculada: el 80% aplica independientemente del pago.</t>
  </si>
  <si>
    <t xml:space="preserve">Ejemplos</t>
  </si>
  <si>
    <t xml:space="preserve">EJEMPLO PRACTICO DE ASESORAMIENTO TECNICO PRESTADOS DESDE EL EXTERIOR</t>
  </si>
  <si>
    <t xml:space="preserve">1. Evolución contable de deudas por Asesoramiento Técnico Financiero</t>
  </si>
  <si>
    <t xml:space="preserve">CONCEPTO</t>
  </si>
  <si>
    <t xml:space="preserve">REF.</t>
  </si>
  <si>
    <t xml:space="preserve">IMPORTE</t>
  </si>
  <si>
    <t xml:space="preserve">Pasivo al inicio por Asistencia Técnica</t>
  </si>
  <si>
    <t xml:space="preserve">IGJ Ly</t>
  </si>
  <si>
    <t xml:space="preserve">Ligar con BS e IGJ del ejercicio anterior</t>
  </si>
  <si>
    <t xml:space="preserve">Asistencia Técnica devengada en el ejercicio</t>
  </si>
  <si>
    <t xml:space="preserve">IGJ / BS</t>
  </si>
  <si>
    <t xml:space="preserve">[1]</t>
  </si>
  <si>
    <t xml:space="preserve">Ligar con BS e IGJ del ejercicio. Considerar eventuales diferencias de cambio devengadas.</t>
  </si>
  <si>
    <t xml:space="preserve">Pagos por Asistencia Técnica</t>
  </si>
  <si>
    <t xml:space="preserve">GAN-16/1</t>
  </si>
  <si>
    <t xml:space="preserve">[2]</t>
  </si>
  <si>
    <t xml:space="preserve">Ligar con información suministrada por la Sociedad o analizar del mayor de la cuenta patrimonial.</t>
  </si>
  <si>
    <t xml:space="preserve">Saldo según evolución</t>
  </si>
  <si>
    <t xml:space="preserve">Pasivo al cierre por Asistencia Técnica</t>
  </si>
  <si>
    <t xml:space="preserve">Ligar con BS e IGJ del ejercicio</t>
  </si>
  <si>
    <t xml:space="preserve">Diferencia a analizar</t>
  </si>
  <si>
    <t xml:space="preserve">Pagos efectuados:</t>
  </si>
  <si>
    <t xml:space="preserve">Pagos efectuados durante el ejercicio</t>
  </si>
  <si>
    <t xml:space="preserve">Pagos efectuados con posterioridad al cierre y antes</t>
  </si>
  <si>
    <t xml:space="preserve">del vto. de la DDJJ del período bajo análisis</t>
  </si>
  <si>
    <t xml:space="preserve">Total pagos</t>
  </si>
  <si>
    <t xml:space="preserve">2. Cálculo del tope deducible por Asesoramiento Técnico-Financiero (Art. 228 del DR)</t>
  </si>
  <si>
    <t xml:space="preserve">Base de cálculo para la determinación del tope deducible</t>
  </si>
  <si>
    <t xml:space="preserve">BS / IGJ / PPC</t>
  </si>
  <si>
    <t xml:space="preserve">I [A]</t>
  </si>
  <si>
    <t xml:space="preserve">Porcentaje para la determinación del tope deducible</t>
  </si>
  <si>
    <t xml:space="preserve">II [B]</t>
  </si>
  <si>
    <t xml:space="preserve"> </t>
  </si>
  <si>
    <t xml:space="preserve">Tope deducible por Asesoramiento Técnico Financiero</t>
  </si>
  <si>
    <t xml:space="preserve">I * II</t>
  </si>
  <si>
    <t xml:space="preserve">III</t>
  </si>
  <si>
    <t xml:space="preserve">Importes pagados/devengados por Asesoramiento Técnico-Financiero</t>
  </si>
  <si>
    <t xml:space="preserve">IV</t>
  </si>
  <si>
    <t xml:space="preserve">Consignar los importes pagados / devengados durante el ejercicio en concepto de Asesoramiento Técnico Financiero realizado desde el exterior. Ver criterio con Gerente.</t>
  </si>
  <si>
    <t xml:space="preserve">Pagos no deducibles</t>
  </si>
  <si>
    <t xml:space="preserve">IV - III</t>
  </si>
  <si>
    <t xml:space="preserve">GAN (+)</t>
  </si>
  <si>
    <t xml:space="preserve">La diferencia en exceso sobre el tope determinado no resultará deducible en la determinación del Impuesto a las Ganancias</t>
  </si>
  <si>
    <t xml:space="preserve">[A]</t>
  </si>
  <si>
    <t xml:space="preserve">Consignar: a) las ventas o ingresos que se tomen como base contractual para la retribución del asesoramiento; o b) el monto de la inversión efectivamente realizada con motivo del asesoramiento. Los montos que sean consignados como base de cálculo para el tope deducible deberán ser informados por la Compañía y deberán ligarse con el BS o el IGJ del ejercicio.</t>
  </si>
  <si>
    <t xml:space="preserve">Para el ejemplo se consideró que el tope se aplica sobre los importes efectivamente abonados y no sobre los devengados. Consultar con el Gerente el criterio a seguir.</t>
  </si>
  <si>
    <t xml:space="preserve">[B]</t>
  </si>
  <si>
    <t xml:space="preserve">Se deberán consignar los siguientes porcentajes:</t>
  </si>
  <si>
    <t xml:space="preserve">a) 3% en caso de calcularse el tope deducible sobre las ventas o ingresos que se tomen como base contractual para la retribución del asesoramiento;</t>
  </si>
  <si>
    <t xml:space="preserve">b) 5% en caso de calcularse el tope deducible sobre el monto de la inversión efectivamente realizada con motivo del asesoramiento.</t>
  </si>
  <si>
    <t xml:space="preserve">Determinación del Resultado Impositivo:</t>
  </si>
  <si>
    <t xml:space="preserve">REF</t>
  </si>
  <si>
    <t xml:space="preserve">Resultado del Ejercicio (Contable)</t>
  </si>
  <si>
    <t xml:space="preserve">Pasivo por Asistencia Tecnica</t>
  </si>
  <si>
    <t xml:space="preserve">SI</t>
  </si>
  <si>
    <t xml:space="preserve">SF</t>
  </si>
  <si>
    <t xml:space="preserve">Pagos efectuados antes del vto. de la DDJJ LY</t>
  </si>
  <si>
    <t xml:space="preserve">Pagos efectuados antes del vto. de la DDJJ</t>
  </si>
  <si>
    <t xml:space="preserve">Pagos no deducibles s/ Art. 228 DR de la LIG</t>
  </si>
  <si>
    <t xml:space="preserve">Resultado Impositivo</t>
  </si>
  <si>
    <t xml:space="preserve">Comprobación Resultado Impositivo:</t>
  </si>
  <si>
    <t xml:space="preserve">Pagos deducibles s/ cálculo tope Art. 228</t>
  </si>
  <si>
    <t xml:space="preserve">Diferencia</t>
  </si>
  <si>
    <t xml:space="preserve">Marcas</t>
  </si>
  <si>
    <t xml:space="preserve">EJEMPLO PRACTICO DE MARCAS</t>
  </si>
  <si>
    <t xml:space="preserve">Evolución contable del pasivo por uso de marca</t>
  </si>
  <si>
    <t xml:space="preserve">Concepto</t>
  </si>
  <si>
    <t xml:space="preserve">Ref</t>
  </si>
  <si>
    <t xml:space="preserve">Importe</t>
  </si>
  <si>
    <t xml:space="preserve">Saldo al inicio</t>
  </si>
  <si>
    <t xml:space="preserve">GAN LY</t>
  </si>
  <si>
    <t xml:space="preserve">Uso de marca devengada en el ejercicio</t>
  </si>
  <si>
    <t xml:space="preserve">GAN - 25 | 1</t>
  </si>
  <si>
    <t xml:space="preserve">(B)</t>
  </si>
  <si>
    <t xml:space="preserve">Gasto contable devengado durante el período por uso de marca. Constituye el punto de partida para el análisis de su deducibilidad fiscal.</t>
  </si>
  <si>
    <t xml:space="preserve">D°C° devengada en el ejercicio</t>
  </si>
  <si>
    <t xml:space="preserve">GAN - 25 | 5</t>
  </si>
  <si>
    <t xml:space="preserve">(C) </t>
  </si>
  <si>
    <t xml:space="preserve">Pagos durante el ejercicio- Regalías</t>
  </si>
  <si>
    <t xml:space="preserve">GAN - 25 | 2</t>
  </si>
  <si>
    <t xml:space="preserve">I</t>
  </si>
  <si>
    <t xml:space="preserve">Pagos efectuados a la vinculada durante el período por obligaciones vinculadas al uso de marca.</t>
  </si>
  <si>
    <t xml:space="preserve">Pagos durante el ejercicio (Deducidos el año pasado, posterior a cierre 2024 y antes de DDJJ)</t>
  </si>
  <si>
    <t xml:space="preserve">Porción de los pagos del ejercicio correspondiente a pasivos originados en ejercicios anteriores. </t>
  </si>
  <si>
    <t xml:space="preserve">Se expone separadamente para evitar su consideración dentro del análisis del gasto devengado en el período actual.</t>
  </si>
  <si>
    <t xml:space="preserve">Pagos durante el ejercicio - D°C°</t>
  </si>
  <si>
    <t xml:space="preserve">Saldo s/ evolución</t>
  </si>
  <si>
    <t xml:space="preserve">Pasivo pendiente de cancelación al cierre obtenido a partir de la conciliación entre saldo inicial, devengamientos y pagos.</t>
  </si>
  <si>
    <t xml:space="preserve">Saldo al cierre</t>
  </si>
  <si>
    <t xml:space="preserve">SyS</t>
  </si>
  <si>
    <t xml:space="preserve">Dif.</t>
  </si>
  <si>
    <t xml:space="preserve">Pagos posteriores al cierre, antes del vto. - Regalías</t>
  </si>
  <si>
    <t xml:space="preserve">Cancelaciones efectuadas luego del cierre pero antes del vencimiento para la presentación de la declaración jurada. Estos pagos resultan relevantes para determinar la deducción fiscal admitida.</t>
  </si>
  <si>
    <t xml:space="preserve">(D)</t>
  </si>
  <si>
    <t xml:space="preserve">Pagos posteriores al cierre, antes del vto. - D°C°</t>
  </si>
  <si>
    <t xml:space="preserve">Importes pagados - Regalías</t>
  </si>
  <si>
    <t xml:space="preserve">Sum I</t>
  </si>
  <si>
    <t xml:space="preserve">II</t>
  </si>
  <si>
    <t xml:space="preserve">Porcentaje para el cálculo del tope deducible</t>
  </si>
  <si>
    <t xml:space="preserve">Consignar el porcentaje del 80% previsto en el Art. 229 del DR de la LIG</t>
  </si>
  <si>
    <t xml:space="preserve">Tope deducible - Regalías</t>
  </si>
  <si>
    <t xml:space="preserve">II * III</t>
  </si>
  <si>
    <t xml:space="preserve">Marca no deducible</t>
  </si>
  <si>
    <t xml:space="preserve">II - IV</t>
  </si>
  <si>
    <t xml:space="preserve">(E)</t>
  </si>
  <si>
    <t xml:space="preserve">Determinación del importe no deducible: sobre el total de regalías pagadas y/o consideradas a los efectos fiscales se aplica el porcentaje de deducción admitido por la normativa (80%). </t>
  </si>
  <si>
    <t xml:space="preserve">El importe resultante constituye la porción deducible, mientras que el 20% restante corresponde al gasto no deducible por aplicación del límite legal.</t>
  </si>
  <si>
    <t xml:space="preserve">Comprobación del ajuste</t>
  </si>
  <si>
    <t xml:space="preserve">Uso de marca devengada </t>
  </si>
  <si>
    <t xml:space="preserve">(C)</t>
  </si>
  <si>
    <t xml:space="preserve">Brasil - Pasivo por Uso de marca</t>
  </si>
  <si>
    <t xml:space="preserve">GAN</t>
  </si>
  <si>
    <t xml:space="preserve">Pagos posteriores al cierre (antes del vto) - DDJJ LY</t>
  </si>
  <si>
    <t xml:space="preserve">Pagos posteriores al cierre (antes del vto) - DDJJ PY</t>
  </si>
  <si>
    <t xml:space="preserve">Tope de la deducción (20%)</t>
  </si>
  <si>
    <t xml:space="preserve">Resultado impositivo</t>
  </si>
  <si>
    <t xml:space="preserve">Control</t>
  </si>
</sst>
</file>

<file path=xl/styles.xml><?xml version="1.0" encoding="utf-8"?>
<styleSheet xmlns="http://schemas.openxmlformats.org/spreadsheetml/2006/main">
  <numFmts count="7">
    <numFmt numFmtId="164" formatCode="General"/>
    <numFmt numFmtId="165" formatCode="_ * #,##0.00_ ;_ * \-#,##0.00_ ;_ * \-??_ ;_ @_ "/>
    <numFmt numFmtId="166" formatCode="_-* #,##0.00_-;\-* #,##0.00_-;_-* \-??_-;_-@_-"/>
    <numFmt numFmtId="167" formatCode="#,##0"/>
    <numFmt numFmtId="168" formatCode="#,##0.00"/>
    <numFmt numFmtId="169" formatCode="_-* #,##0_-;\-* #,##0_-;_-* \-??_-;_-@_-"/>
    <numFmt numFmtId="170" formatCode="0%"/>
  </numFmts>
  <fonts count="20">
    <font>
      <sz val="11"/>
      <color theme="1"/>
      <name val="Calibri"/>
      <family val="2"/>
      <charset val="1"/>
    </font>
    <font>
      <sz val="10"/>
      <name val="Arial"/>
      <family val="0"/>
    </font>
    <font>
      <sz val="10"/>
      <name val="Arial"/>
      <family val="0"/>
    </font>
    <font>
      <sz val="10"/>
      <name val="Arial"/>
      <family val="0"/>
    </font>
    <font>
      <b val="true"/>
      <u val="single"/>
      <sz val="13"/>
      <name val="Arial"/>
      <family val="0"/>
      <charset val="1"/>
    </font>
    <font>
      <b val="true"/>
      <sz val="16"/>
      <name val="Arial"/>
      <family val="0"/>
      <charset val="1"/>
    </font>
    <font>
      <b val="true"/>
      <sz val="12"/>
      <name val="Arial"/>
      <family val="0"/>
      <charset val="1"/>
    </font>
    <font>
      <b val="true"/>
      <sz val="10"/>
      <name val="Arial"/>
      <family val="0"/>
      <charset val="1"/>
    </font>
    <font>
      <sz val="10"/>
      <name val="Arial"/>
      <family val="0"/>
      <charset val="1"/>
    </font>
    <font>
      <b val="true"/>
      <sz val="14"/>
      <name val="Arial"/>
      <family val="0"/>
      <charset val="1"/>
    </font>
    <font>
      <b val="true"/>
      <sz val="9"/>
      <name val="Arial"/>
      <family val="0"/>
      <charset val="1"/>
    </font>
    <font>
      <sz val="9"/>
      <name val="Arial"/>
      <family val="0"/>
      <charset val="1"/>
    </font>
    <font>
      <b val="true"/>
      <sz val="10"/>
      <color rgb="FFFF0000"/>
      <name val="Arial"/>
      <family val="0"/>
      <charset val="1"/>
    </font>
    <font>
      <b val="true"/>
      <sz val="10"/>
      <color rgb="FF000000"/>
      <name val="Arial"/>
      <family val="0"/>
      <charset val="1"/>
    </font>
    <font>
      <sz val="10"/>
      <color rgb="FF000000"/>
      <name val="Arial"/>
      <family val="0"/>
      <charset val="1"/>
    </font>
    <font>
      <b val="true"/>
      <sz val="10"/>
      <color rgb="FF0070C0"/>
      <name val="Arial"/>
      <family val="0"/>
      <charset val="1"/>
    </font>
    <font>
      <i val="true"/>
      <sz val="10"/>
      <name val="Arial"/>
      <family val="0"/>
      <charset val="1"/>
    </font>
    <font>
      <b val="true"/>
      <i val="true"/>
      <sz val="10"/>
      <color rgb="FF000000"/>
      <name val="Arial"/>
      <family val="0"/>
      <charset val="1"/>
    </font>
    <font>
      <b val="true"/>
      <sz val="10"/>
      <color rgb="FF0000FF"/>
      <name val="Arial"/>
      <family val="0"/>
      <charset val="1"/>
    </font>
    <font>
      <b val="true"/>
      <sz val="18"/>
      <name val="Arial"/>
      <family val="0"/>
      <charset val="1"/>
    </font>
  </fonts>
  <fills count="3">
    <fill>
      <patternFill patternType="none"/>
    </fill>
    <fill>
      <patternFill patternType="gray125"/>
    </fill>
    <fill>
      <patternFill patternType="solid">
        <fgColor rgb="FFFFFFFF"/>
        <bgColor rgb="FFFFFFCC"/>
      </patternFill>
    </fill>
  </fills>
  <borders count="13">
    <border diagonalUp="false" diagonalDown="false">
      <left/>
      <right/>
      <top/>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thin"/>
      <top/>
      <bottom/>
      <diagonal/>
    </border>
    <border diagonalUp="false" diagonalDown="false">
      <left style="thin"/>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top/>
      <bottom style="medium"/>
      <diagonal/>
    </border>
    <border diagonalUp="false" diagonalDown="false">
      <left style="thin"/>
      <right/>
      <top style="thin"/>
      <bottom style="thin"/>
      <diagonal/>
    </border>
    <border diagonalUp="false" diagonalDown="false">
      <left/>
      <right/>
      <top style="thin"/>
      <bottom style="thin"/>
      <diagonal/>
    </border>
    <border diagonalUp="false" diagonalDown="false">
      <left/>
      <right style="thin"/>
      <top style="thin"/>
      <bottom style="thin"/>
      <diagonal/>
    </border>
    <border diagonalUp="false" diagonalDown="false">
      <left/>
      <right/>
      <top style="thin"/>
      <bottom style="double"/>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0" fillId="0" borderId="2" xfId="0" applyFont="false" applyBorder="true" applyAlignment="false" applyProtection="false">
      <alignment horizontal="general" vertical="bottom" textRotation="0" wrapText="false" indent="0" shrinkToFit="false"/>
      <protection locked="true" hidden="false"/>
    </xf>
    <xf numFmtId="164" fontId="0" fillId="0" borderId="3" xfId="0" applyFont="false" applyBorder="true" applyAlignment="false" applyProtection="false">
      <alignment horizontal="general" vertical="bottom" textRotation="0" wrapText="false" indent="0" shrinkToFit="false"/>
      <protection locked="true" hidden="false"/>
    </xf>
    <xf numFmtId="164" fontId="7" fillId="0" borderId="4" xfId="0" applyFont="true" applyBorder="true" applyAlignment="true" applyProtection="false">
      <alignment horizontal="left" vertical="top" textRotation="0" wrapText="true" indent="0" shrinkToFit="false"/>
      <protection locked="true" hidden="false"/>
    </xf>
    <xf numFmtId="164" fontId="8" fillId="0" borderId="4" xfId="0" applyFont="true" applyBorder="true" applyAlignment="true" applyProtection="false">
      <alignment horizontal="left" vertical="top" textRotation="0" wrapText="true" indent="0" shrinkToFit="false"/>
      <protection locked="true" hidden="false"/>
    </xf>
    <xf numFmtId="164" fontId="0" fillId="0" borderId="5" xfId="0" applyFont="false" applyBorder="true" applyAlignment="false" applyProtection="false">
      <alignment horizontal="general" vertical="bottom" textRotation="0" wrapText="false" indent="0" shrinkToFit="false"/>
      <protection locked="true" hidden="false"/>
    </xf>
    <xf numFmtId="164" fontId="0" fillId="0" borderId="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64" fontId="11" fillId="2" borderId="0" xfId="0" applyFont="true" applyBorder="false" applyAlignment="true" applyProtection="false">
      <alignment horizontal="center" vertical="bottom" textRotation="0" wrapText="false" indent="0" shrinkToFit="false"/>
      <protection locked="true" hidden="false"/>
    </xf>
    <xf numFmtId="164" fontId="11" fillId="2"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10" fillId="2" borderId="8" xfId="0" applyFont="true" applyBorder="true" applyAlignment="true" applyProtection="false">
      <alignment horizontal="center" vertical="bottom" textRotation="0" wrapText="false" indent="0" shrinkToFit="false"/>
      <protection locked="true" hidden="false"/>
    </xf>
    <xf numFmtId="164" fontId="11" fillId="2" borderId="8" xfId="0" applyFont="true" applyBorder="true" applyAlignment="true" applyProtection="false">
      <alignment horizontal="center" vertical="bottom" textRotation="0" wrapText="false" indent="0" shrinkToFit="false"/>
      <protection locked="true" hidden="false"/>
    </xf>
    <xf numFmtId="165" fontId="10" fillId="2" borderId="8" xfId="0" applyFont="true" applyBorder="true" applyAlignment="true" applyProtection="false">
      <alignment horizontal="center" vertical="bottom" textRotation="0" wrapText="false" indent="0" shrinkToFit="false"/>
      <protection locked="true" hidden="false"/>
    </xf>
    <xf numFmtId="165" fontId="11"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true" applyProtection="false">
      <alignment horizontal="center" vertical="bottom" textRotation="0" wrapText="false" indent="0" shrinkToFit="false"/>
      <protection locked="true" hidden="false"/>
    </xf>
    <xf numFmtId="166" fontId="11" fillId="2"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center" textRotation="0" wrapText="false" indent="0" shrinkToFit="false"/>
      <protection locked="true" hidden="false"/>
    </xf>
    <xf numFmtId="164" fontId="10" fillId="2" borderId="9" xfId="0" applyFont="true" applyBorder="true" applyAlignment="false" applyProtection="false">
      <alignment horizontal="general" vertical="bottom" textRotation="0" wrapText="false" indent="0" shrinkToFit="false"/>
      <protection locked="true" hidden="false"/>
    </xf>
    <xf numFmtId="164" fontId="10" fillId="2" borderId="10" xfId="0" applyFont="true" applyBorder="true" applyAlignment="true" applyProtection="false">
      <alignment horizontal="center" vertical="bottom" textRotation="0" wrapText="false" indent="0" shrinkToFit="false"/>
      <protection locked="true" hidden="false"/>
    </xf>
    <xf numFmtId="166" fontId="10" fillId="2" borderId="11" xfId="0" applyFont="true" applyBorder="true" applyAlignment="true" applyProtection="false">
      <alignment horizontal="general" vertical="center" textRotation="0" wrapText="false" indent="0" shrinkToFit="false"/>
      <protection locked="true" hidden="false"/>
    </xf>
    <xf numFmtId="167" fontId="11" fillId="2" borderId="0" xfId="0" applyFont="true" applyBorder="false" applyAlignment="false" applyProtection="false">
      <alignment horizontal="general" vertical="bottom" textRotation="0" wrapText="false" indent="0" shrinkToFit="false"/>
      <protection locked="true" hidden="false"/>
    </xf>
    <xf numFmtId="164" fontId="11" fillId="2" borderId="12" xfId="0" applyFont="true" applyBorder="true" applyAlignment="false" applyProtection="false">
      <alignment horizontal="general" vertical="bottom" textRotation="0" wrapText="false" indent="0" shrinkToFit="false"/>
      <protection locked="true" hidden="false"/>
    </xf>
    <xf numFmtId="167" fontId="11" fillId="2" borderId="12" xfId="0" applyFont="true" applyBorder="true" applyAlignment="false" applyProtection="false">
      <alignment horizontal="general" vertical="bottom" textRotation="0" wrapText="false" indent="0" shrinkToFit="false"/>
      <protection locked="true" hidden="false"/>
    </xf>
    <xf numFmtId="164" fontId="10" fillId="2" borderId="0" xfId="0" applyFont="true" applyBorder="true" applyAlignment="true" applyProtection="false">
      <alignment horizontal="center" vertical="bottom" textRotation="0" wrapText="false" indent="0" shrinkToFit="false"/>
      <protection locked="true" hidden="false"/>
    </xf>
    <xf numFmtId="165" fontId="10" fillId="2" borderId="0" xfId="0" applyFont="true" applyBorder="false" applyAlignment="false" applyProtection="false">
      <alignment horizontal="general" vertical="bottom" textRotation="0" wrapText="false" indent="0" shrinkToFit="false"/>
      <protection locked="true" hidden="false"/>
    </xf>
    <xf numFmtId="165" fontId="10" fillId="2" borderId="0" xfId="0" applyFont="true" applyBorder="false" applyAlignment="true" applyProtection="false">
      <alignment horizontal="center" vertical="bottom" textRotation="0" wrapText="false" indent="0" shrinkToFit="false"/>
      <protection locked="true" hidden="false"/>
    </xf>
    <xf numFmtId="165" fontId="10" fillId="2" borderId="0" xfId="0" applyFont="true" applyBorder="false" applyAlignment="true" applyProtection="false">
      <alignment horizontal="center" vertical="bottom" textRotation="0" wrapText="tru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8" fontId="11" fillId="2" borderId="0" xfId="0" applyFont="true" applyBorder="false" applyAlignment="true" applyProtection="false">
      <alignment horizontal="general" vertical="center" textRotation="0" wrapText="false" indent="0" shrinkToFit="false"/>
      <protection locked="true" hidden="false"/>
    </xf>
    <xf numFmtId="165" fontId="10" fillId="2" borderId="11" xfId="0" applyFont="true" applyBorder="true" applyAlignment="false" applyProtection="false">
      <alignment horizontal="general" vertical="bottom" textRotation="0" wrapText="false" indent="0" shrinkToFit="false"/>
      <protection locked="true" hidden="false"/>
    </xf>
    <xf numFmtId="168" fontId="10" fillId="2"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true" applyProtection="false">
      <alignment horizontal="left" vertical="top" textRotation="0" wrapText="false" indent="0" shrinkToFit="false"/>
      <protection locked="true" hidden="false"/>
    </xf>
    <xf numFmtId="164" fontId="11" fillId="2"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0" fillId="2" borderId="6" xfId="0" applyFont="true" applyBorder="true" applyAlignment="false" applyProtection="false">
      <alignment horizontal="general" vertical="bottom" textRotation="0" wrapText="false" indent="0" shrinkToFit="false"/>
      <protection locked="true" hidden="false"/>
    </xf>
    <xf numFmtId="164" fontId="10" fillId="2" borderId="6" xfId="0" applyFont="true" applyBorder="true" applyAlignment="true" applyProtection="false">
      <alignment horizontal="center" vertical="bottom" textRotation="0" wrapText="false" indent="0" shrinkToFit="false"/>
      <protection locked="true" hidden="false"/>
    </xf>
    <xf numFmtId="164" fontId="10" fillId="2" borderId="12" xfId="0" applyFont="true" applyBorder="true" applyAlignment="false" applyProtection="false">
      <alignment horizontal="general" vertical="bottom" textRotation="0" wrapText="false" indent="0" shrinkToFit="false"/>
      <protection locked="true" hidden="false"/>
    </xf>
    <xf numFmtId="166" fontId="11" fillId="2" borderId="12" xfId="0" applyFont="true" applyBorder="true" applyAlignment="false" applyProtection="false">
      <alignment horizontal="general" vertical="bottom" textRotation="0" wrapText="false" indent="0" shrinkToFit="false"/>
      <protection locked="true" hidden="false"/>
    </xf>
    <xf numFmtId="166" fontId="10" fillId="2" borderId="12"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6" fontId="14" fillId="0" borderId="0" xfId="0" applyFont="true" applyBorder="false" applyAlignment="false" applyProtection="false">
      <alignment horizontal="general" vertical="bottom" textRotation="0" wrapText="false" indent="0" shrinkToFit="false"/>
      <protection locked="true" hidden="false"/>
    </xf>
    <xf numFmtId="164" fontId="7" fillId="0" borderId="8" xfId="0" applyFont="true" applyBorder="true" applyAlignment="true" applyProtection="false">
      <alignment horizontal="center" vertical="bottom" textRotation="0" wrapText="false" indent="0" shrinkToFit="false"/>
      <protection locked="true" hidden="false"/>
    </xf>
    <xf numFmtId="164" fontId="12" fillId="0" borderId="0" xfId="0" applyFont="true" applyBorder="false" applyAlignment="true" applyProtection="false">
      <alignment horizontal="center" vertical="center" textRotation="0" wrapText="true" indent="0" shrinkToFit="false"/>
      <protection locked="true" hidden="false"/>
    </xf>
    <xf numFmtId="169" fontId="14"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4" fillId="0" borderId="12" xfId="0" applyFont="true" applyBorder="true" applyAlignment="false" applyProtection="false">
      <alignment horizontal="general" vertical="bottom" textRotation="0" wrapText="false" indent="0" shrinkToFit="false"/>
      <protection locked="true" hidden="false"/>
    </xf>
    <xf numFmtId="164" fontId="12" fillId="0" borderId="12" xfId="0" applyFont="true" applyBorder="true" applyAlignment="true" applyProtection="false">
      <alignment horizontal="center" vertical="bottom" textRotation="0" wrapText="false" indent="0" shrinkToFit="false"/>
      <protection locked="true" hidden="false"/>
    </xf>
    <xf numFmtId="169" fontId="14" fillId="0" borderId="12" xfId="0" applyFont="true" applyBorder="tru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true" applyProtection="false">
      <alignment horizontal="center"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4" fontId="15" fillId="0" borderId="12" xfId="0" applyFont="true" applyBorder="true" applyAlignment="true" applyProtection="false">
      <alignment horizontal="center" vertical="bottom" textRotation="0" wrapText="false" indent="0" shrinkToFit="false"/>
      <protection locked="true" hidden="false"/>
    </xf>
    <xf numFmtId="166" fontId="14" fillId="0" borderId="12" xfId="0" applyFont="true" applyBorder="true" applyAlignment="false" applyProtection="false">
      <alignment horizontal="general" vertical="bottom" textRotation="0" wrapText="fals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true" applyProtection="false">
      <alignment horizontal="center" vertical="bottom" textRotation="0" wrapText="false" indent="0" shrinkToFit="false"/>
      <protection locked="true" hidden="false"/>
    </xf>
    <xf numFmtId="164" fontId="16" fillId="0" borderId="0" xfId="0" applyFont="true" applyBorder="false" applyAlignment="true" applyProtection="false">
      <alignment horizontal="right"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91"/>
    <col collapsed="false" customWidth="true" hidden="false" outlineLevel="0" max="2" min="2" style="0" width="60.54"/>
    <col collapsed="false" customWidth="true" hidden="false" outlineLevel="0" max="3" min="3" style="0" width="13"/>
    <col collapsed="false" customWidth="true" hidden="false" outlineLevel="0" max="4" min="4" style="0" width="19"/>
    <col collapsed="false" customWidth="true" hidden="false" outlineLevel="0" max="6" min="5" style="0" width="13"/>
    <col collapsed="false" customWidth="true" hidden="false" outlineLevel="0" max="7" min="7" style="0" width="57.27"/>
    <col collapsed="false" customWidth="true" hidden="false" outlineLevel="0" max="9" min="8" style="0" width="13"/>
  </cols>
  <sheetData>
    <row r="1" customFormat="false" ht="16.15" hidden="false" customHeight="false" outlineLevel="0" collapsed="false">
      <c r="A1" s="1" t="s">
        <v>0</v>
      </c>
    </row>
    <row r="3" customFormat="false" ht="19.7" hidden="false" customHeight="false" outlineLevel="0" collapsed="false">
      <c r="B3" s="2" t="s">
        <v>1</v>
      </c>
    </row>
    <row r="6" customFormat="false" ht="16.5" hidden="false" customHeight="true" outlineLevel="0" collapsed="false">
      <c r="B6" s="3" t="s">
        <v>2</v>
      </c>
      <c r="C6" s="3"/>
      <c r="D6" s="3"/>
      <c r="E6" s="3"/>
      <c r="F6" s="3"/>
      <c r="G6" s="3"/>
      <c r="H6" s="3"/>
      <c r="I6" s="3"/>
    </row>
    <row r="7" customFormat="false" ht="15" hidden="false" customHeight="false" outlineLevel="0" collapsed="false">
      <c r="B7" s="4"/>
      <c r="C7" s="5"/>
      <c r="D7" s="5"/>
      <c r="E7" s="5"/>
      <c r="F7" s="5"/>
      <c r="G7" s="5"/>
      <c r="H7" s="5"/>
      <c r="I7" s="6"/>
    </row>
    <row r="8" customFormat="false" ht="15" hidden="false" customHeight="true" outlineLevel="0" collapsed="false">
      <c r="B8" s="7" t="s">
        <v>3</v>
      </c>
      <c r="C8" s="7"/>
      <c r="D8" s="7"/>
      <c r="E8" s="7"/>
      <c r="F8" s="7"/>
      <c r="G8" s="7"/>
      <c r="H8" s="7"/>
      <c r="I8" s="7"/>
    </row>
    <row r="9" customFormat="false" ht="42" hidden="false" customHeight="true" outlineLevel="0" collapsed="false">
      <c r="B9" s="8" t="s">
        <v>4</v>
      </c>
      <c r="C9" s="8"/>
      <c r="D9" s="8"/>
      <c r="E9" s="8"/>
      <c r="F9" s="8"/>
      <c r="G9" s="8"/>
      <c r="H9" s="8"/>
      <c r="I9" s="8"/>
    </row>
    <row r="10" customFormat="false" ht="15" hidden="false" customHeight="false" outlineLevel="0" collapsed="false">
      <c r="B10" s="4"/>
      <c r="C10" s="5"/>
      <c r="D10" s="5"/>
      <c r="E10" s="5"/>
      <c r="F10" s="5"/>
      <c r="G10" s="5"/>
      <c r="H10" s="5"/>
      <c r="I10" s="6"/>
    </row>
    <row r="11" customFormat="false" ht="15" hidden="false" customHeight="true" outlineLevel="0" collapsed="false">
      <c r="B11" s="7" t="s">
        <v>5</v>
      </c>
      <c r="C11" s="7"/>
      <c r="D11" s="7"/>
      <c r="E11" s="7"/>
      <c r="F11" s="7"/>
      <c r="G11" s="7"/>
      <c r="H11" s="7"/>
      <c r="I11" s="7"/>
    </row>
    <row r="12" customFormat="false" ht="15" hidden="false" customHeight="true" outlineLevel="0" collapsed="false">
      <c r="B12" s="8" t="s">
        <v>6</v>
      </c>
      <c r="C12" s="8"/>
      <c r="D12" s="8"/>
      <c r="E12" s="8"/>
      <c r="F12" s="8"/>
      <c r="G12" s="8"/>
      <c r="H12" s="8"/>
      <c r="I12" s="8"/>
    </row>
    <row r="13" customFormat="false" ht="27.75" hidden="false" customHeight="true" outlineLevel="0" collapsed="false">
      <c r="B13" s="8" t="s">
        <v>7</v>
      </c>
      <c r="C13" s="8"/>
      <c r="D13" s="8"/>
      <c r="E13" s="8"/>
      <c r="F13" s="8"/>
      <c r="G13" s="8"/>
      <c r="H13" s="8"/>
      <c r="I13" s="8"/>
    </row>
    <row r="14" customFormat="false" ht="15" hidden="false" customHeight="false" outlineLevel="0" collapsed="false">
      <c r="B14" s="4"/>
      <c r="C14" s="5"/>
      <c r="D14" s="5"/>
      <c r="E14" s="5"/>
      <c r="F14" s="5"/>
      <c r="G14" s="5"/>
      <c r="H14" s="5"/>
      <c r="I14" s="6"/>
    </row>
    <row r="15" customFormat="false" ht="15" hidden="false" customHeight="true" outlineLevel="0" collapsed="false">
      <c r="B15" s="7" t="s">
        <v>8</v>
      </c>
      <c r="C15" s="7"/>
      <c r="D15" s="7"/>
      <c r="E15" s="7"/>
      <c r="F15" s="7"/>
      <c r="G15" s="7"/>
      <c r="H15" s="7"/>
      <c r="I15" s="7"/>
    </row>
    <row r="16" customFormat="false" ht="27.75" hidden="false" customHeight="true" outlineLevel="0" collapsed="false">
      <c r="B16" s="8" t="s">
        <v>9</v>
      </c>
      <c r="C16" s="8"/>
      <c r="D16" s="8"/>
      <c r="E16" s="8"/>
      <c r="F16" s="8"/>
      <c r="G16" s="8"/>
      <c r="H16" s="8"/>
      <c r="I16" s="8"/>
    </row>
    <row r="17" customFormat="false" ht="27.75" hidden="false" customHeight="true" outlineLevel="0" collapsed="false">
      <c r="B17" s="8" t="s">
        <v>10</v>
      </c>
      <c r="C17" s="8"/>
      <c r="D17" s="8"/>
      <c r="E17" s="8"/>
      <c r="F17" s="8"/>
      <c r="G17" s="8"/>
      <c r="H17" s="8"/>
      <c r="I17" s="8"/>
    </row>
    <row r="18" customFormat="false" ht="15" hidden="false" customHeight="false" outlineLevel="0" collapsed="false">
      <c r="B18" s="9"/>
      <c r="C18" s="10"/>
      <c r="D18" s="10"/>
      <c r="E18" s="10"/>
      <c r="F18" s="10"/>
      <c r="G18" s="10"/>
      <c r="H18" s="10"/>
      <c r="I18" s="11"/>
    </row>
    <row r="19" customFormat="false" ht="16.5" hidden="false" customHeight="true" outlineLevel="0" collapsed="false">
      <c r="B19" s="3" t="s">
        <v>11</v>
      </c>
      <c r="C19" s="3"/>
      <c r="D19" s="3"/>
      <c r="E19" s="3"/>
      <c r="F19" s="3"/>
      <c r="G19" s="3"/>
      <c r="H19" s="3"/>
      <c r="I19" s="3"/>
    </row>
    <row r="20" customFormat="false" ht="15" hidden="false" customHeight="false" outlineLevel="0" collapsed="false">
      <c r="B20" s="4"/>
      <c r="C20" s="5"/>
      <c r="D20" s="5"/>
      <c r="E20" s="5"/>
      <c r="F20" s="5"/>
      <c r="G20" s="5"/>
      <c r="H20" s="5"/>
      <c r="I20" s="6"/>
    </row>
    <row r="21" customFormat="false" ht="15" hidden="false" customHeight="true" outlineLevel="0" collapsed="false">
      <c r="B21" s="7" t="s">
        <v>12</v>
      </c>
      <c r="C21" s="7"/>
      <c r="D21" s="7"/>
      <c r="E21" s="7"/>
      <c r="F21" s="7"/>
      <c r="G21" s="7"/>
      <c r="H21" s="7"/>
      <c r="I21" s="7"/>
    </row>
    <row r="22" customFormat="false" ht="27.75" hidden="false" customHeight="true" outlineLevel="0" collapsed="false">
      <c r="B22" s="8" t="s">
        <v>13</v>
      </c>
      <c r="C22" s="8"/>
      <c r="D22" s="8"/>
      <c r="E22" s="8"/>
      <c r="F22" s="8"/>
      <c r="G22" s="8"/>
      <c r="H22" s="8"/>
      <c r="I22" s="8"/>
    </row>
    <row r="23" customFormat="false" ht="15" hidden="false" customHeight="true" outlineLevel="0" collapsed="false">
      <c r="B23" s="8" t="s">
        <v>14</v>
      </c>
      <c r="C23" s="8"/>
      <c r="D23" s="8"/>
      <c r="E23" s="8"/>
      <c r="F23" s="8"/>
      <c r="G23" s="8"/>
      <c r="H23" s="8"/>
      <c r="I23" s="8"/>
    </row>
    <row r="24" customFormat="false" ht="15" hidden="false" customHeight="false" outlineLevel="0" collapsed="false">
      <c r="B24" s="4"/>
      <c r="C24" s="5"/>
      <c r="D24" s="5"/>
      <c r="E24" s="5"/>
      <c r="F24" s="5"/>
      <c r="G24" s="5"/>
      <c r="H24" s="5"/>
      <c r="I24" s="6"/>
    </row>
    <row r="25" customFormat="false" ht="15" hidden="false" customHeight="true" outlineLevel="0" collapsed="false">
      <c r="B25" s="7" t="s">
        <v>15</v>
      </c>
      <c r="C25" s="7"/>
      <c r="D25" s="7"/>
      <c r="E25" s="7"/>
      <c r="F25" s="7"/>
      <c r="G25" s="7"/>
      <c r="H25" s="7"/>
      <c r="I25" s="7"/>
    </row>
    <row r="26" customFormat="false" ht="42" hidden="false" customHeight="true" outlineLevel="0" collapsed="false">
      <c r="B26" s="8" t="s">
        <v>16</v>
      </c>
      <c r="C26" s="8"/>
      <c r="D26" s="8"/>
      <c r="E26" s="8"/>
      <c r="F26" s="8"/>
      <c r="G26" s="8"/>
      <c r="H26" s="8"/>
      <c r="I26" s="8"/>
    </row>
    <row r="27" customFormat="false" ht="15" hidden="false" customHeight="false" outlineLevel="0" collapsed="false">
      <c r="B27" s="9"/>
      <c r="C27" s="10"/>
      <c r="D27" s="10"/>
      <c r="E27" s="10"/>
      <c r="F27" s="10"/>
      <c r="G27" s="10"/>
      <c r="H27" s="10"/>
      <c r="I27" s="11"/>
    </row>
    <row r="28" customFormat="false" ht="16.5" hidden="false" customHeight="true" outlineLevel="0" collapsed="false">
      <c r="B28" s="3" t="s">
        <v>17</v>
      </c>
      <c r="C28" s="3"/>
      <c r="D28" s="3"/>
      <c r="E28" s="3"/>
      <c r="F28" s="3"/>
      <c r="G28" s="3"/>
      <c r="H28" s="3"/>
      <c r="I28" s="3"/>
    </row>
    <row r="29" customFormat="false" ht="15" hidden="false" customHeight="false" outlineLevel="0" collapsed="false">
      <c r="B29" s="4"/>
      <c r="C29" s="5"/>
      <c r="D29" s="5"/>
      <c r="E29" s="5"/>
      <c r="F29" s="5"/>
      <c r="G29" s="5"/>
      <c r="H29" s="5"/>
      <c r="I29" s="6"/>
    </row>
    <row r="30" customFormat="false" ht="15" hidden="false" customHeight="true" outlineLevel="0" collapsed="false">
      <c r="B30" s="7" t="s">
        <v>18</v>
      </c>
      <c r="C30" s="7"/>
      <c r="D30" s="7"/>
      <c r="E30" s="7"/>
      <c r="F30" s="7"/>
      <c r="G30" s="7"/>
      <c r="H30" s="7"/>
      <c r="I30" s="7"/>
    </row>
    <row r="31" customFormat="false" ht="15" hidden="false" customHeight="true" outlineLevel="0" collapsed="false">
      <c r="B31" s="8" t="s">
        <v>19</v>
      </c>
      <c r="C31" s="8"/>
      <c r="D31" s="8"/>
      <c r="E31" s="8"/>
      <c r="F31" s="8"/>
      <c r="G31" s="8"/>
      <c r="H31" s="8"/>
      <c r="I31" s="8"/>
    </row>
    <row r="32" customFormat="false" ht="15" hidden="false" customHeight="true" outlineLevel="0" collapsed="false">
      <c r="B32" s="7" t="s">
        <v>20</v>
      </c>
      <c r="C32" s="7"/>
      <c r="D32" s="7"/>
      <c r="E32" s="7"/>
      <c r="F32" s="7"/>
      <c r="G32" s="7"/>
      <c r="H32" s="7"/>
      <c r="I32" s="7"/>
    </row>
    <row r="33" customFormat="false" ht="27.75" hidden="false" customHeight="true" outlineLevel="0" collapsed="false">
      <c r="B33" s="8" t="s">
        <v>21</v>
      </c>
      <c r="C33" s="8"/>
      <c r="D33" s="8"/>
      <c r="E33" s="8"/>
      <c r="F33" s="8"/>
      <c r="G33" s="8"/>
      <c r="H33" s="8"/>
      <c r="I33" s="8"/>
    </row>
    <row r="34" customFormat="false" ht="15" hidden="false" customHeight="true" outlineLevel="0" collapsed="false">
      <c r="B34" s="7" t="s">
        <v>22</v>
      </c>
      <c r="C34" s="7"/>
      <c r="D34" s="7"/>
      <c r="E34" s="7"/>
      <c r="F34" s="7"/>
      <c r="G34" s="7"/>
      <c r="H34" s="7"/>
      <c r="I34" s="7"/>
    </row>
    <row r="35" customFormat="false" ht="27.75" hidden="false" customHeight="true" outlineLevel="0" collapsed="false">
      <c r="B35" s="8" t="s">
        <v>23</v>
      </c>
      <c r="C35" s="8"/>
      <c r="D35" s="8"/>
      <c r="E35" s="8"/>
      <c r="F35" s="8"/>
      <c r="G35" s="8"/>
      <c r="H35" s="8"/>
      <c r="I35" s="8"/>
    </row>
    <row r="36" customFormat="false" ht="15" hidden="false" customHeight="true" outlineLevel="0" collapsed="false">
      <c r="B36" s="8" t="s">
        <v>24</v>
      </c>
      <c r="C36" s="8"/>
      <c r="D36" s="8"/>
      <c r="E36" s="8"/>
      <c r="F36" s="8"/>
      <c r="G36" s="8"/>
      <c r="H36" s="8"/>
      <c r="I36" s="8"/>
    </row>
    <row r="37" customFormat="false" ht="15" hidden="false" customHeight="true" outlineLevel="0" collapsed="false">
      <c r="B37" s="8" t="s">
        <v>25</v>
      </c>
      <c r="C37" s="8"/>
      <c r="D37" s="8"/>
      <c r="E37" s="8"/>
      <c r="F37" s="8"/>
      <c r="G37" s="8"/>
      <c r="H37" s="8"/>
      <c r="I37" s="8"/>
    </row>
    <row r="38" customFormat="false" ht="15" hidden="false" customHeight="false" outlineLevel="0" collapsed="false">
      <c r="B38" s="4"/>
      <c r="C38" s="5"/>
      <c r="D38" s="5"/>
      <c r="E38" s="5"/>
      <c r="F38" s="5"/>
      <c r="G38" s="5"/>
      <c r="H38" s="5"/>
      <c r="I38" s="6"/>
    </row>
    <row r="39" customFormat="false" ht="15" hidden="false" customHeight="true" outlineLevel="0" collapsed="false">
      <c r="B39" s="7" t="s">
        <v>26</v>
      </c>
      <c r="C39" s="7"/>
      <c r="D39" s="7"/>
      <c r="E39" s="7"/>
      <c r="F39" s="7"/>
      <c r="G39" s="7"/>
      <c r="H39" s="7"/>
      <c r="I39" s="7"/>
    </row>
    <row r="40" customFormat="false" ht="15" hidden="false" customHeight="true" outlineLevel="0" collapsed="false">
      <c r="B40" s="8" t="s">
        <v>27</v>
      </c>
      <c r="C40" s="8"/>
      <c r="D40" s="8"/>
      <c r="E40" s="8"/>
      <c r="F40" s="8"/>
      <c r="G40" s="8"/>
      <c r="H40" s="8"/>
      <c r="I40" s="8"/>
    </row>
    <row r="41" customFormat="false" ht="15" hidden="false" customHeight="true" outlineLevel="0" collapsed="false">
      <c r="B41" s="7" t="s">
        <v>28</v>
      </c>
      <c r="C41" s="7"/>
      <c r="D41" s="7"/>
      <c r="E41" s="7"/>
      <c r="F41" s="7"/>
      <c r="G41" s="7"/>
      <c r="H41" s="7"/>
      <c r="I41" s="7"/>
    </row>
    <row r="42" customFormat="false" ht="27.75" hidden="false" customHeight="true" outlineLevel="0" collapsed="false">
      <c r="B42" s="8" t="s">
        <v>29</v>
      </c>
      <c r="C42" s="8"/>
      <c r="D42" s="8"/>
      <c r="E42" s="8"/>
      <c r="F42" s="8"/>
      <c r="G42" s="8"/>
      <c r="H42" s="8"/>
      <c r="I42" s="8"/>
    </row>
    <row r="43" customFormat="false" ht="27.75" hidden="false" customHeight="true" outlineLevel="0" collapsed="false">
      <c r="B43" s="8" t="s">
        <v>30</v>
      </c>
      <c r="C43" s="8"/>
      <c r="D43" s="8"/>
      <c r="E43" s="8"/>
      <c r="F43" s="8"/>
      <c r="G43" s="8"/>
      <c r="H43" s="8"/>
      <c r="I43" s="8"/>
    </row>
    <row r="44" customFormat="false" ht="15" hidden="false" customHeight="false" outlineLevel="0" collapsed="false">
      <c r="B44" s="9"/>
      <c r="C44" s="10"/>
      <c r="D44" s="10"/>
      <c r="E44" s="10"/>
      <c r="F44" s="10"/>
      <c r="G44" s="10"/>
      <c r="H44" s="10"/>
      <c r="I44" s="11"/>
    </row>
    <row r="45" customFormat="false" ht="16.5" hidden="false" customHeight="true" outlineLevel="0" collapsed="false">
      <c r="B45" s="3" t="s">
        <v>31</v>
      </c>
      <c r="C45" s="3"/>
      <c r="D45" s="3"/>
      <c r="E45" s="3"/>
      <c r="F45" s="3"/>
      <c r="G45" s="3"/>
      <c r="H45" s="3"/>
      <c r="I45" s="3"/>
    </row>
    <row r="46" customFormat="false" ht="15" hidden="false" customHeight="false" outlineLevel="0" collapsed="false">
      <c r="B46" s="4"/>
      <c r="C46" s="5"/>
      <c r="D46" s="5"/>
      <c r="E46" s="5"/>
      <c r="F46" s="5"/>
      <c r="G46" s="5"/>
      <c r="H46" s="5"/>
      <c r="I46" s="6"/>
    </row>
    <row r="47" customFormat="false" ht="15" hidden="false" customHeight="true" outlineLevel="0" collapsed="false">
      <c r="B47" s="7" t="s">
        <v>32</v>
      </c>
      <c r="C47" s="7"/>
      <c r="D47" s="7"/>
      <c r="E47" s="7"/>
      <c r="F47" s="7"/>
      <c r="G47" s="7"/>
      <c r="H47" s="7"/>
      <c r="I47" s="7"/>
    </row>
    <row r="48" customFormat="false" ht="55.5" hidden="false" customHeight="true" outlineLevel="0" collapsed="false">
      <c r="B48" s="8" t="s">
        <v>33</v>
      </c>
      <c r="C48" s="8"/>
      <c r="D48" s="8"/>
      <c r="E48" s="8"/>
      <c r="F48" s="8"/>
      <c r="G48" s="8"/>
      <c r="H48" s="8"/>
      <c r="I48" s="8"/>
    </row>
    <row r="49" customFormat="false" ht="15" hidden="false" customHeight="false" outlineLevel="0" collapsed="false">
      <c r="B49" s="9"/>
      <c r="C49" s="10"/>
      <c r="D49" s="10"/>
      <c r="E49" s="10"/>
      <c r="F49" s="10"/>
      <c r="G49" s="10"/>
      <c r="H49" s="10"/>
      <c r="I49" s="11"/>
    </row>
    <row r="50" customFormat="false" ht="16.15" hidden="false" customHeight="false" outlineLevel="0" collapsed="false">
      <c r="A50" s="1" t="s">
        <v>34</v>
      </c>
    </row>
    <row r="52" customFormat="false" ht="17.35" hidden="false" customHeight="false" outlineLevel="0" collapsed="false">
      <c r="B52" s="12" t="s">
        <v>35</v>
      </c>
    </row>
    <row r="53" customFormat="false" ht="15" hidden="false" customHeight="false" outlineLevel="0" collapsed="false">
      <c r="B53" s="4"/>
      <c r="C53" s="5"/>
      <c r="D53" s="5"/>
      <c r="E53" s="5"/>
      <c r="F53" s="5"/>
      <c r="G53" s="5"/>
      <c r="H53" s="5"/>
      <c r="I53" s="6"/>
    </row>
    <row r="54" customFormat="false" ht="15" hidden="false" customHeight="true" outlineLevel="0" collapsed="false">
      <c r="B54" s="7" t="s">
        <v>36</v>
      </c>
      <c r="C54" s="7"/>
      <c r="D54" s="7"/>
      <c r="E54" s="7"/>
      <c r="F54" s="7"/>
      <c r="G54" s="7"/>
      <c r="H54" s="7"/>
      <c r="I54" s="7"/>
    </row>
    <row r="55" customFormat="false" ht="15" hidden="false" customHeight="true" outlineLevel="0" collapsed="false">
      <c r="B55" s="8" t="s">
        <v>37</v>
      </c>
      <c r="C55" s="8"/>
      <c r="D55" s="8"/>
      <c r="E55" s="8"/>
      <c r="F55" s="8"/>
      <c r="G55" s="8"/>
      <c r="H55" s="8"/>
      <c r="I55" s="8"/>
    </row>
    <row r="56" customFormat="false" ht="15" hidden="false" customHeight="true" outlineLevel="0" collapsed="false">
      <c r="B56" s="8" t="s">
        <v>38</v>
      </c>
      <c r="C56" s="8"/>
      <c r="D56" s="8"/>
      <c r="E56" s="8"/>
      <c r="F56" s="8"/>
      <c r="G56" s="8"/>
      <c r="H56" s="8"/>
      <c r="I56" s="8"/>
    </row>
    <row r="57" customFormat="false" ht="15" hidden="false" customHeight="true" outlineLevel="0" collapsed="false">
      <c r="B57" s="8" t="s">
        <v>39</v>
      </c>
      <c r="C57" s="8"/>
      <c r="D57" s="8"/>
      <c r="E57" s="8"/>
      <c r="F57" s="8"/>
      <c r="G57" s="8"/>
      <c r="H57" s="8"/>
      <c r="I57" s="8"/>
    </row>
    <row r="58" customFormat="false" ht="15" hidden="false" customHeight="true" outlineLevel="0" collapsed="false">
      <c r="B58" s="8" t="s">
        <v>40</v>
      </c>
      <c r="C58" s="8"/>
      <c r="D58" s="8"/>
      <c r="E58" s="8"/>
      <c r="F58" s="8"/>
      <c r="G58" s="8"/>
      <c r="H58" s="8"/>
      <c r="I58" s="8"/>
    </row>
    <row r="59" customFormat="false" ht="15" hidden="false" customHeight="true" outlineLevel="0" collapsed="false">
      <c r="B59" s="8" t="s">
        <v>41</v>
      </c>
      <c r="C59" s="8"/>
      <c r="D59" s="8"/>
      <c r="E59" s="8"/>
      <c r="F59" s="8"/>
      <c r="G59" s="8"/>
      <c r="H59" s="8"/>
      <c r="I59" s="8"/>
    </row>
    <row r="60" customFormat="false" ht="15" hidden="false" customHeight="false" outlineLevel="0" collapsed="false">
      <c r="B60" s="4"/>
      <c r="C60" s="5"/>
      <c r="D60" s="5"/>
      <c r="E60" s="5"/>
      <c r="F60" s="5"/>
      <c r="G60" s="5"/>
      <c r="H60" s="5"/>
      <c r="I60" s="6"/>
    </row>
    <row r="61" customFormat="false" ht="15" hidden="false" customHeight="true" outlineLevel="0" collapsed="false">
      <c r="B61" s="7" t="s">
        <v>42</v>
      </c>
      <c r="C61" s="7"/>
      <c r="D61" s="7"/>
      <c r="E61" s="7"/>
      <c r="F61" s="7"/>
      <c r="G61" s="7"/>
      <c r="H61" s="7"/>
      <c r="I61" s="7"/>
    </row>
    <row r="62" customFormat="false" ht="15" hidden="false" customHeight="true" outlineLevel="0" collapsed="false">
      <c r="B62" s="8" t="s">
        <v>37</v>
      </c>
      <c r="C62" s="8"/>
      <c r="D62" s="8"/>
      <c r="E62" s="8"/>
      <c r="F62" s="8"/>
      <c r="G62" s="8"/>
      <c r="H62" s="8"/>
      <c r="I62" s="8"/>
    </row>
    <row r="63" customFormat="false" ht="15" hidden="false" customHeight="true" outlineLevel="0" collapsed="false">
      <c r="B63" s="8" t="s">
        <v>43</v>
      </c>
      <c r="C63" s="8"/>
      <c r="D63" s="8"/>
      <c r="E63" s="8"/>
      <c r="F63" s="8"/>
      <c r="G63" s="8"/>
      <c r="H63" s="8"/>
      <c r="I63" s="8"/>
    </row>
    <row r="64" customFormat="false" ht="15" hidden="false" customHeight="true" outlineLevel="0" collapsed="false">
      <c r="B64" s="8" t="s">
        <v>44</v>
      </c>
      <c r="C64" s="8"/>
      <c r="D64" s="8"/>
      <c r="E64" s="8"/>
      <c r="F64" s="8"/>
      <c r="G64" s="8"/>
      <c r="H64" s="8"/>
      <c r="I64" s="8"/>
    </row>
    <row r="65" customFormat="false" ht="15" hidden="false" customHeight="true" outlineLevel="0" collapsed="false">
      <c r="B65" s="8" t="s">
        <v>45</v>
      </c>
      <c r="C65" s="8"/>
      <c r="D65" s="8"/>
      <c r="E65" s="8"/>
      <c r="F65" s="8"/>
      <c r="G65" s="8"/>
      <c r="H65" s="8"/>
      <c r="I65" s="8"/>
    </row>
    <row r="66" customFormat="false" ht="15" hidden="false" customHeight="false" outlineLevel="0" collapsed="false">
      <c r="B66" s="9"/>
      <c r="C66" s="10"/>
      <c r="D66" s="10"/>
      <c r="E66" s="10"/>
      <c r="F66" s="10"/>
      <c r="G66" s="10"/>
      <c r="H66" s="10"/>
      <c r="I66" s="11"/>
    </row>
    <row r="67" customFormat="false" ht="16.15" hidden="false" customHeight="false" outlineLevel="0" collapsed="false">
      <c r="A67" s="1" t="s">
        <v>46</v>
      </c>
    </row>
    <row r="71" customFormat="false" ht="15" hidden="false" customHeight="false" outlineLevel="0" collapsed="false">
      <c r="B71" s="13" t="s">
        <v>47</v>
      </c>
    </row>
    <row r="74" customFormat="false" ht="15" hidden="false" customHeight="false" outlineLevel="0" collapsed="false">
      <c r="B74" s="14" t="s">
        <v>48</v>
      </c>
      <c r="C74" s="15"/>
      <c r="D74" s="16"/>
      <c r="E74" s="16"/>
      <c r="F74" s="16"/>
      <c r="G74" s="16"/>
      <c r="H74" s="16"/>
      <c r="I74" s="16"/>
      <c r="J74" s="16"/>
      <c r="K74" s="16"/>
    </row>
    <row r="75" customFormat="false" ht="15" hidden="false" customHeight="true" outlineLevel="0" collapsed="false">
      <c r="B75" s="17"/>
      <c r="C75" s="15"/>
      <c r="D75" s="16"/>
      <c r="E75" s="16"/>
      <c r="F75" s="16"/>
      <c r="G75" s="16"/>
      <c r="H75" s="16"/>
      <c r="I75" s="16"/>
      <c r="J75" s="16"/>
      <c r="K75" s="16"/>
    </row>
    <row r="76" customFormat="false" ht="15" hidden="false" customHeight="true" outlineLevel="0" collapsed="false">
      <c r="B76" s="18" t="s">
        <v>49</v>
      </c>
      <c r="C76" s="19"/>
      <c r="D76" s="18" t="s">
        <v>50</v>
      </c>
      <c r="E76" s="20" t="s">
        <v>51</v>
      </c>
      <c r="F76" s="16"/>
      <c r="G76" s="16"/>
      <c r="H76" s="16"/>
      <c r="I76" s="16"/>
      <c r="J76" s="16"/>
      <c r="K76" s="16"/>
    </row>
    <row r="77" customFormat="false" ht="15" hidden="false" customHeight="false" outlineLevel="0" collapsed="false">
      <c r="B77" s="16"/>
      <c r="C77" s="15"/>
      <c r="D77" s="16"/>
      <c r="E77" s="21"/>
      <c r="F77" s="16"/>
      <c r="G77" s="16"/>
      <c r="H77" s="16"/>
      <c r="I77" s="16"/>
      <c r="J77" s="16"/>
      <c r="K77" s="16"/>
    </row>
    <row r="78" customFormat="false" ht="15.75" hidden="false" customHeight="true" outlineLevel="0" collapsed="false">
      <c r="B78" s="16" t="s">
        <v>52</v>
      </c>
      <c r="C78" s="15"/>
      <c r="D78" s="22" t="s">
        <v>53</v>
      </c>
      <c r="E78" s="23" t="n">
        <v>0</v>
      </c>
      <c r="F78" s="16"/>
      <c r="G78" s="16"/>
      <c r="H78" s="24" t="s">
        <v>54</v>
      </c>
      <c r="I78" s="16"/>
      <c r="J78" s="16"/>
      <c r="K78" s="16"/>
    </row>
    <row r="79" customFormat="false" ht="15.75" hidden="false" customHeight="true" outlineLevel="0" collapsed="false">
      <c r="B79" s="16"/>
      <c r="C79" s="22"/>
      <c r="D79" s="22"/>
      <c r="E79" s="23"/>
      <c r="F79" s="16"/>
      <c r="G79" s="16"/>
      <c r="H79" s="24"/>
      <c r="I79" s="16"/>
      <c r="J79" s="16"/>
      <c r="K79" s="16"/>
    </row>
    <row r="80" customFormat="false" ht="15.75" hidden="false" customHeight="true" outlineLevel="0" collapsed="false">
      <c r="B80" s="16" t="s">
        <v>55</v>
      </c>
      <c r="C80" s="16"/>
      <c r="D80" s="22" t="s">
        <v>56</v>
      </c>
      <c r="E80" s="23" t="n">
        <v>20000</v>
      </c>
      <c r="F80" s="22" t="s">
        <v>57</v>
      </c>
      <c r="G80" s="16"/>
      <c r="H80" s="24" t="s">
        <v>58</v>
      </c>
      <c r="I80" s="16"/>
      <c r="J80" s="16"/>
      <c r="K80" s="16"/>
    </row>
    <row r="81" customFormat="false" ht="15.75" hidden="false" customHeight="true" outlineLevel="0" collapsed="false">
      <c r="B81" s="16"/>
      <c r="C81" s="16"/>
      <c r="D81" s="22"/>
      <c r="E81" s="23"/>
      <c r="F81" s="16"/>
      <c r="G81" s="16"/>
      <c r="H81" s="24"/>
      <c r="I81" s="16"/>
      <c r="J81" s="16"/>
      <c r="K81" s="16"/>
    </row>
    <row r="82" customFormat="false" ht="15.75" hidden="false" customHeight="true" outlineLevel="0" collapsed="false">
      <c r="B82" s="16" t="s">
        <v>59</v>
      </c>
      <c r="C82" s="16"/>
      <c r="D82" s="22" t="s">
        <v>60</v>
      </c>
      <c r="E82" s="23" t="n">
        <v>-15000</v>
      </c>
      <c r="F82" s="22" t="s">
        <v>61</v>
      </c>
      <c r="G82" s="16"/>
      <c r="H82" s="24" t="s">
        <v>62</v>
      </c>
      <c r="I82" s="16"/>
      <c r="J82" s="16"/>
      <c r="K82" s="16"/>
    </row>
    <row r="83" customFormat="false" ht="15.75" hidden="false" customHeight="true" outlineLevel="0" collapsed="false">
      <c r="B83" s="16"/>
      <c r="C83" s="22"/>
      <c r="D83" s="22"/>
      <c r="F83" s="16"/>
      <c r="G83" s="16"/>
      <c r="H83" s="24"/>
      <c r="I83" s="16"/>
      <c r="J83" s="16"/>
      <c r="K83" s="16"/>
    </row>
    <row r="84" customFormat="false" ht="15.75" hidden="false" customHeight="true" outlineLevel="0" collapsed="false">
      <c r="B84" s="25" t="s">
        <v>63</v>
      </c>
      <c r="C84" s="26"/>
      <c r="D84" s="26"/>
      <c r="E84" s="27" t="n">
        <f aca="false">SUM(E78:E82)</f>
        <v>5000</v>
      </c>
      <c r="F84" s="16"/>
      <c r="G84" s="16"/>
      <c r="H84" s="24"/>
      <c r="I84" s="16"/>
      <c r="J84" s="16"/>
      <c r="K84" s="16"/>
    </row>
    <row r="85" customFormat="false" ht="15.75" hidden="false" customHeight="true" outlineLevel="0" collapsed="false">
      <c r="B85" s="16"/>
      <c r="C85" s="16"/>
      <c r="D85" s="16"/>
      <c r="E85" s="23"/>
      <c r="F85" s="16"/>
      <c r="G85" s="16"/>
      <c r="H85" s="24"/>
      <c r="I85" s="16"/>
      <c r="J85" s="16"/>
      <c r="K85" s="16"/>
    </row>
    <row r="86" customFormat="false" ht="15.75" hidden="false" customHeight="true" outlineLevel="0" collapsed="false">
      <c r="B86" s="16" t="s">
        <v>64</v>
      </c>
      <c r="C86" s="16"/>
      <c r="D86" s="22" t="s">
        <v>56</v>
      </c>
      <c r="E86" s="23" t="n">
        <v>5000</v>
      </c>
      <c r="F86" s="16"/>
      <c r="G86" s="16"/>
      <c r="H86" s="24" t="s">
        <v>65</v>
      </c>
      <c r="I86" s="16"/>
      <c r="J86" s="16"/>
      <c r="K86" s="16"/>
    </row>
    <row r="87" customFormat="false" ht="15.75" hidden="false" customHeight="true" outlineLevel="0" collapsed="false">
      <c r="B87" s="16"/>
      <c r="C87" s="16"/>
      <c r="D87" s="16"/>
      <c r="E87" s="23"/>
      <c r="F87" s="16"/>
      <c r="G87" s="16"/>
      <c r="H87" s="24"/>
      <c r="I87" s="16"/>
      <c r="J87" s="16"/>
      <c r="K87" s="16"/>
    </row>
    <row r="88" customFormat="false" ht="15.75" hidden="false" customHeight="true" outlineLevel="0" collapsed="false">
      <c r="B88" s="25" t="s">
        <v>66</v>
      </c>
      <c r="C88" s="26"/>
      <c r="D88" s="26"/>
      <c r="E88" s="27" t="n">
        <f aca="false">+E84-E86</f>
        <v>0</v>
      </c>
      <c r="F88" s="16"/>
      <c r="G88" s="16"/>
      <c r="H88" s="24"/>
      <c r="I88" s="16"/>
      <c r="J88" s="16"/>
      <c r="K88" s="16"/>
    </row>
    <row r="89" customFormat="false" ht="15" hidden="false" customHeight="true" outlineLevel="0" collapsed="false">
      <c r="B89" s="17"/>
      <c r="C89" s="15"/>
      <c r="D89" s="16"/>
      <c r="E89" s="16"/>
      <c r="F89" s="16"/>
      <c r="G89" s="16"/>
      <c r="H89" s="16"/>
      <c r="I89" s="16"/>
      <c r="J89" s="16"/>
      <c r="K89" s="16"/>
    </row>
    <row r="90" customFormat="false" ht="15" hidden="false" customHeight="true" outlineLevel="0" collapsed="false">
      <c r="B90" s="17"/>
      <c r="C90" s="15"/>
      <c r="D90" s="16"/>
      <c r="E90" s="16"/>
      <c r="F90" s="16"/>
      <c r="G90" s="16"/>
      <c r="H90" s="16"/>
      <c r="I90" s="16"/>
      <c r="J90" s="16"/>
      <c r="K90" s="16"/>
    </row>
    <row r="91" customFormat="false" ht="15" hidden="false" customHeight="false" outlineLevel="0" collapsed="false">
      <c r="B91" s="14" t="s">
        <v>67</v>
      </c>
      <c r="C91" s="16"/>
      <c r="D91" s="16"/>
      <c r="E91" s="28"/>
      <c r="F91" s="16"/>
      <c r="G91" s="16"/>
      <c r="H91" s="16"/>
      <c r="I91" s="16"/>
      <c r="J91" s="16"/>
      <c r="K91" s="16"/>
    </row>
    <row r="92" customFormat="false" ht="15" hidden="false" customHeight="false" outlineLevel="0" collapsed="false">
      <c r="B92" s="16"/>
      <c r="C92" s="16"/>
      <c r="D92" s="16"/>
      <c r="E92" s="28"/>
      <c r="F92" s="16"/>
      <c r="G92" s="16"/>
      <c r="H92" s="16"/>
      <c r="I92" s="16"/>
      <c r="J92" s="16"/>
      <c r="K92" s="16"/>
    </row>
    <row r="93" customFormat="false" ht="15" hidden="false" customHeight="false" outlineLevel="0" collapsed="false">
      <c r="B93" s="16" t="s">
        <v>68</v>
      </c>
      <c r="C93" s="16"/>
      <c r="D93" s="16"/>
      <c r="E93" s="28" t="n">
        <f aca="false">+E82</f>
        <v>-15000</v>
      </c>
      <c r="F93" s="22" t="s">
        <v>61</v>
      </c>
      <c r="G93" s="16"/>
      <c r="H93" s="16"/>
      <c r="I93" s="16"/>
      <c r="J93" s="16"/>
      <c r="K93" s="16"/>
    </row>
    <row r="94" customFormat="false" ht="15" hidden="false" customHeight="false" outlineLevel="0" collapsed="false">
      <c r="B94" s="16"/>
      <c r="C94" s="16"/>
      <c r="D94" s="16"/>
      <c r="E94" s="28"/>
      <c r="F94" s="16"/>
      <c r="G94" s="16"/>
      <c r="H94" s="16"/>
      <c r="I94" s="16"/>
      <c r="J94" s="16"/>
      <c r="K94" s="16"/>
    </row>
    <row r="95" customFormat="false" ht="15" hidden="false" customHeight="false" outlineLevel="0" collapsed="false">
      <c r="B95" s="16" t="s">
        <v>69</v>
      </c>
      <c r="C95" s="16"/>
      <c r="D95" s="16"/>
      <c r="E95" s="28"/>
      <c r="F95" s="16"/>
      <c r="G95" s="16"/>
      <c r="H95" s="16"/>
      <c r="I95" s="16"/>
      <c r="J95" s="16"/>
      <c r="K95" s="16"/>
    </row>
    <row r="96" customFormat="false" ht="15" hidden="false" customHeight="false" outlineLevel="0" collapsed="false">
      <c r="B96" s="16" t="s">
        <v>70</v>
      </c>
      <c r="C96" s="16"/>
      <c r="D96" s="16"/>
      <c r="E96" s="28" t="n">
        <v>-5000</v>
      </c>
      <c r="F96" s="16"/>
      <c r="G96" s="16"/>
      <c r="H96" s="16"/>
      <c r="I96" s="16"/>
      <c r="J96" s="16"/>
      <c r="K96" s="16"/>
    </row>
    <row r="97" customFormat="false" ht="15" hidden="false" customHeight="false" outlineLevel="0" collapsed="false">
      <c r="B97" s="16"/>
      <c r="C97" s="16"/>
      <c r="D97" s="16"/>
      <c r="E97" s="28"/>
      <c r="F97" s="16"/>
      <c r="G97" s="16"/>
      <c r="H97" s="16"/>
      <c r="I97" s="16"/>
      <c r="J97" s="16"/>
      <c r="K97" s="16"/>
    </row>
    <row r="98" customFormat="false" ht="15" hidden="false" customHeight="true" outlineLevel="0" collapsed="false">
      <c r="B98" s="29" t="s">
        <v>71</v>
      </c>
      <c r="C98" s="29"/>
      <c r="D98" s="29"/>
      <c r="E98" s="30" t="n">
        <f aca="false">SUM(E93:E97)</f>
        <v>-20000</v>
      </c>
      <c r="F98" s="16"/>
      <c r="G98" s="16"/>
      <c r="H98" s="16"/>
      <c r="I98" s="16"/>
      <c r="J98" s="16"/>
      <c r="K98" s="16"/>
    </row>
    <row r="99" customFormat="false" ht="15.75" hidden="false" customHeight="true" outlineLevel="0" collapsed="false">
      <c r="B99" s="17"/>
      <c r="C99" s="15"/>
      <c r="D99" s="16"/>
      <c r="E99" s="16"/>
      <c r="F99" s="16"/>
      <c r="G99" s="16"/>
      <c r="H99" s="16"/>
      <c r="I99" s="16"/>
      <c r="J99" s="16"/>
      <c r="K99" s="16"/>
    </row>
    <row r="100" customFormat="false" ht="15" hidden="false" customHeight="false" outlineLevel="0" collapsed="false">
      <c r="B100" s="16"/>
      <c r="C100" s="15"/>
      <c r="D100" s="16"/>
      <c r="E100" s="16"/>
      <c r="F100" s="16"/>
      <c r="G100" s="16"/>
      <c r="H100" s="16"/>
      <c r="I100" s="16"/>
      <c r="J100" s="16"/>
      <c r="K100" s="16"/>
    </row>
    <row r="101" customFormat="false" ht="15" hidden="false" customHeight="false" outlineLevel="0" collapsed="false">
      <c r="B101" s="16"/>
      <c r="C101" s="15"/>
      <c r="D101" s="16"/>
      <c r="E101" s="21"/>
      <c r="F101" s="21"/>
      <c r="G101" s="21"/>
      <c r="H101" s="31"/>
      <c r="I101" s="31"/>
      <c r="J101" s="31"/>
      <c r="K101" s="31"/>
    </row>
    <row r="102" customFormat="false" ht="15" hidden="false" customHeight="false" outlineLevel="0" collapsed="false">
      <c r="B102" s="14" t="s">
        <v>72</v>
      </c>
      <c r="C102" s="16"/>
      <c r="D102" s="16"/>
      <c r="E102" s="16"/>
      <c r="F102" s="16"/>
      <c r="G102" s="16"/>
      <c r="H102" s="22"/>
      <c r="I102" s="22"/>
      <c r="J102" s="22"/>
      <c r="K102" s="22"/>
    </row>
    <row r="103" customFormat="false" ht="15" hidden="false" customHeight="false" outlineLevel="0" collapsed="false">
      <c r="B103" s="16"/>
      <c r="C103" s="16"/>
      <c r="D103" s="16"/>
      <c r="E103" s="16"/>
      <c r="F103" s="16"/>
      <c r="G103" s="16"/>
      <c r="H103" s="16"/>
      <c r="I103" s="16"/>
      <c r="J103" s="16"/>
      <c r="K103" s="16"/>
    </row>
    <row r="104" customFormat="false" ht="15" hidden="false" customHeight="false" outlineLevel="0" collapsed="false">
      <c r="B104" s="16"/>
      <c r="C104" s="16"/>
      <c r="D104" s="16"/>
      <c r="E104" s="16"/>
      <c r="F104" s="16"/>
      <c r="G104" s="16"/>
      <c r="H104" s="32"/>
      <c r="I104" s="32"/>
      <c r="J104" s="32"/>
      <c r="K104" s="14"/>
    </row>
    <row r="105" customFormat="false" ht="15" hidden="false" customHeight="true" outlineLevel="0" collapsed="false">
      <c r="B105" s="18" t="s">
        <v>49</v>
      </c>
      <c r="C105" s="19"/>
      <c r="D105" s="18" t="s">
        <v>50</v>
      </c>
      <c r="E105" s="20" t="s">
        <v>51</v>
      </c>
      <c r="F105" s="33"/>
      <c r="G105" s="34"/>
      <c r="H105" s="16"/>
      <c r="I105" s="16"/>
      <c r="J105" s="16"/>
      <c r="K105" s="16"/>
    </row>
    <row r="106" customFormat="false" ht="15" hidden="false" customHeight="false" outlineLevel="0" collapsed="false">
      <c r="B106" s="16"/>
      <c r="C106" s="15"/>
      <c r="D106" s="16"/>
      <c r="E106" s="21"/>
      <c r="F106" s="21"/>
      <c r="G106" s="21"/>
      <c r="H106" s="16"/>
      <c r="I106" s="16"/>
      <c r="J106" s="16"/>
      <c r="K106" s="16"/>
    </row>
    <row r="107" customFormat="false" ht="15" hidden="false" customHeight="false" outlineLevel="0" collapsed="false">
      <c r="B107" s="16" t="s">
        <v>73</v>
      </c>
      <c r="C107" s="15"/>
      <c r="D107" s="22" t="s">
        <v>74</v>
      </c>
      <c r="E107" s="28" t="n">
        <f aca="false">E98</f>
        <v>-20000</v>
      </c>
      <c r="F107" s="35" t="s">
        <v>75</v>
      </c>
      <c r="G107" s="16"/>
      <c r="H107" s="16"/>
      <c r="I107" s="16"/>
      <c r="J107" s="16"/>
      <c r="K107" s="16"/>
    </row>
    <row r="108" customFormat="false" ht="15" hidden="false" customHeight="false" outlineLevel="0" collapsed="false">
      <c r="B108" s="16"/>
      <c r="C108" s="22"/>
      <c r="D108" s="16"/>
      <c r="E108" s="16"/>
      <c r="F108" s="16"/>
      <c r="G108" s="16"/>
      <c r="H108" s="16"/>
      <c r="I108" s="16"/>
      <c r="J108" s="16"/>
      <c r="K108" s="16"/>
    </row>
    <row r="109" customFormat="false" ht="15" hidden="false" customHeight="false" outlineLevel="0" collapsed="false">
      <c r="B109" s="16" t="s">
        <v>76</v>
      </c>
      <c r="C109" s="22"/>
      <c r="D109" s="22"/>
      <c r="E109" s="21" t="n">
        <v>0.05</v>
      </c>
      <c r="F109" s="14" t="s">
        <v>77</v>
      </c>
      <c r="G109" s="21"/>
      <c r="H109" s="16"/>
      <c r="I109" s="16"/>
      <c r="J109" s="16"/>
      <c r="K109" s="16" t="s">
        <v>78</v>
      </c>
    </row>
    <row r="110" customFormat="false" ht="15" hidden="false" customHeight="false" outlineLevel="0" collapsed="false">
      <c r="B110" s="16"/>
      <c r="C110" s="22"/>
      <c r="D110" s="22"/>
      <c r="E110" s="21"/>
      <c r="F110" s="14"/>
      <c r="G110" s="21"/>
      <c r="H110" s="16"/>
      <c r="I110" s="16"/>
      <c r="J110" s="16"/>
      <c r="K110" s="16"/>
    </row>
    <row r="111" customFormat="false" ht="15" hidden="false" customHeight="false" outlineLevel="0" collapsed="false">
      <c r="B111" s="25" t="s">
        <v>79</v>
      </c>
      <c r="C111" s="26"/>
      <c r="D111" s="26" t="s">
        <v>80</v>
      </c>
      <c r="E111" s="27" t="n">
        <f aca="false">E107*E109</f>
        <v>-1000</v>
      </c>
      <c r="F111" s="14" t="s">
        <v>81</v>
      </c>
      <c r="G111" s="21"/>
      <c r="H111" s="16"/>
      <c r="I111" s="16"/>
      <c r="J111" s="16"/>
      <c r="K111" s="16"/>
    </row>
    <row r="112" customFormat="false" ht="15" hidden="false" customHeight="false" outlineLevel="0" collapsed="false">
      <c r="B112" s="16"/>
      <c r="C112" s="22"/>
      <c r="D112" s="22"/>
      <c r="E112" s="36"/>
      <c r="F112" s="21"/>
      <c r="G112" s="21"/>
      <c r="H112" s="16"/>
      <c r="I112" s="16"/>
      <c r="J112" s="16"/>
      <c r="K112" s="16"/>
    </row>
    <row r="113" customFormat="false" ht="15" hidden="false" customHeight="false" outlineLevel="0" collapsed="false">
      <c r="B113" s="16" t="s">
        <v>82</v>
      </c>
      <c r="C113" s="22"/>
      <c r="D113" s="22" t="s">
        <v>57</v>
      </c>
      <c r="E113" s="21" t="n">
        <f aca="false">+E98</f>
        <v>-20000</v>
      </c>
      <c r="F113" s="14" t="s">
        <v>83</v>
      </c>
      <c r="G113" s="36"/>
      <c r="H113" s="14" t="s">
        <v>84</v>
      </c>
      <c r="I113" s="16"/>
      <c r="J113" s="16"/>
      <c r="K113" s="16"/>
    </row>
    <row r="114" customFormat="false" ht="15" hidden="false" customHeight="false" outlineLevel="0" collapsed="false">
      <c r="B114" s="16"/>
      <c r="C114" s="22"/>
      <c r="D114" s="22"/>
      <c r="E114" s="21"/>
      <c r="F114" s="14"/>
      <c r="G114" s="36"/>
      <c r="H114" s="16"/>
      <c r="I114" s="16"/>
      <c r="J114" s="16"/>
      <c r="K114" s="16"/>
    </row>
    <row r="115" customFormat="false" ht="15" hidden="false" customHeight="false" outlineLevel="0" collapsed="false">
      <c r="B115" s="25" t="s">
        <v>85</v>
      </c>
      <c r="C115" s="26"/>
      <c r="D115" s="26" t="s">
        <v>86</v>
      </c>
      <c r="E115" s="37" t="n">
        <f aca="false">+E111-E113</f>
        <v>19000</v>
      </c>
      <c r="F115" s="14" t="s">
        <v>87</v>
      </c>
      <c r="G115" s="36"/>
      <c r="H115" s="38" t="s">
        <v>88</v>
      </c>
      <c r="I115" s="38"/>
      <c r="J115" s="38"/>
      <c r="K115" s="16"/>
    </row>
    <row r="116" customFormat="false" ht="15" hidden="false" customHeight="false" outlineLevel="0" collapsed="false">
      <c r="B116" s="16"/>
      <c r="C116" s="16"/>
      <c r="D116" s="16"/>
      <c r="E116" s="16"/>
      <c r="F116" s="14"/>
      <c r="G116" s="36"/>
      <c r="H116" s="16"/>
      <c r="I116" s="16"/>
      <c r="J116" s="16"/>
      <c r="K116" s="16"/>
    </row>
    <row r="117" customFormat="false" ht="15" hidden="false" customHeight="false" outlineLevel="0" collapsed="false">
      <c r="B117" s="16"/>
      <c r="C117" s="16"/>
      <c r="D117" s="16"/>
      <c r="E117" s="16"/>
      <c r="F117" s="21"/>
      <c r="G117" s="21"/>
      <c r="H117" s="16"/>
      <c r="I117" s="16"/>
      <c r="J117" s="16"/>
      <c r="K117" s="16"/>
    </row>
    <row r="118" customFormat="false" ht="15" hidden="false" customHeight="false" outlineLevel="0" collapsed="false">
      <c r="B118" s="16"/>
      <c r="C118" s="16"/>
      <c r="D118" s="16"/>
      <c r="E118" s="16"/>
      <c r="F118" s="14"/>
      <c r="G118" s="21"/>
      <c r="H118" s="16"/>
      <c r="I118" s="16"/>
      <c r="J118" s="16"/>
      <c r="K118" s="16"/>
    </row>
    <row r="119" customFormat="false" ht="24.75" hidden="false" customHeight="true" outlineLevel="0" collapsed="false">
      <c r="A119" s="39" t="s">
        <v>89</v>
      </c>
      <c r="B119" s="40" t="s">
        <v>90</v>
      </c>
      <c r="C119" s="40"/>
      <c r="D119" s="40"/>
      <c r="E119" s="40"/>
      <c r="F119" s="40"/>
      <c r="G119" s="40"/>
      <c r="H119" s="40"/>
      <c r="I119" s="40"/>
      <c r="J119" s="40"/>
      <c r="K119" s="40"/>
      <c r="L119" s="40"/>
    </row>
    <row r="120" customFormat="false" ht="15" hidden="false" customHeight="false" outlineLevel="0" collapsed="false">
      <c r="B120" s="16" t="s">
        <v>91</v>
      </c>
      <c r="C120" s="16"/>
      <c r="D120" s="16"/>
      <c r="E120" s="16"/>
      <c r="F120" s="14"/>
      <c r="G120" s="36"/>
      <c r="H120" s="16"/>
      <c r="I120" s="16"/>
      <c r="J120" s="16"/>
      <c r="K120" s="16"/>
    </row>
    <row r="121" customFormat="false" ht="15" hidden="false" customHeight="false" outlineLevel="0" collapsed="false">
      <c r="B121" s="16"/>
      <c r="C121" s="15"/>
      <c r="D121" s="15"/>
      <c r="E121" s="21"/>
      <c r="F121" s="21"/>
      <c r="G121" s="21"/>
      <c r="H121" s="16"/>
      <c r="I121" s="16"/>
      <c r="J121" s="16"/>
      <c r="K121" s="16"/>
    </row>
    <row r="122" customFormat="false" ht="15" hidden="false" customHeight="false" outlineLevel="0" collapsed="false">
      <c r="A122" s="41" t="s">
        <v>92</v>
      </c>
      <c r="B122" s="16" t="s">
        <v>93</v>
      </c>
      <c r="C122" s="22"/>
      <c r="D122" s="22"/>
      <c r="E122" s="21"/>
      <c r="F122" s="14"/>
      <c r="G122" s="21"/>
      <c r="H122" s="16"/>
      <c r="I122" s="16"/>
      <c r="J122" s="16"/>
      <c r="K122" s="16"/>
    </row>
    <row r="123" customFormat="false" ht="15" hidden="false" customHeight="false" outlineLevel="0" collapsed="false">
      <c r="B123" s="16" t="s">
        <v>94</v>
      </c>
      <c r="C123" s="22"/>
      <c r="D123" s="22"/>
      <c r="E123" s="21"/>
      <c r="F123" s="14"/>
      <c r="G123" s="21"/>
      <c r="H123" s="16"/>
      <c r="I123" s="16"/>
      <c r="J123" s="16"/>
      <c r="K123" s="16"/>
    </row>
    <row r="124" customFormat="false" ht="15" hidden="false" customHeight="false" outlineLevel="0" collapsed="false">
      <c r="B124" s="16" t="s">
        <v>95</v>
      </c>
      <c r="C124" s="22"/>
      <c r="D124" s="22"/>
      <c r="E124" s="21"/>
      <c r="F124" s="14"/>
      <c r="G124" s="21"/>
      <c r="H124" s="16"/>
      <c r="I124" s="16"/>
      <c r="J124" s="16"/>
      <c r="K124" s="16"/>
    </row>
    <row r="125" customFormat="false" ht="15" hidden="false" customHeight="false" outlineLevel="0" collapsed="false">
      <c r="B125" s="16"/>
      <c r="C125" s="22"/>
      <c r="D125" s="22"/>
      <c r="E125" s="21"/>
      <c r="F125" s="14"/>
      <c r="G125" s="21"/>
      <c r="H125" s="16"/>
      <c r="I125" s="16"/>
      <c r="J125" s="16"/>
      <c r="K125" s="16"/>
    </row>
    <row r="126" customFormat="false" ht="15" hidden="false" customHeight="false" outlineLevel="0" collapsed="false">
      <c r="B126" s="16"/>
      <c r="C126" s="22"/>
      <c r="D126" s="22"/>
      <c r="E126" s="21"/>
      <c r="F126" s="14"/>
      <c r="G126" s="21"/>
      <c r="H126" s="16"/>
      <c r="I126" s="16"/>
      <c r="J126" s="16"/>
      <c r="K126" s="16"/>
    </row>
    <row r="127" customFormat="false" ht="15" hidden="false" customHeight="false" outlineLevel="0" collapsed="false">
      <c r="B127" s="14" t="s">
        <v>96</v>
      </c>
      <c r="C127" s="16"/>
      <c r="D127" s="16"/>
      <c r="E127" s="16"/>
      <c r="F127" s="16"/>
      <c r="G127" s="16"/>
      <c r="H127" s="16"/>
      <c r="I127" s="16"/>
      <c r="J127" s="16"/>
      <c r="K127" s="16"/>
    </row>
    <row r="128" customFormat="false" ht="15" hidden="false" customHeight="false" outlineLevel="0" collapsed="false">
      <c r="B128" s="16"/>
      <c r="C128" s="16"/>
      <c r="D128" s="16"/>
      <c r="E128" s="16"/>
      <c r="F128" s="16"/>
      <c r="G128" s="16"/>
      <c r="H128" s="16"/>
      <c r="I128" s="16"/>
      <c r="J128" s="16"/>
      <c r="K128" s="16"/>
    </row>
    <row r="129" customFormat="false" ht="15" hidden="false" customHeight="false" outlineLevel="0" collapsed="false">
      <c r="B129" s="42" t="s">
        <v>49</v>
      </c>
      <c r="C129" s="42"/>
      <c r="D129" s="42" t="s">
        <v>97</v>
      </c>
      <c r="E129" s="43" t="s">
        <v>51</v>
      </c>
      <c r="F129" s="16"/>
      <c r="G129" s="16"/>
      <c r="H129" s="16"/>
      <c r="I129" s="16"/>
      <c r="J129" s="16"/>
      <c r="K129" s="16"/>
    </row>
    <row r="130" customFormat="false" ht="15" hidden="false" customHeight="false" outlineLevel="0" collapsed="false">
      <c r="B130" s="16"/>
      <c r="C130" s="16"/>
      <c r="D130" s="16"/>
      <c r="E130" s="16"/>
      <c r="F130" s="16"/>
      <c r="G130" s="16"/>
      <c r="H130" s="16"/>
      <c r="I130" s="16"/>
      <c r="J130" s="16"/>
      <c r="K130" s="16"/>
    </row>
    <row r="131" customFormat="false" ht="15" hidden="false" customHeight="false" outlineLevel="0" collapsed="false">
      <c r="B131" s="16" t="s">
        <v>98</v>
      </c>
      <c r="C131" s="16"/>
      <c r="D131" s="16"/>
      <c r="E131" s="23" t="n">
        <f aca="false">-E80</f>
        <v>-20000</v>
      </c>
      <c r="F131" s="16"/>
      <c r="G131" s="16"/>
      <c r="H131" s="16"/>
      <c r="I131" s="16"/>
      <c r="J131" s="16"/>
      <c r="K131" s="16"/>
    </row>
    <row r="132" customFormat="false" ht="15" hidden="false" customHeight="false" outlineLevel="0" collapsed="false">
      <c r="B132" s="16"/>
      <c r="C132" s="16"/>
      <c r="D132" s="16"/>
      <c r="E132" s="23"/>
      <c r="F132" s="16"/>
      <c r="G132" s="16"/>
      <c r="H132" s="16"/>
      <c r="I132" s="16"/>
      <c r="J132" s="16"/>
      <c r="K132" s="16"/>
    </row>
    <row r="133" customFormat="false" ht="15" hidden="false" customHeight="false" outlineLevel="0" collapsed="false">
      <c r="B133" s="16" t="s">
        <v>99</v>
      </c>
      <c r="C133" s="16"/>
      <c r="D133" s="22" t="s">
        <v>100</v>
      </c>
      <c r="E133" s="23" t="n">
        <f aca="false">+E78</f>
        <v>0</v>
      </c>
      <c r="F133" s="16"/>
      <c r="G133" s="16"/>
      <c r="H133" s="16"/>
      <c r="I133" s="16"/>
      <c r="J133" s="16"/>
      <c r="K133" s="16"/>
    </row>
    <row r="134" customFormat="false" ht="15" hidden="false" customHeight="false" outlineLevel="0" collapsed="false">
      <c r="B134" s="16"/>
      <c r="C134" s="16"/>
      <c r="D134" s="22"/>
      <c r="E134" s="23"/>
      <c r="F134" s="16"/>
      <c r="G134" s="16"/>
      <c r="H134" s="16"/>
      <c r="I134" s="16"/>
      <c r="J134" s="16"/>
      <c r="K134" s="16"/>
    </row>
    <row r="135" customFormat="false" ht="15" hidden="false" customHeight="false" outlineLevel="0" collapsed="false">
      <c r="B135" s="16" t="s">
        <v>99</v>
      </c>
      <c r="C135" s="16"/>
      <c r="D135" s="22" t="s">
        <v>101</v>
      </c>
      <c r="E135" s="23" t="n">
        <f aca="false">+E86</f>
        <v>5000</v>
      </c>
      <c r="F135" s="16"/>
      <c r="G135" s="16"/>
      <c r="H135" s="16"/>
      <c r="I135" s="16"/>
      <c r="J135" s="16"/>
      <c r="K135" s="16"/>
    </row>
    <row r="136" customFormat="false" ht="15" hidden="false" customHeight="false" outlineLevel="0" collapsed="false">
      <c r="B136" s="16"/>
      <c r="C136" s="16"/>
      <c r="D136" s="22"/>
      <c r="E136" s="23"/>
      <c r="F136" s="16"/>
      <c r="G136" s="16"/>
      <c r="H136" s="16"/>
      <c r="I136" s="16"/>
      <c r="J136" s="16"/>
      <c r="K136" s="16"/>
    </row>
    <row r="137" customFormat="false" ht="15" hidden="false" customHeight="false" outlineLevel="0" collapsed="false">
      <c r="B137" s="16" t="s">
        <v>102</v>
      </c>
      <c r="C137" s="16"/>
      <c r="D137" s="22" t="s">
        <v>100</v>
      </c>
      <c r="E137" s="23" t="n">
        <v>0</v>
      </c>
      <c r="F137" s="16"/>
      <c r="G137" s="16"/>
      <c r="H137" s="16"/>
      <c r="I137" s="16"/>
      <c r="J137" s="16"/>
      <c r="K137" s="16"/>
    </row>
    <row r="138" customFormat="false" ht="15" hidden="false" customHeight="false" outlineLevel="0" collapsed="false">
      <c r="B138" s="16"/>
      <c r="C138" s="16"/>
      <c r="D138" s="22"/>
      <c r="E138" s="23"/>
      <c r="F138" s="16"/>
      <c r="G138" s="16"/>
      <c r="H138" s="16"/>
      <c r="I138" s="16"/>
      <c r="J138" s="16"/>
      <c r="K138" s="16"/>
    </row>
    <row r="139" customFormat="false" ht="15" hidden="false" customHeight="false" outlineLevel="0" collapsed="false">
      <c r="B139" s="16" t="s">
        <v>103</v>
      </c>
      <c r="C139" s="16"/>
      <c r="D139" s="22" t="s">
        <v>101</v>
      </c>
      <c r="E139" s="23" t="n">
        <f aca="false">+E96</f>
        <v>-5000</v>
      </c>
      <c r="F139" s="16"/>
      <c r="G139" s="16"/>
      <c r="H139" s="16"/>
      <c r="I139" s="16"/>
      <c r="J139" s="16"/>
      <c r="K139" s="16"/>
    </row>
    <row r="140" customFormat="false" ht="15" hidden="false" customHeight="false" outlineLevel="0" collapsed="false">
      <c r="B140" s="16"/>
      <c r="C140" s="16"/>
      <c r="D140" s="16"/>
      <c r="E140" s="23"/>
      <c r="F140" s="16"/>
      <c r="G140" s="16"/>
      <c r="H140" s="16"/>
      <c r="I140" s="16"/>
      <c r="J140" s="16"/>
      <c r="K140" s="16"/>
    </row>
    <row r="141" customFormat="false" ht="15" hidden="false" customHeight="false" outlineLevel="0" collapsed="false">
      <c r="B141" s="16" t="s">
        <v>104</v>
      </c>
      <c r="C141" s="16"/>
      <c r="D141" s="16"/>
      <c r="E141" s="23" t="n">
        <f aca="false">+E115</f>
        <v>19000</v>
      </c>
      <c r="F141" s="16"/>
      <c r="G141" s="16"/>
      <c r="H141" s="16"/>
      <c r="I141" s="16"/>
      <c r="J141" s="16"/>
      <c r="K141" s="16"/>
    </row>
    <row r="142" customFormat="false" ht="15" hidden="false" customHeight="false" outlineLevel="0" collapsed="false">
      <c r="B142" s="16"/>
      <c r="C142" s="16"/>
      <c r="D142" s="16"/>
      <c r="E142" s="23"/>
      <c r="F142" s="16"/>
      <c r="G142" s="16"/>
      <c r="H142" s="16"/>
      <c r="I142" s="16"/>
      <c r="J142" s="16"/>
      <c r="K142" s="16"/>
    </row>
    <row r="143" customFormat="false" ht="15" hidden="false" customHeight="true" outlineLevel="0" collapsed="false">
      <c r="B143" s="44" t="s">
        <v>105</v>
      </c>
      <c r="C143" s="29"/>
      <c r="D143" s="29"/>
      <c r="E143" s="45" t="n">
        <f aca="false">SUM(E131:E142)</f>
        <v>-1000</v>
      </c>
      <c r="F143" s="16"/>
      <c r="G143" s="16"/>
      <c r="H143" s="16"/>
      <c r="I143" s="16"/>
      <c r="J143" s="16"/>
      <c r="K143" s="16"/>
    </row>
    <row r="144" customFormat="false" ht="15" hidden="false" customHeight="true" outlineLevel="0" collapsed="false">
      <c r="B144" s="16"/>
      <c r="C144" s="16"/>
      <c r="D144" s="16"/>
      <c r="E144" s="23"/>
      <c r="F144" s="16"/>
      <c r="G144" s="16"/>
      <c r="H144" s="16"/>
      <c r="I144" s="16"/>
      <c r="J144" s="16"/>
      <c r="K144" s="16"/>
    </row>
    <row r="145" customFormat="false" ht="15" hidden="false" customHeight="false" outlineLevel="0" collapsed="false">
      <c r="B145" s="16"/>
      <c r="C145" s="16"/>
      <c r="D145" s="16"/>
      <c r="E145" s="23"/>
      <c r="F145" s="16"/>
      <c r="G145" s="16"/>
      <c r="H145" s="16"/>
      <c r="I145" s="16"/>
      <c r="J145" s="16"/>
      <c r="K145" s="16"/>
    </row>
    <row r="146" customFormat="false" ht="15" hidden="false" customHeight="false" outlineLevel="0" collapsed="false">
      <c r="B146" s="14" t="s">
        <v>106</v>
      </c>
      <c r="C146" s="16"/>
      <c r="D146" s="16"/>
      <c r="E146" s="23"/>
      <c r="F146" s="16"/>
      <c r="G146" s="16"/>
      <c r="H146" s="16"/>
      <c r="I146" s="16"/>
      <c r="J146" s="16"/>
      <c r="K146" s="16"/>
    </row>
    <row r="147" customFormat="false" ht="15" hidden="false" customHeight="false" outlineLevel="0" collapsed="false">
      <c r="B147" s="16"/>
      <c r="C147" s="16"/>
      <c r="D147" s="16"/>
      <c r="E147" s="23"/>
      <c r="F147" s="16"/>
      <c r="G147" s="16"/>
      <c r="H147" s="16"/>
      <c r="I147" s="16"/>
      <c r="J147" s="16"/>
      <c r="K147" s="16"/>
    </row>
    <row r="148" customFormat="false" ht="15" hidden="false" customHeight="false" outlineLevel="0" collapsed="false">
      <c r="B148" s="16" t="s">
        <v>107</v>
      </c>
      <c r="C148" s="16"/>
      <c r="D148" s="16"/>
      <c r="E148" s="23" t="n">
        <f aca="false">+E111</f>
        <v>-1000</v>
      </c>
      <c r="F148" s="16"/>
      <c r="G148" s="16"/>
      <c r="H148" s="16"/>
      <c r="I148" s="16"/>
      <c r="J148" s="16"/>
      <c r="K148" s="16"/>
    </row>
    <row r="149" customFormat="false" ht="15" hidden="false" customHeight="false" outlineLevel="0" collapsed="false">
      <c r="B149" s="16"/>
      <c r="C149" s="16"/>
      <c r="D149" s="16"/>
      <c r="E149" s="23"/>
      <c r="F149" s="16"/>
      <c r="G149" s="16"/>
      <c r="H149" s="16"/>
      <c r="I149" s="16"/>
      <c r="J149" s="16"/>
      <c r="K149" s="16"/>
    </row>
    <row r="150" customFormat="false" ht="15" hidden="false" customHeight="false" outlineLevel="0" collapsed="false">
      <c r="B150" s="16" t="s">
        <v>105</v>
      </c>
      <c r="C150" s="16"/>
      <c r="D150" s="16"/>
      <c r="E150" s="23" t="n">
        <f aca="false">E143</f>
        <v>-1000</v>
      </c>
      <c r="F150" s="16"/>
      <c r="G150" s="16"/>
      <c r="H150" s="16"/>
      <c r="I150" s="16"/>
      <c r="J150" s="16"/>
      <c r="K150" s="16"/>
    </row>
    <row r="151" customFormat="false" ht="15" hidden="false" customHeight="false" outlineLevel="0" collapsed="false">
      <c r="B151" s="16"/>
      <c r="C151" s="16"/>
      <c r="D151" s="16"/>
      <c r="E151" s="23"/>
      <c r="F151" s="16"/>
      <c r="G151" s="16"/>
      <c r="H151" s="16"/>
      <c r="I151" s="16"/>
      <c r="J151" s="16"/>
      <c r="K151" s="16"/>
    </row>
    <row r="152" customFormat="false" ht="15" hidden="false" customHeight="true" outlineLevel="0" collapsed="false">
      <c r="B152" s="44" t="s">
        <v>108</v>
      </c>
      <c r="C152" s="44"/>
      <c r="D152" s="44"/>
      <c r="E152" s="46" t="n">
        <f aca="false">E148-E150</f>
        <v>0</v>
      </c>
      <c r="F152" s="16"/>
      <c r="G152" s="16"/>
      <c r="H152" s="16"/>
      <c r="I152" s="16"/>
      <c r="J152" s="16"/>
      <c r="K152" s="16"/>
    </row>
    <row r="153" customFormat="false" ht="15" hidden="false" customHeight="true" outlineLevel="0" collapsed="false">
      <c r="B153" s="16"/>
      <c r="C153" s="22"/>
      <c r="D153" s="22"/>
      <c r="E153" s="21"/>
      <c r="F153" s="16"/>
      <c r="G153" s="16"/>
      <c r="H153" s="16"/>
      <c r="I153" s="16"/>
      <c r="J153" s="16"/>
      <c r="K153" s="16"/>
    </row>
    <row r="154" customFormat="false" ht="15" hidden="false" customHeight="false" outlineLevel="0" collapsed="false">
      <c r="B154" s="16"/>
      <c r="C154" s="22"/>
      <c r="D154" s="22"/>
      <c r="E154" s="21"/>
      <c r="F154" s="16"/>
      <c r="G154" s="16"/>
      <c r="H154" s="16"/>
      <c r="I154" s="16"/>
      <c r="J154" s="16"/>
      <c r="K154" s="16"/>
    </row>
    <row r="155" customFormat="false" ht="15" hidden="false" customHeight="false" outlineLevel="0" collapsed="false">
      <c r="B155" s="16"/>
      <c r="C155" s="22"/>
      <c r="D155" s="22"/>
      <c r="E155" s="21"/>
      <c r="F155" s="16"/>
      <c r="G155" s="16"/>
      <c r="H155" s="16"/>
      <c r="I155" s="16"/>
      <c r="J155" s="16"/>
      <c r="K155" s="16"/>
    </row>
    <row r="156" customFormat="false" ht="15" hidden="false" customHeight="false" outlineLevel="0" collapsed="false">
      <c r="B156" s="16"/>
      <c r="C156" s="22"/>
      <c r="D156" s="22"/>
      <c r="E156" s="21"/>
      <c r="F156" s="14"/>
      <c r="G156" s="21"/>
      <c r="H156" s="16"/>
      <c r="I156" s="16"/>
      <c r="J156" s="16"/>
      <c r="K156" s="16"/>
    </row>
    <row r="157" customFormat="false" ht="15" hidden="false" customHeight="false" outlineLevel="0" collapsed="false">
      <c r="B157" s="16"/>
      <c r="C157" s="22"/>
      <c r="D157" s="22"/>
      <c r="E157" s="21"/>
      <c r="F157" s="14"/>
      <c r="G157" s="21"/>
      <c r="H157" s="16"/>
      <c r="I157" s="16"/>
      <c r="J157" s="16"/>
      <c r="K157" s="16"/>
    </row>
    <row r="158" customFormat="false" ht="15" hidden="false" customHeight="false" outlineLevel="0" collapsed="false">
      <c r="B158" s="16"/>
      <c r="C158" s="22"/>
      <c r="D158" s="22"/>
      <c r="E158" s="21"/>
      <c r="F158" s="14"/>
      <c r="G158" s="21"/>
      <c r="H158" s="16"/>
      <c r="I158" s="16"/>
      <c r="J158" s="16"/>
      <c r="K158" s="16"/>
    </row>
    <row r="159" customFormat="false" ht="15" hidden="false" customHeight="false" outlineLevel="0" collapsed="false">
      <c r="B159" s="16"/>
      <c r="C159" s="22"/>
      <c r="D159" s="22"/>
      <c r="E159" s="21"/>
      <c r="F159" s="14"/>
      <c r="G159" s="21"/>
      <c r="H159" s="16"/>
      <c r="I159" s="16"/>
      <c r="J159" s="16"/>
      <c r="K159" s="16"/>
    </row>
    <row r="162" customFormat="false" ht="16.15" hidden="false" customHeight="false" outlineLevel="0" collapsed="false">
      <c r="A162" s="1" t="s">
        <v>109</v>
      </c>
    </row>
    <row r="165" customFormat="false" ht="15" hidden="false" customHeight="false" outlineLevel="0" collapsed="false">
      <c r="B165" s="13" t="s">
        <v>110</v>
      </c>
    </row>
    <row r="167" customFormat="false" ht="15" hidden="false" customHeight="false" outlineLevel="0" collapsed="false">
      <c r="B167" s="47" t="s">
        <v>111</v>
      </c>
      <c r="C167" s="48"/>
      <c r="D167" s="48"/>
      <c r="E167" s="49"/>
    </row>
    <row r="168" customFormat="false" ht="15" hidden="false" customHeight="false" outlineLevel="0" collapsed="false">
      <c r="B168" s="48"/>
      <c r="C168" s="48"/>
      <c r="D168" s="48"/>
      <c r="E168" s="49"/>
    </row>
    <row r="169" customFormat="false" ht="15" hidden="false" customHeight="false" outlineLevel="0" collapsed="false">
      <c r="B169" s="48"/>
      <c r="C169" s="48"/>
      <c r="D169" s="48"/>
      <c r="E169" s="48"/>
    </row>
    <row r="170" customFormat="false" ht="15" hidden="false" customHeight="true" outlineLevel="0" collapsed="false">
      <c r="B170" s="50" t="s">
        <v>112</v>
      </c>
      <c r="C170" s="50" t="s">
        <v>113</v>
      </c>
      <c r="D170" s="50" t="s">
        <v>114</v>
      </c>
      <c r="E170" s="48"/>
    </row>
    <row r="171" customFormat="false" ht="15" hidden="false" customHeight="false" outlineLevel="0" collapsed="false">
      <c r="B171" s="48"/>
      <c r="C171" s="48"/>
      <c r="D171" s="48"/>
      <c r="E171" s="48"/>
    </row>
    <row r="172" customFormat="false" ht="15.75" hidden="false" customHeight="true" outlineLevel="0" collapsed="false">
      <c r="B172" s="48" t="s">
        <v>115</v>
      </c>
      <c r="C172" s="51" t="s">
        <v>116</v>
      </c>
      <c r="D172" s="52" t="n">
        <v>-7342979559.98993</v>
      </c>
      <c r="E172" s="48"/>
      <c r="F172" s="16"/>
      <c r="G172" s="24" t="s">
        <v>54</v>
      </c>
    </row>
    <row r="173" customFormat="false" ht="15" hidden="false" customHeight="false" outlineLevel="0" collapsed="false">
      <c r="B173" s="48"/>
      <c r="C173" s="48"/>
      <c r="D173" s="52"/>
      <c r="E173" s="48"/>
    </row>
    <row r="174" customFormat="false" ht="16.5" hidden="false" customHeight="true" outlineLevel="0" collapsed="false">
      <c r="B174" s="48" t="s">
        <v>117</v>
      </c>
      <c r="C174" s="53" t="s">
        <v>118</v>
      </c>
      <c r="D174" s="52" t="n">
        <v>-54605973208</v>
      </c>
      <c r="E174" s="41" t="s">
        <v>119</v>
      </c>
      <c r="G174" s="24" t="s">
        <v>120</v>
      </c>
    </row>
    <row r="175" customFormat="false" ht="15" hidden="false" customHeight="false" outlineLevel="0" collapsed="false">
      <c r="B175" s="48"/>
      <c r="C175" s="53"/>
      <c r="D175" s="52"/>
      <c r="E175" s="48"/>
    </row>
    <row r="176" customFormat="false" ht="15" hidden="false" customHeight="false" outlineLevel="0" collapsed="false">
      <c r="B176" s="48" t="s">
        <v>121</v>
      </c>
      <c r="C176" s="53" t="s">
        <v>122</v>
      </c>
      <c r="D176" s="52" t="n">
        <v>0.0100114345550537</v>
      </c>
      <c r="E176" s="41" t="s">
        <v>123</v>
      </c>
    </row>
    <row r="177" customFormat="false" ht="15" hidden="false" customHeight="false" outlineLevel="0" collapsed="false">
      <c r="B177" s="48"/>
      <c r="C177" s="53"/>
      <c r="D177" s="52"/>
      <c r="E177" s="48"/>
    </row>
    <row r="178" customFormat="false" ht="16.5" hidden="false" customHeight="true" outlineLevel="0" collapsed="false">
      <c r="B178" s="48" t="s">
        <v>124</v>
      </c>
      <c r="C178" s="53" t="s">
        <v>125</v>
      </c>
      <c r="D178" s="52" t="n">
        <v>58121958255</v>
      </c>
      <c r="E178" s="54" t="s">
        <v>126</v>
      </c>
      <c r="G178" s="24" t="s">
        <v>127</v>
      </c>
    </row>
    <row r="179" customFormat="false" ht="15" hidden="false" customHeight="false" outlineLevel="0" collapsed="false">
      <c r="B179" s="48"/>
      <c r="C179" s="53"/>
      <c r="D179" s="52"/>
      <c r="E179" s="48"/>
    </row>
    <row r="180" customFormat="false" ht="30.75" hidden="false" customHeight="true" outlineLevel="0" collapsed="false">
      <c r="B180" s="55" t="s">
        <v>128</v>
      </c>
      <c r="C180" s="53" t="s">
        <v>125</v>
      </c>
      <c r="D180" s="56" t="n">
        <v>3000000</v>
      </c>
      <c r="E180" s="54" t="s">
        <v>126</v>
      </c>
      <c r="G180" s="24" t="s">
        <v>129</v>
      </c>
    </row>
    <row r="181" customFormat="false" ht="16.5" hidden="false" customHeight="true" outlineLevel="0" collapsed="false">
      <c r="B181" s="57"/>
      <c r="C181" s="53"/>
      <c r="D181" s="56"/>
      <c r="E181" s="54"/>
      <c r="G181" s="24" t="s">
        <v>130</v>
      </c>
    </row>
    <row r="182" customFormat="false" ht="15" hidden="false" customHeight="false" outlineLevel="0" collapsed="false">
      <c r="B182" s="48" t="s">
        <v>131</v>
      </c>
      <c r="C182" s="53" t="s">
        <v>125</v>
      </c>
      <c r="D182" s="52" t="n">
        <v>0</v>
      </c>
      <c r="E182" s="48"/>
    </row>
    <row r="183" customFormat="false" ht="15" hidden="false" customHeight="false" outlineLevel="0" collapsed="false">
      <c r="B183" s="48"/>
      <c r="C183" s="53"/>
      <c r="D183" s="52"/>
      <c r="E183" s="48"/>
    </row>
    <row r="184" customFormat="false" ht="16.5" hidden="false" customHeight="true" outlineLevel="0" collapsed="false">
      <c r="B184" s="58" t="s">
        <v>132</v>
      </c>
      <c r="C184" s="59"/>
      <c r="D184" s="60" t="n">
        <f aca="false">+SUM(D171:D183)</f>
        <v>-3823994512.97992</v>
      </c>
      <c r="E184" s="48"/>
      <c r="G184" s="24" t="s">
        <v>133</v>
      </c>
    </row>
    <row r="185" customFormat="false" ht="15" hidden="false" customHeight="true" outlineLevel="0" collapsed="false">
      <c r="B185" s="48"/>
      <c r="C185" s="53"/>
      <c r="D185" s="52"/>
      <c r="E185" s="48"/>
    </row>
    <row r="186" customFormat="false" ht="15" hidden="false" customHeight="false" outlineLevel="0" collapsed="false">
      <c r="B186" s="48" t="s">
        <v>134</v>
      </c>
      <c r="C186" s="53" t="s">
        <v>135</v>
      </c>
      <c r="D186" s="52" t="n">
        <f aca="false">+D184</f>
        <v>-3823994512.97992</v>
      </c>
      <c r="E186" s="61"/>
    </row>
    <row r="187" customFormat="false" ht="15" hidden="false" customHeight="false" outlineLevel="0" collapsed="false">
      <c r="B187" s="48"/>
      <c r="C187" s="53"/>
      <c r="D187" s="52"/>
      <c r="E187" s="48"/>
    </row>
    <row r="188" customFormat="false" ht="15" hidden="false" customHeight="false" outlineLevel="0" collapsed="false">
      <c r="B188" s="48" t="s">
        <v>136</v>
      </c>
      <c r="C188" s="53"/>
      <c r="D188" s="52" t="n">
        <f aca="false">+D184-D186</f>
        <v>0</v>
      </c>
      <c r="E188" s="48"/>
    </row>
    <row r="192" customFormat="false" ht="16.5" hidden="false" customHeight="true" outlineLevel="0" collapsed="false">
      <c r="B192" s="47" t="s">
        <v>137</v>
      </c>
      <c r="C192" s="53" t="s">
        <v>125</v>
      </c>
      <c r="D192" s="56" t="n">
        <v>3500000</v>
      </c>
      <c r="E192" s="54" t="s">
        <v>126</v>
      </c>
      <c r="G192" s="24" t="s">
        <v>138</v>
      </c>
    </row>
    <row r="193" customFormat="false" ht="15" hidden="false" customHeight="false" outlineLevel="0" collapsed="false">
      <c r="B193" s="48"/>
      <c r="C193" s="48"/>
      <c r="D193" s="52"/>
      <c r="E193" s="41" t="s">
        <v>139</v>
      </c>
    </row>
    <row r="194" customFormat="false" ht="15" hidden="false" customHeight="false" outlineLevel="0" collapsed="false">
      <c r="B194" s="47" t="s">
        <v>140</v>
      </c>
      <c r="C194" s="53" t="s">
        <v>125</v>
      </c>
      <c r="D194" s="56" t="n">
        <v>0</v>
      </c>
      <c r="E194" s="41" t="s">
        <v>139</v>
      </c>
    </row>
    <row r="197" customFormat="false" ht="15" hidden="false" customHeight="true" outlineLevel="0" collapsed="false">
      <c r="B197" s="50" t="s">
        <v>112</v>
      </c>
      <c r="C197" s="50" t="s">
        <v>113</v>
      </c>
      <c r="D197" s="50" t="s">
        <v>114</v>
      </c>
      <c r="E197" s="48"/>
    </row>
    <row r="198" customFormat="false" ht="15" hidden="false" customHeight="false" outlineLevel="0" collapsed="false">
      <c r="B198" s="48"/>
      <c r="C198" s="48"/>
      <c r="D198" s="48"/>
      <c r="E198" s="48"/>
    </row>
    <row r="199" customFormat="false" ht="15" hidden="false" customHeight="false" outlineLevel="0" collapsed="false">
      <c r="B199" s="48" t="s">
        <v>141</v>
      </c>
      <c r="C199" s="62" t="s">
        <v>142</v>
      </c>
      <c r="D199" s="63" t="n">
        <f aca="false">+D178+D192</f>
        <v>58125458255</v>
      </c>
      <c r="E199" s="54" t="s">
        <v>143</v>
      </c>
    </row>
    <row r="200" customFormat="false" ht="15" hidden="false" customHeight="false" outlineLevel="0" collapsed="false">
      <c r="B200" s="48"/>
      <c r="C200" s="48"/>
      <c r="D200" s="48"/>
      <c r="E200" s="48"/>
    </row>
    <row r="201" customFormat="false" ht="16.5" hidden="false" customHeight="true" outlineLevel="0" collapsed="false">
      <c r="B201" s="48" t="s">
        <v>144</v>
      </c>
      <c r="C201" s="48"/>
      <c r="D201" s="64" t="n">
        <v>0.8</v>
      </c>
      <c r="E201" s="54" t="s">
        <v>81</v>
      </c>
      <c r="G201" s="24" t="s">
        <v>145</v>
      </c>
    </row>
    <row r="202" customFormat="false" ht="15" hidden="false" customHeight="false" outlineLevel="0" collapsed="false">
      <c r="B202" s="48"/>
      <c r="C202" s="48"/>
      <c r="D202" s="48"/>
      <c r="E202" s="48"/>
    </row>
    <row r="203" customFormat="false" ht="16.5" hidden="false" customHeight="true" outlineLevel="0" collapsed="false">
      <c r="B203" s="58" t="s">
        <v>146</v>
      </c>
      <c r="C203" s="65" t="s">
        <v>147</v>
      </c>
      <c r="D203" s="66" t="n">
        <f aca="false">+D199*D201</f>
        <v>46500366604</v>
      </c>
      <c r="E203" s="54" t="s">
        <v>83</v>
      </c>
      <c r="G203" s="24"/>
    </row>
    <row r="204" customFormat="false" ht="15" hidden="false" customHeight="true" outlineLevel="0" collapsed="false">
      <c r="B204" s="48"/>
      <c r="C204" s="48"/>
      <c r="D204" s="48"/>
      <c r="E204" s="48"/>
    </row>
    <row r="205" customFormat="false" ht="16.5" hidden="false" customHeight="true" outlineLevel="0" collapsed="false">
      <c r="B205" s="48" t="s">
        <v>148</v>
      </c>
      <c r="C205" s="62" t="s">
        <v>149</v>
      </c>
      <c r="D205" s="63" t="n">
        <f aca="false">+D199-D203</f>
        <v>11625091651</v>
      </c>
      <c r="E205" s="41" t="s">
        <v>150</v>
      </c>
      <c r="G205" s="24" t="s">
        <v>151</v>
      </c>
    </row>
    <row r="206" customFormat="false" ht="16.5" hidden="false" customHeight="true" outlineLevel="0" collapsed="false">
      <c r="G206" s="24" t="s">
        <v>152</v>
      </c>
    </row>
    <row r="207" customFormat="false" ht="16.5" hidden="false" customHeight="true" outlineLevel="0" collapsed="false">
      <c r="G207" s="24"/>
    </row>
    <row r="208" customFormat="false" ht="15" hidden="false" customHeight="false" outlineLevel="0" collapsed="false">
      <c r="B208" s="67" t="s">
        <v>153</v>
      </c>
      <c r="C208" s="48"/>
      <c r="D208" s="48"/>
      <c r="E208" s="48"/>
    </row>
    <row r="209" customFormat="false" ht="15" hidden="false" customHeight="false" outlineLevel="0" collapsed="false">
      <c r="B209" s="48"/>
      <c r="C209" s="48"/>
      <c r="D209" s="52"/>
      <c r="E209" s="48"/>
    </row>
    <row r="210" customFormat="false" ht="15" hidden="false" customHeight="false" outlineLevel="0" collapsed="false">
      <c r="B210" s="48" t="s">
        <v>154</v>
      </c>
      <c r="C210" s="53" t="s">
        <v>119</v>
      </c>
      <c r="D210" s="52" t="n">
        <f aca="false">+D174</f>
        <v>-54605973208</v>
      </c>
      <c r="E210" s="48"/>
    </row>
    <row r="211" customFormat="false" ht="15" hidden="false" customHeight="false" outlineLevel="0" collapsed="false">
      <c r="B211" s="48" t="s">
        <v>121</v>
      </c>
      <c r="C211" s="53" t="s">
        <v>155</v>
      </c>
      <c r="D211" s="52" t="n">
        <v>0.0100114345550537</v>
      </c>
      <c r="E211" s="48"/>
    </row>
    <row r="212" customFormat="false" ht="15" hidden="false" customHeight="false" outlineLevel="0" collapsed="false">
      <c r="B212" s="48"/>
      <c r="C212" s="48"/>
      <c r="D212" s="52"/>
      <c r="E212" s="48"/>
    </row>
    <row r="213" customFormat="false" ht="15" hidden="false" customHeight="false" outlineLevel="0" collapsed="false">
      <c r="B213" s="48" t="s">
        <v>156</v>
      </c>
      <c r="C213" s="68" t="s">
        <v>100</v>
      </c>
      <c r="D213" s="52" t="n">
        <f aca="false">+D172</f>
        <v>-7342979559.98993</v>
      </c>
      <c r="E213" s="48"/>
    </row>
    <row r="214" customFormat="false" ht="15" hidden="false" customHeight="false" outlineLevel="0" collapsed="false">
      <c r="B214" s="48" t="s">
        <v>156</v>
      </c>
      <c r="C214" s="68" t="s">
        <v>101</v>
      </c>
      <c r="D214" s="52" t="n">
        <f aca="false">-D184</f>
        <v>3823994512.97992</v>
      </c>
      <c r="E214" s="41" t="s">
        <v>157</v>
      </c>
    </row>
    <row r="215" customFormat="false" ht="15" hidden="false" customHeight="false" outlineLevel="0" collapsed="false">
      <c r="B215" s="48"/>
      <c r="C215" s="68"/>
      <c r="D215" s="52" t="s">
        <v>78</v>
      </c>
      <c r="E215" s="41"/>
    </row>
    <row r="216" customFormat="false" ht="15" hidden="false" customHeight="false" outlineLevel="0" collapsed="false">
      <c r="B216" s="48" t="s">
        <v>158</v>
      </c>
      <c r="C216" s="68"/>
      <c r="D216" s="52" t="n">
        <f aca="false">+D180</f>
        <v>3000000</v>
      </c>
      <c r="E216" s="41"/>
    </row>
    <row r="217" customFormat="false" ht="15" hidden="false" customHeight="false" outlineLevel="0" collapsed="false">
      <c r="B217" s="48" t="s">
        <v>159</v>
      </c>
      <c r="C217" s="53" t="s">
        <v>139</v>
      </c>
      <c r="D217" s="56" t="n">
        <f aca="false">-D192</f>
        <v>-3500000</v>
      </c>
      <c r="E217" s="41" t="s">
        <v>157</v>
      </c>
    </row>
    <row r="218" customFormat="false" ht="15" hidden="false" customHeight="false" outlineLevel="0" collapsed="false">
      <c r="B218" s="48" t="s">
        <v>160</v>
      </c>
      <c r="C218" s="53" t="s">
        <v>150</v>
      </c>
      <c r="D218" s="52" t="n">
        <f aca="false">+D205</f>
        <v>11625091651</v>
      </c>
      <c r="E218" s="41" t="s">
        <v>157</v>
      </c>
    </row>
    <row r="219" customFormat="false" ht="15" hidden="false" customHeight="false" outlineLevel="0" collapsed="false">
      <c r="B219" s="48"/>
      <c r="C219" s="48"/>
      <c r="D219" s="52"/>
      <c r="E219" s="48"/>
    </row>
    <row r="220" customFormat="false" ht="15" hidden="false" customHeight="true" outlineLevel="0" collapsed="false">
      <c r="B220" s="58" t="s">
        <v>161</v>
      </c>
      <c r="C220" s="58"/>
      <c r="D220" s="66" t="n">
        <f aca="false">+SUM(D210:D218)</f>
        <v>-46500366604</v>
      </c>
      <c r="E220" s="48"/>
    </row>
    <row r="221" customFormat="false" ht="15" hidden="false" customHeight="true" outlineLevel="0" collapsed="false"/>
    <row r="222" customFormat="false" ht="15" hidden="false" customHeight="false" outlineLevel="0" collapsed="false">
      <c r="C222" s="69" t="s">
        <v>162</v>
      </c>
      <c r="D222" s="70" t="n">
        <f aca="false">+D203+D220</f>
        <v>0</v>
      </c>
    </row>
    <row r="226" customFormat="false" ht="23.25" hidden="false" customHeight="true" outlineLevel="0" collapsed="false">
      <c r="B226" s="71"/>
    </row>
  </sheetData>
  <mergeCells count="45">
    <mergeCell ref="B6:I6"/>
    <mergeCell ref="B8:I8"/>
    <mergeCell ref="B9:I9"/>
    <mergeCell ref="B11:I11"/>
    <mergeCell ref="B12:I12"/>
    <mergeCell ref="B13:I13"/>
    <mergeCell ref="B15:I15"/>
    <mergeCell ref="B16:I16"/>
    <mergeCell ref="B17:I17"/>
    <mergeCell ref="B19:I19"/>
    <mergeCell ref="B21:I21"/>
    <mergeCell ref="B22:I22"/>
    <mergeCell ref="B23:I23"/>
    <mergeCell ref="B25:I25"/>
    <mergeCell ref="B26:I26"/>
    <mergeCell ref="B28:I28"/>
    <mergeCell ref="B30:I30"/>
    <mergeCell ref="B31:I31"/>
    <mergeCell ref="B32:I32"/>
    <mergeCell ref="B33:I33"/>
    <mergeCell ref="B34:I34"/>
    <mergeCell ref="B35:I35"/>
    <mergeCell ref="B36:I36"/>
    <mergeCell ref="B37:I37"/>
    <mergeCell ref="B39:I39"/>
    <mergeCell ref="B40:I40"/>
    <mergeCell ref="B41:I41"/>
    <mergeCell ref="B42:I42"/>
    <mergeCell ref="B43:I43"/>
    <mergeCell ref="B45:I45"/>
    <mergeCell ref="B47:I47"/>
    <mergeCell ref="B48:I48"/>
    <mergeCell ref="B54:I54"/>
    <mergeCell ref="B55:I55"/>
    <mergeCell ref="B56:I56"/>
    <mergeCell ref="B57:I57"/>
    <mergeCell ref="B58:I58"/>
    <mergeCell ref="B59:I59"/>
    <mergeCell ref="B61:I61"/>
    <mergeCell ref="B62:I62"/>
    <mergeCell ref="B63:I63"/>
    <mergeCell ref="B64:I64"/>
    <mergeCell ref="B65:I65"/>
    <mergeCell ref="H101:K101"/>
    <mergeCell ref="B119:L1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2026-07-29T19:36:15Z</dcterms:created>
  <dc:creator>openpyxl</dc:creator>
  <dc:description/>
  <dc:language>en-US</dc:language>
  <cp:lastModifiedBy/>
  <dcterms:modified xsi:type="dcterms:W3CDTF">2026-07-29T19:36:16Z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