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<sst xmlns="http://schemas.openxmlformats.org/spreadsheetml/2006/main" count="111" uniqueCount="85">
  <si>
    <t xml:space="preserve">Legislación</t>
  </si>
  <si>
    <t xml:space="preserve">Gastos de Automóviles</t>
  </si>
  <si>
    <t xml:space="preserve">Ley de Impuesto a las Ganancias.</t>
  </si>
  <si>
    <t xml:space="preserve">Deducciones especiales de las categorías primera, segunda, tercera y cuarta.</t>
  </si>
  <si>
    <t xml:space="preserve">Art 86-</t>
  </si>
  <si>
    <t xml:space="preserve">De las ganancias de las categorías primera, segunda, tercera y cuarta, y con las limitaciones de esta ley, también se podrán deducir:</t>
  </si>
  <si>
    <t xml:space="preserve">f) Las amortizaciones por desgaste, agotamiento u obsolescencia y las pérdidas por desuso, de acuerdo con lo que establecen los artículos pertinentes, excepto las comprendidas en el inciso l) del artículo 92.</t>
  </si>
  <si>
    <t xml:space="preserve">Deducciones no admitidas.</t>
  </si>
  <si>
    <t xml:space="preserve">Art 92-</t>
  </si>
  <si>
    <t xml:space="preserve">No serán deducibles, sin distinción de categorías:</t>
  </si>
  <si>
    <t xml:space="preserve">l) Las amortizaciones y pérdidas por desuso a que se refiere el inciso f) del artículo 86, correspondientes a automóviles y el alquiler de los mismos (incluidos los derivados de contratos de leasing), en la medida que excedan lo que correspondería deducir con relación a automóviles cuyo costo de adquisición, importación o valor de plaza, si son de propia producción o alquilados con opción de compra, sea superior a la suma de pesos veinte mil ($ 20.000) -neto del impuesto al valor agregado-, al momento de su compra, despacho a plaza, habilitación o suscripción del respectivo contrato según corresponda.</t>
  </si>
  <si>
    <t xml:space="preserve">Tampoco serán deducibles los gastos en combustibles, lubricantes, patentes, seguros, reparaciones ordinarias y en general todos los gastos de mantenimiento y funcionamiento de automóviles que no sean bienes de cambio, en cuanto excedan la suma global que, para cada unidad, fije anualmente la Administración Federal de Ingresos Públicos.</t>
  </si>
  <si>
    <t xml:space="preserve">Lo dispuesto en este inciso no será de aplicación respecto de los automóviles cuya explotación constituya el objeto principal de la actividad gravada (alquiler, taxis, remises, viajantes de comercio y similares).</t>
  </si>
  <si>
    <t xml:space="preserve">Decreto Reglamentario Ley Impuesto a las Ganancias.</t>
  </si>
  <si>
    <t xml:space="preserve">Automóviles. Amortizaciones y pérdidas por desuso</t>
  </si>
  <si>
    <t xml:space="preserve">Art. 232-</t>
  </si>
  <si>
    <t xml:space="preserve">A efectos de lo dispuesto en el inciso l) del artículo 92 de la ley, deberá entenderse por 'automóvil' a los vehículos definidos como tales por el inciso a) del artículo 5 de la ley 24449 y sus modificaciones.</t>
  </si>
  <si>
    <t xml:space="preserve">Asimismo, en lo que hace a lo establecido en el tercer párrafo del citado inciso l), deberá entenderse que la expresión 'similares' está dirigida a aquellos sujetos que se dediquen a la comercialización de servicios para terceros, mediante una remuneración, en las condiciones y precios fijados por las empresas para las que actúan, quedando el riesgo de las operaciones a cargo de estas.</t>
  </si>
  <si>
    <t xml:space="preserve">Ley de tránsito y transporte N° 24.449</t>
  </si>
  <si>
    <t xml:space="preserve">Art. 5 -</t>
  </si>
  <si>
    <t xml:space="preserve">A los efectos de esta ley se entiende por:</t>
  </si>
  <si>
    <t xml:space="preserve">a) Automóvil: El automotor para el transporte de personas de hasta ocho plazas (excluido conductor) con cuatro o más ruedas, y los de tres ruedas que exceda los mil kgs. de peso.</t>
  </si>
  <si>
    <t xml:space="preserve">Resolución General (AFIP) N°94.</t>
  </si>
  <si>
    <t xml:space="preserve">Fíjase en $ 7.200 (siete mil doscientos pesos) por unidad la suma global anual a partir de la cual no son deducibles en el impuesto a las ganancias, los gastos de combustibles, lubricantes, patentes, seguros, reparaciones ordinarias y demás gastos de mantenimiento y funcionamiento de automóviles que no sean bienes de cambio o cuya explotación no constituya el objeto principal de la actividad gravada.</t>
  </si>
  <si>
    <t xml:space="preserve">Dictamen (Dirección Asesoría Técnica – AFIP- DGI) N° 130/95</t>
  </si>
  <si>
    <t xml:space="preserve">En cuanto a los vehículos utilitarios tales como Pick-ups, furgonetas y furgones, el fisco determinó mediante este dictamen que aquellos vehículos utilitarios que realizan transporte de carga no tendrán limitación en la deducibilidad de sus gastos.</t>
  </si>
  <si>
    <t xml:space="preserve">Teoria</t>
  </si>
  <si>
    <t xml:space="preserve">Puntos de atención</t>
  </si>
  <si>
    <t xml:space="preserve">1. La compañía debe identificar cuáles de sus vehículos responden a la definición de utilitario y cuáles no.</t>
  </si>
  <si>
    <t xml:space="preserve">2. La compañía debe suministrar la información de los gastos de rodados abierta por automóvil. Asimismo, dicha información debe poder ser ligada con la contabilidad.</t>
  </si>
  <si>
    <t xml:space="preserve">3. Respecto de los gastos, deberá aplicarse el tope de $7.200 a los rodados que no sean bienes de cambio ni utilitarios.</t>
  </si>
  <si>
    <t xml:space="preserve">4. En caso de que los gastos reales efectuados hayan sido menores al tope se podrá deducir los gastos reales.</t>
  </si>
  <si>
    <t xml:space="preserve">5. Respecto de la amortización de los rodados y considerando que la vida útil convencional de los automóviles es de 5 años, la amortización impositiva que se podrá deducir anualmente ascendería a $ 4.000 por ejercicio fiscal y por automóvil (amortización tope).</t>
  </si>
  <si>
    <t xml:space="preserve">6. Recordar que los automóviles cuya explotación sea el objeto principal de la actividad gravada (alquiler, taxis, remises, viajantes de comercio y similares) no se encuentran sujetos a limitación en la deducción de gastos.</t>
  </si>
  <si>
    <t xml:space="preserve">Ajuste</t>
  </si>
  <si>
    <t xml:space="preserve">Automóvil</t>
  </si>
  <si>
    <t xml:space="preserve">Gastos</t>
  </si>
  <si>
    <t xml:space="preserve">Tope deducible</t>
  </si>
  <si>
    <t xml:space="preserve">Gasto no deducible</t>
  </si>
  <si>
    <t xml:space="preserve">[A]</t>
  </si>
  <si>
    <t xml:space="preserve">[B]</t>
  </si>
  <si>
    <t xml:space="preserve">[C]</t>
  </si>
  <si>
    <t xml:space="preserve">[D]</t>
  </si>
  <si>
    <t xml:space="preserve">Ajuste a Ganancia</t>
  </si>
  <si>
    <t xml:space="preserve">GAN (+)</t>
  </si>
  <si>
    <t xml:space="preserve">Detalle de los automoviles de la compañía. Los mismos deben ligar con el CTF utilizado para el calculo de las amortizaciones impositivas. Los automóviles sujetos a limitación en la deducción de sus gastos son auqellos "para el transporte de personas de hasta ocho plazas (excluido conductor) con cuatro o más ruedas, y los de tres ruedas que exeda los mil kg de peso" Ley 24.449. Art 5°.</t>
  </si>
  <si>
    <t xml:space="preserve">Apertura de los gastos por automóvil, la cual debe ser efectuada por la compañía. Debe ligarse el total de los gastos con las cuentas del sumas y saldos que identifican los gastos de rodados.</t>
  </si>
  <si>
    <t xml:space="preserve">ARCA establece mediante RG N°94 que se podrán deducir hasta $7.200 por unidad, en concepto de gastos de mantenimiento y funcionamiento de automóviles.</t>
  </si>
  <si>
    <t xml:space="preserve">Detalle de los gastos por automóvil que exceden los $7.200. En esta columna se exponen los gastos no deducibles en la determinación del impuesto a las ganancias.</t>
  </si>
  <si>
    <t xml:space="preserve">Ejemplos</t>
  </si>
  <si>
    <t xml:space="preserve">CASO 1</t>
  </si>
  <si>
    <t xml:space="preserve">Empresa A</t>
  </si>
  <si>
    <t xml:space="preserve">Actividad economica: Servicio de remiseria</t>
  </si>
  <si>
    <t xml:space="preserve">No hay Ajuste. </t>
  </si>
  <si>
    <t xml:space="preserve">Autos en patrimonio</t>
  </si>
  <si>
    <t xml:space="preserve">Gastos de mantenimiento</t>
  </si>
  <si>
    <t xml:space="preserve">Tope por auto $7.200</t>
  </si>
  <si>
    <t xml:space="preserve">1. Peugeot 208</t>
  </si>
  <si>
    <t xml:space="preserve">2. Ford Fiesta</t>
  </si>
  <si>
    <t xml:space="preserve">3. Citroen C3</t>
  </si>
  <si>
    <t xml:space="preserve">En este caso la deducibilidad no tiene limite, ya que, lo automoviles constituyen el objeto principal de la empresa. </t>
  </si>
  <si>
    <t xml:space="preserve">Gastos de automoviles</t>
  </si>
  <si>
    <t xml:space="preserve">REF.</t>
  </si>
  <si>
    <t xml:space="preserve">IMPORTE</t>
  </si>
  <si>
    <t xml:space="preserve">Utilitario</t>
  </si>
  <si>
    <t xml:space="preserve">Rodado</t>
  </si>
  <si>
    <t xml:space="preserve">Gastos de mantenimiento de automoviles</t>
  </si>
  <si>
    <t xml:space="preserve">BS</t>
  </si>
  <si>
    <t xml:space="preserve">Total Gastos de automoviles</t>
  </si>
  <si>
    <t xml:space="preserve">Tope S/ Art.  92 inciso l)</t>
  </si>
  <si>
    <t xml:space="preserve">I</t>
  </si>
  <si>
    <t xml:space="preserve">Cantidad de automoviles no utilitarios</t>
  </si>
  <si>
    <t xml:space="preserve">II</t>
  </si>
  <si>
    <t xml:space="preserve">Tope deducción gastos de automoviles</t>
  </si>
  <si>
    <t xml:space="preserve">I * II</t>
  </si>
  <si>
    <t xml:space="preserve">GAN  (+)</t>
  </si>
  <si>
    <t xml:space="preserve">CASO 2</t>
  </si>
  <si>
    <t xml:space="preserve">Empresa B</t>
  </si>
  <si>
    <t xml:space="preserve">Actividad economica: Servicio de Marketing</t>
  </si>
  <si>
    <t xml:space="preserve">Ajuste positivo +</t>
  </si>
  <si>
    <t xml:space="preserve">Tope por auto</t>
  </si>
  <si>
    <t xml:space="preserve">Deducción</t>
  </si>
  <si>
    <t xml:space="preserve">3. Camioneta Renault (Utilitario)</t>
  </si>
  <si>
    <t xml:space="preserve">En este caso, el tope tendrá lugar en aquellos automoviles que no son utilitarios para la empresa, ya que, no constituyen el objeto principal de la misma. </t>
  </si>
  <si>
    <t xml:space="preserve">La camioneta al ser utilitario para la empresa no tiene limite de deducción.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</si>
</sst>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_);\(#,##0.00\)"/>
    <numFmt numFmtId="166" formatCode="_ * #,##0.00_ ;_ * \-#,##0.00_ ;_ * \-??_ ;_ @_ "/>
    <numFmt numFmtId="167" formatCode="_-* #,##0.00_-;\-* #,##0.00_-;_-* \-??_-;_-@_-"/>
    <numFmt numFmtId="168" formatCode="#,##0"/>
    <numFmt numFmtId="169" formatCode="_(* #,##0.00_);_(* \(#,##0.00\);_(* \-??_);_(@_)"/>
    <numFmt numFmtId="170" formatCode="0.00"/>
    <numFmt numFmtId="171" formatCode="_-* #,##0_-;\-* #,##0_-;_-* \-??_-;_-@_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3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70C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36"/>
    <col collapsed="false" customWidth="true" hidden="false" outlineLevel="0" max="2" min="2" style="0" width="92.09"/>
    <col collapsed="false" customWidth="true" hidden="false" outlineLevel="0" max="3" min="3" style="0" width="23.45"/>
    <col collapsed="false" customWidth="true" hidden="false" outlineLevel="0" max="4" min="4" style="0" width="18.27"/>
    <col collapsed="false" customWidth="true" hidden="false" outlineLevel="0" max="5" min="5" style="0" width="18.91"/>
    <col collapsed="false" customWidth="true" hidden="false" outlineLevel="0" max="6" min="6" style="0" width="16.91"/>
    <col collapsed="false" customWidth="true" hidden="false" outlineLevel="0" max="7" min="7" style="0" width="15.63"/>
    <col collapsed="false" customWidth="true" hidden="false" outlineLevel="0" max="9" min="8" style="0" width="13"/>
  </cols>
  <sheetData>
    <row r="1" customFormat="false" ht="16.15" hidden="false" customHeight="false" outlineLevel="0" collapsed="false">
      <c r="A1" s="1" t="s">
        <v>0</v>
      </c>
    </row>
    <row r="3" customFormat="false" ht="19.7" hidden="false" customHeight="false" outlineLevel="0" collapsed="false">
      <c r="B3" s="2" t="s">
        <v>1</v>
      </c>
    </row>
    <row r="6" customFormat="false" ht="16.5" hidden="false" customHeight="true" outlineLevel="0" collapsed="false">
      <c r="B6" s="3" t="s">
        <v>2</v>
      </c>
      <c r="C6" s="3"/>
      <c r="D6" s="3"/>
      <c r="E6" s="3"/>
      <c r="F6" s="3"/>
      <c r="G6" s="3"/>
      <c r="H6" s="3"/>
      <c r="I6" s="3"/>
    </row>
    <row r="7" customFormat="false" ht="16.5" hidden="false" customHeight="true" outlineLevel="0" collapsed="false">
      <c r="B7" s="3" t="s">
        <v>3</v>
      </c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B8" s="4"/>
      <c r="C8" s="5"/>
      <c r="D8" s="5"/>
      <c r="E8" s="5"/>
      <c r="F8" s="5"/>
      <c r="G8" s="5"/>
      <c r="H8" s="5"/>
      <c r="I8" s="6"/>
    </row>
    <row r="9" customFormat="false" ht="15" hidden="false" customHeight="true" outlineLevel="0" collapsed="false">
      <c r="B9" s="7" t="s">
        <v>4</v>
      </c>
      <c r="C9" s="7"/>
      <c r="D9" s="7"/>
      <c r="E9" s="7"/>
      <c r="F9" s="7"/>
      <c r="G9" s="7"/>
      <c r="H9" s="7"/>
      <c r="I9" s="7"/>
    </row>
    <row r="10" customFormat="false" ht="15" hidden="false" customHeight="true" outlineLevel="0" collapsed="false">
      <c r="B10" s="8" t="s">
        <v>5</v>
      </c>
      <c r="C10" s="8"/>
      <c r="D10" s="8"/>
      <c r="E10" s="8"/>
      <c r="F10" s="8"/>
      <c r="G10" s="8"/>
      <c r="H10" s="8"/>
      <c r="I10" s="8"/>
    </row>
    <row r="11" customFormat="false" ht="15" hidden="false" customHeight="true" outlineLevel="0" collapsed="false">
      <c r="B11" s="8" t="s">
        <v>6</v>
      </c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B12" s="9"/>
      <c r="C12" s="10"/>
      <c r="D12" s="10"/>
      <c r="E12" s="10"/>
      <c r="F12" s="10"/>
      <c r="G12" s="10"/>
      <c r="H12" s="10"/>
      <c r="I12" s="11"/>
    </row>
    <row r="13" customFormat="false" ht="16.5" hidden="false" customHeight="true" outlineLevel="0" collapsed="false">
      <c r="B13" s="3" t="s">
        <v>7</v>
      </c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B14" s="4"/>
      <c r="C14" s="5"/>
      <c r="D14" s="5"/>
      <c r="E14" s="5"/>
      <c r="F14" s="5"/>
      <c r="G14" s="5"/>
      <c r="H14" s="5"/>
      <c r="I14" s="6"/>
    </row>
    <row r="15" customFormat="false" ht="15" hidden="false" customHeight="true" outlineLevel="0" collapsed="false">
      <c r="B15" s="7" t="s">
        <v>8</v>
      </c>
      <c r="C15" s="7"/>
      <c r="D15" s="7"/>
      <c r="E15" s="7"/>
      <c r="F15" s="7"/>
      <c r="G15" s="7"/>
      <c r="H15" s="7"/>
      <c r="I15" s="7"/>
    </row>
    <row r="16" customFormat="false" ht="15" hidden="false" customHeight="true" outlineLevel="0" collapsed="false">
      <c r="B16" s="8" t="s">
        <v>9</v>
      </c>
      <c r="C16" s="8"/>
      <c r="D16" s="8"/>
      <c r="E16" s="8"/>
      <c r="F16" s="8"/>
      <c r="G16" s="8"/>
      <c r="H16" s="8"/>
      <c r="I16" s="8"/>
    </row>
    <row r="17" customFormat="false" ht="42" hidden="false" customHeight="true" outlineLevel="0" collapsed="false">
      <c r="B17" s="8" t="s">
        <v>10</v>
      </c>
      <c r="C17" s="8"/>
      <c r="D17" s="8"/>
      <c r="E17" s="8"/>
      <c r="F17" s="8"/>
      <c r="G17" s="8"/>
      <c r="H17" s="8"/>
      <c r="I17" s="8"/>
    </row>
    <row r="18" customFormat="false" ht="27.75" hidden="false" customHeight="true" outlineLevel="0" collapsed="false">
      <c r="B18" s="8" t="s">
        <v>11</v>
      </c>
      <c r="C18" s="8"/>
      <c r="D18" s="8"/>
      <c r="E18" s="8"/>
      <c r="F18" s="8"/>
      <c r="G18" s="8"/>
      <c r="H18" s="8"/>
      <c r="I18" s="8"/>
    </row>
    <row r="19" customFormat="false" ht="15" hidden="false" customHeight="true" outlineLevel="0" collapsed="false">
      <c r="B19" s="8" t="s">
        <v>12</v>
      </c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B20" s="9"/>
      <c r="C20" s="10"/>
      <c r="D20" s="10"/>
      <c r="E20" s="10"/>
      <c r="F20" s="10"/>
      <c r="G20" s="10"/>
      <c r="H20" s="10"/>
      <c r="I20" s="11"/>
    </row>
    <row r="21" customFormat="false" ht="16.5" hidden="false" customHeight="true" outlineLevel="0" collapsed="false">
      <c r="B21" s="3" t="s">
        <v>13</v>
      </c>
      <c r="C21" s="3"/>
      <c r="D21" s="3"/>
      <c r="E21" s="3"/>
      <c r="F21" s="3"/>
      <c r="G21" s="3"/>
      <c r="H21" s="3"/>
      <c r="I21" s="3"/>
    </row>
    <row r="22" customFormat="false" ht="16.5" hidden="false" customHeight="true" outlineLevel="0" collapsed="false">
      <c r="B22" s="3" t="s">
        <v>14</v>
      </c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B23" s="4"/>
      <c r="C23" s="5"/>
      <c r="D23" s="5"/>
      <c r="E23" s="5"/>
      <c r="F23" s="5"/>
      <c r="G23" s="5"/>
      <c r="H23" s="5"/>
      <c r="I23" s="6"/>
    </row>
    <row r="24" customFormat="false" ht="15" hidden="false" customHeight="true" outlineLevel="0" collapsed="false">
      <c r="B24" s="7" t="s">
        <v>15</v>
      </c>
      <c r="C24" s="7"/>
      <c r="D24" s="7"/>
      <c r="E24" s="7"/>
      <c r="F24" s="7"/>
      <c r="G24" s="7"/>
      <c r="H24" s="7"/>
      <c r="I24" s="7"/>
    </row>
    <row r="25" customFormat="false" ht="15" hidden="false" customHeight="true" outlineLevel="0" collapsed="false">
      <c r="B25" s="8" t="s">
        <v>16</v>
      </c>
      <c r="C25" s="8"/>
      <c r="D25" s="8"/>
      <c r="E25" s="8"/>
      <c r="F25" s="8"/>
      <c r="G25" s="8"/>
      <c r="H25" s="8"/>
      <c r="I25" s="8"/>
    </row>
    <row r="26" customFormat="false" ht="27.75" hidden="false" customHeight="true" outlineLevel="0" collapsed="false">
      <c r="B26" s="8" t="s">
        <v>17</v>
      </c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B27" s="9"/>
      <c r="C27" s="10"/>
      <c r="D27" s="10"/>
      <c r="E27" s="10"/>
      <c r="F27" s="10"/>
      <c r="G27" s="10"/>
      <c r="H27" s="10"/>
      <c r="I27" s="11"/>
    </row>
    <row r="28" customFormat="false" ht="16.5" hidden="false" customHeight="true" outlineLevel="0" collapsed="false">
      <c r="B28" s="3" t="s">
        <v>18</v>
      </c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B29" s="4"/>
      <c r="C29" s="5"/>
      <c r="D29" s="5"/>
      <c r="E29" s="5"/>
      <c r="F29" s="5"/>
      <c r="G29" s="5"/>
      <c r="H29" s="5"/>
      <c r="I29" s="6"/>
    </row>
    <row r="30" customFormat="false" ht="15" hidden="false" customHeight="true" outlineLevel="0" collapsed="false">
      <c r="B30" s="7" t="s">
        <v>19</v>
      </c>
      <c r="C30" s="7"/>
      <c r="D30" s="7"/>
      <c r="E30" s="7"/>
      <c r="F30" s="7"/>
      <c r="G30" s="7"/>
      <c r="H30" s="7"/>
      <c r="I30" s="7"/>
    </row>
    <row r="31" customFormat="false" ht="15" hidden="false" customHeight="true" outlineLevel="0" collapsed="false">
      <c r="B31" s="8" t="s">
        <v>20</v>
      </c>
      <c r="C31" s="8"/>
      <c r="D31" s="8"/>
      <c r="E31" s="8"/>
      <c r="F31" s="8"/>
      <c r="G31" s="8"/>
      <c r="H31" s="8"/>
      <c r="I31" s="8"/>
    </row>
    <row r="32" customFormat="false" ht="15" hidden="false" customHeight="true" outlineLevel="0" collapsed="false">
      <c r="B32" s="8" t="s">
        <v>21</v>
      </c>
      <c r="C32" s="8"/>
      <c r="D32" s="8"/>
      <c r="E32" s="8"/>
      <c r="F32" s="8"/>
      <c r="G32" s="8"/>
      <c r="H32" s="8"/>
      <c r="I32" s="8"/>
    </row>
    <row r="33" customFormat="false" ht="15" hidden="false" customHeight="false" outlineLevel="0" collapsed="false">
      <c r="B33" s="9"/>
      <c r="C33" s="10"/>
      <c r="D33" s="10"/>
      <c r="E33" s="10"/>
      <c r="F33" s="10"/>
      <c r="G33" s="10"/>
      <c r="H33" s="10"/>
      <c r="I33" s="11"/>
    </row>
    <row r="34" customFormat="false" ht="16.5" hidden="false" customHeight="true" outlineLevel="0" collapsed="false">
      <c r="B34" s="3" t="s">
        <v>22</v>
      </c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B35" s="4"/>
      <c r="C35" s="5"/>
      <c r="D35" s="5"/>
      <c r="E35" s="5"/>
      <c r="F35" s="5"/>
      <c r="G35" s="5"/>
      <c r="H35" s="5"/>
      <c r="I35" s="6"/>
    </row>
    <row r="36" customFormat="false" ht="27.75" hidden="false" customHeight="true" outlineLevel="0" collapsed="false">
      <c r="B36" s="8" t="s">
        <v>23</v>
      </c>
      <c r="C36" s="8"/>
      <c r="D36" s="8"/>
      <c r="E36" s="8"/>
      <c r="F36" s="8"/>
      <c r="G36" s="8"/>
      <c r="H36" s="8"/>
      <c r="I36" s="8"/>
    </row>
    <row r="37" customFormat="false" ht="15" hidden="false" customHeight="false" outlineLevel="0" collapsed="false">
      <c r="B37" s="9"/>
      <c r="C37" s="10"/>
      <c r="D37" s="10"/>
      <c r="E37" s="10"/>
      <c r="F37" s="10"/>
      <c r="G37" s="10"/>
      <c r="H37" s="10"/>
      <c r="I37" s="11"/>
    </row>
    <row r="38" customFormat="false" ht="16.5" hidden="false" customHeight="true" outlineLevel="0" collapsed="false">
      <c r="B38" s="3" t="s">
        <v>24</v>
      </c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B39" s="4"/>
      <c r="C39" s="5"/>
      <c r="D39" s="5"/>
      <c r="E39" s="5"/>
      <c r="F39" s="5"/>
      <c r="G39" s="5"/>
      <c r="H39" s="5"/>
      <c r="I39" s="6"/>
    </row>
    <row r="40" customFormat="false" ht="27.75" hidden="false" customHeight="true" outlineLevel="0" collapsed="false">
      <c r="B40" s="8" t="s">
        <v>25</v>
      </c>
      <c r="C40" s="8"/>
      <c r="D40" s="8"/>
      <c r="E40" s="8"/>
      <c r="F40" s="8"/>
      <c r="G40" s="8"/>
      <c r="H40" s="8"/>
      <c r="I40" s="8"/>
    </row>
    <row r="41" customFormat="false" ht="15" hidden="false" customHeight="false" outlineLevel="0" collapsed="false">
      <c r="B41" s="9"/>
      <c r="C41" s="10"/>
      <c r="D41" s="10"/>
      <c r="E41" s="10"/>
      <c r="F41" s="10"/>
      <c r="G41" s="10"/>
      <c r="H41" s="10"/>
      <c r="I41" s="11"/>
    </row>
    <row r="42" customFormat="false" ht="16.15" hidden="false" customHeight="false" outlineLevel="0" collapsed="false">
      <c r="A42" s="1" t="s">
        <v>26</v>
      </c>
    </row>
    <row r="44" customFormat="false" ht="17.35" hidden="false" customHeight="false" outlineLevel="0" collapsed="false">
      <c r="B44" s="12" t="s">
        <v>27</v>
      </c>
    </row>
    <row r="45" customFormat="false" ht="15" hidden="false" customHeight="false" outlineLevel="0" collapsed="false">
      <c r="B45" s="4"/>
      <c r="C45" s="5"/>
      <c r="D45" s="5"/>
      <c r="E45" s="5"/>
      <c r="F45" s="5"/>
      <c r="G45" s="5"/>
      <c r="H45" s="5"/>
      <c r="I45" s="6"/>
    </row>
    <row r="46" customFormat="false" ht="15" hidden="false" customHeight="true" outlineLevel="0" collapsed="false">
      <c r="B46" s="8" t="s">
        <v>28</v>
      </c>
      <c r="C46" s="8"/>
      <c r="D46" s="8"/>
      <c r="E46" s="8"/>
      <c r="F46" s="8"/>
      <c r="G46" s="8"/>
      <c r="H46" s="8"/>
      <c r="I46" s="8"/>
    </row>
    <row r="47" customFormat="false" ht="15" hidden="false" customHeight="true" outlineLevel="0" collapsed="false">
      <c r="B47" s="8" t="s">
        <v>29</v>
      </c>
      <c r="C47" s="8"/>
      <c r="D47" s="8"/>
      <c r="E47" s="8"/>
      <c r="F47" s="8"/>
      <c r="G47" s="8"/>
      <c r="H47" s="8"/>
      <c r="I47" s="8"/>
    </row>
    <row r="48" customFormat="false" ht="15" hidden="false" customHeight="true" outlineLevel="0" collapsed="false">
      <c r="B48" s="8" t="s">
        <v>30</v>
      </c>
      <c r="C48" s="8"/>
      <c r="D48" s="8"/>
      <c r="E48" s="8"/>
      <c r="F48" s="8"/>
      <c r="G48" s="8"/>
      <c r="H48" s="8"/>
      <c r="I48" s="8"/>
    </row>
    <row r="49" customFormat="false" ht="15" hidden="false" customHeight="true" outlineLevel="0" collapsed="false">
      <c r="B49" s="8" t="s">
        <v>31</v>
      </c>
      <c r="C49" s="8"/>
      <c r="D49" s="8"/>
      <c r="E49" s="8"/>
      <c r="F49" s="8"/>
      <c r="G49" s="8"/>
      <c r="H49" s="8"/>
      <c r="I49" s="8"/>
    </row>
    <row r="50" customFormat="false" ht="27.75" hidden="false" customHeight="true" outlineLevel="0" collapsed="false">
      <c r="B50" s="8" t="s">
        <v>32</v>
      </c>
      <c r="C50" s="8"/>
      <c r="D50" s="8"/>
      <c r="E50" s="8"/>
      <c r="F50" s="8"/>
      <c r="G50" s="8"/>
      <c r="H50" s="8"/>
      <c r="I50" s="8"/>
    </row>
    <row r="51" customFormat="false" ht="15" hidden="false" customHeight="true" outlineLevel="0" collapsed="false">
      <c r="B51" s="8" t="s">
        <v>33</v>
      </c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B52" s="9"/>
      <c r="C52" s="10"/>
      <c r="D52" s="10"/>
      <c r="E52" s="10"/>
      <c r="F52" s="10"/>
      <c r="G52" s="10"/>
      <c r="H52" s="10"/>
      <c r="I52" s="11"/>
    </row>
    <row r="53" customFormat="false" ht="16.15" hidden="false" customHeight="false" outlineLevel="0" collapsed="false">
      <c r="A53" s="1" t="s">
        <v>34</v>
      </c>
    </row>
    <row r="56" customFormat="false" ht="15" hidden="false" customHeight="true" outlineLevel="0" collapsed="false">
      <c r="B56" s="13" t="s">
        <v>1</v>
      </c>
      <c r="C56" s="14"/>
      <c r="D56" s="15"/>
      <c r="E56" s="15"/>
      <c r="F56" s="15"/>
    </row>
    <row r="57" customFormat="false" ht="15" hidden="false" customHeight="false" outlineLevel="0" collapsed="false">
      <c r="B57" s="15"/>
      <c r="C57" s="14"/>
      <c r="D57" s="15"/>
      <c r="E57" s="15"/>
      <c r="F57" s="15"/>
    </row>
    <row r="58" customFormat="false" ht="15" hidden="false" customHeight="false" outlineLevel="0" collapsed="false">
      <c r="B58" s="16"/>
      <c r="C58" s="17"/>
      <c r="D58" s="18"/>
      <c r="E58" s="18"/>
      <c r="F58" s="18"/>
    </row>
    <row r="59" customFormat="false" ht="15" hidden="false" customHeight="true" outlineLevel="0" collapsed="false">
      <c r="B59" s="19" t="s">
        <v>35</v>
      </c>
      <c r="C59" s="19" t="s">
        <v>36</v>
      </c>
      <c r="D59" s="19" t="s">
        <v>37</v>
      </c>
      <c r="E59" s="20" t="s">
        <v>38</v>
      </c>
      <c r="F59" s="21"/>
    </row>
    <row r="60" customFormat="false" ht="15" hidden="false" customHeight="false" outlineLevel="0" collapsed="false">
      <c r="B60" s="22" t="s">
        <v>39</v>
      </c>
      <c r="C60" s="22" t="s">
        <v>40</v>
      </c>
      <c r="D60" s="22" t="s">
        <v>41</v>
      </c>
      <c r="E60" s="23" t="s">
        <v>42</v>
      </c>
      <c r="F60" s="21"/>
    </row>
    <row r="61" customFormat="false" ht="15" hidden="false" customHeight="false" outlineLevel="0" collapsed="false">
      <c r="B61" s="24"/>
      <c r="C61" s="14"/>
      <c r="D61" s="25"/>
      <c r="E61" s="26"/>
      <c r="F61" s="18"/>
    </row>
    <row r="62" customFormat="false" ht="15" hidden="false" customHeight="false" outlineLevel="0" collapsed="false">
      <c r="B62" s="27" t="n">
        <v>0</v>
      </c>
      <c r="C62" s="27" t="n">
        <v>0</v>
      </c>
      <c r="D62" s="27" t="n">
        <v>7200</v>
      </c>
      <c r="E62" s="27" t="n">
        <f aca="false">IF((+C62-D62)&gt;0,(+C62-D62),0)</f>
        <v>0</v>
      </c>
      <c r="F62" s="18"/>
    </row>
    <row r="63" customFormat="false" ht="15" hidden="false" customHeight="true" outlineLevel="0" collapsed="false">
      <c r="B63" s="28" t="s">
        <v>43</v>
      </c>
      <c r="C63" s="29"/>
      <c r="D63" s="30"/>
      <c r="E63" s="31" t="n">
        <v>0</v>
      </c>
      <c r="F63" s="24" t="s">
        <v>44</v>
      </c>
    </row>
    <row r="64" customFormat="false" ht="15" hidden="false" customHeight="true" outlineLevel="0" collapsed="false">
      <c r="B64" s="15"/>
      <c r="C64" s="14"/>
      <c r="D64" s="15"/>
      <c r="E64" s="15"/>
      <c r="F64" s="18"/>
    </row>
    <row r="65" customFormat="false" ht="15" hidden="false" customHeight="false" outlineLevel="0" collapsed="false">
      <c r="B65" s="15"/>
      <c r="C65" s="14"/>
      <c r="D65" s="25"/>
      <c r="E65" s="32"/>
      <c r="F65" s="24"/>
    </row>
    <row r="68" customFormat="false" ht="14.25" hidden="false" customHeight="true" outlineLevel="0" collapsed="false">
      <c r="A68" s="33" t="s">
        <v>39</v>
      </c>
      <c r="B68" s="34" t="s">
        <v>45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customFormat="false" ht="15" hidden="false" customHeight="false" outlineLevel="0" collapsed="false">
      <c r="A69" s="33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customFormat="false" ht="15" hidden="false" customHeight="false" outlineLevel="0" collapsed="false">
      <c r="A70" s="33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customFormat="false" ht="14.25" hidden="false" customHeight="true" outlineLevel="0" collapsed="false">
      <c r="A71" s="33" t="s">
        <v>40</v>
      </c>
      <c r="B71" s="34" t="s">
        <v>46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customFormat="false" ht="15" hidden="false" customHeight="false" outlineLevel="0" collapsed="false">
      <c r="A72" s="33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customFormat="false" ht="15" hidden="false" customHeight="false" outlineLevel="0" collapsed="false">
      <c r="A73" s="33" t="s">
        <v>41</v>
      </c>
      <c r="B73" s="35" t="s">
        <v>47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customFormat="false" ht="15" hidden="false" customHeight="false" outlineLevel="0" collapsed="false">
      <c r="A74" s="33" t="s">
        <v>42</v>
      </c>
      <c r="B74" s="35" t="s">
        <v>48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7" customFormat="false" ht="16.15" hidden="false" customHeight="false" outlineLevel="0" collapsed="false">
      <c r="A77" s="1" t="s">
        <v>49</v>
      </c>
    </row>
    <row r="80" customFormat="false" ht="15" hidden="false" customHeight="false" outlineLevel="0" collapsed="false">
      <c r="B80" s="36" t="s">
        <v>50</v>
      </c>
      <c r="C80" s="37"/>
      <c r="D80" s="37"/>
      <c r="E80" s="37"/>
      <c r="F80" s="37"/>
      <c r="G80" s="37"/>
      <c r="H80" s="38"/>
    </row>
    <row r="81" customFormat="false" ht="15" hidden="false" customHeight="false" outlineLevel="0" collapsed="false">
      <c r="B81" s="39" t="s">
        <v>51</v>
      </c>
      <c r="H81" s="40"/>
    </row>
    <row r="82" customFormat="false" ht="15" hidden="false" customHeight="false" outlineLevel="0" collapsed="false">
      <c r="B82" s="39" t="s">
        <v>52</v>
      </c>
      <c r="C82" s="41" t="s">
        <v>53</v>
      </c>
      <c r="H82" s="40"/>
    </row>
    <row r="83" customFormat="false" ht="15" hidden="false" customHeight="false" outlineLevel="0" collapsed="false">
      <c r="B83" s="39"/>
      <c r="H83" s="40"/>
    </row>
    <row r="84" customFormat="false" ht="15" hidden="false" customHeight="false" outlineLevel="0" collapsed="false">
      <c r="B84" s="39" t="s">
        <v>54</v>
      </c>
      <c r="C84" s="42" t="s">
        <v>55</v>
      </c>
      <c r="D84" s="42" t="s">
        <v>56</v>
      </c>
      <c r="H84" s="40"/>
    </row>
    <row r="85" customFormat="false" ht="15" hidden="false" customHeight="false" outlineLevel="0" collapsed="false">
      <c r="B85" s="39" t="s">
        <v>57</v>
      </c>
      <c r="C85" s="43" t="n">
        <v>100000</v>
      </c>
      <c r="D85" s="42" t="n">
        <v>0</v>
      </c>
      <c r="H85" s="40"/>
    </row>
    <row r="86" customFormat="false" ht="15" hidden="false" customHeight="false" outlineLevel="0" collapsed="false">
      <c r="B86" s="39" t="s">
        <v>58</v>
      </c>
      <c r="C86" s="43" t="n">
        <v>70000</v>
      </c>
      <c r="D86" s="42" t="n">
        <v>0</v>
      </c>
      <c r="H86" s="40"/>
    </row>
    <row r="87" customFormat="false" ht="15" hidden="false" customHeight="false" outlineLevel="0" collapsed="false">
      <c r="B87" s="39" t="s">
        <v>59</v>
      </c>
      <c r="C87" s="44" t="n">
        <v>50000</v>
      </c>
      <c r="D87" s="42" t="n">
        <v>0</v>
      </c>
      <c r="H87" s="40"/>
    </row>
    <row r="88" customFormat="false" ht="15" hidden="false" customHeight="false" outlineLevel="0" collapsed="false">
      <c r="B88" s="39"/>
      <c r="C88" s="43" t="n">
        <f aca="false">SUM(C85:C87)</f>
        <v>220000</v>
      </c>
      <c r="H88" s="40"/>
    </row>
    <row r="89" customFormat="false" ht="15" hidden="false" customHeight="false" outlineLevel="0" collapsed="false">
      <c r="B89" s="39"/>
      <c r="H89" s="40"/>
    </row>
    <row r="90" customFormat="false" ht="15" hidden="false" customHeight="false" outlineLevel="0" collapsed="false">
      <c r="B90" s="39" t="s">
        <v>60</v>
      </c>
      <c r="H90" s="40"/>
    </row>
    <row r="91" customFormat="false" ht="15" hidden="false" customHeight="false" outlineLevel="0" collapsed="false">
      <c r="B91" s="45"/>
      <c r="C91" s="46"/>
      <c r="D91" s="46"/>
      <c r="E91" s="46"/>
      <c r="F91" s="46"/>
      <c r="G91" s="46"/>
      <c r="H91" s="47"/>
    </row>
    <row r="93" customFormat="false" ht="15.75" hidden="false" customHeight="true" outlineLevel="0" collapsed="false">
      <c r="B93" s="48" t="s">
        <v>61</v>
      </c>
      <c r="C93" s="49" t="s">
        <v>62</v>
      </c>
      <c r="D93" s="50" t="s">
        <v>63</v>
      </c>
      <c r="F93" s="50" t="s">
        <v>64</v>
      </c>
      <c r="G93" s="50" t="s">
        <v>65</v>
      </c>
    </row>
    <row r="94" customFormat="false" ht="16.5" hidden="false" customHeight="true" outlineLevel="0" collapsed="false">
      <c r="B94" s="42"/>
      <c r="C94" s="42"/>
      <c r="D94" s="42"/>
      <c r="F94" s="42"/>
    </row>
    <row r="95" customFormat="false" ht="16.5" hidden="false" customHeight="true" outlineLevel="0" collapsed="false">
      <c r="B95" s="42" t="s">
        <v>66</v>
      </c>
      <c r="C95" s="51" t="s">
        <v>67</v>
      </c>
      <c r="D95" s="52" t="n">
        <v>220000</v>
      </c>
      <c r="F95" s="52" t="n">
        <f aca="false">+D95</f>
        <v>220000</v>
      </c>
      <c r="G95" s="53" t="n">
        <v>0</v>
      </c>
    </row>
    <row r="96" customFormat="false" ht="16.5" hidden="false" customHeight="true" outlineLevel="0" collapsed="false">
      <c r="B96" s="42"/>
      <c r="C96" s="42"/>
      <c r="D96" s="42"/>
    </row>
    <row r="97" customFormat="false" ht="15.75" hidden="false" customHeight="true" outlineLevel="0" collapsed="false">
      <c r="B97" s="54" t="s">
        <v>68</v>
      </c>
      <c r="C97" s="55"/>
      <c r="D97" s="56" t="n">
        <f aca="false">+D95</f>
        <v>220000</v>
      </c>
      <c r="E97" s="57"/>
      <c r="F97" s="56" t="n">
        <f aca="false">+F95</f>
        <v>220000</v>
      </c>
      <c r="G97" s="56" t="n">
        <f aca="false">+D97*G95</f>
        <v>0</v>
      </c>
    </row>
    <row r="98" customFormat="false" ht="16.5" hidden="false" customHeight="true" outlineLevel="0" collapsed="false">
      <c r="B98" s="42"/>
      <c r="C98" s="42"/>
      <c r="D98" s="42"/>
    </row>
    <row r="99" customFormat="false" ht="16.5" hidden="false" customHeight="true" outlineLevel="0" collapsed="false">
      <c r="B99" s="42" t="s">
        <v>69</v>
      </c>
      <c r="C99" s="58"/>
      <c r="D99" s="59" t="n">
        <v>7200</v>
      </c>
      <c r="E99" s="57" t="s">
        <v>70</v>
      </c>
    </row>
    <row r="100" customFormat="false" ht="16.5" hidden="false" customHeight="true" outlineLevel="0" collapsed="false">
      <c r="B100" s="42" t="s">
        <v>71</v>
      </c>
      <c r="C100" s="58"/>
      <c r="D100" s="60" t="n">
        <v>0</v>
      </c>
      <c r="E100" s="57" t="s">
        <v>72</v>
      </c>
    </row>
    <row r="101" customFormat="false" ht="16.5" hidden="false" customHeight="true" outlineLevel="0" collapsed="false">
      <c r="B101" s="42"/>
      <c r="C101" s="42"/>
      <c r="D101" s="42"/>
    </row>
    <row r="102" customFormat="false" ht="15.75" hidden="false" customHeight="true" outlineLevel="0" collapsed="false">
      <c r="B102" s="54" t="s">
        <v>73</v>
      </c>
      <c r="C102" s="61" t="s">
        <v>74</v>
      </c>
      <c r="D102" s="62" t="n">
        <f aca="false">+D99*D100</f>
        <v>0</v>
      </c>
    </row>
    <row r="103" customFormat="false" ht="16.5" hidden="false" customHeight="true" outlineLevel="0" collapsed="false">
      <c r="B103" s="42"/>
      <c r="C103" s="42"/>
      <c r="D103" s="42"/>
    </row>
    <row r="104" customFormat="false" ht="16.5" hidden="false" customHeight="true" outlineLevel="0" collapsed="false">
      <c r="B104" s="63" t="s">
        <v>34</v>
      </c>
      <c r="C104" s="64"/>
      <c r="D104" s="65" t="n">
        <v>0</v>
      </c>
      <c r="E104" s="33" t="s">
        <v>75</v>
      </c>
    </row>
    <row r="111" customFormat="false" ht="15" hidden="false" customHeight="false" outlineLevel="0" collapsed="false">
      <c r="B111" s="36" t="s">
        <v>76</v>
      </c>
      <c r="C111" s="37"/>
      <c r="D111" s="37"/>
      <c r="E111" s="37"/>
      <c r="F111" s="37"/>
      <c r="G111" s="37"/>
      <c r="H111" s="38"/>
    </row>
    <row r="112" customFormat="false" ht="15" hidden="false" customHeight="false" outlineLevel="0" collapsed="false">
      <c r="B112" s="39" t="s">
        <v>77</v>
      </c>
      <c r="H112" s="40"/>
    </row>
    <row r="113" customFormat="false" ht="15" hidden="false" customHeight="false" outlineLevel="0" collapsed="false">
      <c r="B113" s="39" t="s">
        <v>78</v>
      </c>
      <c r="C113" s="41" t="s">
        <v>79</v>
      </c>
      <c r="D113" s="66" t="n">
        <f aca="false">+C119-E119</f>
        <v>155600</v>
      </c>
      <c r="H113" s="40"/>
    </row>
    <row r="114" customFormat="false" ht="15" hidden="false" customHeight="false" outlineLevel="0" collapsed="false">
      <c r="B114" s="39"/>
      <c r="H114" s="40"/>
    </row>
    <row r="115" customFormat="false" ht="15" hidden="false" customHeight="false" outlineLevel="0" collapsed="false">
      <c r="B115" s="39" t="s">
        <v>54</v>
      </c>
      <c r="C115" s="42" t="s">
        <v>55</v>
      </c>
      <c r="D115" s="42" t="s">
        <v>80</v>
      </c>
      <c r="E115" s="42" t="s">
        <v>81</v>
      </c>
      <c r="H115" s="40"/>
    </row>
    <row r="116" customFormat="false" ht="15" hidden="false" customHeight="false" outlineLevel="0" collapsed="false">
      <c r="B116" s="39" t="s">
        <v>57</v>
      </c>
      <c r="C116" s="43" t="n">
        <v>100000</v>
      </c>
      <c r="D116" s="43" t="n">
        <v>7200</v>
      </c>
      <c r="E116" s="43" t="n">
        <f aca="false">+D116</f>
        <v>7200</v>
      </c>
      <c r="H116" s="40"/>
    </row>
    <row r="117" customFormat="false" ht="15" hidden="false" customHeight="false" outlineLevel="0" collapsed="false">
      <c r="B117" s="39" t="s">
        <v>58</v>
      </c>
      <c r="C117" s="43" t="n">
        <v>70000</v>
      </c>
      <c r="D117" s="43" t="n">
        <v>7200</v>
      </c>
      <c r="E117" s="43" t="n">
        <f aca="false">+D117</f>
        <v>7200</v>
      </c>
      <c r="H117" s="40"/>
    </row>
    <row r="118" customFormat="false" ht="15" hidden="false" customHeight="false" outlineLevel="0" collapsed="false">
      <c r="B118" s="39" t="s">
        <v>82</v>
      </c>
      <c r="C118" s="44" t="n">
        <v>50000</v>
      </c>
      <c r="D118" s="46" t="n">
        <v>0</v>
      </c>
      <c r="E118" s="44" t="n">
        <f aca="false">+C118</f>
        <v>50000</v>
      </c>
      <c r="H118" s="40"/>
    </row>
    <row r="119" customFormat="false" ht="15" hidden="false" customHeight="false" outlineLevel="0" collapsed="false">
      <c r="B119" s="39"/>
      <c r="C119" s="43" t="n">
        <f aca="false">SUM(C116:C118)</f>
        <v>220000</v>
      </c>
      <c r="E119" s="43" t="n">
        <f aca="false">SUM(E116:E118)</f>
        <v>64400</v>
      </c>
      <c r="H119" s="40"/>
    </row>
    <row r="120" customFormat="false" ht="15" hidden="false" customHeight="false" outlineLevel="0" collapsed="false">
      <c r="B120" s="39"/>
      <c r="H120" s="40"/>
    </row>
    <row r="121" customFormat="false" ht="15" hidden="false" customHeight="false" outlineLevel="0" collapsed="false">
      <c r="B121" s="39" t="s">
        <v>83</v>
      </c>
      <c r="H121" s="40"/>
    </row>
    <row r="122" customFormat="false" ht="15" hidden="false" customHeight="false" outlineLevel="0" collapsed="false">
      <c r="B122" s="39" t="s">
        <v>84</v>
      </c>
      <c r="H122" s="40"/>
    </row>
    <row r="123" customFormat="false" ht="15" hidden="false" customHeight="false" outlineLevel="0" collapsed="false">
      <c r="B123" s="45"/>
      <c r="C123" s="46"/>
      <c r="D123" s="46"/>
      <c r="E123" s="46"/>
      <c r="F123" s="46"/>
      <c r="G123" s="46"/>
      <c r="H123" s="47"/>
    </row>
    <row r="126" customFormat="false" ht="15.75" hidden="false" customHeight="true" outlineLevel="0" collapsed="false">
      <c r="B126" s="48" t="s">
        <v>61</v>
      </c>
      <c r="C126" s="49" t="s">
        <v>62</v>
      </c>
      <c r="D126" s="50" t="s">
        <v>63</v>
      </c>
      <c r="F126" s="50" t="s">
        <v>64</v>
      </c>
      <c r="G126" s="50" t="s">
        <v>65</v>
      </c>
    </row>
    <row r="127" customFormat="false" ht="16.5" hidden="false" customHeight="true" outlineLevel="0" collapsed="false">
      <c r="B127" s="42"/>
      <c r="C127" s="42"/>
      <c r="D127" s="42"/>
      <c r="F127" s="42"/>
    </row>
    <row r="128" customFormat="false" ht="16.5" hidden="false" customHeight="true" outlineLevel="0" collapsed="false">
      <c r="B128" s="42" t="s">
        <v>66</v>
      </c>
      <c r="C128" s="51" t="s">
        <v>67</v>
      </c>
      <c r="D128" s="52" t="n">
        <v>220000</v>
      </c>
      <c r="F128" s="52" t="n">
        <f aca="false">+C118</f>
        <v>50000</v>
      </c>
      <c r="G128" s="52" t="n">
        <f aca="false">+C116+C117</f>
        <v>170000</v>
      </c>
    </row>
    <row r="129" customFormat="false" ht="16.5" hidden="false" customHeight="true" outlineLevel="0" collapsed="false">
      <c r="B129" s="42"/>
      <c r="C129" s="42"/>
      <c r="D129" s="42"/>
    </row>
    <row r="130" customFormat="false" ht="15.75" hidden="false" customHeight="true" outlineLevel="0" collapsed="false">
      <c r="B130" s="54" t="s">
        <v>68</v>
      </c>
      <c r="C130" s="55"/>
      <c r="D130" s="56" t="n">
        <f aca="false">+D128</f>
        <v>220000</v>
      </c>
      <c r="E130" s="57"/>
      <c r="F130" s="56" t="n">
        <f aca="false">+F128</f>
        <v>50000</v>
      </c>
      <c r="G130" s="56" t="n">
        <f aca="false">+G128</f>
        <v>170000</v>
      </c>
    </row>
    <row r="131" customFormat="false" ht="16.5" hidden="false" customHeight="true" outlineLevel="0" collapsed="false">
      <c r="B131" s="42"/>
      <c r="C131" s="42"/>
      <c r="D131" s="42"/>
    </row>
    <row r="132" customFormat="false" ht="16.5" hidden="false" customHeight="true" outlineLevel="0" collapsed="false">
      <c r="B132" s="42" t="s">
        <v>69</v>
      </c>
      <c r="C132" s="58"/>
      <c r="D132" s="59" t="n">
        <v>7200</v>
      </c>
      <c r="E132" s="57" t="s">
        <v>70</v>
      </c>
    </row>
    <row r="133" customFormat="false" ht="16.5" hidden="false" customHeight="true" outlineLevel="0" collapsed="false">
      <c r="B133" s="42" t="s">
        <v>71</v>
      </c>
      <c r="C133" s="58"/>
      <c r="D133" s="60" t="n">
        <v>2</v>
      </c>
      <c r="E133" s="57" t="s">
        <v>72</v>
      </c>
    </row>
    <row r="134" customFormat="false" ht="16.5" hidden="false" customHeight="true" outlineLevel="0" collapsed="false">
      <c r="B134" s="42"/>
      <c r="C134" s="42"/>
      <c r="D134" s="42"/>
    </row>
    <row r="135" customFormat="false" ht="15.75" hidden="false" customHeight="true" outlineLevel="0" collapsed="false">
      <c r="B135" s="54" t="s">
        <v>73</v>
      </c>
      <c r="C135" s="61" t="s">
        <v>74</v>
      </c>
      <c r="D135" s="62" t="n">
        <f aca="false">+D132*D133</f>
        <v>14400</v>
      </c>
    </row>
    <row r="136" customFormat="false" ht="16.5" hidden="false" customHeight="true" outlineLevel="0" collapsed="false">
      <c r="B136" s="42"/>
      <c r="C136" s="42"/>
      <c r="D136" s="42"/>
    </row>
    <row r="137" customFormat="false" ht="16.5" hidden="false" customHeight="true" outlineLevel="0" collapsed="false">
      <c r="B137" s="63" t="s">
        <v>34</v>
      </c>
      <c r="C137" s="64"/>
      <c r="D137" s="65" t="n">
        <f aca="false">+G130-D135</f>
        <v>155600</v>
      </c>
      <c r="E137" s="33" t="s">
        <v>75</v>
      </c>
    </row>
  </sheetData>
  <mergeCells count="34">
    <mergeCell ref="B6:I6"/>
    <mergeCell ref="B7:I7"/>
    <mergeCell ref="B9:I9"/>
    <mergeCell ref="B10:I10"/>
    <mergeCell ref="B11:I11"/>
    <mergeCell ref="B13:I13"/>
    <mergeCell ref="B15:I15"/>
    <mergeCell ref="B16:I16"/>
    <mergeCell ref="B17:I17"/>
    <mergeCell ref="B18:I18"/>
    <mergeCell ref="B19:I19"/>
    <mergeCell ref="B21:I21"/>
    <mergeCell ref="B22:I22"/>
    <mergeCell ref="B24:I24"/>
    <mergeCell ref="B25:I25"/>
    <mergeCell ref="B26:I26"/>
    <mergeCell ref="B28:I28"/>
    <mergeCell ref="B30:I30"/>
    <mergeCell ref="B31:I31"/>
    <mergeCell ref="B32:I32"/>
    <mergeCell ref="B34:I34"/>
    <mergeCell ref="B36:I36"/>
    <mergeCell ref="B38:I38"/>
    <mergeCell ref="B40:I40"/>
    <mergeCell ref="B46:I46"/>
    <mergeCell ref="B47:I47"/>
    <mergeCell ref="B48:I48"/>
    <mergeCell ref="B49:I49"/>
    <mergeCell ref="B50:I50"/>
    <mergeCell ref="B51:I51"/>
    <mergeCell ref="B68:M70"/>
    <mergeCell ref="B71:M72"/>
    <mergeCell ref="B73:M73"/>
    <mergeCell ref="B74:M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2026-07-29T19:35:57Z</dcterms:created>
  <dc:creator>openpyxl</dc:creator>
  <dc:description/>
  <dc:language>en-US</dc:language>
  <cp:lastModifiedBy/>
  <dcterms:modified xsi:type="dcterms:W3CDTF">2026-07-29T19:35:58Z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