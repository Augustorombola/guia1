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ugusto\Documents\Templates - Arreglados\"/>
    </mc:Choice>
  </mc:AlternateContent>
  <xr:revisionPtr revIDLastSave="0" documentId="13_ncr:1_{86F69B07-5F6E-4208-932A-5705A17A4EA2}" xr6:coauthVersionLast="47" xr6:coauthVersionMax="47" xr10:uidLastSave="{00000000-0000-0000-0000-000000000000}"/>
  <bookViews>
    <workbookView xWindow="-108" yWindow="-108" windowWidth="23256" windowHeight="12456" tabRatio="500" xr2:uid="{00000000-000D-0000-FFFF-FFFF00000000}"/>
  </bookViews>
  <sheets>
    <sheet name="Consolidado" sheetId="1" r:id="rId1"/>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13" i="1" l="1"/>
  <c r="E113" i="1"/>
  <c r="M112" i="1"/>
  <c r="E112" i="1"/>
  <c r="E117" i="1" s="1"/>
  <c r="M104" i="1"/>
  <c r="M107" i="1" s="1"/>
  <c r="E104" i="1"/>
  <c r="E107" i="1" s="1"/>
  <c r="E78" i="1"/>
  <c r="E77" i="1"/>
  <c r="E69" i="1"/>
  <c r="E72" i="1" s="1"/>
  <c r="E82" i="1" l="1"/>
  <c r="M117" i="1"/>
</calcChain>
</file>

<file path=xl/sharedStrings.xml><?xml version="1.0" encoding="utf-8"?>
<sst xmlns="http://schemas.openxmlformats.org/spreadsheetml/2006/main" count="119" uniqueCount="43">
  <si>
    <t>Legislación</t>
  </si>
  <si>
    <t>De las ganancias de la tercera categoría y con las limitaciones de esta ley también se podrá deducir:</t>
  </si>
  <si>
    <t>Teoria</t>
  </si>
  <si>
    <t>Puntos de Atencion</t>
  </si>
  <si>
    <t>Ajuste</t>
  </si>
  <si>
    <t>Compañía / Razón Social</t>
  </si>
  <si>
    <t>Descripción del Trabajo</t>
  </si>
  <si>
    <t>Gratificaciones</t>
  </si>
  <si>
    <t>Provisión gratificaciones Contable</t>
  </si>
  <si>
    <t>CONCEPTO</t>
  </si>
  <si>
    <t>REF.</t>
  </si>
  <si>
    <t>IMPORTE</t>
  </si>
  <si>
    <t>Saldo Inicial</t>
  </si>
  <si>
    <t>GAN LY</t>
  </si>
  <si>
    <t>GAN (-)</t>
  </si>
  <si>
    <t>Constituciones</t>
  </si>
  <si>
    <t>Recuperos</t>
  </si>
  <si>
    <t>Aplicaciones</t>
  </si>
  <si>
    <t>Saldo Final según evolución</t>
  </si>
  <si>
    <t>II</t>
  </si>
  <si>
    <t>Saldo Final</t>
  </si>
  <si>
    <t>BS</t>
  </si>
  <si>
    <t>GAN (+)</t>
  </si>
  <si>
    <t>Ctrl</t>
  </si>
  <si>
    <t>Resumen del ajuste</t>
  </si>
  <si>
    <t>Provisión Gratificaciones</t>
  </si>
  <si>
    <t>SI</t>
  </si>
  <si>
    <t>GAN</t>
  </si>
  <si>
    <t>SF</t>
  </si>
  <si>
    <t>SUM II</t>
  </si>
  <si>
    <t>Gratificaciones abonadas antes. vto DDJJ LY</t>
  </si>
  <si>
    <t>Gratificaciones abonadas antes. vto DDJJ PY</t>
  </si>
  <si>
    <t>[A]</t>
  </si>
  <si>
    <t>Total Ajuste</t>
  </si>
  <si>
    <t>Consignar el importe de las grafificaciones al personal que se paguen antes del vencimiento de la presentación de la Declaración Jurada del período que se liquida.</t>
  </si>
  <si>
    <t>Ejemplo</t>
  </si>
  <si>
    <t xml:space="preserve">Gratificaciones abonadas antes. vto DDJJ </t>
  </si>
  <si>
    <t>PPC</t>
  </si>
  <si>
    <t>[B]</t>
  </si>
  <si>
    <t>Gratificaciones abonadas antes. vto DDJJ</t>
  </si>
  <si>
    <t>Según lo informado anteriormente se pagaron en su totalidad las gratificaciones correspondientes al período anterior.</t>
  </si>
  <si>
    <t xml:space="preserve">Según lo informado por la Sociedad se va a pagar la totalidad antes del vencimiento de la DDJJ del Impuesto a las Ganancias. </t>
  </si>
  <si>
    <t xml:space="preserve">Según lo informado por la Sociedad se van a pagar $800.000,00 antes del vencimiento de la DDJJ del Impuesto a las Ganancias.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</si>
</sst>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_-;_-@_-"/>
    <numFmt numFmtId="165" formatCode="_ * #,##0.00_ ;_ * \-#,##0.00_ ;_ * \-??_ ;_ @_ "/>
    <numFmt numFmtId="166" formatCode="_(* #,##0.00_);_(* \(#,##0.00\);_(* \-??_);_(@_)"/>
  </numFmts>
  <fonts count="23" x14ac:knownFonts="1">
    <font>
      <sz val="11"/>
      <color theme="1"/>
      <name val="Calibri"/>
      <family val="2"/>
      <charset val="1"/>
    </font>
    <font>
      <b/>
      <u/>
      <sz val="13"/>
      <name val="Arial"/>
      <family val="2"/>
    </font>
    <font>
      <b/>
      <u/>
      <sz val="16"/>
      <name val="Arial"/>
      <family val="2"/>
      <charset val="1"/>
    </font>
    <font>
      <b/>
      <sz val="9"/>
      <name val="Arial"/>
      <family val="2"/>
      <charset val="1"/>
    </font>
    <font>
      <sz val="9"/>
      <name val="Arial"/>
      <family val="2"/>
      <charset val="1"/>
    </font>
    <font>
      <b/>
      <u/>
      <sz val="12"/>
      <name val="Arial"/>
      <family val="2"/>
      <charset val="1"/>
    </font>
    <font>
      <b/>
      <i/>
      <sz val="10"/>
      <name val="Arial"/>
      <family val="2"/>
      <charset val="1"/>
    </font>
    <font>
      <b/>
      <sz val="14"/>
      <name val="Arial"/>
      <family val="2"/>
      <charset val="1"/>
    </font>
    <font>
      <sz val="7"/>
      <color rgb="FF000000"/>
      <name val="Segoe UI"/>
      <family val="2"/>
      <charset val="1"/>
    </font>
    <font>
      <sz val="12"/>
      <name val="Arial"/>
      <family val="2"/>
      <charset val="1"/>
    </font>
    <font>
      <b/>
      <sz val="12"/>
      <name val="Arial"/>
      <family val="2"/>
      <charset val="1"/>
    </font>
    <font>
      <b/>
      <i/>
      <u/>
      <sz val="10"/>
      <name val="Arial"/>
      <family val="2"/>
      <charset val="1"/>
    </font>
    <font>
      <b/>
      <sz val="9"/>
      <color rgb="FFFF0000"/>
      <name val="Arial"/>
      <family val="2"/>
      <charset val="1"/>
    </font>
    <font>
      <sz val="9"/>
      <color rgb="FFFF0000"/>
      <name val="Arial"/>
      <family val="2"/>
      <charset val="1"/>
    </font>
    <font>
      <b/>
      <sz val="9"/>
      <color rgb="FF0070C0"/>
      <name val="Arial"/>
      <family val="2"/>
      <charset val="1"/>
    </font>
    <font>
      <b/>
      <i/>
      <sz val="9"/>
      <color rgb="FFFF0000"/>
      <name val="Arial"/>
      <family val="2"/>
      <charset val="1"/>
    </font>
    <font>
      <b/>
      <i/>
      <u/>
      <sz val="10"/>
      <name val="Aptos Narrow"/>
      <family val="2"/>
      <charset val="1"/>
    </font>
    <font>
      <sz val="10"/>
      <name val="Aptos Narrow"/>
      <family val="2"/>
      <charset val="1"/>
    </font>
    <font>
      <u/>
      <sz val="10"/>
      <name val="Aptos Narrow"/>
      <family val="2"/>
      <charset val="1"/>
    </font>
    <font>
      <b/>
      <sz val="10"/>
      <name val="Aptos Narrow"/>
      <family val="2"/>
      <charset val="1"/>
    </font>
    <font>
      <b/>
      <sz val="10"/>
      <color rgb="FFFF0000"/>
      <name val="Aptos Narrow"/>
      <family val="2"/>
      <charset val="1"/>
    </font>
    <font>
      <b/>
      <sz val="10"/>
      <color rgb="FF0066FF"/>
      <name val="Aptos Narrow"/>
      <family val="2"/>
      <charset val="1"/>
    </font>
    <font>
      <b/>
      <u/>
      <sz val="9"/>
      <name val="Arial"/>
      <family val="2"/>
      <charset val="1"/>
    </font>
  </fonts>
  <fills count="2">
    <fill>
      <patternFill patternType="none"/>
    </fill>
    <fill>
      <patternFill patternType="gray125"/>
    </fill>
  </fills>
  <borders count="4">
    <border>
      <left/>
      <right/>
      <top/>
      <bottom/>
      <diagonal/>
    </border>
    <border>
      <left/>
      <right/>
      <top/>
      <bottom style="medium">
        <color auto="1"/>
      </bottom>
      <diagonal/>
    </border>
    <border>
      <left/>
      <right/>
      <top style="thin">
        <color auto="1"/>
      </top>
      <bottom/>
      <diagonal/>
    </border>
    <border>
      <left/>
      <right/>
      <top/>
      <bottom style="thin">
        <color auto="1"/>
      </bottom>
      <diagonal/>
    </border>
  </borders>
  <cellStyleXfs count="1">
    <xf numFmtId="0" fontId="0" fillId="0" borderId="0"/>
  </cellStyleXfs>
  <cellXfs count="59">
    <xf numFmtId="0" fontId="0" fillId="0" borderId="0" xfId="0"/>
    <xf numFmtId="0" fontId="4" fillId="0" borderId="0" xfId="0" applyFont="1" applyAlignment="1">
      <alignment horizontal="left" wrapText="1"/>
    </xf>
    <xf numFmtId="0" fontId="3" fillId="0" borderId="0" xfId="0" applyFont="1" applyAlignment="1">
      <alignment horizontal="center"/>
    </xf>
    <xf numFmtId="0" fontId="1" fillId="0" borderId="0" xfId="0" applyFont="1"/>
    <xf numFmtId="0" fontId="2" fillId="0" borderId="0" xfId="0" applyFont="1"/>
    <xf numFmtId="0" fontId="3" fillId="0" borderId="0" xfId="0" applyFont="1" applyAlignment="1">
      <alignment horizontal="center"/>
    </xf>
    <xf numFmtId="164" fontId="4" fillId="0" borderId="0" xfId="0" applyNumberFormat="1" applyFont="1"/>
    <xf numFmtId="0" fontId="5" fillId="0" borderId="0" xfId="0" applyFont="1"/>
    <xf numFmtId="0" fontId="4" fillId="0" borderId="0" xfId="0" applyFont="1" applyAlignment="1">
      <alignment horizontal="center"/>
    </xf>
    <xf numFmtId="0" fontId="4" fillId="0" borderId="0" xfId="0" applyFont="1"/>
    <xf numFmtId="165" fontId="4" fillId="0" borderId="0" xfId="0" applyNumberFormat="1" applyFont="1"/>
    <xf numFmtId="0" fontId="3" fillId="0" borderId="0" xfId="0" applyFont="1"/>
    <xf numFmtId="4" fontId="3" fillId="0" borderId="0" xfId="0" applyNumberFormat="1" applyFont="1" applyAlignment="1">
      <alignment vertical="center"/>
    </xf>
    <xf numFmtId="4" fontId="4" fillId="0" borderId="0" xfId="0" applyNumberFormat="1" applyFont="1" applyAlignment="1">
      <alignment vertical="center"/>
    </xf>
    <xf numFmtId="0" fontId="6" fillId="0" borderId="0" xfId="0" applyFont="1"/>
    <xf numFmtId="0" fontId="7" fillId="0" borderId="0" xfId="0" applyFont="1"/>
    <xf numFmtId="0" fontId="8" fillId="0" borderId="0" xfId="0" applyFont="1" applyAlignment="1">
      <alignment wrapText="1"/>
    </xf>
    <xf numFmtId="0" fontId="8" fillId="0" borderId="0" xfId="0" applyFont="1"/>
    <xf numFmtId="0" fontId="9" fillId="0" borderId="0" xfId="0" applyFont="1"/>
    <xf numFmtId="0" fontId="10" fillId="0" borderId="0" xfId="0" applyFont="1"/>
    <xf numFmtId="0" fontId="11" fillId="0" borderId="0" xfId="0" applyFont="1"/>
    <xf numFmtId="0" fontId="3" fillId="0" borderId="1" xfId="0" applyFont="1" applyBorder="1"/>
    <xf numFmtId="0" fontId="4" fillId="0" borderId="1" xfId="0" applyFont="1" applyBorder="1" applyAlignment="1">
      <alignment horizontal="center"/>
    </xf>
    <xf numFmtId="0" fontId="3" fillId="0" borderId="1" xfId="0"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Alignment="1">
      <alignment horizontal="center"/>
    </xf>
    <xf numFmtId="165" fontId="3" fillId="0" borderId="0" xfId="0" applyNumberFormat="1" applyFont="1" applyAlignment="1">
      <alignment horizontal="center" wrapText="1"/>
    </xf>
    <xf numFmtId="0" fontId="12" fillId="0" borderId="0" xfId="0" applyFont="1" applyAlignment="1">
      <alignment horizontal="center"/>
    </xf>
    <xf numFmtId="0" fontId="12" fillId="0" borderId="0" xfId="0" applyFont="1"/>
    <xf numFmtId="165" fontId="3" fillId="0" borderId="0" xfId="0" applyNumberFormat="1" applyFont="1"/>
    <xf numFmtId="0" fontId="13" fillId="0" borderId="0" xfId="0" applyFont="1"/>
    <xf numFmtId="0" fontId="4" fillId="0" borderId="2" xfId="0" applyFont="1" applyBorder="1"/>
    <xf numFmtId="0" fontId="3" fillId="0" borderId="2" xfId="0" applyFont="1" applyBorder="1" applyAlignment="1">
      <alignment horizontal="center"/>
    </xf>
    <xf numFmtId="165" fontId="4" fillId="0" borderId="2" xfId="0" applyNumberFormat="1" applyFont="1" applyBorder="1"/>
    <xf numFmtId="0" fontId="14" fillId="0" borderId="0" xfId="0" applyFont="1"/>
    <xf numFmtId="0" fontId="15" fillId="0" borderId="0" xfId="0" applyFont="1" applyAlignment="1">
      <alignment horizontal="center"/>
    </xf>
    <xf numFmtId="0" fontId="16" fillId="0" borderId="0" xfId="0" applyFont="1"/>
    <xf numFmtId="0" fontId="17" fillId="0" borderId="0" xfId="0" applyFont="1"/>
    <xf numFmtId="4" fontId="17" fillId="0" borderId="0" xfId="0" applyNumberFormat="1" applyFont="1"/>
    <xf numFmtId="0" fontId="17" fillId="0" borderId="0" xfId="0" applyFont="1" applyAlignment="1">
      <alignment wrapText="1"/>
    </xf>
    <xf numFmtId="0" fontId="18" fillId="0" borderId="0" xfId="0" applyFont="1"/>
    <xf numFmtId="0" fontId="19" fillId="0" borderId="0" xfId="0" applyFont="1"/>
    <xf numFmtId="0" fontId="20" fillId="0" borderId="0" xfId="0" applyFont="1" applyAlignment="1">
      <alignment horizontal="center"/>
    </xf>
    <xf numFmtId="164" fontId="17" fillId="0" borderId="0" xfId="0" applyNumberFormat="1" applyFont="1" applyAlignment="1">
      <alignment wrapText="1"/>
    </xf>
    <xf numFmtId="0" fontId="20" fillId="0" borderId="0" xfId="0" applyFont="1"/>
    <xf numFmtId="166" fontId="21" fillId="0" borderId="0" xfId="0" applyNumberFormat="1" applyFont="1" applyAlignment="1">
      <alignment horizontal="center"/>
    </xf>
    <xf numFmtId="166" fontId="17" fillId="0" borderId="0" xfId="0" applyNumberFormat="1" applyFont="1"/>
    <xf numFmtId="0" fontId="17" fillId="0" borderId="0" xfId="0" applyFont="1" applyAlignment="1">
      <alignment vertical="top" wrapText="1"/>
    </xf>
    <xf numFmtId="0" fontId="17" fillId="0" borderId="0" xfId="0" applyFont="1" applyAlignment="1">
      <alignment vertical="top"/>
    </xf>
    <xf numFmtId="0" fontId="20" fillId="0" borderId="3" xfId="0" applyFont="1" applyBorder="1" applyAlignment="1">
      <alignment horizontal="center"/>
    </xf>
    <xf numFmtId="0" fontId="17" fillId="0" borderId="2" xfId="0" applyFont="1" applyBorder="1"/>
    <xf numFmtId="166" fontId="17" fillId="0" borderId="2" xfId="0" applyNumberFormat="1" applyFont="1" applyBorder="1"/>
    <xf numFmtId="0" fontId="22" fillId="0" borderId="0" xfId="0" applyFont="1"/>
    <xf numFmtId="164" fontId="3" fillId="0" borderId="1" xfId="0" applyNumberFormat="1" applyFont="1" applyBorder="1" applyAlignment="1">
      <alignment horizontal="center"/>
    </xf>
    <xf numFmtId="164" fontId="4" fillId="0" borderId="2" xfId="0" applyNumberFormat="1" applyFont="1" applyBorder="1"/>
    <xf numFmtId="164" fontId="4" fillId="0" borderId="0" xfId="0" applyNumberFormat="1" applyFont="1" applyAlignment="1">
      <alignment vertical="center"/>
    </xf>
    <xf numFmtId="164" fontId="17" fillId="0" borderId="0" xfId="0" applyNumberFormat="1" applyFont="1"/>
    <xf numFmtId="164" fontId="17" fillId="0" borderId="2" xfId="0" applyNumberFormat="1" applyFont="1" applyBorder="1"/>
    <xf numFmtId="0" fontId="2"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00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152520</xdr:colOff>
      <xdr:row>4</xdr:row>
      <xdr:rowOff>8280</xdr:rowOff>
    </xdr:from>
    <xdr:to>
      <xdr:col>13</xdr:col>
      <xdr:colOff>172320</xdr:colOff>
      <xdr:row>15</xdr:row>
      <xdr:rowOff>118440</xdr:rowOff>
    </xdr:to>
    <xdr:sp macro="" textlink="">
      <xdr:nvSpPr>
        <xdr:cNvPr id="2" name="Text Box 8">
          <a:extLst>
            <a:ext uri="{FF2B5EF4-FFF2-40B4-BE49-F238E27FC236}">
              <a16:creationId xmlns:a16="http://schemas.microsoft.com/office/drawing/2014/main" id="{00000000-0008-0000-0000-000002000000}"/>
            </a:ext>
          </a:extLst>
        </xdr:cNvPr>
        <xdr:cNvSpPr/>
      </xdr:nvSpPr>
      <xdr:spPr>
        <a:xfrm>
          <a:off x="781170" y="836955"/>
          <a:ext cx="13402425" cy="157701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36720" tIns="27360" rIns="0" bIns="0" anchor="t" upright="1">
          <a:noAutofit/>
        </a:bodyPr>
        <a:lstStyle/>
        <a:p>
          <a:pPr>
            <a:lnSpc>
              <a:spcPct val="100000"/>
            </a:lnSpc>
          </a:pPr>
          <a:r>
            <a:rPr lang="en-US" sz="1200" b="1" u="sng" strike="noStrike" spc="-1">
              <a:solidFill>
                <a:sysClr val="windowText" lastClr="000000"/>
              </a:solidFill>
              <a:uFillTx/>
              <a:latin typeface="Arial"/>
            </a:rPr>
            <a:t>Ley del Impuesto</a:t>
          </a:r>
          <a:endParaRPr lang="en-US" sz="1200" b="0" strike="noStrike" spc="-1">
            <a:solidFill>
              <a:sysClr val="windowText" lastClr="000000"/>
            </a:solidFill>
            <a:latin typeface="Times New Roman"/>
          </a:endParaRPr>
        </a:p>
        <a:p>
          <a:pPr>
            <a:lnSpc>
              <a:spcPct val="100000"/>
            </a:lnSpc>
          </a:pPr>
          <a:endParaRPr lang="en-US" sz="900" b="0" strike="noStrike" spc="-1">
            <a:latin typeface="Times New Roman"/>
          </a:endParaRPr>
        </a:p>
        <a:p>
          <a:pPr>
            <a:lnSpc>
              <a:spcPct val="100000"/>
            </a:lnSpc>
          </a:pPr>
          <a:r>
            <a:rPr lang="en-US" sz="1000" b="1" strike="noStrike" spc="-1">
              <a:solidFill>
                <a:srgbClr val="000000"/>
              </a:solidFill>
              <a:latin typeface="Arial"/>
            </a:rPr>
            <a:t>Art. 91</a:t>
          </a:r>
          <a:endParaRPr lang="en-US" sz="1000" b="0" strike="noStrike" spc="-1">
            <a:latin typeface="Times New Roman"/>
          </a:endParaRPr>
        </a:p>
        <a:p>
          <a:pPr>
            <a:lnSpc>
              <a:spcPct val="100000"/>
            </a:lnSpc>
          </a:pPr>
          <a:r>
            <a:rPr lang="en-US" sz="1000" b="0" strike="noStrike" spc="-1">
              <a:solidFill>
                <a:srgbClr val="000000"/>
              </a:solidFill>
              <a:latin typeface="Arial"/>
            </a:rPr>
            <a:t>De las ganancias de la tercera categoría y con las limitaciones de esta ley también se podrá deducir:</a:t>
          </a:r>
          <a:endParaRPr lang="en-US" sz="1000" b="0" strike="noStrike" spc="-1">
            <a:latin typeface="Times New Roman"/>
          </a:endParaRPr>
        </a:p>
        <a:p>
          <a:pPr>
            <a:lnSpc>
              <a:spcPct val="100000"/>
            </a:lnSpc>
          </a:pPr>
          <a:r>
            <a:rPr lang="en-US" sz="1000" b="0" strike="noStrike" spc="-1">
              <a:solidFill>
                <a:srgbClr val="000000"/>
              </a:solidFill>
              <a:latin typeface="Arial"/>
            </a:rPr>
            <a:t>[...]</a:t>
          </a:r>
          <a:endParaRPr lang="en-US" sz="1000" b="0" strike="noStrike" spc="-1">
            <a:latin typeface="Times New Roman"/>
          </a:endParaRPr>
        </a:p>
        <a:p>
          <a:pPr>
            <a:lnSpc>
              <a:spcPct val="100000"/>
            </a:lnSpc>
          </a:pPr>
          <a:r>
            <a:rPr lang="en-US" sz="1000" b="0" strike="noStrike" spc="-1">
              <a:solidFill>
                <a:srgbClr val="000000"/>
              </a:solidFill>
              <a:latin typeface="Arial"/>
            </a:rPr>
            <a:t>f) Los gastos o contribuciones realizados en favor del personal por asistencia sanitaria, ayuda escolar y cultural, subsidios a clubes deportivos y, en general, todo gasto de asistencia en favor de los empleados, dependientes u obreros. </a:t>
          </a:r>
          <a:r>
            <a:rPr lang="en-US" sz="1000" b="1" strike="noStrike" spc="-1">
              <a:solidFill>
                <a:srgbClr val="000000"/>
              </a:solidFill>
              <a:latin typeface="Arial"/>
            </a:rPr>
            <a:t>También se deducirán las gratificaciones, aguinaldos, etcétera, que se paguen al personal dentro de los plazos en que, según la reglamentación, se debe presentar la declaración jurada correspondiente al ejercicio.</a:t>
          </a:r>
          <a:endParaRPr lang="en-US" sz="1000" b="0" strike="noStrike" spc="-1">
            <a:latin typeface="Times New Roman"/>
          </a:endParaRPr>
        </a:p>
        <a:p>
          <a:pPr>
            <a:lnSpc>
              <a:spcPct val="100000"/>
            </a:lnSpc>
          </a:pPr>
          <a:r>
            <a:rPr lang="en-US" sz="1000" b="0" strike="noStrike" spc="-1">
              <a:solidFill>
                <a:srgbClr val="000000"/>
              </a:solidFill>
              <a:latin typeface="Arial"/>
            </a:rPr>
            <a:t>La Administración Federal de Ingresos Públicos podrá impugnar la parte de las habilitaciones, gratificaciones, aguinaldos, etcétera, que exceda a lo que usualmente se abona por tales servicios, teniendo en cuenta la labor desarrollada por el beneficiario, importancia de la empresa y demás factores que puedan influir en el monto de la retribución.</a:t>
          </a:r>
          <a:endParaRPr lang="en-US" sz="1000" b="0" strike="noStrike" spc="-1">
            <a:latin typeface="Times New Roman"/>
          </a:endParaRPr>
        </a:p>
        <a:p>
          <a:pPr>
            <a:lnSpc>
              <a:spcPct val="100000"/>
            </a:lnSpc>
          </a:pPr>
          <a:r>
            <a:rPr lang="en-US" sz="1000" b="0" strike="noStrike" spc="-1">
              <a:solidFill>
                <a:srgbClr val="000000"/>
              </a:solidFill>
              <a:latin typeface="Arial"/>
            </a:rPr>
            <a:t>[...]</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endParaRPr lang="en-US" sz="900" b="0" strike="noStrike" spc="-1">
            <a:latin typeface="Times New Roman"/>
          </a:endParaRPr>
        </a:p>
      </xdr:txBody>
    </xdr:sp>
    <xdr:clientData/>
  </xdr:twoCellAnchor>
  <xdr:twoCellAnchor>
    <xdr:from>
      <xdr:col>1</xdr:col>
      <xdr:colOff>146040</xdr:colOff>
      <xdr:row>17</xdr:row>
      <xdr:rowOff>74520</xdr:rowOff>
    </xdr:from>
    <xdr:to>
      <xdr:col>13</xdr:col>
      <xdr:colOff>171450</xdr:colOff>
      <xdr:row>27</xdr:row>
      <xdr:rowOff>61560</xdr:rowOff>
    </xdr:to>
    <xdr:sp macro="" textlink="">
      <xdr:nvSpPr>
        <xdr:cNvPr id="3" name="Text Box 11">
          <a:extLst>
            <a:ext uri="{FF2B5EF4-FFF2-40B4-BE49-F238E27FC236}">
              <a16:creationId xmlns:a16="http://schemas.microsoft.com/office/drawing/2014/main" id="{00000000-0008-0000-0000-000003000000}"/>
            </a:ext>
          </a:extLst>
        </xdr:cNvPr>
        <xdr:cNvSpPr/>
      </xdr:nvSpPr>
      <xdr:spPr>
        <a:xfrm>
          <a:off x="774690" y="2636745"/>
          <a:ext cx="13408035" cy="139674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36720" tIns="32040" rIns="0" bIns="0" anchor="t" upright="1">
          <a:noAutofit/>
        </a:bodyPr>
        <a:lstStyle/>
        <a:p>
          <a:pPr>
            <a:lnSpc>
              <a:spcPct val="100000"/>
            </a:lnSpc>
          </a:pPr>
          <a:r>
            <a:rPr lang="en-US" sz="1200" b="1" u="sng" strike="noStrike" spc="-1">
              <a:solidFill>
                <a:sysClr val="windowText" lastClr="000000"/>
              </a:solidFill>
              <a:uFillTx/>
              <a:latin typeface="Arial"/>
            </a:rPr>
            <a:t>Decreto Reglamentario</a:t>
          </a:r>
          <a:endParaRPr lang="en-US" sz="1200" b="0" strike="noStrike" spc="-1">
            <a:solidFill>
              <a:sysClr val="windowText" lastClr="000000"/>
            </a:solidFill>
            <a:latin typeface="Times New Roman"/>
          </a:endParaRPr>
        </a:p>
        <a:p>
          <a:pPr>
            <a:lnSpc>
              <a:spcPct val="100000"/>
            </a:lnSpc>
          </a:pPr>
          <a:endParaRPr lang="en-US" sz="1000" b="0" strike="noStrike" spc="-1">
            <a:latin typeface="Times New Roman"/>
          </a:endParaRPr>
        </a:p>
        <a:p>
          <a:pPr defTabSz="914400">
            <a:lnSpc>
              <a:spcPct val="100000"/>
            </a:lnSpc>
            <a:tabLst>
              <a:tab pos="0" algn="l"/>
            </a:tabLst>
          </a:pPr>
          <a:r>
            <a:rPr lang="en-US" sz="1000" b="1" strike="noStrike" spc="-1">
              <a:latin typeface="Calibri"/>
            </a:rPr>
            <a:t>Art. 219</a:t>
          </a:r>
          <a:endParaRPr lang="en-US" sz="1000" b="0" strike="noStrike" spc="-1">
            <a:latin typeface="Times New Roman"/>
          </a:endParaRPr>
        </a:p>
        <a:p>
          <a:pPr defTabSz="914400">
            <a:lnSpc>
              <a:spcPct val="100000"/>
            </a:lnSpc>
            <a:tabLst>
              <a:tab pos="0" algn="l"/>
            </a:tabLst>
          </a:pPr>
          <a:endParaRPr lang="en-US" sz="1000" b="0" strike="noStrike" spc="-1">
            <a:latin typeface="Times New Roman"/>
          </a:endParaRPr>
        </a:p>
        <a:p>
          <a:pPr defTabSz="914400">
            <a:lnSpc>
              <a:spcPct val="100000"/>
            </a:lnSpc>
            <a:tabLst>
              <a:tab pos="0" algn="l"/>
            </a:tabLst>
          </a:pPr>
          <a:r>
            <a:rPr lang="en-US" sz="1000" b="0" strike="noStrike" spc="-1">
              <a:solidFill>
                <a:srgbClr val="000000"/>
              </a:solidFill>
              <a:latin typeface="Arial"/>
            </a:rPr>
            <a:t>A los fines dispuestos en el inciso f) del artículo 91 de la ley, la parte de utilidad del ejercicio que el único dueño o las entidades comerciales o civiles, paguen a su personal en forma de remuneración extraordinaria, aguinaldo o por otro concepto similar, será deducible como gasto siempre que se distribuya efectivamente dentro de los plazos fijados por la Administración Federal de Ingresos Públicos, para presentar la declaración jurada correspondiente al ejercicio. Si la distribución no se realizara dentro del término indicado, se considerará como ganancia gravable del ejercicio en que se produjeron tales utilidades, debiendo rectificarse las declaraciones juradas correspondientes, sin perjuicio de su deducción en el año en que se abonen.</a:t>
          </a:r>
          <a:endParaRPr lang="en-US" sz="1000" b="0" strike="noStrike" spc="-1">
            <a:latin typeface="Times New Roman"/>
          </a:endParaRPr>
        </a:p>
        <a:p>
          <a:pPr defTabSz="914400">
            <a:lnSpc>
              <a:spcPct val="100000"/>
            </a:lnSpc>
            <a:tabLst>
              <a:tab pos="0" algn="l"/>
            </a:tabLst>
          </a:pPr>
          <a:endParaRPr lang="en-US" sz="1000" b="0" strike="noStrike" spc="-1">
            <a:latin typeface="Times New Roman"/>
          </a:endParaRPr>
        </a:p>
      </xdr:txBody>
    </xdr:sp>
    <xdr:clientData/>
  </xdr:twoCellAnchor>
  <xdr:twoCellAnchor>
    <xdr:from>
      <xdr:col>1</xdr:col>
      <xdr:colOff>93405</xdr:colOff>
      <xdr:row>34</xdr:row>
      <xdr:rowOff>12630</xdr:rowOff>
    </xdr:from>
    <xdr:to>
      <xdr:col>9</xdr:col>
      <xdr:colOff>836175</xdr:colOff>
      <xdr:row>46</xdr:row>
      <xdr:rowOff>178125</xdr:rowOff>
    </xdr:to>
    <xdr:sp macro="" textlink="">
      <xdr:nvSpPr>
        <xdr:cNvPr id="4" name="Rectangle 16">
          <a:extLst>
            <a:ext uri="{FF2B5EF4-FFF2-40B4-BE49-F238E27FC236}">
              <a16:creationId xmlns:a16="http://schemas.microsoft.com/office/drawing/2014/main" id="{00000000-0008-0000-0000-000004000000}"/>
            </a:ext>
          </a:extLst>
        </xdr:cNvPr>
        <xdr:cNvSpPr/>
      </xdr:nvSpPr>
      <xdr:spPr>
        <a:xfrm>
          <a:off x="722055" y="5241855"/>
          <a:ext cx="9248595" cy="18514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36720" tIns="27360" rIns="0" bIns="0" anchor="t" upright="1">
          <a:noAutofit/>
        </a:bodyPr>
        <a:lstStyle/>
        <a:p>
          <a:pPr>
            <a:lnSpc>
              <a:spcPct val="100000"/>
            </a:lnSpc>
          </a:pPr>
          <a:r>
            <a:rPr lang="en-US" sz="900" b="0" strike="noStrike" spc="-1">
              <a:solidFill>
                <a:srgbClr val="000000"/>
              </a:solidFill>
              <a:latin typeface="Arial"/>
            </a:rPr>
            <a:t>Si bien la gratificación al personal puede estar devengada y registrada contablemente en el ejercicio, su deducibilidad fiscal está condicionada a que el pago se efectúe dentro del plazo establecido para la presentación de la declaración jurada. </a:t>
          </a:r>
          <a:endParaRPr lang="en-US" sz="900" b="0" strike="noStrike" spc="-1">
            <a:latin typeface="Times New Roman"/>
          </a:endParaRPr>
        </a:p>
        <a:p>
          <a:pPr>
            <a:lnSpc>
              <a:spcPct val="100000"/>
            </a:lnSpc>
          </a:pPr>
          <a:endParaRPr lang="en-US" sz="900" b="0" strike="noStrike" spc="-1">
            <a:latin typeface="Times New Roman"/>
          </a:endParaRPr>
        </a:p>
        <a:p>
          <a:pPr>
            <a:lnSpc>
              <a:spcPct val="100000"/>
            </a:lnSpc>
          </a:pPr>
          <a:r>
            <a:rPr lang="en-US" sz="900" b="0" strike="noStrike" spc="-1">
              <a:solidFill>
                <a:srgbClr val="000000"/>
              </a:solidFill>
              <a:latin typeface="Arial"/>
            </a:rPr>
            <a:t>Al no cumplirse dicho requisito, el gasto resulta no deducible en el período fiscal bajo análisis, por lo que corresponde su adición al resultado impositivo, cabe mencionar que la deducción será procedente en el ejercicio en que se concrete el pago</a:t>
          </a:r>
          <a:endParaRPr lang="en-US" sz="900" b="0" strike="noStrike" spc="-1">
            <a:latin typeface="Times New Roman"/>
          </a:endParaRPr>
        </a:p>
        <a:p>
          <a:pPr>
            <a:lnSpc>
              <a:spcPct val="100000"/>
            </a:lnSpc>
          </a:pPr>
          <a:endParaRPr lang="en-US" sz="900" b="0" strike="noStrike" spc="-1">
            <a:latin typeface="Times New Roman"/>
          </a:endParaRPr>
        </a:p>
        <a:p>
          <a:pPr>
            <a:lnSpc>
              <a:spcPct val="100000"/>
            </a:lnSpc>
          </a:pPr>
          <a:r>
            <a:rPr lang="en-US" sz="900" b="0" strike="noStrike" spc="-1">
              <a:solidFill>
                <a:srgbClr val="000000"/>
              </a:solidFill>
              <a:latin typeface="Arial"/>
            </a:rPr>
            <a:t>Por lo tanto es necesario, verificar el importe pagado en concepto de gratificaciones al personal del período anterior y confirmar con la Sociedad el momento en que se van a pagar las gratificaciones del período que se liquida.</a:t>
          </a:r>
          <a:endParaRPr lang="en-US" sz="9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showGridLines="0" tabSelected="1" zoomScale="80" zoomScaleNormal="80" workbookViewId="0">
      <selection activeCell="C3" sqref="C3"/>
    </sheetView>
  </sheetViews>
  <sheetFormatPr defaultColWidth="8.6640625" defaultRowHeight="14.4" x14ac:dyDescent="0.3"/>
  <cols>
    <col min="1" max="1" width="9.21875" customWidth="1"/>
    <col min="2" max="2" width="35.77734375" customWidth="1"/>
    <col min="3" max="3" width="12.5546875" customWidth="1"/>
    <col min="4" max="4" width="13.21875" customWidth="1"/>
    <col min="5" max="5" width="12.44140625" customWidth="1"/>
    <col min="6" max="7" width="13" customWidth="1"/>
    <col min="8" max="8" width="12.44140625" customWidth="1"/>
    <col min="9" max="9" width="11.44140625" customWidth="1"/>
    <col min="10" max="10" width="39.21875" customWidth="1"/>
    <col min="11" max="11" width="10.21875" customWidth="1"/>
    <col min="12" max="12" width="9.21875" customWidth="1"/>
    <col min="13" max="13" width="12.44140625" customWidth="1"/>
    <col min="14" max="15" width="9.21875" customWidth="1"/>
    <col min="16" max="16" width="10.44140625" customWidth="1"/>
    <col min="17" max="17" width="9.21875" customWidth="1"/>
    <col min="26" max="26" width="5" customWidth="1"/>
    <col min="27" max="27" width="3.21875" customWidth="1"/>
    <col min="28" max="28" width="9.21875" customWidth="1"/>
    <col min="40" max="40" width="10.44140625" customWidth="1"/>
    <col min="41" max="41" width="9.21875" customWidth="1"/>
  </cols>
  <sheetData>
    <row r="1" spans="1:17" ht="16.8" x14ac:dyDescent="0.3">
      <c r="A1" s="3"/>
    </row>
    <row r="3" spans="1:17" ht="19.5" customHeight="1" x14ac:dyDescent="0.4">
      <c r="B3" s="4" t="s">
        <v>0</v>
      </c>
      <c r="F3" s="2"/>
      <c r="G3" s="2"/>
      <c r="J3" s="6"/>
    </row>
    <row r="4" spans="1:17" ht="15" customHeight="1" x14ac:dyDescent="0.3">
      <c r="B4" s="7"/>
      <c r="F4" s="5"/>
      <c r="G4" s="5"/>
      <c r="J4" s="6"/>
    </row>
    <row r="5" spans="1:17" ht="11.25" customHeight="1" x14ac:dyDescent="0.3">
      <c r="B5" s="8"/>
      <c r="J5" s="6"/>
    </row>
    <row r="6" spans="1:17" ht="11.25" customHeight="1" x14ac:dyDescent="0.3">
      <c r="B6" s="8"/>
      <c r="C6" s="9"/>
      <c r="D6" s="10"/>
      <c r="E6" s="10"/>
      <c r="F6" s="10"/>
      <c r="G6" s="2"/>
      <c r="H6" s="2"/>
      <c r="I6" s="9"/>
      <c r="J6" s="6"/>
    </row>
    <row r="7" spans="1:17" ht="11.25" customHeight="1" x14ac:dyDescent="0.3">
      <c r="B7" s="8"/>
      <c r="C7" s="5"/>
      <c r="D7" s="10"/>
      <c r="E7" s="11"/>
      <c r="F7" s="10"/>
      <c r="G7" s="12"/>
      <c r="H7" s="9"/>
      <c r="I7" s="10"/>
      <c r="J7" s="6"/>
    </row>
    <row r="8" spans="1:17" ht="11.25" customHeight="1" x14ac:dyDescent="0.3">
      <c r="B8" s="8"/>
      <c r="C8" s="5"/>
      <c r="D8" s="10"/>
      <c r="E8" s="10"/>
      <c r="F8" s="10"/>
      <c r="G8" s="12"/>
      <c r="H8" s="9"/>
      <c r="I8" s="10"/>
      <c r="J8" s="6"/>
    </row>
    <row r="9" spans="1:17" ht="11.25" customHeight="1" x14ac:dyDescent="0.3">
      <c r="B9" s="5"/>
      <c r="C9" s="5"/>
      <c r="D9" s="13"/>
      <c r="E9" s="11"/>
      <c r="F9" s="13"/>
      <c r="G9" s="12"/>
      <c r="H9" s="9"/>
      <c r="I9" s="10"/>
      <c r="J9" s="6"/>
    </row>
    <row r="10" spans="1:17" ht="11.25" customHeight="1" x14ac:dyDescent="0.3">
      <c r="B10" s="5"/>
      <c r="C10" s="5"/>
      <c r="D10" s="13"/>
      <c r="E10" s="11"/>
      <c r="F10" s="13"/>
      <c r="G10" s="12"/>
      <c r="H10" s="9"/>
      <c r="I10" s="10"/>
      <c r="J10" s="6"/>
      <c r="Q10" s="9" t="s">
        <v>1</v>
      </c>
    </row>
    <row r="11" spans="1:17" ht="11.25" customHeight="1" x14ac:dyDescent="0.3">
      <c r="B11" s="5"/>
      <c r="C11" s="5"/>
      <c r="D11" s="13"/>
      <c r="E11" s="11"/>
      <c r="F11" s="13"/>
      <c r="G11" s="12"/>
      <c r="H11" s="9"/>
      <c r="I11" s="10"/>
      <c r="J11" s="6"/>
    </row>
    <row r="12" spans="1:17" ht="11.25" customHeight="1" x14ac:dyDescent="0.3">
      <c r="B12" s="5"/>
      <c r="C12" s="5"/>
      <c r="D12" s="13"/>
      <c r="E12" s="11"/>
      <c r="F12" s="13"/>
      <c r="G12" s="12"/>
      <c r="H12" s="9"/>
      <c r="I12" s="10"/>
      <c r="J12" s="6"/>
    </row>
    <row r="13" spans="1:17" ht="11.25" customHeight="1" x14ac:dyDescent="0.3">
      <c r="B13" s="5"/>
      <c r="C13" s="5"/>
      <c r="D13" s="13"/>
      <c r="E13" s="11"/>
      <c r="F13" s="13"/>
      <c r="G13" s="12"/>
      <c r="H13" s="9"/>
      <c r="I13" s="10"/>
      <c r="J13" s="6"/>
    </row>
    <row r="14" spans="1:17" ht="11.25" customHeight="1" x14ac:dyDescent="0.3">
      <c r="B14" s="5"/>
      <c r="C14" s="5"/>
      <c r="D14" s="13"/>
      <c r="E14" s="11"/>
      <c r="F14" s="13"/>
      <c r="G14" s="12"/>
      <c r="H14" s="9"/>
      <c r="I14" s="10"/>
      <c r="J14" s="6"/>
    </row>
    <row r="15" spans="1:17" ht="11.25" customHeight="1" x14ac:dyDescent="0.3">
      <c r="B15" s="5"/>
      <c r="C15" s="5"/>
      <c r="D15" s="13"/>
      <c r="E15" s="11"/>
      <c r="F15" s="13"/>
      <c r="G15" s="12"/>
      <c r="H15" s="9"/>
      <c r="I15" s="10"/>
      <c r="J15" s="6"/>
    </row>
    <row r="16" spans="1:17" ht="11.25" customHeight="1" x14ac:dyDescent="0.3">
      <c r="B16" s="5"/>
      <c r="C16" s="5"/>
      <c r="D16" s="13"/>
      <c r="E16" s="11"/>
      <c r="F16" s="13"/>
      <c r="G16" s="12"/>
      <c r="H16" s="9"/>
      <c r="I16" s="10"/>
      <c r="J16" s="6"/>
    </row>
    <row r="17" spans="2:10" ht="11.25" customHeight="1" x14ac:dyDescent="0.3">
      <c r="B17" s="5"/>
      <c r="C17" s="5"/>
      <c r="D17" s="13"/>
      <c r="E17" s="11"/>
      <c r="F17" s="13"/>
      <c r="G17" s="12"/>
      <c r="H17" s="9"/>
      <c r="I17" s="10"/>
      <c r="J17" s="6"/>
    </row>
    <row r="18" spans="2:10" ht="11.25" customHeight="1" x14ac:dyDescent="0.3">
      <c r="B18" s="5"/>
      <c r="C18" s="5"/>
      <c r="D18" s="13"/>
      <c r="E18" s="11"/>
      <c r="F18" s="13"/>
      <c r="G18" s="12"/>
      <c r="H18" s="9"/>
      <c r="I18" s="10"/>
      <c r="J18" s="6"/>
    </row>
    <row r="19" spans="2:10" ht="11.25" customHeight="1" x14ac:dyDescent="0.3">
      <c r="B19" s="5"/>
      <c r="C19" s="5"/>
      <c r="D19" s="13"/>
      <c r="E19" s="11"/>
      <c r="F19" s="13"/>
      <c r="G19" s="12"/>
      <c r="H19" s="10"/>
      <c r="I19" s="10"/>
      <c r="J19" s="6"/>
    </row>
    <row r="20" spans="2:10" ht="11.25" customHeight="1" x14ac:dyDescent="0.3">
      <c r="B20" s="5"/>
      <c r="C20" s="5"/>
      <c r="D20" s="13"/>
      <c r="E20" s="11"/>
      <c r="F20" s="13"/>
      <c r="G20" s="12"/>
      <c r="H20" s="10"/>
      <c r="I20" s="10"/>
      <c r="J20" s="6"/>
    </row>
    <row r="21" spans="2:10" ht="12" customHeight="1" x14ac:dyDescent="0.3">
      <c r="B21" s="5"/>
      <c r="C21" s="5"/>
      <c r="D21" s="13"/>
      <c r="E21" s="11"/>
      <c r="F21" s="13"/>
      <c r="G21" s="12"/>
      <c r="H21" s="10"/>
      <c r="I21" s="10"/>
      <c r="J21" s="6"/>
    </row>
    <row r="22" spans="2:10" ht="11.25" customHeight="1" x14ac:dyDescent="0.3">
      <c r="B22" s="5"/>
      <c r="C22" s="5"/>
      <c r="D22" s="13"/>
      <c r="E22" s="11"/>
      <c r="F22" s="13"/>
      <c r="G22" s="12"/>
      <c r="H22" s="10"/>
      <c r="I22" s="10"/>
      <c r="J22" s="6"/>
    </row>
    <row r="23" spans="2:10" ht="12.75" customHeight="1" x14ac:dyDescent="0.3">
      <c r="B23" s="14"/>
      <c r="C23" s="5"/>
      <c r="D23" s="13"/>
      <c r="E23" s="11"/>
      <c r="F23" s="13"/>
      <c r="G23" s="12"/>
      <c r="H23" s="10"/>
      <c r="I23" s="10"/>
      <c r="J23" s="6"/>
    </row>
    <row r="24" spans="2:10" ht="11.25" customHeight="1" x14ac:dyDescent="0.3">
      <c r="B24" s="5"/>
      <c r="C24" s="5"/>
      <c r="D24" s="13"/>
      <c r="E24" s="11"/>
      <c r="F24" s="13"/>
      <c r="G24" s="12"/>
      <c r="H24" s="10"/>
      <c r="I24" s="10"/>
      <c r="J24" s="6"/>
    </row>
    <row r="25" spans="2:10" ht="11.25" customHeight="1" x14ac:dyDescent="0.3">
      <c r="B25" s="5"/>
      <c r="C25" s="5"/>
      <c r="D25" s="13"/>
      <c r="E25" s="11"/>
      <c r="F25" s="13"/>
      <c r="G25" s="12"/>
      <c r="H25" s="10"/>
      <c r="I25" s="10"/>
      <c r="J25" s="6"/>
    </row>
    <row r="26" spans="2:10" ht="12.75" customHeight="1" x14ac:dyDescent="0.3">
      <c r="B26" s="14"/>
      <c r="C26" s="5"/>
      <c r="D26" s="13"/>
      <c r="E26" s="11"/>
      <c r="F26" s="13"/>
      <c r="G26" s="12"/>
      <c r="H26" s="10"/>
      <c r="I26" s="10"/>
      <c r="J26" s="6"/>
    </row>
    <row r="27" spans="2:10" ht="11.25" customHeight="1" x14ac:dyDescent="0.3">
      <c r="B27" s="5"/>
      <c r="C27" s="5"/>
      <c r="D27" s="13"/>
      <c r="E27" s="11"/>
      <c r="F27" s="13"/>
      <c r="G27" s="12"/>
      <c r="H27" s="10"/>
      <c r="I27" s="10"/>
      <c r="J27" s="6"/>
    </row>
    <row r="28" spans="2:10" ht="11.25" customHeight="1" x14ac:dyDescent="0.3">
      <c r="B28" s="5"/>
      <c r="C28" s="5"/>
      <c r="D28" s="13"/>
      <c r="E28" s="11"/>
      <c r="F28" s="13"/>
      <c r="G28" s="12"/>
      <c r="H28" s="10"/>
      <c r="I28" s="10"/>
      <c r="J28" s="6"/>
    </row>
    <row r="30" spans="2:10" ht="21" x14ac:dyDescent="0.4">
      <c r="B30" s="4" t="s">
        <v>2</v>
      </c>
    </row>
    <row r="32" spans="2:10" ht="11.25" customHeight="1" x14ac:dyDescent="0.3"/>
    <row r="33" spans="2:2" ht="18" customHeight="1" x14ac:dyDescent="0.3">
      <c r="B33" s="15" t="s">
        <v>3</v>
      </c>
    </row>
    <row r="34" spans="2:2" ht="11.25" customHeight="1" x14ac:dyDescent="0.3"/>
    <row r="35" spans="2:2" ht="11.25" customHeight="1" x14ac:dyDescent="0.3"/>
    <row r="36" spans="2:2" ht="11.25" customHeight="1" x14ac:dyDescent="0.3"/>
    <row r="37" spans="2:2" ht="11.25" customHeight="1" x14ac:dyDescent="0.3"/>
    <row r="38" spans="2:2" ht="11.25" customHeight="1" x14ac:dyDescent="0.3"/>
    <row r="39" spans="2:2" ht="11.25" customHeight="1" x14ac:dyDescent="0.3"/>
    <row r="40" spans="2:2" ht="11.25" customHeight="1" x14ac:dyDescent="0.3"/>
    <row r="41" spans="2:2" ht="11.25" customHeight="1" x14ac:dyDescent="0.3"/>
    <row r="42" spans="2:2" ht="11.25" customHeight="1" x14ac:dyDescent="0.3"/>
    <row r="43" spans="2:2" ht="11.25" customHeight="1" x14ac:dyDescent="0.3"/>
    <row r="44" spans="2:2" ht="12" customHeight="1" x14ac:dyDescent="0.3">
      <c r="B44" s="16"/>
    </row>
    <row r="45" spans="2:2" ht="12" customHeight="1" x14ac:dyDescent="0.3">
      <c r="B45" s="17"/>
    </row>
    <row r="49" spans="2:11" ht="21" x14ac:dyDescent="0.4">
      <c r="B49" s="4" t="s">
        <v>4</v>
      </c>
    </row>
    <row r="51" spans="2:11" ht="15" customHeight="1" x14ac:dyDescent="0.3">
      <c r="B51" s="18"/>
      <c r="C51" s="8"/>
      <c r="K51" s="6"/>
    </row>
    <row r="52" spans="2:11" ht="11.25" customHeight="1" x14ac:dyDescent="0.3">
      <c r="B52" s="11" t="s">
        <v>5</v>
      </c>
      <c r="C52" s="8"/>
      <c r="K52" s="6"/>
    </row>
    <row r="53" spans="2:11" ht="11.25" customHeight="1" x14ac:dyDescent="0.3">
      <c r="B53" s="11" t="s">
        <v>6</v>
      </c>
      <c r="C53" s="8"/>
      <c r="G53" s="2"/>
      <c r="H53" s="2"/>
      <c r="K53" s="6"/>
    </row>
    <row r="54" spans="2:11" ht="15" customHeight="1" x14ac:dyDescent="0.3">
      <c r="B54" s="19"/>
      <c r="C54" s="8"/>
      <c r="G54" s="5"/>
      <c r="H54" s="5"/>
      <c r="K54" s="6"/>
    </row>
    <row r="55" spans="2:11" ht="15" customHeight="1" x14ac:dyDescent="0.3">
      <c r="B55" s="7" t="s">
        <v>7</v>
      </c>
      <c r="C55" s="8"/>
    </row>
    <row r="56" spans="2:11" ht="11.25" customHeight="1" x14ac:dyDescent="0.3">
      <c r="B56" s="9"/>
      <c r="C56" s="8"/>
      <c r="D56" s="9"/>
      <c r="E56" s="10"/>
      <c r="F56" s="10"/>
      <c r="G56" s="10"/>
      <c r="H56" s="2"/>
      <c r="I56" s="2"/>
    </row>
    <row r="57" spans="2:11" ht="12.75" customHeight="1" x14ac:dyDescent="0.3">
      <c r="B57" s="20" t="s">
        <v>8</v>
      </c>
    </row>
    <row r="58" spans="2:11" ht="11.25" customHeight="1" x14ac:dyDescent="0.3"/>
    <row r="59" spans="2:11" ht="12" customHeight="1" x14ac:dyDescent="0.3">
      <c r="B59" s="21" t="s">
        <v>9</v>
      </c>
      <c r="C59" s="22"/>
      <c r="D59" s="23" t="s">
        <v>10</v>
      </c>
      <c r="E59" s="24" t="s">
        <v>11</v>
      </c>
      <c r="F59" s="25"/>
      <c r="G59" s="26"/>
      <c r="H59" s="5"/>
      <c r="I59" s="5"/>
    </row>
    <row r="60" spans="2:11" ht="11.25" customHeight="1" x14ac:dyDescent="0.3">
      <c r="B60" s="9"/>
      <c r="C60" s="8"/>
      <c r="D60" s="9"/>
      <c r="E60" s="10"/>
      <c r="F60" s="10"/>
      <c r="G60" s="10"/>
      <c r="H60" s="9"/>
      <c r="I60" s="9"/>
    </row>
    <row r="61" spans="2:11" ht="11.25" customHeight="1" x14ac:dyDescent="0.3">
      <c r="B61" s="9" t="s">
        <v>12</v>
      </c>
      <c r="C61" s="8"/>
      <c r="D61" s="27" t="s">
        <v>13</v>
      </c>
      <c r="F61" s="28" t="s">
        <v>14</v>
      </c>
      <c r="H61" s="29"/>
      <c r="I61" s="11"/>
    </row>
    <row r="62" spans="2:11" ht="11.25" customHeight="1" x14ac:dyDescent="0.3">
      <c r="C62" s="5"/>
      <c r="F62" s="30"/>
    </row>
    <row r="63" spans="2:11" ht="11.25" customHeight="1" x14ac:dyDescent="0.3">
      <c r="B63" s="9" t="s">
        <v>15</v>
      </c>
      <c r="G63" s="10"/>
      <c r="I63" s="9"/>
      <c r="J63" s="10"/>
      <c r="K63" s="6"/>
    </row>
    <row r="64" spans="2:11" ht="11.25" customHeight="1" x14ac:dyDescent="0.3">
      <c r="B64" s="9"/>
      <c r="C64" s="5"/>
      <c r="D64" s="5"/>
      <c r="E64" s="10"/>
      <c r="F64" s="11"/>
      <c r="G64" s="10"/>
      <c r="I64" s="9"/>
      <c r="J64" s="10"/>
      <c r="K64" s="6"/>
    </row>
    <row r="65" spans="2:11" ht="11.25" customHeight="1" x14ac:dyDescent="0.3">
      <c r="B65" s="9" t="s">
        <v>16</v>
      </c>
      <c r="C65" s="5"/>
      <c r="D65" s="5"/>
      <c r="E65" s="10"/>
      <c r="F65" s="11"/>
      <c r="G65" s="10"/>
      <c r="I65" s="9"/>
      <c r="J65" s="10"/>
      <c r="K65" s="6"/>
    </row>
    <row r="66" spans="2:11" ht="11.25" customHeight="1" x14ac:dyDescent="0.3">
      <c r="B66" s="9"/>
      <c r="G66" s="10"/>
      <c r="I66" s="9"/>
      <c r="J66" s="10"/>
      <c r="K66" s="6"/>
    </row>
    <row r="67" spans="2:11" ht="11.25" customHeight="1" x14ac:dyDescent="0.3">
      <c r="B67" s="9" t="s">
        <v>17</v>
      </c>
      <c r="C67" s="5"/>
      <c r="D67" s="5"/>
      <c r="E67" s="10"/>
      <c r="F67" s="11"/>
      <c r="G67" s="10"/>
      <c r="I67" s="9"/>
      <c r="J67" s="10"/>
      <c r="K67" s="6"/>
    </row>
    <row r="68" spans="2:11" ht="11.25" customHeight="1" x14ac:dyDescent="0.3">
      <c r="B68" s="9"/>
      <c r="C68" s="5"/>
      <c r="D68" s="5"/>
      <c r="E68" s="10"/>
      <c r="F68" s="11"/>
      <c r="G68" s="10"/>
      <c r="I68" s="9"/>
      <c r="J68" s="10"/>
      <c r="K68" s="6"/>
    </row>
    <row r="69" spans="2:11" ht="11.25" customHeight="1" x14ac:dyDescent="0.3">
      <c r="B69" s="31" t="s">
        <v>18</v>
      </c>
      <c r="C69" s="32"/>
      <c r="D69" s="32"/>
      <c r="E69" s="33">
        <f>+SUM(E61:E68)</f>
        <v>0</v>
      </c>
      <c r="F69" s="34" t="s">
        <v>19</v>
      </c>
      <c r="G69" s="10"/>
      <c r="I69" s="9"/>
      <c r="J69" s="10"/>
      <c r="K69" s="6"/>
    </row>
    <row r="70" spans="2:11" ht="11.25" customHeight="1" x14ac:dyDescent="0.3">
      <c r="B70" s="9"/>
      <c r="C70" s="5"/>
      <c r="D70" s="5"/>
      <c r="E70" s="10"/>
      <c r="F70" s="11"/>
      <c r="G70" s="10"/>
      <c r="H70" s="9"/>
      <c r="I70" s="9"/>
      <c r="J70" s="10"/>
      <c r="K70" s="6"/>
    </row>
    <row r="71" spans="2:11" ht="11.25" customHeight="1" x14ac:dyDescent="0.3">
      <c r="B71" s="9" t="s">
        <v>20</v>
      </c>
      <c r="C71" s="5"/>
      <c r="D71" s="27" t="s">
        <v>21</v>
      </c>
      <c r="E71" s="10"/>
      <c r="F71" s="28" t="s">
        <v>22</v>
      </c>
      <c r="G71" s="10"/>
      <c r="H71" s="9"/>
      <c r="I71" s="9"/>
      <c r="J71" s="10"/>
      <c r="K71" s="6"/>
    </row>
    <row r="72" spans="2:11" ht="11.25" customHeight="1" x14ac:dyDescent="0.3">
      <c r="B72" s="9"/>
      <c r="C72" s="5"/>
      <c r="D72" s="35" t="s">
        <v>23</v>
      </c>
      <c r="E72" s="10">
        <f>+E69-E71</f>
        <v>0</v>
      </c>
      <c r="F72" s="28"/>
      <c r="G72" s="10"/>
      <c r="H72" s="9"/>
      <c r="I72" s="9"/>
      <c r="J72" s="10"/>
      <c r="K72" s="6"/>
    </row>
    <row r="73" spans="2:11" ht="11.25" customHeight="1" x14ac:dyDescent="0.3">
      <c r="B73" s="9"/>
      <c r="C73" s="5"/>
      <c r="D73" s="27"/>
      <c r="E73" s="10"/>
      <c r="F73" s="28"/>
      <c r="G73" s="10"/>
      <c r="H73" s="9"/>
      <c r="I73" s="9"/>
      <c r="J73" s="10"/>
      <c r="K73" s="6"/>
    </row>
    <row r="74" spans="2:11" ht="11.25" customHeight="1" x14ac:dyDescent="0.3">
      <c r="B74" s="9"/>
      <c r="C74" s="5"/>
      <c r="D74" s="5"/>
      <c r="E74" s="13"/>
      <c r="F74" s="11"/>
      <c r="G74" s="13"/>
      <c r="I74" s="9"/>
      <c r="J74" s="9"/>
      <c r="K74" s="6"/>
    </row>
    <row r="75" spans="2:11" ht="12.75" customHeight="1" x14ac:dyDescent="0.3">
      <c r="B75" s="36" t="s">
        <v>24</v>
      </c>
      <c r="C75" s="37"/>
      <c r="D75" s="37"/>
      <c r="E75" s="38"/>
      <c r="F75" s="39"/>
      <c r="G75" s="13"/>
      <c r="I75" s="9"/>
      <c r="J75" s="9"/>
      <c r="K75" s="6"/>
    </row>
    <row r="76" spans="2:11" ht="12.75" customHeight="1" x14ac:dyDescent="0.3">
      <c r="B76" s="40"/>
      <c r="C76" s="37"/>
      <c r="D76" s="37"/>
      <c r="E76" s="37"/>
      <c r="F76" s="39"/>
      <c r="G76" s="13"/>
      <c r="I76" s="9"/>
      <c r="J76" s="9"/>
      <c r="K76" s="6"/>
    </row>
    <row r="77" spans="2:11" ht="12.75" customHeight="1" x14ac:dyDescent="0.3">
      <c r="B77" s="37" t="s">
        <v>25</v>
      </c>
      <c r="C77" s="41" t="s">
        <v>26</v>
      </c>
      <c r="D77" s="42" t="s">
        <v>13</v>
      </c>
      <c r="E77" s="43">
        <f>+E61</f>
        <v>0</v>
      </c>
      <c r="F77" s="44" t="s">
        <v>27</v>
      </c>
      <c r="G77" s="13"/>
      <c r="I77" s="9"/>
      <c r="J77" s="9"/>
      <c r="K77" s="6"/>
    </row>
    <row r="78" spans="2:11" ht="12.75" customHeight="1" x14ac:dyDescent="0.3">
      <c r="B78" s="37" t="s">
        <v>25</v>
      </c>
      <c r="C78" s="41" t="s">
        <v>28</v>
      </c>
      <c r="D78" s="45" t="s">
        <v>29</v>
      </c>
      <c r="E78" s="46">
        <f>+E71</f>
        <v>0</v>
      </c>
      <c r="F78" s="44" t="s">
        <v>27</v>
      </c>
      <c r="G78" s="13"/>
      <c r="I78" s="9"/>
      <c r="J78" s="9"/>
      <c r="K78" s="6"/>
    </row>
    <row r="79" spans="2:11" ht="12.75" customHeight="1" x14ac:dyDescent="0.3">
      <c r="B79" s="37"/>
      <c r="C79" s="37"/>
      <c r="D79" s="37"/>
      <c r="E79" s="37"/>
      <c r="F79" s="47"/>
      <c r="G79" s="13"/>
      <c r="I79" s="9"/>
      <c r="J79" s="9"/>
      <c r="K79" s="6"/>
    </row>
    <row r="80" spans="2:11" ht="12.75" customHeight="1" x14ac:dyDescent="0.3">
      <c r="B80" s="48" t="s">
        <v>30</v>
      </c>
      <c r="C80" s="47"/>
      <c r="D80" s="42" t="s">
        <v>13</v>
      </c>
      <c r="E80" s="46"/>
      <c r="F80" s="44" t="s">
        <v>27</v>
      </c>
      <c r="G80" s="13"/>
      <c r="I80" s="9"/>
      <c r="J80" s="9"/>
      <c r="K80" s="6"/>
    </row>
    <row r="81" spans="1:14" ht="12.75" customHeight="1" x14ac:dyDescent="0.3">
      <c r="B81" s="37" t="s">
        <v>31</v>
      </c>
      <c r="C81" s="37"/>
      <c r="D81" s="49" t="s">
        <v>32</v>
      </c>
      <c r="E81" s="38"/>
      <c r="F81" s="44" t="s">
        <v>27</v>
      </c>
      <c r="G81" s="13"/>
      <c r="I81" s="9"/>
      <c r="J81" s="9"/>
      <c r="K81" s="6"/>
    </row>
    <row r="82" spans="1:14" ht="12.75" customHeight="1" x14ac:dyDescent="0.3">
      <c r="B82" s="50" t="s">
        <v>33</v>
      </c>
      <c r="C82" s="50"/>
      <c r="D82" s="37"/>
      <c r="E82" s="51">
        <f>SUM(E77:E81)</f>
        <v>0</v>
      </c>
      <c r="F82" s="44"/>
      <c r="G82" s="13"/>
      <c r="I82" s="9"/>
      <c r="J82" s="9"/>
      <c r="K82" s="6"/>
    </row>
    <row r="83" spans="1:14" ht="11.25" customHeight="1" x14ac:dyDescent="0.3">
      <c r="B83" s="9"/>
      <c r="C83" s="5"/>
      <c r="D83" s="5"/>
      <c r="E83" s="13"/>
      <c r="F83" s="11"/>
      <c r="G83" s="13"/>
      <c r="I83" s="9"/>
      <c r="J83" s="9"/>
      <c r="K83" s="6"/>
    </row>
    <row r="84" spans="1:14" ht="13.5" customHeight="1" x14ac:dyDescent="0.3">
      <c r="B84" s="9"/>
      <c r="C84" s="5"/>
      <c r="D84" s="5"/>
      <c r="E84" s="10"/>
      <c r="F84" s="11"/>
      <c r="G84" s="10"/>
      <c r="H84" s="9"/>
      <c r="I84" s="9"/>
      <c r="J84" s="10"/>
      <c r="K84" s="6"/>
    </row>
    <row r="85" spans="1:14" ht="13.5" customHeight="1" x14ac:dyDescent="0.3">
      <c r="A85" s="42" t="s">
        <v>32</v>
      </c>
      <c r="B85" s="1" t="s">
        <v>34</v>
      </c>
      <c r="C85" s="1"/>
      <c r="D85" s="1"/>
      <c r="E85" s="1"/>
      <c r="F85" s="1"/>
      <c r="G85" s="10"/>
      <c r="H85" s="9"/>
      <c r="I85" s="9"/>
      <c r="J85" s="10"/>
      <c r="K85" s="6"/>
    </row>
    <row r="86" spans="1:14" ht="13.5" customHeight="1" x14ac:dyDescent="0.3">
      <c r="B86" s="1"/>
      <c r="C86" s="1"/>
      <c r="D86" s="1"/>
      <c r="E86" s="1"/>
      <c r="F86" s="1"/>
      <c r="G86" s="10"/>
      <c r="H86" s="9"/>
      <c r="I86" s="9"/>
      <c r="J86" s="10"/>
      <c r="K86" s="6"/>
    </row>
    <row r="87" spans="1:14" ht="16.8" x14ac:dyDescent="0.3">
      <c r="A87" s="3"/>
    </row>
    <row r="89" spans="1:14" ht="15" customHeight="1" x14ac:dyDescent="0.4">
      <c r="B89" s="58" t="s">
        <v>35</v>
      </c>
      <c r="M89" s="6"/>
    </row>
    <row r="90" spans="1:14" ht="18.600000000000001" customHeight="1" x14ac:dyDescent="0.3">
      <c r="M90" s="6"/>
    </row>
    <row r="91" spans="1:14" ht="11.25" customHeight="1" x14ac:dyDescent="0.3">
      <c r="B91" s="9"/>
      <c r="C91" s="8"/>
      <c r="D91" s="9"/>
      <c r="E91" s="10"/>
      <c r="F91" s="10"/>
      <c r="G91" s="10"/>
      <c r="H91" s="10"/>
      <c r="I91" s="5"/>
      <c r="M91" s="6"/>
    </row>
    <row r="92" spans="1:14" ht="12.75" customHeight="1" x14ac:dyDescent="0.3">
      <c r="B92" s="20" t="s">
        <v>8</v>
      </c>
      <c r="J92" s="20" t="s">
        <v>8</v>
      </c>
      <c r="M92" s="6"/>
    </row>
    <row r="93" spans="1:14" ht="11.25" customHeight="1" x14ac:dyDescent="0.3">
      <c r="M93" s="6"/>
    </row>
    <row r="94" spans="1:14" ht="12" customHeight="1" x14ac:dyDescent="0.3">
      <c r="B94" s="21" t="s">
        <v>9</v>
      </c>
      <c r="C94" s="22"/>
      <c r="D94" s="23" t="s">
        <v>10</v>
      </c>
      <c r="E94" s="24" t="s">
        <v>11</v>
      </c>
      <c r="F94" s="25"/>
      <c r="G94" s="25"/>
      <c r="H94" s="26"/>
      <c r="I94" s="5"/>
      <c r="J94" s="21" t="s">
        <v>9</v>
      </c>
      <c r="K94" s="22"/>
      <c r="L94" s="23" t="s">
        <v>10</v>
      </c>
      <c r="M94" s="53" t="s">
        <v>11</v>
      </c>
      <c r="N94" s="25"/>
    </row>
    <row r="95" spans="1:14" ht="11.25" customHeight="1" x14ac:dyDescent="0.3">
      <c r="B95" s="9"/>
      <c r="C95" s="8"/>
      <c r="D95" s="9"/>
      <c r="E95" s="10"/>
      <c r="F95" s="10"/>
      <c r="G95" s="10"/>
      <c r="H95" s="10"/>
      <c r="I95" s="9"/>
      <c r="J95" s="9"/>
      <c r="K95" s="8"/>
      <c r="L95" s="9"/>
      <c r="M95" s="6"/>
      <c r="N95" s="10"/>
    </row>
    <row r="96" spans="1:14" ht="11.25" customHeight="1" x14ac:dyDescent="0.3">
      <c r="B96" s="9" t="s">
        <v>12</v>
      </c>
      <c r="C96" s="8"/>
      <c r="D96" s="27" t="s">
        <v>13</v>
      </c>
      <c r="E96" s="6">
        <v>1000000</v>
      </c>
      <c r="F96" s="28" t="s">
        <v>14</v>
      </c>
      <c r="G96" s="28"/>
      <c r="I96" s="11"/>
      <c r="J96" s="9" t="s">
        <v>12</v>
      </c>
      <c r="K96" s="8"/>
      <c r="L96" s="27" t="s">
        <v>13</v>
      </c>
      <c r="M96" s="6">
        <v>1000000</v>
      </c>
      <c r="N96" s="28" t="s">
        <v>14</v>
      </c>
    </row>
    <row r="97" spans="2:14" ht="11.25" customHeight="1" x14ac:dyDescent="0.3">
      <c r="C97" s="5"/>
      <c r="E97" s="6"/>
      <c r="F97" s="30"/>
      <c r="G97" s="30"/>
      <c r="K97" s="5"/>
      <c r="M97" s="6"/>
      <c r="N97" s="30"/>
    </row>
    <row r="98" spans="2:14" ht="11.25" customHeight="1" x14ac:dyDescent="0.3">
      <c r="B98" s="9" t="s">
        <v>15</v>
      </c>
      <c r="E98" s="6">
        <v>2000000</v>
      </c>
      <c r="H98" s="10"/>
      <c r="I98" s="9"/>
      <c r="J98" s="9" t="s">
        <v>15</v>
      </c>
      <c r="M98" s="6">
        <v>2000000</v>
      </c>
    </row>
    <row r="99" spans="2:14" ht="11.25" customHeight="1" x14ac:dyDescent="0.3">
      <c r="B99" s="9"/>
      <c r="C99" s="5"/>
      <c r="D99" s="5"/>
      <c r="E99" s="6"/>
      <c r="F99" s="11"/>
      <c r="G99" s="11"/>
      <c r="H99" s="10"/>
      <c r="I99" s="9"/>
      <c r="J99" s="9"/>
      <c r="K99" s="5"/>
      <c r="L99" s="5"/>
      <c r="M99" s="6"/>
      <c r="N99" s="11"/>
    </row>
    <row r="100" spans="2:14" ht="11.25" customHeight="1" x14ac:dyDescent="0.3">
      <c r="B100" s="9" t="s">
        <v>16</v>
      </c>
      <c r="C100" s="5"/>
      <c r="D100" s="5"/>
      <c r="E100" s="6">
        <v>-500000</v>
      </c>
      <c r="F100" s="11"/>
      <c r="G100" s="11"/>
      <c r="H100" s="10"/>
      <c r="I100" s="9"/>
      <c r="J100" s="9" t="s">
        <v>16</v>
      </c>
      <c r="K100" s="5"/>
      <c r="L100" s="5"/>
      <c r="M100" s="6">
        <v>-500000</v>
      </c>
      <c r="N100" s="11"/>
    </row>
    <row r="101" spans="2:14" ht="11.25" customHeight="1" x14ac:dyDescent="0.3">
      <c r="B101" s="9"/>
      <c r="E101" s="6"/>
      <c r="H101" s="10"/>
      <c r="I101" s="9"/>
      <c r="J101" s="9"/>
      <c r="M101" s="6"/>
    </row>
    <row r="102" spans="2:14" ht="11.25" customHeight="1" x14ac:dyDescent="0.3">
      <c r="B102" s="9" t="s">
        <v>17</v>
      </c>
      <c r="C102" s="5"/>
      <c r="D102" s="5"/>
      <c r="E102" s="6"/>
      <c r="F102" s="11"/>
      <c r="G102" s="11"/>
      <c r="H102" s="10"/>
      <c r="I102" s="9"/>
      <c r="J102" s="9" t="s">
        <v>17</v>
      </c>
      <c r="K102" s="5"/>
      <c r="L102" s="5"/>
      <c r="M102" s="6"/>
      <c r="N102" s="11"/>
    </row>
    <row r="103" spans="2:14" ht="11.25" customHeight="1" x14ac:dyDescent="0.3">
      <c r="B103" s="9"/>
      <c r="C103" s="5"/>
      <c r="D103" s="5"/>
      <c r="E103" s="6"/>
      <c r="F103" s="11"/>
      <c r="G103" s="11"/>
      <c r="H103" s="10"/>
      <c r="I103" s="9"/>
      <c r="J103" s="9"/>
      <c r="K103" s="5"/>
      <c r="L103" s="5"/>
      <c r="M103" s="6"/>
      <c r="N103" s="11"/>
    </row>
    <row r="104" spans="2:14" ht="11.25" customHeight="1" x14ac:dyDescent="0.3">
      <c r="B104" s="31" t="s">
        <v>18</v>
      </c>
      <c r="C104" s="32"/>
      <c r="D104" s="32"/>
      <c r="E104" s="54">
        <f>+SUM(E96:E103)</f>
        <v>2500000</v>
      </c>
      <c r="F104" s="34" t="s">
        <v>19</v>
      </c>
      <c r="G104" s="34"/>
      <c r="H104" s="10"/>
      <c r="I104" s="9"/>
      <c r="J104" s="31" t="s">
        <v>18</v>
      </c>
      <c r="K104" s="32"/>
      <c r="L104" s="32"/>
      <c r="M104" s="54">
        <f>+SUM(M96:M103)</f>
        <v>2500000</v>
      </c>
      <c r="N104" s="34" t="s">
        <v>19</v>
      </c>
    </row>
    <row r="105" spans="2:14" ht="11.25" customHeight="1" x14ac:dyDescent="0.3">
      <c r="B105" s="9"/>
      <c r="C105" s="5"/>
      <c r="D105" s="5"/>
      <c r="E105" s="6"/>
      <c r="F105" s="11"/>
      <c r="G105" s="11"/>
      <c r="H105" s="10"/>
      <c r="I105" s="9"/>
      <c r="J105" s="9"/>
      <c r="K105" s="5"/>
      <c r="L105" s="5"/>
      <c r="M105" s="6"/>
      <c r="N105" s="11"/>
    </row>
    <row r="106" spans="2:14" ht="11.25" customHeight="1" x14ac:dyDescent="0.3">
      <c r="B106" s="9" t="s">
        <v>20</v>
      </c>
      <c r="C106" s="5"/>
      <c r="D106" s="27" t="s">
        <v>21</v>
      </c>
      <c r="E106" s="6">
        <v>2500000</v>
      </c>
      <c r="F106" s="28" t="s">
        <v>22</v>
      </c>
      <c r="G106" s="28"/>
      <c r="H106" s="10"/>
      <c r="I106" s="9"/>
      <c r="J106" s="9" t="s">
        <v>20</v>
      </c>
      <c r="K106" s="5"/>
      <c r="L106" s="27" t="s">
        <v>21</v>
      </c>
      <c r="M106" s="6">
        <v>2500000</v>
      </c>
      <c r="N106" s="28" t="s">
        <v>22</v>
      </c>
    </row>
    <row r="107" spans="2:14" ht="11.25" customHeight="1" x14ac:dyDescent="0.3">
      <c r="B107" s="9"/>
      <c r="C107" s="5"/>
      <c r="D107" s="35" t="s">
        <v>23</v>
      </c>
      <c r="E107" s="6">
        <f>+E104-E106</f>
        <v>0</v>
      </c>
      <c r="F107" s="28"/>
      <c r="G107" s="28"/>
      <c r="H107" s="10"/>
      <c r="I107" s="9"/>
      <c r="J107" s="9"/>
      <c r="K107" s="5"/>
      <c r="L107" s="35" t="s">
        <v>23</v>
      </c>
      <c r="M107" s="6">
        <f>+M104-M106</f>
        <v>0</v>
      </c>
      <c r="N107" s="28"/>
    </row>
    <row r="108" spans="2:14" ht="11.25" customHeight="1" x14ac:dyDescent="0.3">
      <c r="B108" s="9"/>
      <c r="C108" s="5"/>
      <c r="D108" s="27"/>
      <c r="E108" s="6"/>
      <c r="F108" s="28"/>
      <c r="G108" s="28"/>
      <c r="H108" s="10"/>
      <c r="I108" s="9"/>
      <c r="J108" s="9"/>
      <c r="K108" s="5"/>
      <c r="L108" s="27"/>
      <c r="M108" s="6"/>
      <c r="N108" s="28"/>
    </row>
    <row r="109" spans="2:14" ht="11.25" customHeight="1" x14ac:dyDescent="0.3">
      <c r="B109" s="9"/>
      <c r="C109" s="5"/>
      <c r="D109" s="5"/>
      <c r="E109" s="55"/>
      <c r="F109" s="11"/>
      <c r="G109" s="11"/>
      <c r="H109" s="13"/>
      <c r="I109" s="9"/>
      <c r="J109" s="9"/>
      <c r="K109" s="5"/>
      <c r="L109" s="5"/>
      <c r="M109" s="55"/>
      <c r="N109" s="11"/>
    </row>
    <row r="110" spans="2:14" ht="12.75" customHeight="1" x14ac:dyDescent="0.3">
      <c r="B110" s="36" t="s">
        <v>24</v>
      </c>
      <c r="C110" s="37"/>
      <c r="D110" s="37"/>
      <c r="E110" s="56"/>
      <c r="F110" s="39"/>
      <c r="G110" s="39"/>
      <c r="H110" s="13"/>
      <c r="I110" s="9"/>
      <c r="J110" s="36" t="s">
        <v>24</v>
      </c>
      <c r="K110" s="37"/>
      <c r="L110" s="37"/>
      <c r="M110" s="56"/>
      <c r="N110" s="39"/>
    </row>
    <row r="111" spans="2:14" ht="12.75" customHeight="1" x14ac:dyDescent="0.3">
      <c r="B111" s="40"/>
      <c r="C111" s="37"/>
      <c r="D111" s="37"/>
      <c r="E111" s="56"/>
      <c r="F111" s="39"/>
      <c r="G111" s="39"/>
      <c r="H111" s="13"/>
      <c r="I111" s="9"/>
      <c r="J111" s="40"/>
      <c r="K111" s="37"/>
      <c r="L111" s="37"/>
      <c r="M111" s="56"/>
      <c r="N111" s="39"/>
    </row>
    <row r="112" spans="2:14" ht="12.75" customHeight="1" x14ac:dyDescent="0.3">
      <c r="B112" s="37" t="s">
        <v>25</v>
      </c>
      <c r="C112" s="41" t="s">
        <v>26</v>
      </c>
      <c r="D112" s="42" t="s">
        <v>13</v>
      </c>
      <c r="E112" s="43">
        <f>-E96</f>
        <v>-1000000</v>
      </c>
      <c r="F112" s="44" t="s">
        <v>27</v>
      </c>
      <c r="G112" s="44"/>
      <c r="H112" s="13"/>
      <c r="I112" s="9"/>
      <c r="J112" s="37" t="s">
        <v>25</v>
      </c>
      <c r="K112" s="41" t="s">
        <v>26</v>
      </c>
      <c r="L112" s="42" t="s">
        <v>13</v>
      </c>
      <c r="M112" s="43">
        <f>+M96</f>
        <v>1000000</v>
      </c>
      <c r="N112" s="44" t="s">
        <v>27</v>
      </c>
    </row>
    <row r="113" spans="1:15" ht="12.75" customHeight="1" x14ac:dyDescent="0.3">
      <c r="B113" s="37" t="s">
        <v>25</v>
      </c>
      <c r="C113" s="41" t="s">
        <v>28</v>
      </c>
      <c r="D113" s="45" t="s">
        <v>29</v>
      </c>
      <c r="E113" s="56">
        <f>+E106</f>
        <v>2500000</v>
      </c>
      <c r="F113" s="44" t="s">
        <v>27</v>
      </c>
      <c r="G113" s="44"/>
      <c r="H113" s="13"/>
      <c r="I113" s="9"/>
      <c r="J113" s="37" t="s">
        <v>25</v>
      </c>
      <c r="K113" s="41" t="s">
        <v>28</v>
      </c>
      <c r="L113" s="45" t="s">
        <v>29</v>
      </c>
      <c r="M113" s="56">
        <f>+M106</f>
        <v>2500000</v>
      </c>
      <c r="N113" s="44" t="s">
        <v>27</v>
      </c>
    </row>
    <row r="114" spans="1:15" ht="12.75" customHeight="1" x14ac:dyDescent="0.3">
      <c r="B114" s="37"/>
      <c r="C114" s="37"/>
      <c r="D114" s="37"/>
      <c r="E114" s="56"/>
      <c r="F114" s="47"/>
      <c r="G114" s="47"/>
      <c r="I114" s="9"/>
      <c r="J114" s="37"/>
      <c r="K114" s="37"/>
      <c r="L114" s="37"/>
      <c r="M114" s="56"/>
      <c r="N114" s="47"/>
    </row>
    <row r="115" spans="1:15" ht="12.75" customHeight="1" x14ac:dyDescent="0.3">
      <c r="B115" s="48" t="s">
        <v>30</v>
      </c>
      <c r="C115" s="47"/>
      <c r="D115" s="42" t="s">
        <v>13</v>
      </c>
      <c r="E115" s="56">
        <v>1000000</v>
      </c>
      <c r="F115" s="44" t="s">
        <v>27</v>
      </c>
      <c r="G115" s="42" t="s">
        <v>32</v>
      </c>
      <c r="I115" s="9"/>
      <c r="J115" s="48" t="s">
        <v>30</v>
      </c>
      <c r="K115" s="47"/>
      <c r="L115" s="42" t="s">
        <v>13</v>
      </c>
      <c r="M115" s="56">
        <v>1000000</v>
      </c>
      <c r="N115" s="44" t="s">
        <v>27</v>
      </c>
      <c r="O115" s="42" t="s">
        <v>32</v>
      </c>
    </row>
    <row r="116" spans="1:15" ht="12.75" customHeight="1" x14ac:dyDescent="0.3">
      <c r="B116" s="37" t="s">
        <v>36</v>
      </c>
      <c r="C116" s="37"/>
      <c r="D116" s="49" t="s">
        <v>37</v>
      </c>
      <c r="E116" s="56">
        <v>-2500000</v>
      </c>
      <c r="F116" s="44" t="s">
        <v>27</v>
      </c>
      <c r="G116" s="42" t="s">
        <v>38</v>
      </c>
      <c r="I116" s="9"/>
      <c r="J116" s="37" t="s">
        <v>39</v>
      </c>
      <c r="K116" s="37"/>
      <c r="L116" s="49" t="s">
        <v>37</v>
      </c>
      <c r="M116" s="56">
        <v>-800000</v>
      </c>
      <c r="N116" s="44" t="s">
        <v>27</v>
      </c>
      <c r="O116" s="42" t="s">
        <v>38</v>
      </c>
    </row>
    <row r="117" spans="1:15" ht="12.75" customHeight="1" x14ac:dyDescent="0.3">
      <c r="B117" s="50" t="s">
        <v>33</v>
      </c>
      <c r="C117" s="50"/>
      <c r="D117" s="37"/>
      <c r="E117" s="57">
        <f>SUM(E112:E116)</f>
        <v>0</v>
      </c>
      <c r="F117" s="44"/>
      <c r="G117" s="44"/>
      <c r="H117" s="13"/>
      <c r="I117" s="9"/>
      <c r="J117" s="50" t="s">
        <v>33</v>
      </c>
      <c r="K117" s="50"/>
      <c r="L117" s="37"/>
      <c r="M117" s="57">
        <f>SUM(M112:M116)</f>
        <v>3700000</v>
      </c>
      <c r="N117" s="44"/>
    </row>
    <row r="118" spans="1:15" ht="11.25" customHeight="1" x14ac:dyDescent="0.3">
      <c r="C118" s="52"/>
      <c r="D118" s="8"/>
      <c r="M118" s="6"/>
    </row>
    <row r="119" spans="1:15" ht="15" customHeight="1" x14ac:dyDescent="0.3">
      <c r="A119" s="42" t="s">
        <v>32</v>
      </c>
      <c r="B119" s="1" t="s">
        <v>40</v>
      </c>
      <c r="C119" s="1"/>
      <c r="D119" s="1"/>
      <c r="E119" s="1"/>
      <c r="F119" s="1"/>
      <c r="G119" s="1"/>
      <c r="H119" s="1"/>
      <c r="I119" s="42" t="s">
        <v>32</v>
      </c>
      <c r="J119" s="1" t="s">
        <v>40</v>
      </c>
      <c r="K119" s="1"/>
      <c r="L119" s="1"/>
      <c r="M119" s="1"/>
      <c r="N119" s="1"/>
      <c r="O119" s="1"/>
    </row>
    <row r="120" spans="1:15" ht="15" customHeight="1" x14ac:dyDescent="0.3">
      <c r="A120" s="42"/>
      <c r="B120" s="1"/>
      <c r="C120" s="1"/>
      <c r="D120" s="1"/>
      <c r="E120" s="1"/>
      <c r="F120" s="1"/>
      <c r="G120" s="1"/>
      <c r="H120" s="1"/>
      <c r="I120" s="42"/>
      <c r="J120" s="1"/>
      <c r="K120" s="1"/>
      <c r="L120" s="1"/>
      <c r="M120" s="1"/>
      <c r="N120" s="1"/>
      <c r="O120" s="1"/>
    </row>
    <row r="121" spans="1:15" ht="13.5" customHeight="1" x14ac:dyDescent="0.3">
      <c r="A121" s="42" t="s">
        <v>38</v>
      </c>
      <c r="B121" s="1" t="s">
        <v>41</v>
      </c>
      <c r="C121" s="1"/>
      <c r="D121" s="1"/>
      <c r="E121" s="1"/>
      <c r="F121" s="1"/>
      <c r="G121" s="1"/>
      <c r="H121" s="1"/>
      <c r="I121" s="42" t="s">
        <v>38</v>
      </c>
      <c r="J121" s="1" t="s">
        <v>42</v>
      </c>
      <c r="K121" s="1"/>
      <c r="L121" s="1"/>
      <c r="M121" s="1"/>
      <c r="N121" s="1"/>
      <c r="O121" s="1"/>
    </row>
    <row r="122" spans="1:15" ht="12.75" customHeight="1" x14ac:dyDescent="0.3">
      <c r="A122" s="42"/>
      <c r="B122" s="1"/>
      <c r="C122" s="1"/>
      <c r="D122" s="1"/>
      <c r="E122" s="1"/>
      <c r="F122" s="1"/>
      <c r="G122" s="1"/>
      <c r="H122" s="1"/>
      <c r="I122" s="42"/>
      <c r="J122" s="1"/>
      <c r="K122" s="1"/>
      <c r="L122" s="1"/>
      <c r="M122" s="1"/>
      <c r="N122" s="1"/>
      <c r="O122" s="1"/>
    </row>
    <row r="123" spans="1:15" ht="11.25" customHeight="1" x14ac:dyDescent="0.3">
      <c r="M123" s="6"/>
    </row>
  </sheetData>
  <mergeCells count="9">
    <mergeCell ref="B119:H120"/>
    <mergeCell ref="J119:O120"/>
    <mergeCell ref="B121:H122"/>
    <mergeCell ref="J121:O122"/>
    <mergeCell ref="F3:G3"/>
    <mergeCell ref="G6:H6"/>
    <mergeCell ref="G53:H53"/>
    <mergeCell ref="H56:I56"/>
    <mergeCell ref="B85:F8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Augusto Rombolá</cp:lastModifiedBy>
  <cp:revision>0</cp:revision>
  <dcterms:created xsi:type="dcterms:W3CDTF">2026-07-24T15:20:06Z</dcterms:created>
  <dcterms:modified xsi:type="dcterms:W3CDTF">2026-07-24T15:28:35Z</dcterms:modified>
  <dc:language>en-US</dc:language>
</cp:coreProperties>
</file>