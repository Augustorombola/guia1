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resources.deloitte.com/personal/juvarela_deloitte_com/Documents/Documents/"/>
    </mc:Choice>
  </mc:AlternateContent>
  <xr:revisionPtr revIDLastSave="1" documentId="8_{42BB985E-9F07-4F0D-A0A6-A04E6650ADF6}" xr6:coauthVersionLast="47" xr6:coauthVersionMax="47" xr10:uidLastSave="{F41EDAD5-2990-4650-BC1F-CF2FF750ED08}"/>
  <bookViews>
    <workbookView xWindow="-110" yWindow="-110" windowWidth="19420" windowHeight="10300" tabRatio="975" activeTab="2" xr2:uid="{FDDCE81E-4B45-402F-96C4-7C75AE287E0C}"/>
  </bookViews>
  <sheets>
    <sheet name="INDICE " sheetId="1" r:id="rId1"/>
    <sheet name="Instructivo" sheetId="54" r:id="rId2"/>
    <sheet name="GAN " sheetId="7" r:id="rId3"/>
    <sheet name="GAN - 2 " sheetId="14" r:id="rId4"/>
    <sheet name="1. PEPS T&amp;L DTT" sheetId="51" r:id="rId5"/>
    <sheet name=" Resumen Tenencias DTT" sheetId="52" r:id="rId6"/>
    <sheet name="Resumen Ventas DTT" sheetId="53"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a">#REF!</definedName>
    <definedName name="\P" localSheetId="2">#REF!</definedName>
    <definedName name="\P" localSheetId="3">#REF!</definedName>
    <definedName name="\P">#REF!</definedName>
    <definedName name="\U" localSheetId="2">#REF!</definedName>
    <definedName name="\U" localSheetId="3">#REF!</definedName>
    <definedName name="\U">#REF!</definedName>
    <definedName name="_" hidden="1">#REF!</definedName>
    <definedName name="_____" hidden="1">#REF!</definedName>
    <definedName name="____________________" hidden="1">{#N/A,#N/A,FALSE,"Aging Summary";#N/A,#N/A,FALSE,"Ratio Analysis";#N/A,#N/A,FALSE,"Test 120 Day Accts";#N/A,#N/A,FALSE,"Tickmarks"}</definedName>
    <definedName name="________________________________________________________________gan2" hidden="1">{#N/A,#N/A,FALSE,"Aging Summary";#N/A,#N/A,FALSE,"Ratio Analysis";#N/A,#N/A,FALSE,"Test 120 Day Accts";#N/A,#N/A,FALSE,"Tickmarks"}</definedName>
    <definedName name="_______________________________________________________________gan2" hidden="1">{#N/A,#N/A,FALSE,"Aging Summary";#N/A,#N/A,FALSE,"Ratio Analysis";#N/A,#N/A,FALSE,"Test 120 Day Accts";#N/A,#N/A,FALSE,"Tickmarks"}</definedName>
    <definedName name="______________________________________________________________gan2" hidden="1">{#N/A,#N/A,FALSE,"Aging Summary";#N/A,#N/A,FALSE,"Ratio Analysis";#N/A,#N/A,FALSE,"Test 120 Day Accts";#N/A,#N/A,FALSE,"Tickmarks"}</definedName>
    <definedName name="____________________________________________________________gan2" hidden="1">{#N/A,#N/A,FALSE,"Aging Summary";#N/A,#N/A,FALSE,"Ratio Analysis";#N/A,#N/A,FALSE,"Test 120 Day Accts";#N/A,#N/A,FALSE,"Tickmarks"}</definedName>
    <definedName name="___________________________________________________________gan2" hidden="1">{#N/A,#N/A,FALSE,"Aging Summary";#N/A,#N/A,FALSE,"Ratio Analysis";#N/A,#N/A,FALSE,"Test 120 Day Accts";#N/A,#N/A,FALSE,"Tickmarks"}</definedName>
    <definedName name="___________________________________________________________mma2" hidden="1">{#N/A,#N/A,FALSE,"Aging Summary";#N/A,#N/A,FALSE,"Ratio Analysis";#N/A,#N/A,FALSE,"Test 120 Day Accts";#N/A,#N/A,FALSE,"Tickmarks"}</definedName>
    <definedName name="__________________________________________________________mma2" hidden="1">{#N/A,#N/A,FALSE,"Aging Summary";#N/A,#N/A,FALSE,"Ratio Analysis";#N/A,#N/A,FALSE,"Test 120 Day Accts";#N/A,#N/A,FALSE,"Tickmarks"}</definedName>
    <definedName name="_________________________________________________________gan2" hidden="1">{#N/A,#N/A,FALSE,"Aging Summary";#N/A,#N/A,FALSE,"Ratio Analysis";#N/A,#N/A,FALSE,"Test 120 Day Accts";#N/A,#N/A,FALSE,"Tickmarks"}</definedName>
    <definedName name="_________________________________________________________mma2" hidden="1">{#N/A,#N/A,FALSE,"Aging Summary";#N/A,#N/A,FALSE,"Ratio Analysis";#N/A,#N/A,FALSE,"Test 120 Day Accts";#N/A,#N/A,FALSE,"Tickmarks"}</definedName>
    <definedName name="________________________________________________________gan2" hidden="1">{#N/A,#N/A,FALSE,"Aging Summary";#N/A,#N/A,FALSE,"Ratio Analysis";#N/A,#N/A,FALSE,"Test 120 Day Accts";#N/A,#N/A,FALSE,"Tickmarks"}</definedName>
    <definedName name="_______________________________________________________gan2" hidden="1">{#N/A,#N/A,FALSE,"Aging Summary";#N/A,#N/A,FALSE,"Ratio Analysis";#N/A,#N/A,FALSE,"Test 120 Day Accts";#N/A,#N/A,FALSE,"Tickmarks"}</definedName>
    <definedName name="_______________________________________________________mma2" hidden="1">{#N/A,#N/A,FALSE,"Aging Summary";#N/A,#N/A,FALSE,"Ratio Analysis";#N/A,#N/A,FALSE,"Test 120 Day Accts";#N/A,#N/A,FALSE,"Tickmarks"}</definedName>
    <definedName name="______________________________________________________gan2" hidden="1">{#N/A,#N/A,FALSE,"Aging Summary";#N/A,#N/A,FALSE,"Ratio Analysis";#N/A,#N/A,FALSE,"Test 120 Day Accts";#N/A,#N/A,FALSE,"Tickmarks"}</definedName>
    <definedName name="______________________________________________________mma2" hidden="1">{#N/A,#N/A,FALSE,"Aging Summary";#N/A,#N/A,FALSE,"Ratio Analysis";#N/A,#N/A,FALSE,"Test 120 Day Accts";#N/A,#N/A,FALSE,"Tickmarks"}</definedName>
    <definedName name="_____________________________________________________gan2" hidden="1">{#N/A,#N/A,FALSE,"Aging Summary";#N/A,#N/A,FALSE,"Ratio Analysis";#N/A,#N/A,FALSE,"Test 120 Day Accts";#N/A,#N/A,FALSE,"Tickmarks"}</definedName>
    <definedName name="____________________________________________________gan2" hidden="1">{#N/A,#N/A,FALSE,"Aging Summary";#N/A,#N/A,FALSE,"Ratio Analysis";#N/A,#N/A,FALSE,"Test 120 Day Accts";#N/A,#N/A,FALSE,"Tickmarks"}</definedName>
    <definedName name="____________________________________________________mma2" hidden="1">{#N/A,#N/A,FALSE,"Aging Summary";#N/A,#N/A,FALSE,"Ratio Analysis";#N/A,#N/A,FALSE,"Test 120 Day Accts";#N/A,#N/A,FALSE,"Tickmarks"}</definedName>
    <definedName name="___________________________________________________gan2" hidden="1">{#N/A,#N/A,FALSE,"Aging Summary";#N/A,#N/A,FALSE,"Ratio Analysis";#N/A,#N/A,FALSE,"Test 120 Day Accts";#N/A,#N/A,FALSE,"Tickmarks"}</definedName>
    <definedName name="___________________________________________________mma2" hidden="1">{#N/A,#N/A,FALSE,"Aging Summary";#N/A,#N/A,FALSE,"Ratio Analysis";#N/A,#N/A,FALSE,"Test 120 Day Accts";#N/A,#N/A,FALSE,"Tickmarks"}</definedName>
    <definedName name="__________________________________________________gan2" hidden="1">{#N/A,#N/A,FALSE,"Aging Summary";#N/A,#N/A,FALSE,"Ratio Analysis";#N/A,#N/A,FALSE,"Test 120 Day Accts";#N/A,#N/A,FALSE,"Tickmarks"}</definedName>
    <definedName name="__________________________________________________mma2" hidden="1">{#N/A,#N/A,FALSE,"Aging Summary";#N/A,#N/A,FALSE,"Ratio Analysis";#N/A,#N/A,FALSE,"Test 120 Day Accts";#N/A,#N/A,FALSE,"Tickmarks"}</definedName>
    <definedName name="_________________________________________________gan2" hidden="1">{#N/A,#N/A,FALSE,"Aging Summary";#N/A,#N/A,FALSE,"Ratio Analysis";#N/A,#N/A,FALSE,"Test 120 Day Accts";#N/A,#N/A,FALSE,"Tickmarks"}</definedName>
    <definedName name="_________________________________________________mma2" hidden="1">{#N/A,#N/A,FALSE,"Aging Summary";#N/A,#N/A,FALSE,"Ratio Analysis";#N/A,#N/A,FALSE,"Test 120 Day Accts";#N/A,#N/A,FALSE,"Tickmarks"}</definedName>
    <definedName name="________________________________________________gan2" hidden="1">{#N/A,#N/A,FALSE,"Aging Summary";#N/A,#N/A,FALSE,"Ratio Analysis";#N/A,#N/A,FALSE,"Test 120 Day Accts";#N/A,#N/A,FALSE,"Tickmarks"}</definedName>
    <definedName name="________________________________________________mma2" hidden="1">{#N/A,#N/A,FALSE,"Aging Summary";#N/A,#N/A,FALSE,"Ratio Analysis";#N/A,#N/A,FALSE,"Test 120 Day Accts";#N/A,#N/A,FALSE,"Tickmarks"}</definedName>
    <definedName name="_______________________________________________gan2" hidden="1">{#N/A,#N/A,FALSE,"Aging Summary";#N/A,#N/A,FALSE,"Ratio Analysis";#N/A,#N/A,FALSE,"Test 120 Day Accts";#N/A,#N/A,FALSE,"Tickmarks"}</definedName>
    <definedName name="_______________________________________________mma2" hidden="1">{#N/A,#N/A,FALSE,"Aging Summary";#N/A,#N/A,FALSE,"Ratio Analysis";#N/A,#N/A,FALSE,"Test 120 Day Accts";#N/A,#N/A,FALSE,"Tickmarks"}</definedName>
    <definedName name="______________________________________________gan2" hidden="1">{#N/A,#N/A,FALSE,"Aging Summary";#N/A,#N/A,FALSE,"Ratio Analysis";#N/A,#N/A,FALSE,"Test 120 Day Accts";#N/A,#N/A,FALSE,"Tickmarks"}</definedName>
    <definedName name="______________________________________________mma2" hidden="1">{#N/A,#N/A,FALSE,"Aging Summary";#N/A,#N/A,FALSE,"Ratio Analysis";#N/A,#N/A,FALSE,"Test 120 Day Accts";#N/A,#N/A,FALSE,"Tickmarks"}</definedName>
    <definedName name="_____________________________________________gan2" hidden="1">{#N/A,#N/A,FALSE,"Aging Summary";#N/A,#N/A,FALSE,"Ratio Analysis";#N/A,#N/A,FALSE,"Test 120 Day Accts";#N/A,#N/A,FALSE,"Tickmarks"}</definedName>
    <definedName name="_____________________________________________mma2" hidden="1">{#N/A,#N/A,FALSE,"Aging Summary";#N/A,#N/A,FALSE,"Ratio Analysis";#N/A,#N/A,FALSE,"Test 120 Day Accts";#N/A,#N/A,FALSE,"Tickmarks"}</definedName>
    <definedName name="____________________________________________gan2" hidden="1">{#N/A,#N/A,FALSE,"Aging Summary";#N/A,#N/A,FALSE,"Ratio Analysis";#N/A,#N/A,FALSE,"Test 120 Day Accts";#N/A,#N/A,FALSE,"Tickmarks"}</definedName>
    <definedName name="____________________________________________mma2" hidden="1">{#N/A,#N/A,FALSE,"Aging Summary";#N/A,#N/A,FALSE,"Ratio Analysis";#N/A,#N/A,FALSE,"Test 120 Day Accts";#N/A,#N/A,FALSE,"Tickmarks"}</definedName>
    <definedName name="___________________________________________gan2" hidden="1">{#N/A,#N/A,FALSE,"Aging Summary";#N/A,#N/A,FALSE,"Ratio Analysis";#N/A,#N/A,FALSE,"Test 120 Day Accts";#N/A,#N/A,FALSE,"Tickmarks"}</definedName>
    <definedName name="___________________________________________mma2" hidden="1">{#N/A,#N/A,FALSE,"Aging Summary";#N/A,#N/A,FALSE,"Ratio Analysis";#N/A,#N/A,FALSE,"Test 120 Day Accts";#N/A,#N/A,FALSE,"Tickmarks"}</definedName>
    <definedName name="___________________________________________SS2" hidden="1">{#N/A,#N/A,FALSE,"CAPEX";#N/A,#N/A,FALSE,"PLAN";#N/A,#N/A,FALSE,"REV";#N/A,#N/A,FALSE,"CALOP";#N/A,#N/A,FALSE,"RESOP";#N/A,#N/A,FALSE,"PRES"}</definedName>
    <definedName name="__________________________________________gan2" hidden="1">{#N/A,#N/A,FALSE,"Aging Summary";#N/A,#N/A,FALSE,"Ratio Analysis";#N/A,#N/A,FALSE,"Test 120 Day Accts";#N/A,#N/A,FALSE,"Tickmarks"}</definedName>
    <definedName name="__________________________________________mma2" hidden="1">{#N/A,#N/A,FALSE,"Aging Summary";#N/A,#N/A,FALSE,"Ratio Analysis";#N/A,#N/A,FALSE,"Test 120 Day Accts";#N/A,#N/A,FALSE,"Tickmarks"}</definedName>
    <definedName name="__________________________________________SS2" hidden="1">{#N/A,#N/A,FALSE,"CAPEX";#N/A,#N/A,FALSE,"PLAN";#N/A,#N/A,FALSE,"REV";#N/A,#N/A,FALSE,"CALOP";#N/A,#N/A,FALSE,"RESOP";#N/A,#N/A,FALSE,"PRES"}</definedName>
    <definedName name="_________________________________________gan2" hidden="1">{#N/A,#N/A,FALSE,"Aging Summary";#N/A,#N/A,FALSE,"Ratio Analysis";#N/A,#N/A,FALSE,"Test 120 Day Accts";#N/A,#N/A,FALSE,"Tickmarks"}</definedName>
    <definedName name="_________________________________________mma2" hidden="1">{#N/A,#N/A,FALSE,"Aging Summary";#N/A,#N/A,FALSE,"Ratio Analysis";#N/A,#N/A,FALSE,"Test 120 Day Accts";#N/A,#N/A,FALSE,"Tickmarks"}</definedName>
    <definedName name="_________________________________________SS2" hidden="1">{#N/A,#N/A,FALSE,"CAPEX";#N/A,#N/A,FALSE,"PLAN";#N/A,#N/A,FALSE,"REV";#N/A,#N/A,FALSE,"CALOP";#N/A,#N/A,FALSE,"RESOP";#N/A,#N/A,FALSE,"PRES"}</definedName>
    <definedName name="________________________________________Gan1" hidden="1">{#N/A,#N/A,FALSE,"Aging Summary";#N/A,#N/A,FALSE,"Ratio Analysis";#N/A,#N/A,FALSE,"Test 120 Day Accts";#N/A,#N/A,FALSE,"Tickmarks"}</definedName>
    <definedName name="________________________________________gan2" hidden="1">{#N/A,#N/A,FALSE,"Aging Summary";#N/A,#N/A,FALSE,"Ratio Analysis";#N/A,#N/A,FALSE,"Test 120 Day Accts";#N/A,#N/A,FALSE,"Tickmarks"}</definedName>
    <definedName name="________________________________________mma2" hidden="1">{#N/A,#N/A,FALSE,"Aging Summary";#N/A,#N/A,FALSE,"Ratio Analysis";#N/A,#N/A,FALSE,"Test 120 Day Accts";#N/A,#N/A,FALSE,"Tickmarks"}</definedName>
    <definedName name="________________________________________SS2" hidden="1">{#N/A,#N/A,FALSE,"CAPEX";#N/A,#N/A,FALSE,"PLAN";#N/A,#N/A,FALSE,"REV";#N/A,#N/A,FALSE,"CALOP";#N/A,#N/A,FALSE,"RESOP";#N/A,#N/A,FALSE,"PRES"}</definedName>
    <definedName name="_______________________________________Gan1" hidden="1">{#N/A,#N/A,FALSE,"Aging Summary";#N/A,#N/A,FALSE,"Ratio Analysis";#N/A,#N/A,FALSE,"Test 120 Day Accts";#N/A,#N/A,FALSE,"Tickmarks"}</definedName>
    <definedName name="_______________________________________gan2" hidden="1">{#N/A,#N/A,FALSE,"Aging Summary";#N/A,#N/A,FALSE,"Ratio Analysis";#N/A,#N/A,FALSE,"Test 120 Day Accts";#N/A,#N/A,FALSE,"Tickmarks"}</definedName>
    <definedName name="_______________________________________mma2" hidden="1">{#N/A,#N/A,FALSE,"Aging Summary";#N/A,#N/A,FALSE,"Ratio Analysis";#N/A,#N/A,FALSE,"Test 120 Day Accts";#N/A,#N/A,FALSE,"Tickmarks"}</definedName>
    <definedName name="_______________________________________SS2" hidden="1">{#N/A,#N/A,FALSE,"CAPEX";#N/A,#N/A,FALSE,"PLAN";#N/A,#N/A,FALSE,"REV";#N/A,#N/A,FALSE,"CALOP";#N/A,#N/A,FALSE,"RESOP";#N/A,#N/A,FALSE,"PRES"}</definedName>
    <definedName name="______________________________________Gan1" hidden="1">{#N/A,#N/A,FALSE,"Aging Summary";#N/A,#N/A,FALSE,"Ratio Analysis";#N/A,#N/A,FALSE,"Test 120 Day Accts";#N/A,#N/A,FALSE,"Tickmarks"}</definedName>
    <definedName name="______________________________________gan2" hidden="1">{#N/A,#N/A,FALSE,"Aging Summary";#N/A,#N/A,FALSE,"Ratio Analysis";#N/A,#N/A,FALSE,"Test 120 Day Accts";#N/A,#N/A,FALSE,"Tickmarks"}</definedName>
    <definedName name="______________________________________mma2" hidden="1">{#N/A,#N/A,FALSE,"Aging Summary";#N/A,#N/A,FALSE,"Ratio Analysis";#N/A,#N/A,FALSE,"Test 120 Day Accts";#N/A,#N/A,FALSE,"Tickmarks"}</definedName>
    <definedName name="______________________________________SS2" hidden="1">{#N/A,#N/A,FALSE,"CAPEX";#N/A,#N/A,FALSE,"PLAN";#N/A,#N/A,FALSE,"REV";#N/A,#N/A,FALSE,"CALOP";#N/A,#N/A,FALSE,"RESOP";#N/A,#N/A,FALSE,"PRES"}</definedName>
    <definedName name="_____________________________________Gan1" hidden="1">{#N/A,#N/A,FALSE,"Aging Summary";#N/A,#N/A,FALSE,"Ratio Analysis";#N/A,#N/A,FALSE,"Test 120 Day Accts";#N/A,#N/A,FALSE,"Tickmarks"}</definedName>
    <definedName name="_____________________________________gan2" hidden="1">{#N/A,#N/A,FALSE,"Aging Summary";#N/A,#N/A,FALSE,"Ratio Analysis";#N/A,#N/A,FALSE,"Test 120 Day Accts";#N/A,#N/A,FALSE,"Tickmarks"}</definedName>
    <definedName name="_____________________________________mma1" hidden="1">19</definedName>
    <definedName name="_____________________________________mma2" hidden="1">{#N/A,#N/A,FALSE,"Aging Summary";#N/A,#N/A,FALSE,"Ratio Analysis";#N/A,#N/A,FALSE,"Test 120 Day Accts";#N/A,#N/A,FALSE,"Tickmarks"}</definedName>
    <definedName name="_____________________________________SS2" hidden="1">{#N/A,#N/A,FALSE,"CAPEX";#N/A,#N/A,FALSE,"PLAN";#N/A,#N/A,FALSE,"REV";#N/A,#N/A,FALSE,"CALOP";#N/A,#N/A,FALSE,"RESOP";#N/A,#N/A,FALSE,"PRES"}</definedName>
    <definedName name="____________________________________Gan1" hidden="1">{#N/A,#N/A,FALSE,"Aging Summary";#N/A,#N/A,FALSE,"Ratio Analysis";#N/A,#N/A,FALSE,"Test 120 Day Accts";#N/A,#N/A,FALSE,"Tickmarks"}</definedName>
    <definedName name="____________________________________gan2" hidden="1">{#N/A,#N/A,FALSE,"Aging Summary";#N/A,#N/A,FALSE,"Ratio Analysis";#N/A,#N/A,FALSE,"Test 120 Day Accts";#N/A,#N/A,FALSE,"Tickmarks"}</definedName>
    <definedName name="____________________________________mma1" hidden="1">19</definedName>
    <definedName name="____________________________________mma2" hidden="1">{#N/A,#N/A,FALSE,"Aging Summary";#N/A,#N/A,FALSE,"Ratio Analysis";#N/A,#N/A,FALSE,"Test 120 Day Accts";#N/A,#N/A,FALSE,"Tickmarks"}</definedName>
    <definedName name="____________________________________SS2" hidden="1">{#N/A,#N/A,FALSE,"CAPEX";#N/A,#N/A,FALSE,"PLAN";#N/A,#N/A,FALSE,"REV";#N/A,#N/A,FALSE,"CALOP";#N/A,#N/A,FALSE,"RESOP";#N/A,#N/A,FALSE,"PRES"}</definedName>
    <definedName name="___________________________________e2" hidden="1">{#N/A,#N/A,FALSE,"03070001";#N/A,#N/A,FALSE,"03070002";#N/A,#N/A,FALSE,"03090003";#N/A,#N/A,FALSE,"23190001";#N/A,#N/A,FALSE,"24470001"}</definedName>
    <definedName name="___________________________________Gan1" hidden="1">{#N/A,#N/A,FALSE,"Aging Summary";#N/A,#N/A,FALSE,"Ratio Analysis";#N/A,#N/A,FALSE,"Test 120 Day Accts";#N/A,#N/A,FALSE,"Tickmarks"}</definedName>
    <definedName name="___________________________________gan2" hidden="1">{#N/A,#N/A,FALSE,"Aging Summary";#N/A,#N/A,FALSE,"Ratio Analysis";#N/A,#N/A,FALSE,"Test 120 Day Accts";#N/A,#N/A,FALSE,"Tickmarks"}</definedName>
    <definedName name="___________________________________mma1" hidden="1">19</definedName>
    <definedName name="___________________________________mma2" hidden="1">{#N/A,#N/A,FALSE,"Aging Summary";#N/A,#N/A,FALSE,"Ratio Analysis";#N/A,#N/A,FALSE,"Test 120 Day Accts";#N/A,#N/A,FALSE,"Tickmarks"}</definedName>
    <definedName name="___________________________________SS2" hidden="1">{#N/A,#N/A,FALSE,"CAPEX";#N/A,#N/A,FALSE,"PLAN";#N/A,#N/A,FALSE,"REV";#N/A,#N/A,FALSE,"CALOP";#N/A,#N/A,FALSE,"RESOP";#N/A,#N/A,FALSE,"PRES"}</definedName>
    <definedName name="__________________________________e2" hidden="1">{#N/A,#N/A,FALSE,"03070001";#N/A,#N/A,FALSE,"03070002";#N/A,#N/A,FALSE,"03090003";#N/A,#N/A,FALSE,"23190001";#N/A,#N/A,FALSE,"24470001"}</definedName>
    <definedName name="__________________________________Gan1" hidden="1">{#N/A,#N/A,FALSE,"Aging Summary";#N/A,#N/A,FALSE,"Ratio Analysis";#N/A,#N/A,FALSE,"Test 120 Day Accts";#N/A,#N/A,FALSE,"Tickmarks"}</definedName>
    <definedName name="__________________________________gan2" hidden="1">{#N/A,#N/A,FALSE,"Aging Summary";#N/A,#N/A,FALSE,"Ratio Analysis";#N/A,#N/A,FALSE,"Test 120 Day Accts";#N/A,#N/A,FALSE,"Tickmarks"}</definedName>
    <definedName name="__________________________________mma1" hidden="1">19</definedName>
    <definedName name="__________________________________mma2" hidden="1">{#N/A,#N/A,FALSE,"Aging Summary";#N/A,#N/A,FALSE,"Ratio Analysis";#N/A,#N/A,FALSE,"Test 120 Day Accts";#N/A,#N/A,FALSE,"Tickmarks"}</definedName>
    <definedName name="__________________________________SS2" hidden="1">{#N/A,#N/A,FALSE,"CAPEX";#N/A,#N/A,FALSE,"PLAN";#N/A,#N/A,FALSE,"REV";#N/A,#N/A,FALSE,"CALOP";#N/A,#N/A,FALSE,"RESOP";#N/A,#N/A,FALSE,"PRES"}</definedName>
    <definedName name="_________________________________e2" hidden="1">{#N/A,#N/A,FALSE,"03070001";#N/A,#N/A,FALSE,"03070002";#N/A,#N/A,FALSE,"03090003";#N/A,#N/A,FALSE,"23190001";#N/A,#N/A,FALSE,"24470001"}</definedName>
    <definedName name="_________________________________Gan1" hidden="1">{#N/A,#N/A,FALSE,"Aging Summary";#N/A,#N/A,FALSE,"Ratio Analysis";#N/A,#N/A,FALSE,"Test 120 Day Accts";#N/A,#N/A,FALSE,"Tickmarks"}</definedName>
    <definedName name="_________________________________gan2" hidden="1">{#N/A,#N/A,FALSE,"Aging Summary";#N/A,#N/A,FALSE,"Ratio Analysis";#N/A,#N/A,FALSE,"Test 120 Day Accts";#N/A,#N/A,FALSE,"Tickmarks"}</definedName>
    <definedName name="_________________________________mma1" hidden="1">19</definedName>
    <definedName name="_________________________________mma2" hidden="1">{#N/A,#N/A,FALSE,"Aging Summary";#N/A,#N/A,FALSE,"Ratio Analysis";#N/A,#N/A,FALSE,"Test 120 Day Accts";#N/A,#N/A,FALSE,"Tickmarks"}</definedName>
    <definedName name="_________________________________SS2" hidden="1">{#N/A,#N/A,FALSE,"CAPEX";#N/A,#N/A,FALSE,"PLAN";#N/A,#N/A,FALSE,"REV";#N/A,#N/A,FALSE,"CALOP";#N/A,#N/A,FALSE,"RESOP";#N/A,#N/A,FALSE,"PRES"}</definedName>
    <definedName name="________________________________e2" hidden="1">{#N/A,#N/A,FALSE,"03070001";#N/A,#N/A,FALSE,"03070002";#N/A,#N/A,FALSE,"03090003";#N/A,#N/A,FALSE,"23190001";#N/A,#N/A,FALSE,"24470001"}</definedName>
    <definedName name="________________________________Gan1" hidden="1">{#N/A,#N/A,FALSE,"Aging Summary";#N/A,#N/A,FALSE,"Ratio Analysis";#N/A,#N/A,FALSE,"Test 120 Day Accts";#N/A,#N/A,FALSE,"Tickmarks"}</definedName>
    <definedName name="________________________________gan2" hidden="1">{#N/A,#N/A,FALSE,"Aging Summary";#N/A,#N/A,FALSE,"Ratio Analysis";#N/A,#N/A,FALSE,"Test 120 Day Accts";#N/A,#N/A,FALSE,"Tickmarks"}</definedName>
    <definedName name="________________________________mma1" hidden="1">19</definedName>
    <definedName name="________________________________mma2" hidden="1">{#N/A,#N/A,FALSE,"Aging Summary";#N/A,#N/A,FALSE,"Ratio Analysis";#N/A,#N/A,FALSE,"Test 120 Day Accts";#N/A,#N/A,FALSE,"Tickmarks"}</definedName>
    <definedName name="________________________________SS2" hidden="1">{#N/A,#N/A,FALSE,"CAPEX";#N/A,#N/A,FALSE,"PLAN";#N/A,#N/A,FALSE,"REV";#N/A,#N/A,FALSE,"CALOP";#N/A,#N/A,FALSE,"RESOP";#N/A,#N/A,FALSE,"PRES"}</definedName>
    <definedName name="_______________________________e2" hidden="1">{#N/A,#N/A,FALSE,"03070001";#N/A,#N/A,FALSE,"03070002";#N/A,#N/A,FALSE,"03090003";#N/A,#N/A,FALSE,"23190001";#N/A,#N/A,FALSE,"24470001"}</definedName>
    <definedName name="_______________________________Gan1" hidden="1">{#N/A,#N/A,FALSE,"Aging Summary";#N/A,#N/A,FALSE,"Ratio Analysis";#N/A,#N/A,FALSE,"Test 120 Day Accts";#N/A,#N/A,FALSE,"Tickmarks"}</definedName>
    <definedName name="_______________________________gan2" hidden="1">{#N/A,#N/A,FALSE,"Aging Summary";#N/A,#N/A,FALSE,"Ratio Analysis";#N/A,#N/A,FALSE,"Test 120 Day Accts";#N/A,#N/A,FALSE,"Tickmarks"}</definedName>
    <definedName name="_______________________________mma1" hidden="1">19</definedName>
    <definedName name="_______________________________mma2" hidden="1">{#N/A,#N/A,FALSE,"Aging Summary";#N/A,#N/A,FALSE,"Ratio Analysis";#N/A,#N/A,FALSE,"Test 120 Day Accts";#N/A,#N/A,FALSE,"Tickmarks"}</definedName>
    <definedName name="_______________________________SS2" hidden="1">{#N/A,#N/A,FALSE,"CAPEX";#N/A,#N/A,FALSE,"PLAN";#N/A,#N/A,FALSE,"REV";#N/A,#N/A,FALSE,"CALOP";#N/A,#N/A,FALSE,"RESOP";#N/A,#N/A,FALSE,"PRES"}</definedName>
    <definedName name="______________________________e2" hidden="1">{#N/A,#N/A,FALSE,"03070001";#N/A,#N/A,FALSE,"03070002";#N/A,#N/A,FALSE,"03090003";#N/A,#N/A,FALSE,"23190001";#N/A,#N/A,FALSE,"24470001"}</definedName>
    <definedName name="______________________________Gan1" hidden="1">{#N/A,#N/A,FALSE,"Aging Summary";#N/A,#N/A,FALSE,"Ratio Analysis";#N/A,#N/A,FALSE,"Test 120 Day Accts";#N/A,#N/A,FALSE,"Tickmarks"}</definedName>
    <definedName name="______________________________gan2" hidden="1">{#N/A,#N/A,FALSE,"Aging Summary";#N/A,#N/A,FALSE,"Ratio Analysis";#N/A,#N/A,FALSE,"Test 120 Day Accts";#N/A,#N/A,FALSE,"Tickmarks"}</definedName>
    <definedName name="______________________________mma1" hidden="1">19</definedName>
    <definedName name="______________________________mma2" hidden="1">{#N/A,#N/A,FALSE,"Aging Summary";#N/A,#N/A,FALSE,"Ratio Analysis";#N/A,#N/A,FALSE,"Test 120 Day Accts";#N/A,#N/A,FALSE,"Tickmarks"}</definedName>
    <definedName name="______________________________SS2" hidden="1">{#N/A,#N/A,FALSE,"CAPEX";#N/A,#N/A,FALSE,"PLAN";#N/A,#N/A,FALSE,"REV";#N/A,#N/A,FALSE,"CALOP";#N/A,#N/A,FALSE,"RESOP";#N/A,#N/A,FALSE,"PRES"}</definedName>
    <definedName name="_____________________________e2" hidden="1">{#N/A,#N/A,FALSE,"03070001";#N/A,#N/A,FALSE,"03070002";#N/A,#N/A,FALSE,"03090003";#N/A,#N/A,FALSE,"23190001";#N/A,#N/A,FALSE,"24470001"}</definedName>
    <definedName name="_____________________________Gan1" hidden="1">{#N/A,#N/A,FALSE,"Aging Summary";#N/A,#N/A,FALSE,"Ratio Analysis";#N/A,#N/A,FALSE,"Test 120 Day Accts";#N/A,#N/A,FALSE,"Tickmarks"}</definedName>
    <definedName name="_____________________________gan2" hidden="1">{#N/A,#N/A,FALSE,"Aging Summary";#N/A,#N/A,FALSE,"Ratio Analysis";#N/A,#N/A,FALSE,"Test 120 Day Accts";#N/A,#N/A,FALSE,"Tickmarks"}</definedName>
    <definedName name="_____________________________mma1" hidden="1">19</definedName>
    <definedName name="_____________________________mma2" hidden="1">{#N/A,#N/A,FALSE,"Aging Summary";#N/A,#N/A,FALSE,"Ratio Analysis";#N/A,#N/A,FALSE,"Test 120 Day Accts";#N/A,#N/A,FALSE,"Tickmarks"}</definedName>
    <definedName name="_____________________________SS2" hidden="1">{#N/A,#N/A,FALSE,"CAPEX";#N/A,#N/A,FALSE,"PLAN";#N/A,#N/A,FALSE,"REV";#N/A,#N/A,FALSE,"CALOP";#N/A,#N/A,FALSE,"RESOP";#N/A,#N/A,FALSE,"PRES"}</definedName>
    <definedName name="____________________________e2" hidden="1">{#N/A,#N/A,FALSE,"03070001";#N/A,#N/A,FALSE,"03070002";#N/A,#N/A,FALSE,"03090003";#N/A,#N/A,FALSE,"23190001";#N/A,#N/A,FALSE,"24470001"}</definedName>
    <definedName name="____________________________Gan1" hidden="1">{#N/A,#N/A,FALSE,"Aging Summary";#N/A,#N/A,FALSE,"Ratio Analysis";#N/A,#N/A,FALSE,"Test 120 Day Accts";#N/A,#N/A,FALSE,"Tickmarks"}</definedName>
    <definedName name="____________________________gan2" hidden="1">{#N/A,#N/A,FALSE,"Aging Summary";#N/A,#N/A,FALSE,"Ratio Analysis";#N/A,#N/A,FALSE,"Test 120 Day Accts";#N/A,#N/A,FALSE,"Tickmarks"}</definedName>
    <definedName name="____________________________mma1" hidden="1">19</definedName>
    <definedName name="____________________________mma2" hidden="1">{#N/A,#N/A,FALSE,"Aging Summary";#N/A,#N/A,FALSE,"Ratio Analysis";#N/A,#N/A,FALSE,"Test 120 Day Accts";#N/A,#N/A,FALSE,"Tickmarks"}</definedName>
    <definedName name="____________________________SS2" hidden="1">{#N/A,#N/A,FALSE,"CAPEX";#N/A,#N/A,FALSE,"PLAN";#N/A,#N/A,FALSE,"REV";#N/A,#N/A,FALSE,"CALOP";#N/A,#N/A,FALSE,"RESOP";#N/A,#N/A,FALSE,"PRES"}</definedName>
    <definedName name="___________________________e2" hidden="1">{#N/A,#N/A,FALSE,"03070001";#N/A,#N/A,FALSE,"03070002";#N/A,#N/A,FALSE,"03090003";#N/A,#N/A,FALSE,"23190001";#N/A,#N/A,FALSE,"24470001"}</definedName>
    <definedName name="___________________________Gan1" hidden="1">{#N/A,#N/A,FALSE,"Aging Summary";#N/A,#N/A,FALSE,"Ratio Analysis";#N/A,#N/A,FALSE,"Test 120 Day Accts";#N/A,#N/A,FALSE,"Tickmarks"}</definedName>
    <definedName name="___________________________gan2" hidden="1">{#N/A,#N/A,FALSE,"Aging Summary";#N/A,#N/A,FALSE,"Ratio Analysis";#N/A,#N/A,FALSE,"Test 120 Day Accts";#N/A,#N/A,FALSE,"Tickmarks"}</definedName>
    <definedName name="__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mma1" hidden="1">19</definedName>
    <definedName name="___________________________mma2" hidden="1">{#N/A,#N/A,FALSE,"Aging Summary";#N/A,#N/A,FALSE,"Ratio Analysis";#N/A,#N/A,FALSE,"Test 120 Day Accts";#N/A,#N/A,FALSE,"Tickmarks"}</definedName>
    <definedName name="__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SS2" hidden="1">{#N/A,#N/A,FALSE,"CAPEX";#N/A,#N/A,FALSE,"PLAN";#N/A,#N/A,FALSE,"REV";#N/A,#N/A,FALSE,"CALOP";#N/A,#N/A,FALSE,"RESOP";#N/A,#N/A,FALSE,"PRES"}</definedName>
    <definedName name="__________________________e2" hidden="1">{#N/A,#N/A,FALSE,"03070001";#N/A,#N/A,FALSE,"03070002";#N/A,#N/A,FALSE,"03090003";#N/A,#N/A,FALSE,"23190001";#N/A,#N/A,FALSE,"24470001"}</definedName>
    <definedName name="__________________________Gan1" hidden="1">{#N/A,#N/A,FALSE,"Aging Summary";#N/A,#N/A,FALSE,"Ratio Analysis";#N/A,#N/A,FALSE,"Test 120 Day Accts";#N/A,#N/A,FALSE,"Tickmarks"}</definedName>
    <definedName name="__________________________gan2" hidden="1">{#N/A,#N/A,FALSE,"Aging Summary";#N/A,#N/A,FALSE,"Ratio Analysis";#N/A,#N/A,FALSE,"Test 120 Day Accts";#N/A,#N/A,FALSE,"Tickmarks"}</definedName>
    <definedName name="_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mma1" hidden="1">19</definedName>
    <definedName name="__________________________mma2" hidden="1">{#N/A,#N/A,FALSE,"Aging Summary";#N/A,#N/A,FALSE,"Ratio Analysis";#N/A,#N/A,FALSE,"Test 120 Day Accts";#N/A,#N/A,FALSE,"Tickmarks"}</definedName>
    <definedName name="_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SS2" hidden="1">{#N/A,#N/A,FALSE,"CAPEX";#N/A,#N/A,FALSE,"PLAN";#N/A,#N/A,FALSE,"REV";#N/A,#N/A,FALSE,"CALOP";#N/A,#N/A,FALSE,"RESOP";#N/A,#N/A,FALSE,"PRES"}</definedName>
    <definedName name="_________________________e2" hidden="1">{#N/A,#N/A,FALSE,"03070001";#N/A,#N/A,FALSE,"03070002";#N/A,#N/A,FALSE,"03090003";#N/A,#N/A,FALSE,"23190001";#N/A,#N/A,FALSE,"24470001"}</definedName>
    <definedName name="_________________________Gan1" hidden="1">{#N/A,#N/A,FALSE,"Aging Summary";#N/A,#N/A,FALSE,"Ratio Analysis";#N/A,#N/A,FALSE,"Test 120 Day Accts";#N/A,#N/A,FALSE,"Tickmarks"}</definedName>
    <definedName name="_________________________gan2" hidden="1">{#N/A,#N/A,FALSE,"Aging Summary";#N/A,#N/A,FALSE,"Ratio Analysis";#N/A,#N/A,FALSE,"Test 120 Day Accts";#N/A,#N/A,FALSE,"Tickmarks"}</definedName>
    <definedName name="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mma1" hidden="1">19</definedName>
    <definedName name="_________________________mma2" hidden="1">{#N/A,#N/A,FALSE,"Aging Summary";#N/A,#N/A,FALSE,"Ratio Analysis";#N/A,#N/A,FALSE,"Test 120 Day Accts";#N/A,#N/A,FALSE,"Tickmarks"}</definedName>
    <definedName name="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SS2" hidden="1">{#N/A,#N/A,FALSE,"CAPEX";#N/A,#N/A,FALSE,"PLAN";#N/A,#N/A,FALSE,"REV";#N/A,#N/A,FALSE,"CALOP";#N/A,#N/A,FALSE,"RESOP";#N/A,#N/A,FALSE,"PRES"}</definedName>
    <definedName name="________________________e2" hidden="1">{#N/A,#N/A,FALSE,"03070001";#N/A,#N/A,FALSE,"03070002";#N/A,#N/A,FALSE,"03090003";#N/A,#N/A,FALSE,"23190001";#N/A,#N/A,FALSE,"24470001"}</definedName>
    <definedName name="________________________Gan1" hidden="1">{#N/A,#N/A,FALSE,"Aging Summary";#N/A,#N/A,FALSE,"Ratio Analysis";#N/A,#N/A,FALSE,"Test 120 Day Accts";#N/A,#N/A,FALSE,"Tickmarks"}</definedName>
    <definedName name="________________________gan2" hidden="1">{#N/A,#N/A,FALSE,"Aging Summary";#N/A,#N/A,FALSE,"Ratio Analysis";#N/A,#N/A,FALSE,"Test 120 Day Accts";#N/A,#N/A,FALSE,"Tickmarks"}</definedName>
    <definedName name="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mma1" hidden="1">19</definedName>
    <definedName name="________________________mma2" hidden="1">{#N/A,#N/A,FALSE,"Aging Summary";#N/A,#N/A,FALSE,"Ratio Analysis";#N/A,#N/A,FALSE,"Test 120 Day Accts";#N/A,#N/A,FALSE,"Tickmarks"}</definedName>
    <definedName name="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SS2" hidden="1">{#N/A,#N/A,FALSE,"CAPEX";#N/A,#N/A,FALSE,"PLAN";#N/A,#N/A,FALSE,"REV";#N/A,#N/A,FALSE,"CALOP";#N/A,#N/A,FALSE,"RESOP";#N/A,#N/A,FALSE,"PRES"}</definedName>
    <definedName name="_______________________e2" hidden="1">{#N/A,#N/A,FALSE,"03070001";#N/A,#N/A,FALSE,"03070002";#N/A,#N/A,FALSE,"03090003";#N/A,#N/A,FALSE,"23190001";#N/A,#N/A,FALSE,"24470001"}</definedName>
    <definedName name="_______________________Gan1" hidden="1">{#N/A,#N/A,FALSE,"Aging Summary";#N/A,#N/A,FALSE,"Ratio Analysis";#N/A,#N/A,FALSE,"Test 120 Day Accts";#N/A,#N/A,FALSE,"Tickmarks"}</definedName>
    <definedName name="_______________________gan2" hidden="1">{#N/A,#N/A,FALSE,"Aging Summary";#N/A,#N/A,FALSE,"Ratio Analysis";#N/A,#N/A,FALSE,"Test 120 Day Accts";#N/A,#N/A,FALSE,"Tickmarks"}</definedName>
    <definedName name="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mma1" hidden="1">19</definedName>
    <definedName name="_______________________mma2" hidden="1">{#N/A,#N/A,FALSE,"Aging Summary";#N/A,#N/A,FALSE,"Ratio Analysis";#N/A,#N/A,FALSE,"Test 120 Day Accts";#N/A,#N/A,FALSE,"Tickmarks"}</definedName>
    <definedName name="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SS2" hidden="1">{#N/A,#N/A,FALSE,"CAPEX";#N/A,#N/A,FALSE,"PLAN";#N/A,#N/A,FALSE,"REV";#N/A,#N/A,FALSE,"CALOP";#N/A,#N/A,FALSE,"RESOP";#N/A,#N/A,FALSE,"PRES"}</definedName>
    <definedName name="______________________e2" hidden="1">{#N/A,#N/A,FALSE,"03070001";#N/A,#N/A,FALSE,"03070002";#N/A,#N/A,FALSE,"03090003";#N/A,#N/A,FALSE,"23190001";#N/A,#N/A,FALSE,"24470001"}</definedName>
    <definedName name="______________________Gan1" hidden="1">{#N/A,#N/A,FALSE,"Aging Summary";#N/A,#N/A,FALSE,"Ratio Analysis";#N/A,#N/A,FALSE,"Test 120 Day Accts";#N/A,#N/A,FALSE,"Tickmarks"}</definedName>
    <definedName name="______________________gan2" hidden="1">{#N/A,#N/A,FALSE,"Aging Summary";#N/A,#N/A,FALSE,"Ratio Analysis";#N/A,#N/A,FALSE,"Test 120 Day Accts";#N/A,#N/A,FALSE,"Tickmarks"}</definedName>
    <definedName name="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mma1" hidden="1">19</definedName>
    <definedName name="______________________mma2" hidden="1">{#N/A,#N/A,FALSE,"Aging Summary";#N/A,#N/A,FALSE,"Ratio Analysis";#N/A,#N/A,FALSE,"Test 120 Day Accts";#N/A,#N/A,FALSE,"Tickmarks"}</definedName>
    <definedName name="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SS2" hidden="1">{#N/A,#N/A,FALSE,"CAPEX";#N/A,#N/A,FALSE,"PLAN";#N/A,#N/A,FALSE,"REV";#N/A,#N/A,FALSE,"CALOP";#N/A,#N/A,FALSE,"RESOP";#N/A,#N/A,FALSE,"PRES"}</definedName>
    <definedName name="_____________________e2" hidden="1">{#N/A,#N/A,FALSE,"03070001";#N/A,#N/A,FALSE,"03070002";#N/A,#N/A,FALSE,"03090003";#N/A,#N/A,FALSE,"23190001";#N/A,#N/A,FALSE,"24470001"}</definedName>
    <definedName name="_____________________Gan1" hidden="1">{#N/A,#N/A,FALSE,"Aging Summary";#N/A,#N/A,FALSE,"Ratio Analysis";#N/A,#N/A,FALSE,"Test 120 Day Accts";#N/A,#N/A,FALSE,"Tickmarks"}</definedName>
    <definedName name="_____________________gan2" hidden="1">{#N/A,#N/A,FALSE,"Aging Summary";#N/A,#N/A,FALSE,"Ratio Analysis";#N/A,#N/A,FALSE,"Test 120 Day Accts";#N/A,#N/A,FALSE,"Tickmarks"}</definedName>
    <definedName name="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mma1" hidden="1">19</definedName>
    <definedName name="_____________________mma2" hidden="1">{#N/A,#N/A,FALSE,"Aging Summary";#N/A,#N/A,FALSE,"Ratio Analysis";#N/A,#N/A,FALSE,"Test 120 Day Accts";#N/A,#N/A,FALSE,"Tickmarks"}</definedName>
    <definedName name="_____________________pp1" hidden="1">{#N/A,#N/A,FALSE,"Aging Summary";#N/A,#N/A,FALSE,"Ratio Analysis";#N/A,#N/A,FALSE,"Test 120 Day Accts";#N/A,#N/A,FALSE,"Tickmarks"}</definedName>
    <definedName name="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SS2" hidden="1">{#N/A,#N/A,FALSE,"CAPEX";#N/A,#N/A,FALSE,"PLAN";#N/A,#N/A,FALSE,"REV";#N/A,#N/A,FALSE,"CALOP";#N/A,#N/A,FALSE,"RESOP";#N/A,#N/A,FALSE,"PRES"}</definedName>
    <definedName name="____________________e2" hidden="1">{#N/A,#N/A,FALSE,"03070001";#N/A,#N/A,FALSE,"03070002";#N/A,#N/A,FALSE,"03090003";#N/A,#N/A,FALSE,"23190001";#N/A,#N/A,FALSE,"24470001"}</definedName>
    <definedName name="____________________Gan1" hidden="1">{#N/A,#N/A,FALSE,"Aging Summary";#N/A,#N/A,FALSE,"Ratio Analysis";#N/A,#N/A,FALSE,"Test 120 Day Accts";#N/A,#N/A,FALSE,"Tickmarks"}</definedName>
    <definedName name="____________________gan2" hidden="1">{#N/A,#N/A,FALSE,"Aging Summary";#N/A,#N/A,FALSE,"Ratio Analysis";#N/A,#N/A,FALSE,"Test 120 Day Accts";#N/A,#N/A,FALSE,"Tickmarks"}</definedName>
    <definedName name="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mma1" hidden="1">19</definedName>
    <definedName name="____________________mma2" hidden="1">{#N/A,#N/A,FALSE,"Aging Summary";#N/A,#N/A,FALSE,"Ratio Analysis";#N/A,#N/A,FALSE,"Test 120 Day Accts";#N/A,#N/A,FALSE,"Tickmarks"}</definedName>
    <definedName name="____________________pp1" hidden="1">{#N/A,#N/A,FALSE,"Aging Summary";#N/A,#N/A,FALSE,"Ratio Analysis";#N/A,#N/A,FALSE,"Test 120 Day Accts";#N/A,#N/A,FALSE,"Tickmarks"}</definedName>
    <definedName name="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SS2" hidden="1">{#N/A,#N/A,FALSE,"CAPEX";#N/A,#N/A,FALSE,"PLAN";#N/A,#N/A,FALSE,"REV";#N/A,#N/A,FALSE,"CALOP";#N/A,#N/A,FALSE,"RESOP";#N/A,#N/A,FALSE,"PRES"}</definedName>
    <definedName name="___________________a1" hidden="1">{"'DIFPRE'!$A$2:$M$54"}</definedName>
    <definedName name="___________________aa1" hidden="1">{"'DIFPRE'!$A$2:$M$54"}</definedName>
    <definedName name="___________________AA2" hidden="1">{"'DIFPRE'!$A$2:$M$54"}</definedName>
    <definedName name="___________________b3" hidden="1">{"'DIFPRE'!$A$2:$M$54"}</definedName>
    <definedName name="___________________e2" hidden="1">{#N/A,#N/A,FALSE,"03070001";#N/A,#N/A,FALSE,"03070002";#N/A,#N/A,FALSE,"03090003";#N/A,#N/A,FALSE,"23190001";#N/A,#N/A,FALSE,"24470001"}</definedName>
    <definedName name="___________________FG1" hidden="1">{"'DIFPRE'!$A$2:$M$54"}</definedName>
    <definedName name="___________________Gan1" hidden="1">{#N/A,#N/A,FALSE,"Aging Summary";#N/A,#N/A,FALSE,"Ratio Analysis";#N/A,#N/A,FALSE,"Test 120 Day Accts";#N/A,#N/A,FALSE,"Tickmarks"}</definedName>
    <definedName name="___________________gan2" hidden="1">{#N/A,#N/A,FALSE,"Aging Summary";#N/A,#N/A,FALSE,"Ratio Analysis";#N/A,#N/A,FALSE,"Test 120 Day Accts";#N/A,#N/A,FALSE,"Tickmarks"}</definedName>
    <definedName name="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mma1" hidden="1">19</definedName>
    <definedName name="___________________mma2" hidden="1">{#N/A,#N/A,FALSE,"Aging Summary";#N/A,#N/A,FALSE,"Ratio Analysis";#N/A,#N/A,FALSE,"Test 120 Day Accts";#N/A,#N/A,FALSE,"Tickmarks"}</definedName>
    <definedName name="___________________pp1" hidden="1">{#N/A,#N/A,FALSE,"Aging Summary";#N/A,#N/A,FALSE,"Ratio Analysis";#N/A,#N/A,FALSE,"Test 120 Day Accts";#N/A,#N/A,FALSE,"Tickmarks"}</definedName>
    <definedName name="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SS2" hidden="1">{#N/A,#N/A,FALSE,"CAPEX";#N/A,#N/A,FALSE,"PLAN";#N/A,#N/A,FALSE,"REV";#N/A,#N/A,FALSE,"CALOP";#N/A,#N/A,FALSE,"RESOP";#N/A,#N/A,FALSE,"PRES"}</definedName>
    <definedName name="__________________e2" hidden="1">{#N/A,#N/A,FALSE,"03070001";#N/A,#N/A,FALSE,"03070002";#N/A,#N/A,FALSE,"03090003";#N/A,#N/A,FALSE,"23190001";#N/A,#N/A,FALSE,"24470001"}</definedName>
    <definedName name="__________________Gan1" hidden="1">{#N/A,#N/A,FALSE,"Aging Summary";#N/A,#N/A,FALSE,"Ratio Analysis";#N/A,#N/A,FALSE,"Test 120 Day Accts";#N/A,#N/A,FALSE,"Tickmarks"}</definedName>
    <definedName name="__________________gan2" hidden="1">{#N/A,#N/A,FALSE,"Aging Summary";#N/A,#N/A,FALSE,"Ratio Analysis";#N/A,#N/A,FALSE,"Test 120 Day Accts";#N/A,#N/A,FALSE,"Tickmarks"}</definedName>
    <definedName name="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mma1" hidden="1">19</definedName>
    <definedName name="__________________mma2" hidden="1">{#N/A,#N/A,FALSE,"Aging Summary";#N/A,#N/A,FALSE,"Ratio Analysis";#N/A,#N/A,FALSE,"Test 120 Day Accts";#N/A,#N/A,FALSE,"Tickmarks"}</definedName>
    <definedName name="__________________pp1" hidden="1">{#N/A,#N/A,FALSE,"Aging Summary";#N/A,#N/A,FALSE,"Ratio Analysis";#N/A,#N/A,FALSE,"Test 120 Day Accts";#N/A,#N/A,FALSE,"Tickmarks"}</definedName>
    <definedName name="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SS2" hidden="1">{#N/A,#N/A,FALSE,"CAPEX";#N/A,#N/A,FALSE,"PLAN";#N/A,#N/A,FALSE,"REV";#N/A,#N/A,FALSE,"CALOP";#N/A,#N/A,FALSE,"RESOP";#N/A,#N/A,FALSE,"PRES"}</definedName>
    <definedName name="_________________a1" hidden="1">{"'DIFPRE'!$A$2:$M$54"}</definedName>
    <definedName name="_________________aa1" hidden="1">{"'DIFPRE'!$A$2:$M$54"}</definedName>
    <definedName name="_________________AA2" hidden="1">{"'DIFPRE'!$A$2:$M$54"}</definedName>
    <definedName name="_________________b3" hidden="1">{"'DIFPRE'!$A$2:$M$54"}</definedName>
    <definedName name="_________________e2" hidden="1">{#N/A,#N/A,FALSE,"03070001";#N/A,#N/A,FALSE,"03070002";#N/A,#N/A,FALSE,"03090003";#N/A,#N/A,FALSE,"23190001";#N/A,#N/A,FALSE,"24470001"}</definedName>
    <definedName name="_________________FG1" hidden="1">{"'DIFPRE'!$A$2:$M$54"}</definedName>
    <definedName name="_________________Gan1" hidden="1">{#N/A,#N/A,FALSE,"Aging Summary";#N/A,#N/A,FALSE,"Ratio Analysis";#N/A,#N/A,FALSE,"Test 120 Day Accts";#N/A,#N/A,FALSE,"Tickmarks"}</definedName>
    <definedName name="_________________gan2" hidden="1">{#N/A,#N/A,FALSE,"Aging Summary";#N/A,#N/A,FALSE,"Ratio Analysis";#N/A,#N/A,FALSE,"Test 120 Day Accts";#N/A,#N/A,FALSE,"Tickmarks"}</definedName>
    <definedName name="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mma1" hidden="1">19</definedName>
    <definedName name="_________________mma2" hidden="1">{#N/A,#N/A,FALSE,"Aging Summary";#N/A,#N/A,FALSE,"Ratio Analysis";#N/A,#N/A,FALSE,"Test 120 Day Accts";#N/A,#N/A,FALSE,"Tickmarks"}</definedName>
    <definedName name="_________________pp1" hidden="1">{#N/A,#N/A,FALSE,"Aging Summary";#N/A,#N/A,FALSE,"Ratio Analysis";#N/A,#N/A,FALSE,"Test 120 Day Accts";#N/A,#N/A,FALSE,"Tickmarks"}</definedName>
    <definedName name="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SS2" hidden="1">{#N/A,#N/A,FALSE,"CAPEX";#N/A,#N/A,FALSE,"PLAN";#N/A,#N/A,FALSE,"REV";#N/A,#N/A,FALSE,"CALOP";#N/A,#N/A,FALSE,"RESOP";#N/A,#N/A,FALSE,"PRES"}</definedName>
    <definedName name="________________a1" hidden="1">{"'DIFPRE'!$A$2:$M$54"}</definedName>
    <definedName name="________________aa1" hidden="1">{"'DIFPRE'!$A$2:$M$54"}</definedName>
    <definedName name="________________AA2" hidden="1">{"'DIFPRE'!$A$2:$M$54"}</definedName>
    <definedName name="________________b3" hidden="1">{"'DIFPRE'!$A$2:$M$54"}</definedName>
    <definedName name="________________e2" hidden="1">{#N/A,#N/A,FALSE,"03070001";#N/A,#N/A,FALSE,"03070002";#N/A,#N/A,FALSE,"03090003";#N/A,#N/A,FALSE,"23190001";#N/A,#N/A,FALSE,"24470001"}</definedName>
    <definedName name="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FG1" hidden="1">{"'DIFPRE'!$A$2:$M$54"}</definedName>
    <definedName name="________________Gan1" hidden="1">{#N/A,#N/A,FALSE,"Aging Summary";#N/A,#N/A,FALSE,"Ratio Analysis";#N/A,#N/A,FALSE,"Test 120 Day Accts";#N/A,#N/A,FALSE,"Tickmarks"}</definedName>
    <definedName name="________________gan2" hidden="1">{#N/A,#N/A,FALSE,"Aging Summary";#N/A,#N/A,FALSE,"Ratio Analysis";#N/A,#N/A,FALSE,"Test 120 Day Accts";#N/A,#N/A,FALSE,"Tickmarks"}</definedName>
    <definedName name="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mma1" hidden="1">19</definedName>
    <definedName name="________________mma2" hidden="1">{#N/A,#N/A,FALSE,"Aging Summary";#N/A,#N/A,FALSE,"Ratio Analysis";#N/A,#N/A,FALSE,"Test 120 Day Accts";#N/A,#N/A,FALSE,"Tickmarks"}</definedName>
    <definedName name="________________pp1" hidden="1">{#N/A,#N/A,FALSE,"Aging Summary";#N/A,#N/A,FALSE,"Ratio Analysis";#N/A,#N/A,FALSE,"Test 120 Day Accts";#N/A,#N/A,FALSE,"Tickmarks"}</definedName>
    <definedName name="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SS2" hidden="1">{#N/A,#N/A,FALSE,"CAPEX";#N/A,#N/A,FALSE,"PLAN";#N/A,#N/A,FALSE,"REV";#N/A,#N/A,FALSE,"CALOP";#N/A,#N/A,FALSE,"RESOP";#N/A,#N/A,FALSE,"PRES"}</definedName>
    <definedName name="_______________a1" hidden="1">{"'DIFPRE'!$A$2:$M$54"}</definedName>
    <definedName name="_______________aa1" hidden="1">{"'DIFPRE'!$A$2:$M$54"}</definedName>
    <definedName name="_______________AA2" hidden="1">{"'DIFPRE'!$A$2:$M$54"}</definedName>
    <definedName name="_______________b3" hidden="1">{"'DIFPRE'!$A$2:$M$54"}</definedName>
    <definedName name="_______________e2" hidden="1">{#N/A,#N/A,FALSE,"03070001";#N/A,#N/A,FALSE,"03070002";#N/A,#N/A,FALSE,"03090003";#N/A,#N/A,FALSE,"23190001";#N/A,#N/A,FALSE,"24470001"}</definedName>
    <definedName name="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FG1" hidden="1">{"'DIFPRE'!$A$2:$M$54"}</definedName>
    <definedName name="_______________Gan1" hidden="1">{#N/A,#N/A,FALSE,"Aging Summary";#N/A,#N/A,FALSE,"Ratio Analysis";#N/A,#N/A,FALSE,"Test 120 Day Accts";#N/A,#N/A,FALSE,"Tickmarks"}</definedName>
    <definedName name="_______________gan2" hidden="1">{#N/A,#N/A,FALSE,"Aging Summary";#N/A,#N/A,FALSE,"Ratio Analysis";#N/A,#N/A,FALSE,"Test 120 Day Accts";#N/A,#N/A,FALSE,"Tickmarks"}</definedName>
    <definedName name="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mma1" hidden="1">19</definedName>
    <definedName name="_______________mma2" hidden="1">{#N/A,#N/A,FALSE,"Aging Summary";#N/A,#N/A,FALSE,"Ratio Analysis";#N/A,#N/A,FALSE,"Test 120 Day Accts";#N/A,#N/A,FALSE,"Tickmarks"}</definedName>
    <definedName name="_______________pp1" hidden="1">{#N/A,#N/A,FALSE,"Aging Summary";#N/A,#N/A,FALSE,"Ratio Analysis";#N/A,#N/A,FALSE,"Test 120 Day Accts";#N/A,#N/A,FALSE,"Tickmarks"}</definedName>
    <definedName name="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SS2" hidden="1">{#N/A,#N/A,FALSE,"CAPEX";#N/A,#N/A,FALSE,"PLAN";#N/A,#N/A,FALSE,"REV";#N/A,#N/A,FALSE,"CALOP";#N/A,#N/A,FALSE,"RESOP";#N/A,#N/A,FALSE,"PRES"}</definedName>
    <definedName name="______________a1" hidden="1">{"'DIFPRE'!$A$2:$M$54"}</definedName>
    <definedName name="______________aa1" hidden="1">{"'DIFPRE'!$A$2:$M$54"}</definedName>
    <definedName name="______________AA2" hidden="1">{"'DIFPRE'!$A$2:$M$54"}</definedName>
    <definedName name="______________b3" hidden="1">{"'DIFPRE'!$A$2:$M$54"}</definedName>
    <definedName name="______________e2" hidden="1">{#N/A,#N/A,FALSE,"03070001";#N/A,#N/A,FALSE,"03070002";#N/A,#N/A,FALSE,"03090003";#N/A,#N/A,FALSE,"23190001";#N/A,#N/A,FALSE,"24470001"}</definedName>
    <definedName name="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FG1" hidden="1">{"'DIFPRE'!$A$2:$M$54"}</definedName>
    <definedName name="______________Gan1" hidden="1">{#N/A,#N/A,FALSE,"Aging Summary";#N/A,#N/A,FALSE,"Ratio Analysis";#N/A,#N/A,FALSE,"Test 120 Day Accts";#N/A,#N/A,FALSE,"Tickmarks"}</definedName>
    <definedName name="______________gan2" hidden="1">{#N/A,#N/A,FALSE,"Aging Summary";#N/A,#N/A,FALSE,"Ratio Analysis";#N/A,#N/A,FALSE,"Test 120 Day Accts";#N/A,#N/A,FALSE,"Tickmarks"}</definedName>
    <definedName name="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mma1" hidden="1">19</definedName>
    <definedName name="______________mma2" hidden="1">{#N/A,#N/A,FALSE,"Aging Summary";#N/A,#N/A,FALSE,"Ratio Analysis";#N/A,#N/A,FALSE,"Test 120 Day Accts";#N/A,#N/A,FALSE,"Tickmarks"}</definedName>
    <definedName name="______________pp1" hidden="1">{#N/A,#N/A,FALSE,"Aging Summary";#N/A,#N/A,FALSE,"Ratio Analysis";#N/A,#N/A,FALSE,"Test 120 Day Accts";#N/A,#N/A,FALSE,"Tickmarks"}</definedName>
    <definedName name="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SS2" hidden="1">{#N/A,#N/A,FALSE,"CAPEX";#N/A,#N/A,FALSE,"PLAN";#N/A,#N/A,FALSE,"REV";#N/A,#N/A,FALSE,"CALOP";#N/A,#N/A,FALSE,"RESOP";#N/A,#N/A,FALSE,"PRES"}</definedName>
    <definedName name="_____________a1" hidden="1">{"'DIFPRE'!$A$2:$M$54"}</definedName>
    <definedName name="_____________aa1" hidden="1">{"'DIFPRE'!$A$2:$M$54"}</definedName>
    <definedName name="_____________AA2" hidden="1">{"'DIFPRE'!$A$2:$M$54"}</definedName>
    <definedName name="_____________b3" hidden="1">{"'DIFPRE'!$A$2:$M$54"}</definedName>
    <definedName name="_____________e2" hidden="1">{#N/A,#N/A,FALSE,"03070001";#N/A,#N/A,FALSE,"03070002";#N/A,#N/A,FALSE,"03090003";#N/A,#N/A,FALSE,"23190001";#N/A,#N/A,FALSE,"24470001"}</definedName>
    <definedName name="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FG1" hidden="1">{"'DIFPRE'!$A$2:$M$54"}</definedName>
    <definedName name="_____________Gan1" hidden="1">{#N/A,#N/A,FALSE,"Aging Summary";#N/A,#N/A,FALSE,"Ratio Analysis";#N/A,#N/A,FALSE,"Test 120 Day Accts";#N/A,#N/A,FALSE,"Tickmarks"}</definedName>
    <definedName name="_____________gan2" hidden="1">{#N/A,#N/A,FALSE,"Aging Summary";#N/A,#N/A,FALSE,"Ratio Analysis";#N/A,#N/A,FALSE,"Test 120 Day Accts";#N/A,#N/A,FALSE,"Tickmarks"}</definedName>
    <definedName name="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mma1" hidden="1">19</definedName>
    <definedName name="_____________mma2" hidden="1">{#N/A,#N/A,FALSE,"Aging Summary";#N/A,#N/A,FALSE,"Ratio Analysis";#N/A,#N/A,FALSE,"Test 120 Day Accts";#N/A,#N/A,FALSE,"Tickmarks"}</definedName>
    <definedName name="_____________pp1" hidden="1">{#N/A,#N/A,FALSE,"Aging Summary";#N/A,#N/A,FALSE,"Ratio Analysis";#N/A,#N/A,FALSE,"Test 120 Day Accts";#N/A,#N/A,FALSE,"Tickmarks"}</definedName>
    <definedName name="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SS2" hidden="1">{#N/A,#N/A,FALSE,"CAPEX";#N/A,#N/A,FALSE,"PLAN";#N/A,#N/A,FALSE,"REV";#N/A,#N/A,FALSE,"CALOP";#N/A,#N/A,FALSE,"RESOP";#N/A,#N/A,FALSE,"PRES"}</definedName>
    <definedName name="____________a1" hidden="1">{"'DIFPRE'!$A$2:$M$54"}</definedName>
    <definedName name="____________aa1" hidden="1">{"'DIFPRE'!$A$2:$M$54"}</definedName>
    <definedName name="____________AA2" hidden="1">{"'DIFPRE'!$A$2:$M$54"}</definedName>
    <definedName name="____________b3" hidden="1">{"'DIFPRE'!$A$2:$M$54"}</definedName>
    <definedName name="__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e2" hidden="1">{#N/A,#N/A,FALSE,"03070001";#N/A,#N/A,FALSE,"03070002";#N/A,#N/A,FALSE,"03090003";#N/A,#N/A,FALSE,"23190001";#N/A,#N/A,FALSE,"24470001"}</definedName>
    <definedName name="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FG1" hidden="1">{"'DIFPRE'!$A$2:$M$54"}</definedName>
    <definedName name="____________Gan1" hidden="1">{#N/A,#N/A,FALSE,"Aging Summary";#N/A,#N/A,FALSE,"Ratio Analysis";#N/A,#N/A,FALSE,"Test 120 Day Accts";#N/A,#N/A,FALSE,"Tickmarks"}</definedName>
    <definedName name="____________gan2" hidden="1">{#N/A,#N/A,FALSE,"Aging Summary";#N/A,#N/A,FALSE,"Ratio Analysis";#N/A,#N/A,FALSE,"Test 120 Day Accts";#N/A,#N/A,FALSE,"Tickmarks"}</definedName>
    <definedName name="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mma1" hidden="1">19</definedName>
    <definedName name="____________mma2" hidden="1">{#N/A,#N/A,FALSE,"Aging Summary";#N/A,#N/A,FALSE,"Ratio Analysis";#N/A,#N/A,FALSE,"Test 120 Day Accts";#N/A,#N/A,FALSE,"Tickmarks"}</definedName>
    <definedName name="____________pp1" hidden="1">{#N/A,#N/A,FALSE,"Aging Summary";#N/A,#N/A,FALSE,"Ratio Analysis";#N/A,#N/A,FALSE,"Test 120 Day Accts";#N/A,#N/A,FALSE,"Tickmarks"}</definedName>
    <definedName name="____________R" hidden="1">{#N/A,#N/A,FALSE,"Venta"}</definedName>
    <definedName name="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SS2" hidden="1">{#N/A,#N/A,FALSE,"CAPEX";#N/A,#N/A,FALSE,"PLAN";#N/A,#N/A,FALSE,"REV";#N/A,#N/A,FALSE,"CALOP";#N/A,#N/A,FALSE,"RESOP";#N/A,#N/A,FALSE,"PRES"}</definedName>
    <definedName name="___________a1" hidden="1">{"'DIFPRE'!$A$2:$M$54"}</definedName>
    <definedName name="___________aa1" hidden="1">{"'DIFPRE'!$A$2:$M$54"}</definedName>
    <definedName name="___________AA2" hidden="1">{"'DIFPRE'!$A$2:$M$54"}</definedName>
    <definedName name="___________b3" hidden="1">{"'DIFPRE'!$A$2:$M$54"}</definedName>
    <definedName name="_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e2" hidden="1">{#N/A,#N/A,FALSE,"03070001";#N/A,#N/A,FALSE,"03070002";#N/A,#N/A,FALSE,"03090003";#N/A,#N/A,FALSE,"23190001";#N/A,#N/A,FALSE,"24470001"}</definedName>
    <definedName name="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FG1" hidden="1">{"'DIFPRE'!$A$2:$M$54"}</definedName>
    <definedName name="___________Gan1" hidden="1">{#N/A,#N/A,FALSE,"Aging Summary";#N/A,#N/A,FALSE,"Ratio Analysis";#N/A,#N/A,FALSE,"Test 120 Day Accts";#N/A,#N/A,FALSE,"Tickmarks"}</definedName>
    <definedName name="___________gan2" hidden="1">{#N/A,#N/A,FALSE,"Aging Summary";#N/A,#N/A,FALSE,"Ratio Analysis";#N/A,#N/A,FALSE,"Test 120 Day Accts";#N/A,#N/A,FALSE,"Tickmarks"}</definedName>
    <definedName name="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mma1" hidden="1">19</definedName>
    <definedName name="___________mma2" hidden="1">{#N/A,#N/A,FALSE,"Aging Summary";#N/A,#N/A,FALSE,"Ratio Analysis";#N/A,#N/A,FALSE,"Test 120 Day Accts";#N/A,#N/A,FALSE,"Tickmarks"}</definedName>
    <definedName name="___________pp1" hidden="1">{#N/A,#N/A,FALSE,"Aging Summary";#N/A,#N/A,FALSE,"Ratio Analysis";#N/A,#N/A,FALSE,"Test 120 Day Accts";#N/A,#N/A,FALSE,"Tickmarks"}</definedName>
    <definedName name="___________R" hidden="1">{#N/A,#N/A,FALSE,"Balances";#N/A,#N/A,FALSE,"ANEX-1";#N/A,#N/A,FALSE,"ANEX.2";#N/A,#N/A,FALSE,"ANEX-3";#N/A,#N/A,FALSE,"ANEX.4";#N/A,#N/A,FALSE,"ANEX-5";#N/A,#N/A,FALSE,"ANEX-7 (último)";#N/A,#N/A,FALSE,"ANEX-6"}</definedName>
    <definedName name="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SS2" hidden="1">{#N/A,#N/A,FALSE,"CAPEX";#N/A,#N/A,FALSE,"PLAN";#N/A,#N/A,FALSE,"REV";#N/A,#N/A,FALSE,"CALOP";#N/A,#N/A,FALSE,"RESOP";#N/A,#N/A,FALSE,"PRES"}</definedName>
    <definedName name="___________x3" hidden="1">{"car1",#N/A,FALSE,"CA";"sg1",#N/A,FALSE,"SP-SS";"ham1",#N/A,FALSE,"HA";"ens1",#N/A,FALSE,"ENS";"eder1",#N/A,FALSE,"EDER";"cpb1",#N/A,FALSE,"CPB";"tra1",#N/A,FALSE,"TRANS";"abal1",#N/A,FALSE,"AB";"alap",#N/A,FALSE,"AL"}</definedName>
    <definedName name="__________a1" hidden="1">{"'DIFPRE'!$A$2:$M$54"}</definedName>
    <definedName name="__________aa1" hidden="1">{"'DIFPRE'!$A$2:$M$54"}</definedName>
    <definedName name="__________AA2" hidden="1">{"'DIFPRE'!$A$2:$M$54"}</definedName>
    <definedName name="__________b3" hidden="1">{"'DIFPRE'!$A$2:$M$54"}</definedName>
    <definedName name="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e2" hidden="1">{#N/A,#N/A,FALSE,"03070001";#N/A,#N/A,FALSE,"03070002";#N/A,#N/A,FALSE,"03090003";#N/A,#N/A,FALSE,"23190001";#N/A,#N/A,FALSE,"24470001"}</definedName>
    <definedName name="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G1" hidden="1">{"'DIFPRE'!$A$2:$M$54"}</definedName>
    <definedName name="__________Gan1" hidden="1">{#N/A,#N/A,FALSE,"Aging Summary";#N/A,#N/A,FALSE,"Ratio Analysis";#N/A,#N/A,FALSE,"Test 120 Day Accts";#N/A,#N/A,FALSE,"Tickmarks"}</definedName>
    <definedName name="__________gan2" hidden="1">{#N/A,#N/A,FALSE,"Aging Summary";#N/A,#N/A,FALSE,"Ratio Analysis";#N/A,#N/A,FALSE,"Test 120 Day Accts";#N/A,#N/A,FALSE,"Tickmarks"}</definedName>
    <definedName name="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mma1" hidden="1">19</definedName>
    <definedName name="__________mma2" hidden="1">{#N/A,#N/A,FALSE,"Aging Summary";#N/A,#N/A,FALSE,"Ratio Analysis";#N/A,#N/A,FALSE,"Test 120 Day Accts";#N/A,#N/A,FALSE,"Tickmarks"}</definedName>
    <definedName name="__________pp1" hidden="1">{#N/A,#N/A,FALSE,"Aging Summary";#N/A,#N/A,FALSE,"Ratio Analysis";#N/A,#N/A,FALSE,"Test 120 Day Accts";#N/A,#N/A,FALSE,"Tickmarks"}</definedName>
    <definedName name="__________R" hidden="1">{#N/A,#N/A,FALSE,"Venta"}</definedName>
    <definedName name="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SS2" hidden="1">{#N/A,#N/A,FALSE,"CAPEX";#N/A,#N/A,FALSE,"PLAN";#N/A,#N/A,FALSE,"REV";#N/A,#N/A,FALSE,"CALOP";#N/A,#N/A,FALSE,"RESOP";#N/A,#N/A,FALSE,"PRES"}</definedName>
    <definedName name="__________x3" hidden="1">{"car1",#N/A,FALSE,"CA";"sg1",#N/A,FALSE,"SP-SS";"ham1",#N/A,FALSE,"HA";"ens1",#N/A,FALSE,"ENS";"eder1",#N/A,FALSE,"EDER";"cpb1",#N/A,FALSE,"CPB";"tra1",#N/A,FALSE,"TRANS";"abal1",#N/A,FALSE,"AB";"alap",#N/A,FALSE,"AL"}</definedName>
    <definedName name="_________a1" hidden="1">{"'DIFPRE'!$A$2:$M$54"}</definedName>
    <definedName name="_________aa1" hidden="1">{"'DIFPRE'!$A$2:$M$54"}</definedName>
    <definedName name="_________AA2" hidden="1">{"'DIFPRE'!$A$2:$M$54"}</definedName>
    <definedName name="_________b3" hidden="1">{"'DIFPRE'!$A$2:$M$54"}</definedName>
    <definedName name="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e2" hidden="1">{#N/A,#N/A,FALSE,"03070001";#N/A,#N/A,FALSE,"03070002";#N/A,#N/A,FALSE,"03090003";#N/A,#N/A,FALSE,"23190001";#N/A,#N/A,FALSE,"24470001"}</definedName>
    <definedName name="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G1" hidden="1">{"'DIFPRE'!$A$2:$M$54"}</definedName>
    <definedName name="_________Gan1" hidden="1">{#N/A,#N/A,FALSE,"Aging Summary";#N/A,#N/A,FALSE,"Ratio Analysis";#N/A,#N/A,FALSE,"Test 120 Day Accts";#N/A,#N/A,FALSE,"Tickmarks"}</definedName>
    <definedName name="_________gan2" hidden="1">{#N/A,#N/A,FALSE,"Aging Summary";#N/A,#N/A,FALSE,"Ratio Analysis";#N/A,#N/A,FALSE,"Test 120 Day Accts";#N/A,#N/A,FALSE,"Tickmarks"}</definedName>
    <definedName name="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mma1" hidden="1">19</definedName>
    <definedName name="_________mma2" hidden="1">{#N/A,#N/A,FALSE,"Aging Summary";#N/A,#N/A,FALSE,"Ratio Analysis";#N/A,#N/A,FALSE,"Test 120 Day Accts";#N/A,#N/A,FALSE,"Tickmarks"}</definedName>
    <definedName name="_________pp1" hidden="1">{#N/A,#N/A,FALSE,"Aging Summary";#N/A,#N/A,FALSE,"Ratio Analysis";#N/A,#N/A,FALSE,"Test 120 Day Accts";#N/A,#N/A,FALSE,"Tickmarks"}</definedName>
    <definedName name="_________R" hidden="1">{#N/A,#N/A,FALSE,"Venta"}</definedName>
    <definedName name="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SS2" hidden="1">{#N/A,#N/A,FALSE,"CAPEX";#N/A,#N/A,FALSE,"PLAN";#N/A,#N/A,FALSE,"REV";#N/A,#N/A,FALSE,"CALOP";#N/A,#N/A,FALSE,"RESOP";#N/A,#N/A,FALSE,"PRES"}</definedName>
    <definedName name="_________x3" hidden="1">{"car1",#N/A,FALSE,"CA";"sg1",#N/A,FALSE,"SP-SS";"ham1",#N/A,FALSE,"HA";"ens1",#N/A,FALSE,"ENS";"eder1",#N/A,FALSE,"EDER";"cpb1",#N/A,FALSE,"CPB";"tra1",#N/A,FALSE,"TRANS";"abal1",#N/A,FALSE,"AB";"alap",#N/A,FALSE,"AL"}</definedName>
    <definedName name="________a1" hidden="1">{"'DIFPRE'!$A$2:$M$54"}</definedName>
    <definedName name="________aa1" hidden="1">{"'DIFPRE'!$A$2:$M$54"}</definedName>
    <definedName name="________AA2" hidden="1">{"'DIFPRE'!$A$2:$M$54"}</definedName>
    <definedName name="________b3" hidden="1">{"'DIFPRE'!$A$2:$M$54"}</definedName>
    <definedName name="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e2" hidden="1">{#N/A,#N/A,FALSE,"03070001";#N/A,#N/A,FALSE,"03070002";#N/A,#N/A,FALSE,"03090003";#N/A,#N/A,FALSE,"23190001";#N/A,#N/A,FALSE,"24470001"}</definedName>
    <definedName name="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G1" hidden="1">{"'DIFPRE'!$A$2:$M$54"}</definedName>
    <definedName name="________Gan1" hidden="1">{#N/A,#N/A,FALSE,"Aging Summary";#N/A,#N/A,FALSE,"Ratio Analysis";#N/A,#N/A,FALSE,"Test 120 Day Accts";#N/A,#N/A,FALSE,"Tickmarks"}</definedName>
    <definedName name="________gan2" hidden="1">{#N/A,#N/A,FALSE,"Aging Summary";#N/A,#N/A,FALSE,"Ratio Analysis";#N/A,#N/A,FALSE,"Test 120 Day Accts";#N/A,#N/A,FALSE,"Tickmarks"}</definedName>
    <definedName name="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mma1" hidden="1">19</definedName>
    <definedName name="________mma2" hidden="1">{#N/A,#N/A,FALSE,"Aging Summary";#N/A,#N/A,FALSE,"Ratio Analysis";#N/A,#N/A,FALSE,"Test 120 Day Accts";#N/A,#N/A,FALSE,"Tickmarks"}</definedName>
    <definedName name="________pp1" hidden="1">{#N/A,#N/A,FALSE,"Aging Summary";#N/A,#N/A,FALSE,"Ratio Analysis";#N/A,#N/A,FALSE,"Test 120 Day Accts";#N/A,#N/A,FALSE,"Tickmarks"}</definedName>
    <definedName name="________R" hidden="1">{#N/A,#N/A,FALSE,"Venta"}</definedName>
    <definedName name="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SS2" hidden="1">{#N/A,#N/A,FALSE,"CAPEX";#N/A,#N/A,FALSE,"PLAN";#N/A,#N/A,FALSE,"REV";#N/A,#N/A,FALSE,"CALOP";#N/A,#N/A,FALSE,"RESOP";#N/A,#N/A,FALSE,"PRES"}</definedName>
    <definedName name="________x3" hidden="1">{"car1",#N/A,FALSE,"CA";"sg1",#N/A,FALSE,"SP-SS";"ham1",#N/A,FALSE,"HA";"ens1",#N/A,FALSE,"ENS";"eder1",#N/A,FALSE,"EDER";"cpb1",#N/A,FALSE,"CPB";"tra1",#N/A,FALSE,"TRANS";"abal1",#N/A,FALSE,"AB";"alap",#N/A,FALSE,"AL"}</definedName>
    <definedName name="_______a1" hidden="1">{"'DIFPRE'!$A$2:$M$54"}</definedName>
    <definedName name="_______aa1" hidden="1">{"'DIFPRE'!$A$2:$M$54"}</definedName>
    <definedName name="_______AA2" hidden="1">{"'DIFPRE'!$A$2:$M$54"}</definedName>
    <definedName name="_______b3" hidden="1">{"'DIFPRE'!$A$2:$M$54"}</definedName>
    <definedName name="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e2" hidden="1">{#N/A,#N/A,FALSE,"03070001";#N/A,#N/A,FALSE,"03070002";#N/A,#N/A,FALSE,"03090003";#N/A,#N/A,FALSE,"23190001";#N/A,#N/A,FALSE,"24470001"}</definedName>
    <definedName name="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G1" hidden="1">{"'DIFPRE'!$A$2:$M$54"}</definedName>
    <definedName name="_______Gan1" hidden="1">{#N/A,#N/A,FALSE,"Aging Summary";#N/A,#N/A,FALSE,"Ratio Analysis";#N/A,#N/A,FALSE,"Test 120 Day Accts";#N/A,#N/A,FALSE,"Tickmarks"}</definedName>
    <definedName name="_______gan2" hidden="1">{#N/A,#N/A,FALSE,"Aging Summary";#N/A,#N/A,FALSE,"Ratio Analysis";#N/A,#N/A,FALSE,"Test 120 Day Accts";#N/A,#N/A,FALSE,"Tickmarks"}</definedName>
    <definedName name="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mma1" hidden="1">19</definedName>
    <definedName name="_______mma2" hidden="1">{#N/A,#N/A,FALSE,"Aging Summary";#N/A,#N/A,FALSE,"Ratio Analysis";#N/A,#N/A,FALSE,"Test 120 Day Accts";#N/A,#N/A,FALSE,"Tickmarks"}</definedName>
    <definedName name="_______pp1" hidden="1">{#N/A,#N/A,FALSE,"Aging Summary";#N/A,#N/A,FALSE,"Ratio Analysis";#N/A,#N/A,FALSE,"Test 120 Day Accts";#N/A,#N/A,FALSE,"Tickmarks"}</definedName>
    <definedName name="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SS2" hidden="1">{#N/A,#N/A,FALSE,"CAPEX";#N/A,#N/A,FALSE,"PLAN";#N/A,#N/A,FALSE,"REV";#N/A,#N/A,FALSE,"CALOP";#N/A,#N/A,FALSE,"RESOP";#N/A,#N/A,FALSE,"PRES"}</definedName>
    <definedName name="_______x3" hidden="1">{"car1",#N/A,FALSE,"CA";"sg1",#N/A,FALSE,"SP-SS";"ham1",#N/A,FALSE,"HA";"ens1",#N/A,FALSE,"ENS";"eder1",#N/A,FALSE,"EDER";"cpb1",#N/A,FALSE,"CPB";"tra1",#N/A,FALSE,"TRANS";"abal1",#N/A,FALSE,"AB";"alap",#N/A,FALSE,"AL"}</definedName>
    <definedName name="______a1" hidden="1">{"'DIFPRE'!$A$2:$M$54"}</definedName>
    <definedName name="______aa1" hidden="1">{"'DIFPRE'!$A$2:$M$54"}</definedName>
    <definedName name="______AA2" hidden="1">{"'DIFPRE'!$A$2:$M$54"}</definedName>
    <definedName name="______b3" hidden="1">{"'DIFPRE'!$A$2:$M$54"}</definedName>
    <definedName name="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e2" hidden="1">{#N/A,#N/A,FALSE,"03070001";#N/A,#N/A,FALSE,"03070002";#N/A,#N/A,FALSE,"03090003";#N/A,#N/A,FALSE,"23190001";#N/A,#N/A,FALSE,"24470001"}</definedName>
    <definedName name="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FG1" hidden="1">{"'DIFPRE'!$A$2:$M$54"}</definedName>
    <definedName name="______Gan1" hidden="1">{#N/A,#N/A,FALSE,"Aging Summary";#N/A,#N/A,FALSE,"Ratio Analysis";#N/A,#N/A,FALSE,"Test 120 Day Accts";#N/A,#N/A,FALSE,"Tickmarks"}</definedName>
    <definedName name="______gan2" hidden="1">{#N/A,#N/A,FALSE,"Aging Summary";#N/A,#N/A,FALSE,"Ratio Analysis";#N/A,#N/A,FALSE,"Test 120 Day Accts";#N/A,#N/A,FALSE,"Tickmarks"}</definedName>
    <definedName name="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mma1" hidden="1">19</definedName>
    <definedName name="______mma2" hidden="1">{#N/A,#N/A,FALSE,"Aging Summary";#N/A,#N/A,FALSE,"Ratio Analysis";#N/A,#N/A,FALSE,"Test 120 Day Accts";#N/A,#N/A,FALSE,"Tickmarks"}</definedName>
    <definedName name="______pp1" hidden="1">{#N/A,#N/A,FALSE,"Aging Summary";#N/A,#N/A,FALSE,"Ratio Analysis";#N/A,#N/A,FALSE,"Test 120 Day Accts";#N/A,#N/A,FALSE,"Tickmarks"}</definedName>
    <definedName name="______R" hidden="1">{#N/A,#N/A,FALSE,"Venta"}</definedName>
    <definedName name="______R162" hidden="1">#REF!</definedName>
    <definedName name="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SS2" hidden="1">{#N/A,#N/A,FALSE,"CAPEX";#N/A,#N/A,FALSE,"PLAN";#N/A,#N/A,FALSE,"REV";#N/A,#N/A,FALSE,"CALOP";#N/A,#N/A,FALSE,"RESOP";#N/A,#N/A,FALSE,"PRES"}</definedName>
    <definedName name="______x3" hidden="1">{"car1",#N/A,FALSE,"CA";"sg1",#N/A,FALSE,"SP-SS";"ham1",#N/A,FALSE,"HA";"ens1",#N/A,FALSE,"ENS";"eder1",#N/A,FALSE,"EDER";"cpb1",#N/A,FALSE,"CPB";"tra1",#N/A,FALSE,"TRANS";"abal1",#N/A,FALSE,"AB";"alap",#N/A,FALSE,"AL"}</definedName>
    <definedName name="_____1__123Graph_ACHART_1" hidden="1">#REF!</definedName>
    <definedName name="_____2__123Graph_BCHART_1" hidden="1">#REF!</definedName>
    <definedName name="_____3__123Graph_CCHART_1" hidden="1">#REF!</definedName>
    <definedName name="_____4__123Graph_XCHART_1" hidden="1">#REF!</definedName>
    <definedName name="_____a1" hidden="1">{"'DIFPRE'!$A$2:$M$54"}</definedName>
    <definedName name="_____aa1" hidden="1">{"'DIFPRE'!$A$2:$M$54"}</definedName>
    <definedName name="_____AA2" hidden="1">{"'DIFPRE'!$A$2:$M$54"}</definedName>
    <definedName name="_____b3" hidden="1">{"'DIFPRE'!$A$2:$M$54"}</definedName>
    <definedName name="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e2" hidden="1">{#N/A,#N/A,FALSE,"03070001";#N/A,#N/A,FALSE,"03070002";#N/A,#N/A,FALSE,"03090003";#N/A,#N/A,FALSE,"23190001";#N/A,#N/A,FALSE,"24470001"}</definedName>
    <definedName name="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G1" hidden="1">{"'DIFPRE'!$A$2:$M$54"}</definedName>
    <definedName name="_____Gan1" hidden="1">{#N/A,#N/A,FALSE,"Aging Summary";#N/A,#N/A,FALSE,"Ratio Analysis";#N/A,#N/A,FALSE,"Test 120 Day Accts";#N/A,#N/A,FALSE,"Tickmarks"}</definedName>
    <definedName name="_____gan2" hidden="1">{#N/A,#N/A,FALSE,"Aging Summary";#N/A,#N/A,FALSE,"Ratio Analysis";#N/A,#N/A,FALSE,"Test 120 Day Accts";#N/A,#N/A,FALSE,"Tickmarks"}</definedName>
    <definedName name="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mma1" hidden="1">19</definedName>
    <definedName name="_____mma2" hidden="1">{#N/A,#N/A,FALSE,"Aging Summary";#N/A,#N/A,FALSE,"Ratio Analysis";#N/A,#N/A,FALSE,"Test 120 Day Accts";#N/A,#N/A,FALSE,"Tickmarks"}</definedName>
    <definedName name="_____pp1" hidden="1">{#N/A,#N/A,FALSE,"Aging Summary";#N/A,#N/A,FALSE,"Ratio Analysis";#N/A,#N/A,FALSE,"Test 120 Day Accts";#N/A,#N/A,FALSE,"Tickmarks"}</definedName>
    <definedName name="_____R" hidden="1">{#N/A,#N/A,FALSE,"Venta"}</definedName>
    <definedName name="_____R162" hidden="1">#REF!</definedName>
    <definedName name="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SS2" hidden="1">{#N/A,#N/A,FALSE,"CAPEX";#N/A,#N/A,FALSE,"PLAN";#N/A,#N/A,FALSE,"REV";#N/A,#N/A,FALSE,"CALOP";#N/A,#N/A,FALSE,"RESOP";#N/A,#N/A,FALSE,"PRES"}</definedName>
    <definedName name="_____x3" hidden="1">{"car1",#N/A,FALSE,"CA";"sg1",#N/A,FALSE,"SP-SS";"ham1",#N/A,FALSE,"HA";"ens1",#N/A,FALSE,"ENS";"eder1",#N/A,FALSE,"EDER";"cpb1",#N/A,FALSE,"CPB";"tra1",#N/A,FALSE,"TRANS";"abal1",#N/A,FALSE,"AB";"alap",#N/A,FALSE,"AL"}</definedName>
    <definedName name="____1__123Graph_ACHART_1" hidden="1">#REF!</definedName>
    <definedName name="____2__123Graph_BCHART_1" hidden="1">#REF!</definedName>
    <definedName name="____3__123Graph_CCHART_1" hidden="1">#REF!</definedName>
    <definedName name="____4__123Graph_XCHART_1" hidden="1">#REF!</definedName>
    <definedName name="____a1" hidden="1">{"'DIFPRE'!$A$2:$M$54"}</definedName>
    <definedName name="____aa1" hidden="1">{"'DIFPRE'!$A$2:$M$54"}</definedName>
    <definedName name="____AA2" hidden="1">{"'DIFPRE'!$A$2:$M$54"}</definedName>
    <definedName name="____b3" hidden="1">{"'DIFPRE'!$A$2:$M$54"}</definedName>
    <definedName name="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e2" hidden="1">{#N/A,#N/A,FALSE,"03070001";#N/A,#N/A,FALSE,"03070002";#N/A,#N/A,FALSE,"03090003";#N/A,#N/A,FALSE,"23190001";#N/A,#N/A,FALSE,"24470001"}</definedName>
    <definedName name="____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FG1" hidden="1">{"'DIFPRE'!$A$2:$M$54"}</definedName>
    <definedName name="____Gan1" hidden="1">{#N/A,#N/A,FALSE,"Aging Summary";#N/A,#N/A,FALSE,"Ratio Analysis";#N/A,#N/A,FALSE,"Test 120 Day Accts";#N/A,#N/A,FALSE,"Tickmarks"}</definedName>
    <definedName name="____gan2" hidden="1">{#N/A,#N/A,FALSE,"Aging Summary";#N/A,#N/A,FALSE,"Ratio Analysis";#N/A,#N/A,FALSE,"Test 120 Day Accts";#N/A,#N/A,FALSE,"Tickmarks"}</definedName>
    <definedName name="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mma1" hidden="1">19</definedName>
    <definedName name="____mma2" hidden="1">{#N/A,#N/A,FALSE,"Aging Summary";#N/A,#N/A,FALSE,"Ratio Analysis";#N/A,#N/A,FALSE,"Test 120 Day Accts";#N/A,#N/A,FALSE,"Tickmarks"}</definedName>
    <definedName name="____pp1" hidden="1">{#N/A,#N/A,FALSE,"Aging Summary";#N/A,#N/A,FALSE,"Ratio Analysis";#N/A,#N/A,FALSE,"Test 120 Day Accts";#N/A,#N/A,FALSE,"Tickmarks"}</definedName>
    <definedName name="____R" hidden="1">{#N/A,#N/A,FALSE,"Venta"}</definedName>
    <definedName name="____R162" hidden="1">#REF!</definedName>
    <definedName name="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RT12" hidden="1">#REF!</definedName>
    <definedName name="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SS2" hidden="1">{#N/A,#N/A,FALSE,"CAPEX";#N/A,#N/A,FALSE,"PLAN";#N/A,#N/A,FALSE,"REV";#N/A,#N/A,FALSE,"CALOP";#N/A,#N/A,FALSE,"RESOP";#N/A,#N/A,FALSE,"PRES"}</definedName>
    <definedName name="____x3" hidden="1">{"car1",#N/A,FALSE,"CA";"sg1",#N/A,FALSE,"SP-SS";"ham1",#N/A,FALSE,"HA";"ens1",#N/A,FALSE,"ENS";"eder1",#N/A,FALSE,"EDER";"cpb1",#N/A,FALSE,"CPB";"tra1",#N/A,FALSE,"TRANS";"abal1",#N/A,FALSE,"AB";"alap",#N/A,FALSE,"AL"}</definedName>
    <definedName name="___1__123Graph_ACHART_1" hidden="1">#REF!</definedName>
    <definedName name="___2__123Graph_BCHART_1" hidden="1">#REF!</definedName>
    <definedName name="___3__123Graph_CCHART_1" hidden="1">#REF!</definedName>
    <definedName name="___4__123Graph_XCHART_1" hidden="1">#REF!</definedName>
    <definedName name="___a1" hidden="1">{"'DIFPRE'!$A$2:$M$54"}</definedName>
    <definedName name="___aa1" hidden="1">{"'DIFPRE'!$A$2:$M$54"}</definedName>
    <definedName name="___AA2" hidden="1">{"'DIFPRE'!$A$2:$M$54"}</definedName>
    <definedName name="___b3" hidden="1">{"'DIFPRE'!$A$2:$M$54"}</definedName>
    <definedName name="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e2" hidden="1">{#N/A,#N/A,FALSE,"03070001";#N/A,#N/A,FALSE,"03070002";#N/A,#N/A,FALSE,"03090003";#N/A,#N/A,FALSE,"23190001";#N/A,#N/A,FALSE,"24470001"}</definedName>
    <definedName name="___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G1" hidden="1">{"'DIFPRE'!$A$2:$M$54"}</definedName>
    <definedName name="___Gan1" hidden="1">{#N/A,#N/A,FALSE,"Aging Summary";#N/A,#N/A,FALSE,"Ratio Analysis";#N/A,#N/A,FALSE,"Test 120 Day Accts";#N/A,#N/A,FALSE,"Tickmarks"}</definedName>
    <definedName name="___gan2" hidden="1">{#N/A,#N/A,FALSE,"Aging Summary";#N/A,#N/A,FALSE,"Ratio Analysis";#N/A,#N/A,FALSE,"Test 120 Day Accts";#N/A,#N/A,FALSE,"Tickmarks"}</definedName>
    <definedName name="___gan3" hidden="1">{#N/A,#N/A,FALSE,"Aging Summary";#N/A,#N/A,FALSE,"Ratio Analysis";#N/A,#N/A,FALSE,"Test 120 Day Accts";#N/A,#N/A,FALSE,"Tickmarks"}</definedName>
    <definedName name="___GAN5" hidden="1">{#N/A,#N/A,FALSE,"Aging Summary";#N/A,#N/A,FALSE,"Ratio Analysis";#N/A,#N/A,FALSE,"Test 120 Day Accts";#N/A,#N/A,FALSE,"Tickmarks"}</definedName>
    <definedName name="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mma1" hidden="1">19</definedName>
    <definedName name="___mma2" hidden="1">{#N/A,#N/A,FALSE,"Aging Summary";#N/A,#N/A,FALSE,"Ratio Analysis";#N/A,#N/A,FALSE,"Test 120 Day Accts";#N/A,#N/A,FALSE,"Tickmarks"}</definedName>
    <definedName name="___pp1" hidden="1">{#N/A,#N/A,FALSE,"Aging Summary";#N/A,#N/A,FALSE,"Ratio Analysis";#N/A,#N/A,FALSE,"Test 120 Day Accts";#N/A,#N/A,FALSE,"Tickmarks"}</definedName>
    <definedName name="___R" hidden="1">{#N/A,#N/A,FALSE,"Venta"}</definedName>
    <definedName name="___R162" hidden="1">#REF!</definedName>
    <definedName name="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RT12" hidden="1">#REF!</definedName>
    <definedName name="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S2" hidden="1">{#N/A,#N/A,FALSE,"CAPEX";#N/A,#N/A,FALSE,"PLAN";#N/A,#N/A,FALSE,"REV";#N/A,#N/A,FALSE,"CALOP";#N/A,#N/A,FALSE,"RESOP";#N/A,#N/A,FALSE,"PRES"}</definedName>
    <definedName name="___x3" hidden="1">{"car1",#N/A,FALSE,"CA";"sg1",#N/A,FALSE,"SP-SS";"ham1",#N/A,FALSE,"HA";"ens1",#N/A,FALSE,"ENS";"eder1",#N/A,FALSE,"EDER";"cpb1",#N/A,FALSE,"CPB";"tra1",#N/A,FALSE,"TRANS";"abal1",#N/A,FALSE,"AB";"alap",#N/A,FALSE,"AL"}</definedName>
    <definedName name="__1____123Graph_ACHART_1" hidden="1">#REF!</definedName>
    <definedName name="__1___123Graph_ACHART_1" hidden="1">#REF!</definedName>
    <definedName name="__1__123Graph_ACHART_1" hidden="1">#REF!</definedName>
    <definedName name="__1_0_S" hidden="1">#REF!</definedName>
    <definedName name="__10__123Graph_BCHART_1" hidden="1">#REF!</definedName>
    <definedName name="__11__123Graph_CCHART_1" hidden="1">#REF!</definedName>
    <definedName name="__12__123Graph_XCHART_1" hidden="1">#REF!</definedName>
    <definedName name="__123Graph_A" hidden="1">#REF!</definedName>
    <definedName name="__123Graph_AActual" hidden="1">#REF!</definedName>
    <definedName name="__123Graph_AGOMPROD" hidden="1">#REF!</definedName>
    <definedName name="__123Graph_AGRAPH1" hidden="1">#REF!</definedName>
    <definedName name="__123Graph_AGRAPH2" hidden="1">#REF!</definedName>
    <definedName name="__123Graph_AGRAPH3" hidden="1">#REF!</definedName>
    <definedName name="__123Graph_ASIDECO" hidden="1">#REF!</definedName>
    <definedName name="__123Graph_B" hidden="1">#REF!</definedName>
    <definedName name="__123Graph_BActual" hidden="1">#REF!</definedName>
    <definedName name="__123Graph_BGRAPH1" hidden="1">#REF!</definedName>
    <definedName name="__123Graph_BSIDECO" hidden="1">#REF!</definedName>
    <definedName name="__123Graph_C" hidden="1">#REF!</definedName>
    <definedName name="__123Graph_CActual" hidden="1">#REF!</definedName>
    <definedName name="__123Graph_CGOMPROD" hidden="1">#REF!</definedName>
    <definedName name="__123Graph_CGRAPH1" hidden="1">#REF!</definedName>
    <definedName name="__123Graph_CSIDECO" hidden="1">#REF!</definedName>
    <definedName name="__123Graph_D" hidden="1">#REF!</definedName>
    <definedName name="__123Graph_DActual" hidden="1">#REF!</definedName>
    <definedName name="__123Graph_DGRAPH1" hidden="1">#REF!</definedName>
    <definedName name="__123Graph_E" hidden="1">#REF!</definedName>
    <definedName name="__123Graph_EActual" hidden="1">#REF!</definedName>
    <definedName name="__123Graph_EGRAPH1" hidden="1">#REF!</definedName>
    <definedName name="__123Graph_F" hidden="1">#REF!</definedName>
    <definedName name="__123Graph_FActual" hidden="1">#REF!</definedName>
    <definedName name="__123Graph_LBL_A" hidden="1">#REF!</definedName>
    <definedName name="__123Graph_X" hidden="1">#REF!</definedName>
    <definedName name="__123Graph_XGRAPH1" hidden="1">#REF!</definedName>
    <definedName name="__123Graph_XGRAPH3" hidden="1">#REF!</definedName>
    <definedName name="__123Graph_XSIDECO" hidden="1">#REF!</definedName>
    <definedName name="__1S" hidden="1">#REF!</definedName>
    <definedName name="__2____123Graph_BCHART_1" hidden="1">#REF!</definedName>
    <definedName name="__2___123Graph_BCHART_1" hidden="1">#REF!</definedName>
    <definedName name="__2__123Graph_BCHART_1" hidden="1">#REF!</definedName>
    <definedName name="__3____123Graph_CCHART_1" hidden="1">#REF!</definedName>
    <definedName name="__3___123Graph_CCHART_1" hidden="1">#REF!</definedName>
    <definedName name="__3__123Graph_CCHART_1" hidden="1">#REF!</definedName>
    <definedName name="__4____123Graph_XCHART_1" hidden="1">#REF!</definedName>
    <definedName name="__4___123Graph_XCHART_1" hidden="1">#REF!</definedName>
    <definedName name="__4__123Graph_XCHART_1" hidden="1">#REF!</definedName>
    <definedName name="__5___123Graph_ACHART_1" hidden="1">#REF!</definedName>
    <definedName name="__5__123Graph_ACHART_1" hidden="1">#REF!</definedName>
    <definedName name="__6___123Graph_BCHART_1" hidden="1">#REF!</definedName>
    <definedName name="__6__123Graph_BCHART_1" hidden="1">#REF!</definedName>
    <definedName name="__7___123Graph_CCHART_1" hidden="1">#REF!</definedName>
    <definedName name="__7__123Graph_CCHART_1" hidden="1">#REF!</definedName>
    <definedName name="__8___123Graph_XCHART_1" hidden="1">#REF!</definedName>
    <definedName name="__8__123Graph_XCHART_1" hidden="1">#REF!</definedName>
    <definedName name="__9__123Graph_ACHART_1" hidden="1">#REF!</definedName>
    <definedName name="__a1" hidden="1">{"'DIFPRE'!$A$2:$M$54"}</definedName>
    <definedName name="__aa1" hidden="1">{"'DIFPRE'!$A$2:$M$54"}</definedName>
    <definedName name="__AA2" hidden="1">{"'DIFPRE'!$A$2:$M$54"}</definedName>
    <definedName name="__b3" hidden="1">{"'DIFPRE'!$A$2:$M$54"}</definedName>
    <definedName name="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e2" hidden="1">{#N/A,#N/A,FALSE,"03070001";#N/A,#N/A,FALSE,"03070002";#N/A,#N/A,FALSE,"03090003";#N/A,#N/A,FALSE,"23190001";#N/A,#N/A,FALSE,"24470001"}</definedName>
    <definedName name="__ede2"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G1" hidden="1">{"'DIFPRE'!$A$2:$M$54"}</definedName>
    <definedName name="__Gan1" hidden="1">{#N/A,#N/A,FALSE,"Aging Summary";#N/A,#N/A,FALSE,"Ratio Analysis";#N/A,#N/A,FALSE,"Test 120 Day Accts";#N/A,#N/A,FALSE,"Tickmarks"}</definedName>
    <definedName name="__gan2" hidden="1">{#N/A,#N/A,FALSE,"Aging Summary";#N/A,#N/A,FALSE,"Ratio Analysis";#N/A,#N/A,FALSE,"Test 120 Day Accts";#N/A,#N/A,FALSE,"Tickmarks"}</definedName>
    <definedName name="__gan3" hidden="1">{#N/A,#N/A,FALSE,"Aging Summary";#N/A,#N/A,FALSE,"Ratio Analysis";#N/A,#N/A,FALSE,"Test 120 Day Accts";#N/A,#N/A,FALSE,"Tickmarks"}</definedName>
    <definedName name="__GAN5" hidden="1">{#N/A,#N/A,FALSE,"Aging Summary";#N/A,#N/A,FALSE,"Ratio Analysis";#N/A,#N/A,FALSE,"Test 120 Day Accts";#N/A,#N/A,FALSE,"Tickmarks"}</definedName>
    <definedName name="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IntlFixup" hidden="1">TRUE</definedName>
    <definedName name="__mma1" hidden="1">19</definedName>
    <definedName name="__mma2" hidden="1">{#N/A,#N/A,FALSE,"Aging Summary";#N/A,#N/A,FALSE,"Ratio Analysis";#N/A,#N/A,FALSE,"Test 120 Day Accts";#N/A,#N/A,FALSE,"Tickmarks"}</definedName>
    <definedName name="__pp1" hidden="1">{#N/A,#N/A,FALSE,"Aging Summary";#N/A,#N/A,FALSE,"Ratio Analysis";#N/A,#N/A,FALSE,"Test 120 Day Accts";#N/A,#N/A,FALSE,"Tickmarks"}</definedName>
    <definedName name="__R" hidden="1">{#N/A,#N/A,FALSE,"Venta"}</definedName>
    <definedName name="__R162" hidden="1">#REF!</definedName>
    <definedName name="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rt12" hidden="1">{#N/A,#N/A,FALSE,"Hoja1";#N/A,#N/A,FALSE,"Hoja1"}</definedName>
    <definedName name="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S2" hidden="1">{#N/A,#N/A,FALSE,"CAPEX";#N/A,#N/A,FALSE,"PLAN";#N/A,#N/A,FALSE,"REV";#N/A,#N/A,FALSE,"CALOP";#N/A,#N/A,FALSE,"RESOP";#N/A,#N/A,FALSE,"PRES"}</definedName>
    <definedName name="__wnr2" hidden="1">{#N/A,#N/A,FALSE,"Aging Summary";#N/A,#N/A,FALSE,"Ratio Analysis";#N/A,#N/A,FALSE,"Test 120 Day Accts";#N/A,#N/A,FALSE,"Tickmarks"}</definedName>
    <definedName name="__x3" hidden="1">{"car1",#N/A,FALSE,"CA";"sg1",#N/A,FALSE,"SP-SS";"ham1",#N/A,FALSE,"HA";"ens1",#N/A,FALSE,"ENS";"eder1",#N/A,FALSE,"EDER";"cpb1",#N/A,FALSE,"CPB";"tra1",#N/A,FALSE,"TRANS";"abal1",#N/A,FALSE,"AB";"alap",#N/A,FALSE,"AL"}</definedName>
    <definedName name="_1">#REF!</definedName>
    <definedName name="_1____123Graph_ACHART_1" hidden="1">#REF!</definedName>
    <definedName name="_1___123Graph_ACHART_1" hidden="1">#REF!</definedName>
    <definedName name="_1___123Graph_XCHART_1" hidden="1">#REF!</definedName>
    <definedName name="_1__123Graph_ACHART_1" hidden="1">#REF!</definedName>
    <definedName name="_1__123Graph_ACHART_2A" hidden="1">#REF!</definedName>
    <definedName name="_1_0_S" hidden="1">#REF!</definedName>
    <definedName name="_1_123Grap" hidden="1">#REF!</definedName>
    <definedName name="_10__123Graph_BCHART_1" hidden="1">#REF!</definedName>
    <definedName name="_10__123Graph_CCHART_1" hidden="1">#REF!</definedName>
    <definedName name="_10__123Graph_DCHART_1" hidden="1">#REF!</definedName>
    <definedName name="_10__123Graph_XCHART_1" hidden="1">#REF!</definedName>
    <definedName name="_100______123Graph_CCHART_1" hidden="1">#REF!</definedName>
    <definedName name="_101______123Graph_XCHART_1" hidden="1">#REF!</definedName>
    <definedName name="_101_____123Graph_ACHART_1" hidden="1">#REF!</definedName>
    <definedName name="_102_____123Graph_BCHART_1" hidden="1">#REF!</definedName>
    <definedName name="_103_____123Graph_CCHART_1" hidden="1">#REF!</definedName>
    <definedName name="_104_____123Graph_XCHART_1" hidden="1">#REF!</definedName>
    <definedName name="_11__123Graph_ACHART_1" hidden="1">#REF!</definedName>
    <definedName name="_11__123Graph_CCHART_1" hidden="1">#REF!</definedName>
    <definedName name="_11__123Graph_DCHART_2" hidden="1">#REF!</definedName>
    <definedName name="_11__123Graph_XCHART_1" hidden="1">#REF!</definedName>
    <definedName name="_12__123Graph_BCHART_1" hidden="1">#REF!</definedName>
    <definedName name="_12__123Graph_DCHART_3" hidden="1">#REF!</definedName>
    <definedName name="_12__123Graph_XCHART_1" hidden="1">#REF!</definedName>
    <definedName name="_12__123Graph_XCHART_3" hidden="1">#REF!</definedName>
    <definedName name="_1258" hidden="1">#REF!</definedName>
    <definedName name="_13__123Graph_CCHART_1" hidden="1">#REF!</definedName>
    <definedName name="_13__123Graph_ECHART_2" hidden="1">#REF!</definedName>
    <definedName name="_13_0_S" hidden="1">#REF!</definedName>
    <definedName name="_14__123Graph_XCHART_1" hidden="1">#REF!</definedName>
    <definedName name="_144______123Graph_ACHART_1" hidden="1">#REF!</definedName>
    <definedName name="_145______123Graph_ACHART_1" hidden="1">#REF!</definedName>
    <definedName name="_145______123Graph_BCHART_1" hidden="1">#REF!</definedName>
    <definedName name="_146______123Graph_BCHART_1" hidden="1">#REF!</definedName>
    <definedName name="_146______123Graph_CCHART_1" hidden="1">#REF!</definedName>
    <definedName name="_147______123Graph_CCHART_1" hidden="1">#REF!</definedName>
    <definedName name="_147______123Graph_XCHART_1" hidden="1">#REF!</definedName>
    <definedName name="_148______123Graph_XCHART_1" hidden="1">#REF!</definedName>
    <definedName name="_149_____123Graph_ACHART_1" hidden="1">#REF!</definedName>
    <definedName name="_15__123Graph_XCHART_2" hidden="1">#REF!</definedName>
    <definedName name="_150_____123Graph_BCHART_1" hidden="1">#REF!</definedName>
    <definedName name="_151_____123Graph_CCHART_1" hidden="1">#REF!</definedName>
    <definedName name="_152_____123Graph_XCHART_1" hidden="1">#REF!</definedName>
    <definedName name="_16__123Graph_XCHART_3" hidden="1">#REF!</definedName>
    <definedName name="_1S" hidden="1">#REF!</definedName>
    <definedName name="_2">#REF!</definedName>
    <definedName name="_2____123Graph_BCHART_1" hidden="1">#REF!</definedName>
    <definedName name="_2___123Graph_BCHART_1" hidden="1">#REF!</definedName>
    <definedName name="_2__123Graph_ACHART_1" hidden="1">#REF!</definedName>
    <definedName name="_2__123Graph_ACHART_2" hidden="1">#REF!</definedName>
    <definedName name="_2__123Graph_AGRAFICO_1" hidden="1">#REF!</definedName>
    <definedName name="_2__123Graph_BCHART_1" hidden="1">#REF!</definedName>
    <definedName name="_2__123Graph_BCHART_1A" hidden="1">#REF!</definedName>
    <definedName name="_243_____123Graph_ACHART_1" hidden="1">#REF!</definedName>
    <definedName name="_244_____123Graph_BCHART_1" hidden="1">#REF!</definedName>
    <definedName name="_245_____123Graph_CCHART_1" hidden="1">#REF!</definedName>
    <definedName name="_246_____123Graph_XCHART_1" hidden="1">#REF!</definedName>
    <definedName name="_289_____123Graph_ACHART_1" hidden="1">#REF!</definedName>
    <definedName name="_290_____123Graph_BCHART_1" hidden="1">#REF!</definedName>
    <definedName name="_291_____123Graph_CCHART_1" hidden="1">#REF!</definedName>
    <definedName name="_292_____123Graph_XCHART_1" hidden="1">#REF!</definedName>
    <definedName name="_3">#REF!</definedName>
    <definedName name="_3____123Graph_CCHART_1" hidden="1">#REF!</definedName>
    <definedName name="_3____123Graph_XCHART_1" hidden="1">#REF!</definedName>
    <definedName name="_3___123Graph_CCHART_1" hidden="1">#REF!</definedName>
    <definedName name="_3__123Graph_ACHART_1" hidden="1">#REF!</definedName>
    <definedName name="_3__123Graph_ACHART_3" hidden="1">#REF!</definedName>
    <definedName name="_3__123Graph_BCHART_1" hidden="1">#REF!</definedName>
    <definedName name="_3__123Graph_BCHART_2A" hidden="1">#REF!</definedName>
    <definedName name="_3__123Graph_CCHART_1" hidden="1">#REF!</definedName>
    <definedName name="_4">#REF!</definedName>
    <definedName name="_4_____0_S" hidden="1">#REF!</definedName>
    <definedName name="_4____123Graph_XCHART_1" hidden="1">#REF!</definedName>
    <definedName name="_4___123Graph_ACHART_1" hidden="1">#REF!</definedName>
    <definedName name="_4___123Graph_XCHART_1" hidden="1">#REF!</definedName>
    <definedName name="_4__123Graph_BCHART_1" hidden="1">#REF!</definedName>
    <definedName name="_4__123Graph_CCHART_1" hidden="1">#REF!</definedName>
    <definedName name="_4__123Graph_CCHART_2A" hidden="1">#REF!</definedName>
    <definedName name="_4__123Graph_XCHART_1" hidden="1">#REF!</definedName>
    <definedName name="_5___123Graph_ACHART_1" hidden="1">#REF!</definedName>
    <definedName name="_5___123Graph_BCHART_1" hidden="1">#REF!</definedName>
    <definedName name="_5__123Graph_ACHART_1" hidden="1">#REF!</definedName>
    <definedName name="_5__123Graph_BCHART_2" hidden="1">#REF!</definedName>
    <definedName name="_5__123Graph_CCHART_1" hidden="1">#REF!</definedName>
    <definedName name="_5__123Graph_XCHART_1" hidden="1">#REF!</definedName>
    <definedName name="_5__123Graph_XCHART_1A" hidden="1">#REF!</definedName>
    <definedName name="_50______123Graph_ACHART_1" hidden="1">#REF!</definedName>
    <definedName name="_51______123Graph_BCHART_1" hidden="1">#REF!</definedName>
    <definedName name="_52______123Graph_CCHART_1" hidden="1">#REF!</definedName>
    <definedName name="_53______123Graph_XCHART_1" hidden="1">#REF!</definedName>
    <definedName name="_6___123Graph_ACHART_1" hidden="1">#REF!</definedName>
    <definedName name="_6___123Graph_BCHART_1" hidden="1">#REF!</definedName>
    <definedName name="_6___123Graph_CCHART_1" hidden="1">#REF!</definedName>
    <definedName name="_6__123Graph_BCHART_1" hidden="1">#REF!</definedName>
    <definedName name="_6__123Graph_BCHART_3" hidden="1">#REF!</definedName>
    <definedName name="_6__123Graph_XCHART_1" hidden="1">#REF!</definedName>
    <definedName name="_6__123Graph_XCHART_2A" hidden="1">#REF!</definedName>
    <definedName name="_7___123Graph_BCHART_1" hidden="1">#REF!</definedName>
    <definedName name="_7___123Graph_CCHART_1" hidden="1">#REF!</definedName>
    <definedName name="_7___123Graph_XCHART_1" hidden="1">#REF!</definedName>
    <definedName name="_7__123Graph_CCHART_1" hidden="1">#REF!</definedName>
    <definedName name="_8___0_S" hidden="1">#REF!</definedName>
    <definedName name="_8___123Graph_CCHART_1" hidden="1">#REF!</definedName>
    <definedName name="_8___123Graph_XCHART_1" hidden="1">#REF!</definedName>
    <definedName name="_8__123Graph_ACHART_1" hidden="1">#REF!</definedName>
    <definedName name="_8__123Graph_CCHART_2" hidden="1">#REF!</definedName>
    <definedName name="_8__123Graph_XCHART_1" hidden="1">#REF!</definedName>
    <definedName name="_9___123Graph_XCHART_1" hidden="1">#REF!</definedName>
    <definedName name="_9__123Graph_ACHART_1" hidden="1">#REF!</definedName>
    <definedName name="_9__123Graph_BCHART_1" hidden="1">#REF!</definedName>
    <definedName name="_9__123Graph_CCHART_3" hidden="1">#REF!</definedName>
    <definedName name="_9__123Graph_DCHART_1" hidden="1">#REF!</definedName>
    <definedName name="_98______123Graph_ACHART_1" hidden="1">#REF!</definedName>
    <definedName name="_99______123Graph_BCHART_1" hidden="1">#REF!</definedName>
    <definedName name="_a1" hidden="1">{"'DIFPRE'!$A$2:$M$54"}</definedName>
    <definedName name="_aa1" hidden="1">{"'DIFPRE'!$A$2:$M$54"}</definedName>
    <definedName name="_AA2" hidden="1">{"'DIFPRE'!$A$2:$M$54"}</definedName>
    <definedName name="_aaa111" hidden="1">{#N/A,#N/A,FALSE,"G and G Manpower Summary";#N/A,#N/A,FALSE,"04_36 GG DETAIL";#N/A,#N/A,FALSE,"04_36  NARRATIVE";#N/A,#N/A,FALSE,"05_36 GG DETAIL ";#N/A,#N/A,FALSE,"05_36 Narrative";#N/A,#N/A,FALSE,"Getuo GG DETAIL ";#N/A,#N/A,FALSE,"Getuo Narrative";#N/A,#N/A,FALSE,"Laopu GG DETAIL";#N/A,#N/A,FALSE,"Laopu Narrative";#N/A,#N/A,FALSE,"27_11 GG DETAIL";#N/A,#N/A,FALSE,"27_11 Narrative";#N/A,#N/A,FALSE,"2_1 Appraisal GG DETAIL";#N/A,#N/A,FALSE,"2_1 Appraisal Narrative"}</definedName>
    <definedName name="_as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b3" hidden="1">{"'DIFPRE'!$A$2:$M$54"}</definedName>
    <definedName name="_BQ4.3" hidden="1">#REF!</definedName>
    <definedName name="_BQ4.4" hidden="1">#REF!</definedName>
    <definedName name="_BQ4.5" hidden="1">#REF!</definedName>
    <definedName name="_BQ4.6" hidden="1">#REF!</definedName>
    <definedName name="_BQ4.8" hidden="1">#REF!</definedName>
    <definedName name="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DD1" hidden="1">{#N/A,#N/A,FALSE,"Aging Summary";#N/A,#N/A,FALSE,"Ratio Analysis";#N/A,#N/A,FALSE,"Test 120 Day Accts";#N/A,#N/A,FALSE,"Tickmarks"}</definedName>
    <definedName name="_Dist_Bin" hidden="1">#REF!</definedName>
    <definedName name="_Dist_Values" hidden="1">#REF!</definedName>
    <definedName name="_e2" hidden="1">{#N/A,#N/A,FALSE,"03070001";#N/A,#N/A,FALSE,"03070002";#N/A,#N/A,FALSE,"03090003";#N/A,#N/A,FALSE,"23190001";#N/A,#N/A,FALSE,"24470001"}</definedName>
    <definedName name="_ede2"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e1" hidden="1">{#N/A,#N/A,FALSE,"Aging Summary";#N/A,#N/A,FALSE,"Ratio Analysis";#N/A,#N/A,FALSE,"Test 120 Day Accts";#N/A,#N/A,FALSE,"Tickmarks"}</definedName>
    <definedName name="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G1" hidden="1">{"'DIFPRE'!$A$2:$M$54"}</definedName>
    <definedName name="_Fill" hidden="1">#REF!</definedName>
    <definedName name="_fill2" hidden="1">#REF!</definedName>
    <definedName name="_FILLTERDATABAS" hidden="1">#REF!</definedName>
    <definedName name="_xlnm._FilterDatabase" localSheetId="4" hidden="1">'1. PEPS T&amp;L DTT'!$B$41:$F$309</definedName>
    <definedName name="_xlnm._FilterDatabase" localSheetId="2" hidden="1">'GAN '!$B$5:$K$60</definedName>
    <definedName name="_xlnm._FilterDatabase" localSheetId="3" hidden="1">'GAN - 2 '!$B$5:$K$138</definedName>
    <definedName name="_xlnm._FilterDatabase" localSheetId="6" hidden="1">'Resumen Ventas DTT'!$B$27:$M$334</definedName>
    <definedName name="_xlnm._FilterDatabase" hidden="1">#REF!</definedName>
    <definedName name="_Gan1" hidden="1">{#N/A,#N/A,FALSE,"Aging Summary";#N/A,#N/A,FALSE,"Ratio Analysis";#N/A,#N/A,FALSE,"Test 120 Day Accts";#N/A,#N/A,FALSE,"Tickmarks"}</definedName>
    <definedName name="_gan2" hidden="1">{#N/A,#N/A,FALSE,"Aging Summary";#N/A,#N/A,FALSE,"Ratio Analysis";#N/A,#N/A,FALSE,"Test 120 Day Accts";#N/A,#N/A,FALSE,"Tickmarks"}</definedName>
    <definedName name="_gan3" hidden="1">{#N/A,#N/A,FALSE,"Aging Summary";#N/A,#N/A,FALSE,"Ratio Analysis";#N/A,#N/A,FALSE,"Test 120 Day Accts";#N/A,#N/A,FALSE,"Tickmarks"}</definedName>
    <definedName name="_GAN5" hidden="1">{#N/A,#N/A,FALSE,"Aging Summary";#N/A,#N/A,FALSE,"Ratio Analysis";#N/A,#N/A,FALSE,"Test 120 Day Accts";#N/A,#N/A,FALSE,"Tickmarks"}</definedName>
    <definedName name="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X111" hidden="1">{"'原油分析'!$A$1:$W$13"}</definedName>
    <definedName name="_Key1" hidden="1">#REF!</definedName>
    <definedName name="_Key2" hidden="1">#REF!</definedName>
    <definedName name="_kEY3" hidden="1">#REF!</definedName>
    <definedName name="_ll2" hidden="1">#REF!</definedName>
    <definedName name="_ll3" hidden="1">#REF!</definedName>
    <definedName name="_mal1" hidden="1">#REF!</definedName>
    <definedName name="_mal11" hidden="1">#REF!</definedName>
    <definedName name="_mal2" hidden="1">#REF!</definedName>
    <definedName name="_mal3" hidden="1">#REF!</definedName>
    <definedName name="_mal4" hidden="1">#REF!</definedName>
    <definedName name="_mal5" hidden="1">#REF!</definedName>
    <definedName name="_mal6" hidden="1">#REF!</definedName>
    <definedName name="_mal7" hidden="1">#REF!</definedName>
    <definedName name="_mal8" hidden="1">#REF!</definedName>
    <definedName name="_mal9" hidden="1">#REF!</definedName>
    <definedName name="_MatInverse_In" hidden="1">#REF!</definedName>
    <definedName name="_MatInverse_Out" hidden="1">#REF!</definedName>
    <definedName name="_MatMult_AxB" hidden="1">#REF!</definedName>
    <definedName name="_mma1" hidden="1">19</definedName>
    <definedName name="_mma2" hidden="1">{#N/A,#N/A,FALSE,"Aging Summary";#N/A,#N/A,FALSE,"Ratio Analysis";#N/A,#N/A,FALSE,"Test 120 Day Accts";#N/A,#N/A,FALSE,"Tickmarks"}</definedName>
    <definedName name="_Order1" localSheetId="2" hidden="1">255</definedName>
    <definedName name="_Order1" localSheetId="3" hidden="1">255</definedName>
    <definedName name="_Order1" hidden="1">0</definedName>
    <definedName name="_Order2" hidden="1">255</definedName>
    <definedName name="_Parse_In" hidden="1">#REF!</definedName>
    <definedName name="_Parse_Out" hidden="1">#REF!</definedName>
    <definedName name="_pp1" hidden="1">{#N/A,#N/A,FALSE,"Aging Summary";#N/A,#N/A,FALSE,"Ratio Analysis";#N/A,#N/A,FALSE,"Test 120 Day Accts";#N/A,#N/A,FALSE,"Tickmarks"}</definedName>
    <definedName name="_QHD264" hidden="1">{"'原油分析'!$A$1:$W$13"}</definedName>
    <definedName name="_R" hidden="1">{#N/A,#N/A,FALSE,"Venta"}</definedName>
    <definedName name="_R162" hidden="1">#REF!</definedName>
    <definedName name="_Regression_Int" hidden="1">1</definedName>
    <definedName name="_Regression_Out" hidden="1">#REF!</definedName>
    <definedName name="_Regression_X" hidden="1">#REF!</definedName>
    <definedName name="_Regression_Y" hidden="1">#REF!</definedName>
    <definedName name="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RT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rt12" hidden="1">{#N/A,#N/A,FALSE,"Hoja1";#N/A,#N/A,FALSE,"Hoja1"}</definedName>
    <definedName name="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ort" hidden="1">#REF!</definedName>
    <definedName name="_SS2" hidden="1">{#N/A,#N/A,FALSE,"CAPEX";#N/A,#N/A,FALSE,"PLAN";#N/A,#N/A,FALSE,"REV";#N/A,#N/A,FALSE,"CALOP";#N/A,#N/A,FALSE,"RESOP";#N/A,#N/A,FALSE,"PRES"}</definedName>
    <definedName name="_sub2" hidden="1">{"'ASIENTOS'!$C$11:$G$144"}</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ry1" hidden="1">#REF!</definedName>
    <definedName name="_uso1" hidden="1">{#N/A,#N/A,FALSE,"balance";#N/A,#N/A,FALSE,"P&amp;L";#N/A,#N/A,FALSE,"Equity";#N/A,#N/A,FALSE,"cash flow";#N/A,#N/A,FALSE,"bienes uso";#N/A,#N/A,FALSE,"intangibles";#N/A,#N/A,FALSE,"P&amp;L MD&amp;A";#N/A,#N/A,FALSE,"breakdown";#N/A,#N/A,FALSE,"stat ratios"}</definedName>
    <definedName name="_wnr2" hidden="1">{#N/A,#N/A,FALSE,"Aging Summary";#N/A,#N/A,FALSE,"Ratio Analysis";#N/A,#N/A,FALSE,"Test 120 Day Accts";#N/A,#N/A,FALSE,"Tickmarks"}</definedName>
    <definedName name="_x3" hidden="1">{"car1",#N/A,FALSE,"CA";"sg1",#N/A,FALSE,"SP-SS";"ham1",#N/A,FALSE,"HA";"ens1",#N/A,FALSE,"ENS";"eder1",#N/A,FALSE,"EDER";"cpb1",#N/A,FALSE,"CPB";"tra1",#N/A,FALSE,"TRANS";"abal1",#N/A,FALSE,"AB";"alap",#N/A,FALSE,"AL"}</definedName>
    <definedName name="´´ñfe" hidden="1">#REF!</definedName>
    <definedName name="´foewifew8" hidden="1">#REF!</definedName>
    <definedName name="´gwgw94" hidden="1">#REF!</definedName>
    <definedName name="´ñwe´fw" hidden="1">{#N/A,#N/A,FALSE,"Aging Summary";#N/A,#N/A,FALSE,"Ratio Analysis";#N/A,#N/A,FALSE,"Test 120 Day Accts";#N/A,#N/A,FALSE,"Tickmarks"}</definedName>
    <definedName name="´pecpowe" hidden="1">{#N/A,#N/A,FALSE,"Aging Summary";#N/A,#N/A,FALSE,"Ratio Analysis";#N/A,#N/A,FALSE,"Test 120 Day Accts";#N/A,#N/A,FALSE,"Tickmarks"}</definedName>
    <definedName name="´prqr" hidden="1">{#N/A,#N/A,FALSE,"Aging Summary";#N/A,#N/A,FALSE,"Ratio Analysis";#N/A,#N/A,FALSE,"Test 120 Day Accts";#N/A,#N/A,FALSE,"Tickmarks"}</definedName>
    <definedName name="´wpefw" hidden="1">#REF!</definedName>
    <definedName name="´wqñdq" hidden="1">#REF!</definedName>
    <definedName name="A" localSheetId="2">#REF!</definedName>
    <definedName name="A" localSheetId="3">#REF!</definedName>
    <definedName name="A">#REF!</definedName>
    <definedName name="A_impresión_IM">#REF!</definedName>
    <definedName name="a25ma" hidden="1">{#N/A,#N/A,FALSE,"BHA"}</definedName>
    <definedName name="aa" hidden="1">{#N/A,#N/A,FALSE,"CAPEX";#N/A,#N/A,FALSE,"PLAN";#N/A,#N/A,FALSE,"REV";#N/A,#N/A,FALSE,"CALOP";#N/A,#N/A,FALSE,"RESOP";#N/A,#N/A,FALSE,"PRES"}</definedName>
    <definedName name="aa11a1" hidden="1">#REF!</definedName>
    <definedName name="aa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aaa" hidden="1">{#N/A,#N/A,FALSE,"Aging Summary";#N/A,#N/A,FALSE,"Ratio Analysis";#N/A,#N/A,FALSE,"Test 120 Day Accts";#N/A,#N/A,FALSE,"Tickmarks"}</definedName>
    <definedName name="aaaa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AAAAAA" hidden="1">{"'DIFPRE'!$A$2:$M$54"}</definedName>
    <definedName name="AAAAAAAA" hidden="1">{#N/A,#N/A,FALSE,"Aging Summary";#N/A,#N/A,FALSE,"Ratio Analysis";#N/A,#N/A,FALSE,"Test 120 Day Accts";#N/A,#N/A,FALSE,"Tickmarks"}</definedName>
    <definedName name="aaaaaaaaa" hidden="1">{#N/A,#N/A,FALSE,"Aging Summary";#N/A,#N/A,FALSE,"Ratio Analysis";#N/A,#N/A,FALSE,"Test 120 Day Accts";#N/A,#N/A,FALSE,"Tickmarks"}</definedName>
    <definedName name="aaaaaaaaaa" hidden="1">#REF!</definedName>
    <definedName name="aaaaaaaaaaaaa" hidden="1">{#N/A,#N/A,FALSE,"Aging Summary";#N/A,#N/A,FALSE,"Ratio Analysis";#N/A,#N/A,FALSE,"Test 120 Day Accts";#N/A,#N/A,FALSE,"Tickmarks"}</definedName>
    <definedName name="aaaaaaaaaaaaaa" hidden="1">{#N/A,#N/A,FALSE,"Aging Summary";#N/A,#N/A,FALSE,"Ratio Analysis";#N/A,#N/A,FALSE,"Test 120 Day Accts";#N/A,#N/A,FALSE,"Tickmarks"}</definedName>
    <definedName name="aaaaaaaaaaaaaaa" hidden="1">{#N/A,#N/A,FALSE,"Aging Summary";#N/A,#N/A,FALSE,"Ratio Analysis";#N/A,#N/A,FALSE,"Test 120 Day Accts";#N/A,#N/A,FALSE,"Tickmarks"}</definedName>
    <definedName name="aaaaaaaaaaaaaaaa" hidden="1">{#N/A,#N/A,FALSE,"Aging Summary";#N/A,#N/A,FALSE,"Ratio Analysis";#N/A,#N/A,FALSE,"Test 120 Day Accts";#N/A,#N/A,FALSE,"Tickmarks"}</definedName>
    <definedName name="aaaaaaaaaaaaaaaaa" hidden="1">{#N/A,#N/A,FALSE,"Aging Summary";#N/A,#N/A,FALSE,"Ratio Analysis";#N/A,#N/A,FALSE,"Test 120 Day Accts";#N/A,#N/A,FALSE,"Tickmarks"}</definedName>
    <definedName name="aaaaaaaaaaaaaaaaaa" hidden="1">{#N/A,#N/A,FALSE,"Aging Summary";#N/A,#N/A,FALSE,"Ratio Analysis";#N/A,#N/A,FALSE,"Test 120 Day Accts";#N/A,#N/A,FALSE,"Tickmarks"}</definedName>
    <definedName name="aaaaaaaaaaaaaaaaaaa" hidden="1">{#N/A,#N/A,FALSE,"Aging Summary";#N/A,#N/A,FALSE,"Ratio Analysis";#N/A,#N/A,FALSE,"Test 120 Day Accts";#N/A,#N/A,FALSE,"Tickmarks"}</definedName>
    <definedName name="aaaaaaaaaaaaaaaaaaaaaa" hidden="1">{#N/A,#N/A,FALSE,"Aging Summary";#N/A,#N/A,FALSE,"Ratio Analysis";#N/A,#N/A,FALSE,"Test 120 Day Accts";#N/A,#N/A,FALSE,"Tickmarks"}</definedName>
    <definedName name="aaaaaaaaaaaaaaaaaaaaaaa" hidden="1">{#N/A,#N/A,FALSE,"Aging Summary";#N/A,#N/A,FALSE,"Ratio Analysis";#N/A,#N/A,FALSE,"Test 120 Day Accts";#N/A,#N/A,FALSE,"Tickmarks"}</definedName>
    <definedName name="aaaaaaaaaaaaaaaaaaaaaaaaaa" hidden="1">{#N/A,#N/A,FALSE,"Aging Summary";#N/A,#N/A,FALSE,"Ratio Analysis";#N/A,#N/A,FALSE,"Test 120 Day Accts";#N/A,#N/A,FALSE,"Tickmarks"}</definedName>
    <definedName name="aaaaaaaaaaaaaaaaaaaaaaaaaaaaaaa" hidden="1">{#N/A,#N/A,FALSE,"Aging Summary";#N/A,#N/A,FALSE,"Ratio Analysis";#N/A,#N/A,FALSE,"Test 120 Day Accts";#N/A,#N/A,FALSE,"Tickmarks"}</definedName>
    <definedName name="AAAK" hidden="1">#REF!</definedName>
    <definedName name="AAASEE" hidden="1">{#N/A,#N/A,FALSE,"Aging Summary";#N/A,#N/A,FALSE,"Ratio Analysis";#N/A,#N/A,FALSE,"Test 120 Day Accts";#N/A,#N/A,FALSE,"Tickmarks"}</definedName>
    <definedName name="aaassd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s" hidden="1">{#N/A,#N/A,FALSE,"balance";#N/A,#N/A,FALSE,"resultados";#N/A,#N/A,FALSE,"p.neto";#N/A,#N/A,FALSE,"bienes uso";#N/A,#N/A,FALSE,"art.64";#N/A,#N/A,FALSE,"intangibles"}</definedName>
    <definedName name="aaaz" hidden="1">#REF!</definedName>
    <definedName name="aah" hidden="1">{#N/A,#N/A,FALSE,"STRAD";#N/A,#N/A,FALSE,"BELGLO"}</definedName>
    <definedName name="AAKK" hidden="1">#REF!</definedName>
    <definedName name="AAS" hidden="1">{#N/A,#N/A,FALSE,"Aging Summary";#N/A,#N/A,FALSE,"Ratio Analysis";#N/A,#N/A,FALSE,"Test 120 Day Accts";#N/A,#N/A,FALSE,"Tickmarks"}</definedName>
    <definedName name="aasa" hidden="1">3</definedName>
    <definedName name="aasadas" hidden="1">{#N/A,#N/A,FALSE,"Aging Summary";#N/A,#N/A,FALSE,"Ratio Analysis";#N/A,#N/A,FALSE,"Test 120 Day Accts";#N/A,#N/A,FALSE,"Tickmarks"}</definedName>
    <definedName name="aass" hidden="1">#REF!</definedName>
    <definedName name="aassdfdsfsd"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xxxxx" hidden="1">#REF!</definedName>
    <definedName name="aazz" hidden="1">#REF!</definedName>
    <definedName name="ab"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abc" hidden="1">{"toptrial",#N/A,TRUE,"toptrial";"adjustment",#N/A,TRUE,"toptrial";"voucher",#N/A,TRUE,"toptrial"}</definedName>
    <definedName name="abcd" hidden="1">{#N/A,#N/A,FALSE,"Aging Summary";#N/A,#N/A,FALSE,"Ratio Analysis";#N/A,#N/A,FALSE,"Test 120 Day Accts";#N/A,#N/A,FALSE,"Tickmarks"}</definedName>
    <definedName name="abcde" hidden="1">{#N/A,#N/A,FALSE,"Aging Summary";#N/A,#N/A,FALSE,"Ratio Analysis";#N/A,#N/A,FALSE,"Test 120 Day Accts";#N/A,#N/A,FALSE,"Tickmarks"}</definedName>
    <definedName name="Abri" hidden="1">{#N/A,#N/A,FALSE,"Resultados_is";#N/A,#N/A,FALSE,"IngresosG_is";#N/A,#N/A,FALSE,"Ingresosp_is";#N/A,#N/A,FALSE,"Financiero_is";#N/A,#N/A,FALSE,"Estructura_is";#N/A,#N/A,FALSE,"EstructuraG_is";#N/A,#N/A,FALSE,"FComercio_is";#N/A,#N/A,FALSE,"Pbeneficios_is";#N/A,#N/A,FALSE,"Gerenciamiento_is";#N/A,#N/A,FALSE,"Desinv_is"}</definedName>
    <definedName name="açaç" hidden="1">{#N/A,#N/A,FALSE,"Aging Summary";#N/A,#N/A,FALSE,"Ratio Analysis";#N/A,#N/A,FALSE,"Test 120 Day Accts";#N/A,#N/A,FALSE,"Tickmarks"}</definedName>
    <definedName name="AccessDatabase" hidden="1">"I:\Estadísticas\OF\10O.F.Oct01.mdb"</definedName>
    <definedName name="account" hidden="1">#REF!</definedName>
    <definedName name="Account_Balance">#REF!</definedName>
    <definedName name="Acdicant" hidden="1">{"CAR-A",#N/A,FALSE,"Caratula";"LOB10A",#N/A,FALSE,"Acum";"LOB12A",#N/A,FALSE,"Acum";"LOB14A",#N/A,FALSE,"Acum";"LOB35A",#N/A,FALSE,"Acum";"TOTELA",#N/A,FALSE,"Acum";"LOB80A",#N/A,FALSE,"Acum";"LOB82A",#N/A,FALSE,"Acum";"LOB87A",#N/A,FALSE,"Acum";"LOB88A",#N/A,FALSE,"Acum"}</definedName>
    <definedName name="acnocpfizer" hidden="1">{"CAR",#N/A,FALSE,"Caratula";"LOB10",#N/A,FALSE,"Mes";"LOB12",#N/A,FALSE,"Mes";"LOB14",#N/A,FALSE,"Mes";"LOB35",#N/A,FALSE,"Mes";"TOTEL",#N/A,FALSE,"Mes";"LOB80",#N/A,FALSE,"Mes";"LOB82",#N/A,FALSE,"Mes";"LOB87",#N/A,FALSE,"Mes";"LOB88",#N/A,FALSE,"Mes"}</definedName>
    <definedName name="ACT" hidden="1">#REF!</definedName>
    <definedName name="ACwvu.TO_PRINT." hidden="1">#REF!</definedName>
    <definedName name="ad" hidden="1">{#N/A,#N/A,FALSE,"STRAD";#N/A,#N/A,FALSE,"BELGLO"}</definedName>
    <definedName name="adad" hidden="1">3</definedName>
    <definedName name="adadad" hidden="1">{#N/A,#N/A,FALSE,"Aging Summary";#N/A,#N/A,FALSE,"Ratio Analysis";#N/A,#N/A,FALSE,"Test 120 Day Accts";#N/A,#N/A,FALSE,"Tickmarks"}</definedName>
    <definedName name="ADAFFGDGF" hidden="1">{#N/A,#N/A,FALSE,"Aging Summary";#N/A,#N/A,FALSE,"Ratio Analysis";#N/A,#N/A,FALSE,"Test 120 Day Accts";#N/A,#N/A,FALSE,"Tickmarks"}</definedName>
    <definedName name="adaqdsq" hidden="1">10</definedName>
    <definedName name="adaqeq" hidden="1">#REF!</definedName>
    <definedName name="ADASDAD" hidden="1">{#N/A,#N/A,FALSE,"Aging Summary";#N/A,#N/A,FALSE,"Ratio Analysis";#N/A,#N/A,FALSE,"Test 120 Day Accts";#N/A,#N/A,FALSE,"Tickmarks"}</definedName>
    <definedName name="ADASDDSA" hidden="1">{#N/A,#N/A,FALSE,"Aging Summary";#N/A,#N/A,FALSE,"Ratio Analysis";#N/A,#N/A,FALSE,"Test 120 Day Accts";#N/A,#N/A,FALSE,"Tickmarks"}</definedName>
    <definedName name="ADASDX" hidden="1">{#N/A,#N/A,FALSE,"Aging Summary";#N/A,#N/A,FALSE,"Ratio Analysis";#N/A,#N/A,FALSE,"Test 120 Day Accts";#N/A,#N/A,FALSE,"Tickmarks"}</definedName>
    <definedName name="ADASFSFDG" hidden="1">{#N/A,#N/A,FALSE,"Aging Summary";#N/A,#N/A,FALSE,"Ratio Analysis";#N/A,#N/A,FALSE,"Test 120 Day Accts";#N/A,#N/A,FALSE,"Tickmarks"}</definedName>
    <definedName name="ad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DFA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FSFSF" hidden="1">{#N/A,#N/A,FALSE,"Aging Summary";#N/A,#N/A,FALSE,"Ratio Analysis";#N/A,#N/A,FALSE,"Test 120 Day Accts";#N/A,#N/A,FALSE,"Tickmarks"}</definedName>
    <definedName name="ADFDAS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SF" hidden="1">{#N/A,#N/A,FALSE,"Aging Summary";#N/A,#N/A,FALSE,"Ratio Analysis";#N/A,#N/A,FALSE,"Test 120 Day Accts";#N/A,#N/A,FALSE,"Tickmarks"}</definedName>
    <definedName name="adiandia" hidden="1">{#N/A,#N/A,FALSE,"Aging Summary";#N/A,#N/A,FALSE,"Ratio Analysis";#N/A,#N/A,FALSE,"Test 120 Day Accts";#N/A,#N/A,FALSE,"Tickmarks"}</definedName>
    <definedName name="adiands" hidden="1">{#N/A,#N/A,FALSE,"Aging Summary";#N/A,#N/A,FALSE,"Ratio Analysis";#N/A,#N/A,FALSE,"Test 120 Day Accts";#N/A,#N/A,FALSE,"Tickmarks"}</definedName>
    <definedName name="ADIANSDI" hidden="1">{#N/A,#N/A,FALSE,"Aging Summary";#N/A,#N/A,FALSE,"Ratio Analysis";#N/A,#N/A,FALSE,"Test 120 Day Accts";#N/A,#N/A,FALSE,"Tickmarks"}</definedName>
    <definedName name="adjads8" hidden="1">{#N/A,#N/A,FALSE,"Aging Summary";#N/A,#N/A,FALSE,"Ratio Analysis";#N/A,#N/A,FALSE,"Test 120 Day Accts";#N/A,#N/A,FALSE,"Tickmarks"}</definedName>
    <definedName name="adlalkdakd" hidden="1">{#N/A,#N/A,FALSE,"Aging Summary";#N/A,#N/A,FALSE,"Ratio Analysis";#N/A,#N/A,FALSE,"Test 120 Day Accts";#N/A,#N/A,FALSE,"Tickmarks"}</definedName>
    <definedName name="ADMIASD8" hidden="1">{#N/A,#N/A,FALSE,"Aging Summary";#N/A,#N/A,FALSE,"Ratio Analysis";#N/A,#N/A,FALSE,"Test 120 Day Accts";#N/A,#N/A,FALSE,"Tickmarks"}</definedName>
    <definedName name="adqfq" hidden="1">1</definedName>
    <definedName name="ADRI"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ds" hidden="1">{"toptrial",#N/A,TRUE,"toptrial";"adjustment",#N/A,TRUE,"toptrial";"voucher",#N/A,TRUE,"toptrial"}</definedName>
    <definedName name="adsa" hidden="1">#REF!</definedName>
    <definedName name="adsadasda" hidden="1">{#N/A,#N/A,FALSE,"Aging Summary";#N/A,#N/A,FALSE,"Ratio Analysis";#N/A,#N/A,FALSE,"Test 120 Day Accts";#N/A,#N/A,FALSE,"Tickmarks"}</definedName>
    <definedName name="ADSF" hidden="1">{#N/A,#N/A,FALSE,"Aging Summary";#N/A,#N/A,FALSE,"Ratio Analysis";#N/A,#N/A,FALSE,"Test 120 Day Accts";#N/A,#N/A,FALSE,"Tickmarks"}</definedName>
    <definedName name="ADSFEF" hidden="1">{#N/A,#N/A,FALSE,"Aging Summary";#N/A,#N/A,FALSE,"Ratio Analysis";#N/A,#N/A,FALSE,"Test 120 Day Accts";#N/A,#N/A,FALSE,"Tickmarks"}</definedName>
    <definedName name="adsjsajd" hidden="1">{#N/A,#N/A,FALSE,"Aging Summary";#N/A,#N/A,FALSE,"Ratio Analysis";#N/A,#N/A,FALSE,"Test 120 Day Accts";#N/A,#N/A,FALSE,"Tickmarks"}</definedName>
    <definedName name="adsnausdna" hidden="1">{#N/A,#N/A,FALSE,"Aging Summary";#N/A,#N/A,FALSE,"Ratio Analysis";#N/A,#N/A,FALSE,"Test 120 Day Accts";#N/A,#N/A,FALSE,"Tickmarks"}</definedName>
    <definedName name="ADUSNDA" hidden="1">{#N/A,#N/A,FALSE,"Aging Summary";#N/A,#N/A,FALSE,"Ratio Analysis";#N/A,#N/A,FALSE,"Test 120 Day Accts";#N/A,#N/A,FALSE,"Tickmarks"}</definedName>
    <definedName name="adwd" hidden="1">{#N/A,#N/A,FALSE,"Aging Summary";#N/A,#N/A,FALSE,"Ratio Analysis";#N/A,#N/A,FALSE,"Test 120 Day Accts";#N/A,#N/A,FALSE,"Tickmarks"}</definedName>
    <definedName name="adxdsqq" hidden="1">#REF!</definedName>
    <definedName name="aer" hidden="1">{#N/A,#N/A,FALSE,"Aging Summary";#N/A,#N/A,FALSE,"Ratio Analysis";#N/A,#N/A,FALSE,"Test 120 Day Accts";#N/A,#N/A,FALSE,"Tickmarks"}</definedName>
    <definedName name="aersa" hidden="1">{#N/A,#N/A,FALSE,"Aging Summary";#N/A,#N/A,FALSE,"Ratio Analysis";#N/A,#N/A,FALSE,"Test 120 Day Accts";#N/A,#N/A,FALSE,"Tickmarks"}</definedName>
    <definedName name="af" hidden="1">{#N/A,#N/A,FALSE,"Aging Summary";#N/A,#N/A,FALSE,"Ratio Analysis";#N/A,#N/A,FALSE,"Test 120 Day Accts";#N/A,#N/A,FALSE,"Tickmarks"}</definedName>
    <definedName name="afdfadgf" hidden="1">{#N/A,#N/A,FALSE,"04_36 Training";#N/A,#N/A,FALSE,"05_36 Training";#N/A,#N/A,FALSE,"Lapou Training";#N/A,#N/A,FALSE,"Getuo Training ";#N/A,#N/A,FALSE,"27_11 Training";#N/A,#N/A,FALSE,"15_35 Training"}</definedName>
    <definedName name="afdjakd" hidden="1">{#N/A,#N/A,FALSE,"Aging Summary";#N/A,#N/A,FALSE,"Ratio Analysis";#N/A,#N/A,FALSE,"Test 120 Day Accts";#N/A,#N/A,FALSE,"Tickmarks"}</definedName>
    <definedName name="AFKAOFKK" hidden="1">#REF!</definedName>
    <definedName name="AFLAPSFQO" hidden="1">#REF!</definedName>
    <definedName name="afsgsaas" hidden="1">#REF!</definedName>
    <definedName name="agua" hidden="1">{#N/A,#N/A,FALSE,"Aging Summary";#N/A,#N/A,FALSE,"Ratio Analysis";#N/A,#N/A,FALSE,"Test 120 Day Accts";#N/A,#N/A,FALSE,"Tickmarks"}</definedName>
    <definedName name="Aguinaldo" hidden="1">{#N/A,#N/A,FALSE,"Aging Summary";#N/A,#N/A,FALSE,"Ratio Analysis";#N/A,#N/A,FALSE,"Test 120 Day Accts";#N/A,#N/A,FALSE,"Tickmarks"}</definedName>
    <definedName name="AHAGKA" hidden="1">{#N/A,#N/A,FALSE,"Aging Summary";#N/A,#N/A,FALSE,"Ratio Analysis";#N/A,#N/A,FALSE,"Test 120 Day Accts";#N/A,#N/A,FALSE,"Tickmarks"}</definedName>
    <definedName name="ahdka" hidden="1">{#N/A,#N/A,FALSE,"Aging Summary";#N/A,#N/A,FALSE,"Ratio Analysis";#N/A,#N/A,FALSE,"Test 120 Day Accts";#N/A,#N/A,FALSE,"Tickmarks"}</definedName>
    <definedName name="ahora" hidden="1">{#N/A,#N/A,FALSE,"Aging Summary";#N/A,#N/A,FALSE,"Ratio Analysis";#N/A,#N/A,FALSE,"Test 120 Day Accts";#N/A,#N/A,FALSE,"Tickmarks"}</definedName>
    <definedName name="ahora5" hidden="1">{"'DIFPRE'!$A$2:$M$54"}</definedName>
    <definedName name="ai" hidden="1">{#N/A,#N/A,FALSE,"STRAD";#N/A,#N/A,FALSE,"BELGLO"}</definedName>
    <definedName name="aidsnaisd" hidden="1">{#N/A,#N/A,FALSE,"Aging Summary";#N/A,#N/A,FALSE,"Ratio Analysis";#N/A,#N/A,FALSE,"Test 120 Day Accts";#N/A,#N/A,FALSE,"Tickmarks"}</definedName>
    <definedName name="AINSDI" hidden="1">{#N/A,#N/A,FALSE,"Aging Summary";#N/A,#N/A,FALSE,"Ratio Analysis";#N/A,#N/A,FALSE,"Test 120 Day Accts";#N/A,#N/A,FALSE,"Tickmarks"}</definedName>
    <definedName name="aisd" hidden="1">#REF!</definedName>
    <definedName name="aisdnai" hidden="1">{#N/A,#N/A,FALSE,"Aging Summary";#N/A,#N/A,FALSE,"Ratio Analysis";#N/A,#N/A,FALSE,"Test 120 Day Accts";#N/A,#N/A,FALSE,"Tickmarks"}</definedName>
    <definedName name="aisndiasnd" hidden="1">{#N/A,#N/A,FALSE,"Aging Summary";#N/A,#N/A,FALSE,"Ratio Analysis";#N/A,#N/A,FALSE,"Test 120 Day Accts";#N/A,#N/A,FALSE,"Tickmarks"}</definedName>
    <definedName name="AJA" hidden="1">#REF!</definedName>
    <definedName name="ajdiasjdia" hidden="1">{#N/A,#N/A,FALSE,"Aging Summary";#N/A,#N/A,FALSE,"Ratio Analysis";#N/A,#N/A,FALSE,"Test 120 Day Accts";#N/A,#N/A,FALSE,"Tickmarks"}</definedName>
    <definedName name="AJSD8" hidden="1">{#N/A,#N/A,FALSE,"Aging Summary";#N/A,#N/A,FALSE,"Ratio Analysis";#N/A,#N/A,FALSE,"Test 120 Day Accts";#N/A,#N/A,FALSE,"Tickmarks"}</definedName>
    <definedName name="AJSDA9" hidden="1">{#N/A,#N/A,FALSE,"Aging Summary";#N/A,#N/A,FALSE,"Ratio Analysis";#N/A,#N/A,FALSE,"Test 120 Day Accts";#N/A,#N/A,FALSE,"Tickmarks"}</definedName>
    <definedName name="AJSDIA" hidden="1">{#N/A,#N/A,FALSE,"Aging Summary";#N/A,#N/A,FALSE,"Ratio Analysis";#N/A,#N/A,FALSE,"Test 120 Day Accts";#N/A,#N/A,FALSE,"Tickmarks"}</definedName>
    <definedName name="AJSDIAJ98" hidden="1">{#N/A,#N/A,FALSE,"Aging Summary";#N/A,#N/A,FALSE,"Ratio Analysis";#N/A,#N/A,FALSE,"Test 120 Day Accts";#N/A,#N/A,FALSE,"Tickmarks"}</definedName>
    <definedName name="AJSDIJA" hidden="1">{#N/A,#N/A,FALSE,"Aging Summary";#N/A,#N/A,FALSE,"Ratio Analysis";#N/A,#N/A,FALSE,"Test 120 Day Accts";#N/A,#N/A,FALSE,"Tickmarks"}</definedName>
    <definedName name="akjdkjakdsad" hidden="1">{#N/A,#N/A,FALSE,"Aging Summary";#N/A,#N/A,FALSE,"Ratio Analysis";#N/A,#N/A,FALSE,"Test 120 Day Accts";#N/A,#N/A,FALSE,"Tickmarks"}</definedName>
    <definedName name="akjdosdoja" hidden="1">{#N/A,#N/A,FALSE,"Aging Summary";#N/A,#N/A,FALSE,"Ratio Analysis";#N/A,#N/A,FALSE,"Test 120 Day Accts";#N/A,#N/A,FALSE,"Tickmarks"}</definedName>
    <definedName name="AL" hidden="1">{#N/A,#N/A,FALSE,"Aging Summary";#N/A,#N/A,FALSE,"Ratio Analysis";#N/A,#N/A,FALSE,"Test 120 Day Accts";#N/A,#N/A,FALSE,"Tickmarks"}</definedName>
    <definedName name="ale" hidden="1">{#N/A,#N/A,FALSE,"Aging Summary";#N/A,#N/A,FALSE,"Ratio Analysis";#N/A,#N/A,FALSE,"Test 120 Day Accts";#N/A,#N/A,FALSE,"Tickmarks"}</definedName>
    <definedName name="Ali" hidden="1">"AS2DocumentBrowse"</definedName>
    <definedName name="ALKSJD" hidden="1">#REF!</definedName>
    <definedName name="alpdflaplf" hidden="1">#REF!</definedName>
    <definedName name="AMDIA2" hidden="1">{#N/A,#N/A,FALSE,"Aging Summary";#N/A,#N/A,FALSE,"Ratio Analysis";#N/A,#N/A,FALSE,"Test 120 Day Accts";#N/A,#N/A,FALSE,"Tickmarks"}</definedName>
    <definedName name="am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MSDI" hidden="1">{#N/A,#N/A,FALSE,"Aging Summary";#N/A,#N/A,FALSE,"Ratio Analysis";#N/A,#N/A,FALSE,"Test 120 Day Accts";#N/A,#N/A,FALSE,"Tickmarks"}</definedName>
    <definedName name="AMSIDA" hidden="1">{#N/A,#N/A,FALSE,"Aging Summary";#N/A,#N/A,FALSE,"Ratio Analysis";#N/A,#N/A,FALSE,"Test 120 Day Accts";#N/A,#N/A,FALSE,"Tickmarks"}</definedName>
    <definedName name="amsodamd" hidden="1">{#N/A,#N/A,FALSE,"Aging Summary";#N/A,#N/A,FALSE,"Ratio Analysis";#N/A,#N/A,FALSE,"Test 120 Day Accts";#N/A,#N/A,FALSE,"Tickmarks"}</definedName>
    <definedName name="amsodamds" hidden="1">{"RESULTADOS REAIS",#N/A,FALSE,"Dem.Res.R$";"RESULTADOS DOLARES",#N/A,FALSE,"Dem.Res.US$";"PERCENTUAIS REAIS",#N/A,FALSE,"Percentuais R$";"PERCENTUAIS DOLARES",#N/A,FALSE,"Percentuais US$"}</definedName>
    <definedName name="ANA" hidden="1">#REF!</definedName>
    <definedName name="ANALITICO" hidden="1">#REF!</definedName>
    <definedName name="ANDIAS" hidden="1">{#N/A,#N/A,FALSE,"Aging Summary";#N/A,#N/A,FALSE,"Ratio Analysis";#N/A,#N/A,FALSE,"Test 120 Day Accts";#N/A,#N/A,FALSE,"Tickmarks"}</definedName>
    <definedName name="andjanda" hidden="1">{#N/A,#N/A,FALSE,"Aging Summary";#N/A,#N/A,FALSE,"Ratio Analysis";#N/A,#N/A,FALSE,"Test 120 Day Accts";#N/A,#N/A,FALSE,"Tickmarks"}</definedName>
    <definedName name="andreita" hidden="1">{#N/A,#N/A,FALSE,"Aging Summary";#N/A,#N/A,FALSE,"Ratio Analysis";#N/A,#N/A,FALSE,"Test 120 Day Accts";#N/A,#N/A,FALSE,"Tickmarks"}</definedName>
    <definedName name="andsnasida" hidden="1">{#N/A,#N/A,FALSE,"Variables";#N/A,#N/A,FALSE,"Patrim"}</definedName>
    <definedName name="ANEXO" hidden="1">{#N/A,#N/A,FALSE,"Aging Summary";#N/A,#N/A,FALSE,"Ratio Analysis";#N/A,#N/A,FALSE,"Test 120 Day Accts";#N/A,#N/A,FALSE,"Tickmarks"}</definedName>
    <definedName name="ANOR" hidden="1">{"maq y eq",#N/A,TRUE,"Maq y Eq";"rodados",#N/A,TRUE,"Rodados"}</definedName>
    <definedName name="anscount" hidden="1">1</definedName>
    <definedName name="ANSDA" hidden="1">{#N/A,#N/A,FALSE,"Aging Summary";#N/A,#N/A,FALSE,"Ratio Analysis";#N/A,#N/A,FALSE,"Test 120 Day Accts";#N/A,#N/A,FALSE,"Tickmarks"}</definedName>
    <definedName name="ansdia" hidden="1">{#N/A,#N/A,FALSE,"Aging Summary";#N/A,#N/A,FALSE,"Ratio Analysis";#N/A,#N/A,FALSE,"Test 120 Day Accts";#N/A,#N/A,FALSE,"Tickmarks"}</definedName>
    <definedName name="ANSDJA" hidden="1">{#N/A,#N/A,FALSE,"Aging Summary";#N/A,#N/A,FALSE,"Ratio Analysis";#N/A,#N/A,FALSE,"Test 120 Day Accts";#N/A,#N/A,FALSE,"Tickmarks"}</definedName>
    <definedName name="anselmo" hidden="1">{#N/A,#N/A,FALSE,"SUBSIDIARIAS"}</definedName>
    <definedName name="ANT" hidden="1">{#N/A,#N/A,FALSE,"Aging Summary";#N/A,#N/A,FALSE,"Ratio Analysis";#N/A,#N/A,FALSE,"Test 120 Day Accts";#N/A,#N/A,FALSE,"Tickmarks"}</definedName>
    <definedName name="antiguo" hidden="1">{#N/A,#N/A,FALSE,"4102";#N/A,#N/A,FALSE,"4800";#N/A,#N/A,FALSE,"4803";#N/A,#N/A,FALSE,"4801";#N/A,#N/A,FALSE,"4805";#N/A,#N/A,FALSE,"4808";#N/A,#N/A,FALSE,"4813";#N/A,#N/A,FALSE,"4816";#N/A,#N/A,FALSE,"4301"}</definedName>
    <definedName name="anto" hidden="1">{#N/A,#N/A,FALSE,"03070001";#N/A,#N/A,FALSE,"03070002";#N/A,#N/A,FALSE,"03090003";#N/A,#N/A,FALSE,"23190001";#N/A,#N/A,FALSE,"24470001"}</definedName>
    <definedName name="AÑLKFJ" hidden="1">11</definedName>
    <definedName name="AOFKASKA" hidden="1">#REF!</definedName>
    <definedName name="aomsdoa" hidden="1">{#N/A,#N/A,FALSE,"Aging Summary";#N/A,#N/A,FALSE,"Ratio Analysis";#N/A,#N/A,FALSE,"Test 120 Day Accts";#N/A,#N/A,FALSE,"Tickmarks"}</definedName>
    <definedName name="AOSKFAOKFA" hidden="1">#REF!</definedName>
    <definedName name="apbrrrrrrrrrrr" hidden="1">{#N/A,#N/A,FALSE,"Aging Summary";#N/A,#N/A,FALSE,"Ratio Analysis";#N/A,#N/A,FALSE,"Test 120 Day Accts";#N/A,#N/A,FALSE,"Tickmarks"}</definedName>
    <definedName name="aplfaplf" hidden="1">#REF!</definedName>
    <definedName name="apoio" hidden="1">{#N/A,#N/A,FALSE,"balance";#N/A,#N/A,FALSE,"resultados";#N/A,#N/A,FALSE,"patrimonio";#N/A,#N/A,FALSE,"bienes uso";#N/A,#N/A,FALSE,"art.64"}</definedName>
    <definedName name="apspsapfa" hidden="1">#REF!</definedName>
    <definedName name="apspsps" hidden="1">{#N/A,#N/A,FALSE,"Aging Summary";#N/A,#N/A,FALSE,"Ratio Analysis";#N/A,#N/A,FALSE,"Test 120 Day Accts";#N/A,#N/A,FALSE,"Tickmarks"}</definedName>
    <definedName name="aq" hidden="1">#REF!</definedName>
    <definedName name="aqaqa" hidden="1">#REF!</definedName>
    <definedName name="aqaqaq" hidden="1">{#N/A,#N/A,FALSE,"Aging Summary";#N/A,#N/A,FALSE,"Ratio Analysis";#N/A,#N/A,FALSE,"Test 120 Day Accts";#N/A,#N/A,FALSE,"Tickmarks"}</definedName>
    <definedName name="aqaqaqaqaqaqaqaq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g" hidden="1">{#N/A,#N/A,FALSE,"Aging Summary";#N/A,#N/A,FALSE,"Ratio Analysis";#N/A,#N/A,FALSE,"Test 120 Day Accts";#N/A,#N/A,FALSE,"Tickmarks"}</definedName>
    <definedName name="aqww" hidden="1">{#N/A,#N/A,FALSE,"Aging Summary";#N/A,#N/A,FALSE,"Ratio Analysis";#N/A,#N/A,FALSE,"Test 120 Day Accts";#N/A,#N/A,FALSE,"Tickmarks"}</definedName>
    <definedName name="ARA_Threshold">#REF!</definedName>
    <definedName name="arb" hidden="1">{#N/A,#N/A,FALSE,"Aging Summary";#N/A,#N/A,FALSE,"Ratio Analysis";#N/A,#N/A,FALSE,"Test 120 Day Accts";#N/A,#N/A,FALSE,"Tickmarks"}</definedName>
    <definedName name="arbol" hidden="1">{#N/A,#N/A,FALSE,"Aging Summary";#N/A,#N/A,FALSE,"Ratio Analysis";#N/A,#N/A,FALSE,"Test 120 Day Accts";#N/A,#N/A,FALSE,"Tickmarks"}</definedName>
    <definedName name="archivo" hidden="1">#REF!</definedName>
    <definedName name="argen" hidden="1">{#N/A,#N/A,FALSE,"Aging Summary";#N/A,#N/A,FALSE,"Ratio Analysis";#N/A,#N/A,FALSE,"Test 120 Day Accts";#N/A,#N/A,FALSE,"Tickmarks"}</definedName>
    <definedName name="Arm" hidden="1">#REF!,#REF!,#REF!,#REF!</definedName>
    <definedName name="Arm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RP_Threshold">#REF!</definedName>
    <definedName name="arr" hidden="1">{#N/A,#N/A,FALSE,"Aging Summary";#N/A,#N/A,FALSE,"Ratio Analysis";#N/A,#N/A,FALSE,"Test 120 Day Accts";#N/A,#N/A,FALSE,"Tickmarks"}</definedName>
    <definedName name="as" hidden="1">"AS2DocumentBrowse"</definedName>
    <definedName name="AS2DocOpenMode" hidden="1">"AS2DocumentBrowse"</definedName>
    <definedName name="AS2HasNoAutoHeaderFooter" hidden="1">" "</definedName>
    <definedName name="AS2LinkLS" hidden="1">#REF!</definedName>
    <definedName name="AS2NamedRange" hidden="1">4</definedName>
    <definedName name="AS2ReportLS" hidden="1">2</definedName>
    <definedName name="AS2StaticLS" hidden="1">#REF!</definedName>
    <definedName name="AS2SyncStepLS" localSheetId="2" hidden="1">3</definedName>
    <definedName name="AS2SyncStepLS" localSheetId="3" hidden="1">3</definedName>
    <definedName name="AS2SyncStepLS" hidden="1">0</definedName>
    <definedName name="AS2TICKMAR" hidden="1">#REF!</definedName>
    <definedName name="AS2TickmarkLS" localSheetId="2" hidden="1">#REF!</definedName>
    <definedName name="AS2TickmarkLS" localSheetId="3" hidden="1">#REF!</definedName>
    <definedName name="AS2TickmarkLS" hidden="1">#REF!</definedName>
    <definedName name="AS2VersionLS" localSheetId="2" hidden="1">300</definedName>
    <definedName name="AS2VersionLS" localSheetId="3" hidden="1">300</definedName>
    <definedName name="AS2VersionLS" hidden="1">220</definedName>
    <definedName name="asa" hidden="1">#REF!</definedName>
    <definedName name="asaa" hidden="1">{#N/A,#N/A,FALSE,"Aging Summary";#N/A,#N/A,FALSE,"Ratio Analysis";#N/A,#N/A,FALSE,"Test 120 Day Accts";#N/A,#N/A,FALSE,"Tickmarks"}</definedName>
    <definedName name="ASAD" hidden="1">{#N/A,#N/A,FALSE,"Aging Summary";#N/A,#N/A,FALSE,"Ratio Analysis";#N/A,#N/A,FALSE,"Test 120 Day Accts";#N/A,#N/A,FALSE,"Tickmarks"}</definedName>
    <definedName name="ASAS" hidden="1">{#N/A,#N/A,FALSE,"Aging Summary";#N/A,#N/A,FALSE,"Ratio Analysis";#N/A,#N/A,FALSE,"Test 120 Day Accts";#N/A,#N/A,FALSE,"Tickmarks"}</definedName>
    <definedName name="ASASASAS" hidden="1">{#N/A,#N/A,FALSE,"EDO. RES. CNB";#N/A,#N/A,FALSE,"TRIMESTRAL"}</definedName>
    <definedName name="asasq" hidden="1">#REF!</definedName>
    <definedName name="asawaq" hidden="1">#REF!</definedName>
    <definedName name="asd" hidden="1">{#N/A,#N/A,FALSE,"SUBSIDIARIAS"}</definedName>
    <definedName name="ASDA" hidden="1">{#N/A,#N/A,FALSE,"Aging Summary";#N/A,#N/A,FALSE,"Ratio Analysis";#N/A,#N/A,FALSE,"Test 120 Day Accts";#N/A,#N/A,FALSE,"Tickmarks"}</definedName>
    <definedName name="ASDAAAAAAAAAAAA" hidden="1">{#N/A,#N/A,FALSE,"Aging Summary";#N/A,#N/A,FALSE,"Ratio Analysis";#N/A,#N/A,FALSE,"Test 120 Day Accts";#N/A,#N/A,FALSE,"Tickmarks"}</definedName>
    <definedName name="ASDADAD" hidden="1">{#N/A,#N/A,FALSE,"Aging Summary";#N/A,#N/A,FALSE,"Ratio Analysis";#N/A,#N/A,FALSE,"Test 120 Day Accts";#N/A,#N/A,FALSE,"Tickmarks"}</definedName>
    <definedName name="asdadnasd" hidden="1">{#N/A,#N/A,FALSE,"Aging Summary";#N/A,#N/A,FALSE,"Ratio Analysis";#N/A,#N/A,FALSE,"Test 120 Day Accts";#N/A,#N/A,FALSE,"Tickmarks"}</definedName>
    <definedName name="asdajbsd" hidden="1">{#N/A,#N/A,FALSE,"Aging Summary";#N/A,#N/A,FALSE,"Ratio Analysis";#N/A,#N/A,FALSE,"Test 120 Day Accts";#N/A,#N/A,FALSE,"Tickmarks"}</definedName>
    <definedName name="asdas" hidden="1">{#N/A,#N/A,FALSE,"Aging Summary";#N/A,#N/A,FALSE,"Ratio Analysis";#N/A,#N/A,FALSE,"Test 120 Day Accts";#N/A,#N/A,FALSE,"Tickmarks"}</definedName>
    <definedName name="asdasd" hidden="1">#REF!</definedName>
    <definedName name="asdasdads" hidden="1">{#N/A,#N/A,FALSE,"Aging Summary";#N/A,#N/A,FALSE,"Ratio Analysis";#N/A,#N/A,FALSE,"Test 120 Day Accts";#N/A,#N/A,FALSE,"Tickmarks"}</definedName>
    <definedName name="asdasd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GH" hidden="1">{#N/A,#N/A,FALSE,"Aging Summary";#N/A,#N/A,FALSE,"Ratio Analysis";#N/A,#N/A,FALSE,"Test 120 Day Accts";#N/A,#N/A,FALSE,"Tickmarks"}</definedName>
    <definedName name="ASDFGHJJK"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sdfsdfsdafa" hidden="1">{#N/A,#N/A,FALSE,"04_36 Training";#N/A,#N/A,FALSE,"05_36 Training";#N/A,#N/A,FALSE,"Lapou Training";#N/A,#N/A,FALSE,"Getuo Training ";#N/A,#N/A,FALSE,"27_11 Training";#N/A,#N/A,FALSE,"15_35 Training"}</definedName>
    <definedName name="ASDH" hidden="1">{#N/A,#N/A,FALSE,"Aging Summary";#N/A,#N/A,FALSE,"Ratio Analysis";#N/A,#N/A,FALSE,"Test 120 Day Accts";#N/A,#N/A,FALSE,"Tickmarks"}</definedName>
    <definedName name="ASDI9" hidden="1">{#N/A,#N/A,FALSE,"Aging Summary";#N/A,#N/A,FALSE,"Ratio Analysis";#N/A,#N/A,FALSE,"Test 120 Day Accts";#N/A,#N/A,FALSE,"Tickmarks"}</definedName>
    <definedName name="ASDJ" hidden="1">{#N/A,#N/A,FALSE,"Aging Summary";#N/A,#N/A,FALSE,"Ratio Analysis";#N/A,#N/A,FALSE,"Test 120 Day Accts";#N/A,#N/A,FALSE,"Tickmarks"}</definedName>
    <definedName name="asdsds" hidden="1">#REF!</definedName>
    <definedName name="asereje" hidden="1">{#N/A,#N/A,FALSE,"Aging Summary";#N/A,#N/A,FALSE,"Ratio Analysis";#N/A,#N/A,FALSE,"Test 120 Day Accts";#N/A,#N/A,FALSE,"Tickmarks"}</definedName>
    <definedName name="asfdas" hidden="1">{#N/A,#N/A,FALSE,"Aging Summary";#N/A,#N/A,FALSE,"Ratio Analysis";#N/A,#N/A,FALSE,"Test 120 Day Accts";#N/A,#N/A,FALSE,"Tickmarks"}</definedName>
    <definedName name="ASFDSDG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si" hidden="1">{#N/A,#N/A,FALSE,"Aging Summary";#N/A,#N/A,FALSE,"Ratio Analysis";#N/A,#N/A,FALSE,"Test 120 Day Accts";#N/A,#N/A,FALSE,"Tickmarks"}</definedName>
    <definedName name="asidnadai" hidden="1">{#N/A,#N/A,FALSE,"Aging Summary";#N/A,#N/A,FALSE,"Ratio Analysis";#N/A,#N/A,FALSE,"Test 120 Day Accts";#N/A,#N/A,FALSE,"Tickmarks"}</definedName>
    <definedName name="askdakjda" hidden="1">{#N/A,#N/A,FALSE,"Aging Summary";#N/A,#N/A,FALSE,"Ratio Analysis";#N/A,#N/A,FALSE,"Test 120 Day Accts";#N/A,#N/A,FALSE,"Tickmarks"}</definedName>
    <definedName name="ASND" hidden="1">{#N/A,#N/A,FALSE,"Aging Summary";#N/A,#N/A,FALSE,"Ratio Analysis";#N/A,#N/A,FALSE,"Test 120 Day Accts";#N/A,#N/A,FALSE,"Tickmarks"}</definedName>
    <definedName name="ASNIDA" hidden="1">{#N/A,#N/A,FALSE,"Aging Summary";#N/A,#N/A,FALSE,"Ratio Analysis";#N/A,#N/A,FALSE,"Test 120 Day Accts";#N/A,#N/A,FALSE,"Tickmarks"}</definedName>
    <definedName name="asqq" hidden="1">#REF!</definedName>
    <definedName name="a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t"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r"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RASO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TID2005" hidden="1">{#N/A,#N/A,FALSE,"Aging Summary";#N/A,#N/A,FALSE,"Ratio Analysis";#N/A,#N/A,FALSE,"Test 120 Day Accts";#N/A,#N/A,FALSE,"Tickmarks"}</definedName>
    <definedName name="aumentame" hidden="1">{#N/A,#N/A,FALSE,"Aging Summary";#N/A,#N/A,FALSE,"Ratio Analysis";#N/A,#N/A,FALSE,"Test 120 Day Accts";#N/A,#N/A,FALSE,"Tickmarks"}</definedName>
    <definedName name="AUS_P_L" localSheetId="2">#REF!</definedName>
    <definedName name="AUS_P_L" localSheetId="3">#REF!</definedName>
    <definedName name="AUS_P_L">#REF!</definedName>
    <definedName name="ausdha7" hidden="1">{#N/A,#N/A,FALSE,"Aging Summary";#N/A,#N/A,FALSE,"Ratio Analysis";#N/A,#N/A,FALSE,"Test 120 Day Accts";#N/A,#N/A,FALSE,"Tickmarks"}</definedName>
    <definedName name="auto" hidden="1">{#N/A,#N/A,FALSE,"Aging Summary";#N/A,#N/A,FALSE,"Ratio Analysis";#N/A,#N/A,FALSE,"Test 120 Day Accts";#N/A,#N/A,FALSE,"Tickmarks"}</definedName>
    <definedName name="auto1" hidden="1">{#N/A,#N/A,FALSE,"Aging Summary";#N/A,#N/A,FALSE,"Ratio Analysis";#N/A,#N/A,FALSE,"Test 120 Day Accts";#N/A,#N/A,FALSE,"Tickmarks"}</definedName>
    <definedName name="auto2" hidden="1">{#N/A,#N/A,FALSE,"Aging Summary";#N/A,#N/A,FALSE,"Ratio Analysis";#N/A,#N/A,FALSE,"Test 120 Day Accts";#N/A,#N/A,FALSE,"Tickmarks"}</definedName>
    <definedName name="auto3" hidden="1">{#N/A,#N/A,FALSE,"Aging Summary";#N/A,#N/A,FALSE,"Ratio Analysis";#N/A,#N/A,FALSE,"Test 120 Day Accts";#N/A,#N/A,FALSE,"Tickmarks"}</definedName>
    <definedName name="auto4" hidden="1">{#N/A,#N/A,FALSE,"Aging Summary";#N/A,#N/A,FALSE,"Ratio Analysis";#N/A,#N/A,FALSE,"Test 120 Day Accts";#N/A,#N/A,FALSE,"Tickmarks"}</definedName>
    <definedName name="auto5"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auto6" hidden="1">{#N/A,#N/A,FALSE,"Aging Summary";#N/A,#N/A,FALSE,"Ratio Analysis";#N/A,#N/A,FALSE,"Test 120 Day Accts";#N/A,#N/A,FALSE,"Tickmarks"}</definedName>
    <definedName name="auto7" hidden="1">{#N/A,#N/A,FALSE,"Aging Summary";#N/A,#N/A,FALSE,"Ratio Analysis";#N/A,#N/A,FALSE,"Test 120 Day Accts";#N/A,#N/A,FALSE,"Tickmarks"}</definedName>
    <definedName name="auto8" hidden="1">{"'DIFPRE'!$A$2:$M$54"}</definedName>
    <definedName name="auto9" hidden="1">{"'DIFPRE'!$A$2:$M$54"}</definedName>
    <definedName name="autos1" hidden="1">{#N/A,#N/A,FALSE,"Aging Summary";#N/A,#N/A,FALSE,"Ratio Analysis";#N/A,#N/A,FALSE,"Test 120 Day Accts";#N/A,#N/A,FALSE,"Tickmarks"}</definedName>
    <definedName name="autos2" hidden="1">{#N/A,#N/A,FALSE,"Aging Summary";#N/A,#N/A,FALSE,"Ratio Analysis";#N/A,#N/A,FALSE,"Test 120 Day Accts";#N/A,#N/A,FALSE,"Tickmarks"}</definedName>
    <definedName name="autos4" hidden="1">{#N/A,#N/A,FALSE,"Aging Summary";#N/A,#N/A,FALSE,"Ratio Analysis";#N/A,#N/A,FALSE,"Test 120 Day Accts";#N/A,#N/A,FALSE,"Tickmarks"}</definedName>
    <definedName name="autos8" hidden="1">{#N/A,#N/A,FALSE,"Aging Summary";#N/A,#N/A,FALSE,"Ratio Analysis";#N/A,#N/A,FALSE,"Test 120 Day Accts";#N/A,#N/A,FALSE,"Tickmarks"}</definedName>
    <definedName name="ayer" hidden="1">{#N/A,#N/A,FALSE,"Aging Summary";#N/A,#N/A,FALSE,"Ratio Analysis";#N/A,#N/A,FALSE,"Test 120 Day Accts";#N/A,#N/A,FALSE,"Tickmarks"}</definedName>
    <definedName name="ayer1" hidden="1">{#N/A,#N/A,FALSE,"Aging Summary";#N/A,#N/A,FALSE,"Ratio Analysis";#N/A,#N/A,FALSE,"Test 120 Day Accts";#N/A,#N/A,FALSE,"Tickmarks"}</definedName>
    <definedName name="ayer2" hidden="1">{#N/A,#N/A,FALSE,"Aging Summary";#N/A,#N/A,FALSE,"Ratio Analysis";#N/A,#N/A,FALSE,"Test 120 Day Accts";#N/A,#N/A,FALSE,"Tickmarks"}</definedName>
    <definedName name="ayer4" hidden="1">{#N/A,#N/A,FALSE,"Aging Summary";#N/A,#N/A,FALSE,"Ratio Analysis";#N/A,#N/A,FALSE,"Test 120 Day Accts";#N/A,#N/A,FALSE,"Tickmarks"}</definedName>
    <definedName name="ayer5" hidden="1">{#N/A,#N/A,FALSE,"Aging Summary";#N/A,#N/A,FALSE,"Ratio Analysis";#N/A,#N/A,FALSE,"Test 120 Day Accts";#N/A,#N/A,FALSE,"Tickmarks"}</definedName>
    <definedName name="ayer6" hidden="1">{#N/A,#N/A,FALSE,"Aging Summary";#N/A,#N/A,FALSE,"Ratio Analysis";#N/A,#N/A,FALSE,"Test 120 Day Accts";#N/A,#N/A,FALSE,"Tickmarks"}</definedName>
    <definedName name="ayer7" hidden="1">{#N/A,#N/A,FALSE,"Aging Summary";#N/A,#N/A,FALSE,"Ratio Analysis";#N/A,#N/A,FALSE,"Test 120 Day Accts";#N/A,#N/A,FALSE,"Tickmarks"}</definedName>
    <definedName name="ayer8" hidden="1">{#N/A,#N/A,FALSE,"Aging Summary";#N/A,#N/A,FALSE,"Ratio Analysis";#N/A,#N/A,FALSE,"Test 120 Day Accts";#N/A,#N/A,FALSE,"Tickmarks"}</definedName>
    <definedName name="ayer9" hidden="1">{#N/A,#N/A,FALSE,"Aging Summary";#N/A,#N/A,FALSE,"Ratio Analysis";#N/A,#N/A,FALSE,"Test 120 Day Accts";#N/A,#N/A,FALSE,"Tickmarks"}</definedName>
    <definedName name="AYRS" hidden="1">{#N/A,#N/A,FALSE,"Aging Summary";#N/A,#N/A,FALSE,"Ratio Analysis";#N/A,#N/A,FALSE,"Test 120 Day Accts";#N/A,#N/A,FALSE,"Tickmarks"}</definedName>
    <definedName name="ayue" hidden="1">{#N/A,#N/A,FALSE,"Aging Summary";#N/A,#N/A,FALSE,"Ratio Analysis";#N/A,#N/A,FALSE,"Test 120 Day Accts";#N/A,#N/A,FALSE,"Tickmarks"}</definedName>
    <definedName name="az" hidden="1">#REF!</definedName>
    <definedName name="AZSSS" hidden="1">{#N/A,#N/A,FALSE,"Aging Summary";#N/A,#N/A,FALSE,"Ratio Analysis";#N/A,#N/A,FALSE,"Test 120 Day Accts";#N/A,#N/A,FALSE,"Tickmarks"}</definedName>
    <definedName name="azzazaz" hidden="1">{#N/A,#N/A,FALSE,"Aging Summary";#N/A,#N/A,FALSE,"Ratio Analysis";#N/A,#N/A,FALSE,"Test 120 Day Accts";#N/A,#N/A,FALSE,"Tickmarks"}</definedName>
    <definedName name="B" localSheetId="2">#REF!</definedName>
    <definedName name="B" localSheetId="3">#REF!</definedName>
    <definedName name="B">#REF!</definedName>
    <definedName name="BAL_SHEET" localSheetId="2">#REF!</definedName>
    <definedName name="BAL_SHEET" localSheetId="3">#REF!</definedName>
    <definedName name="BAL_SHEET">#REF!</definedName>
    <definedName name="bala" hidden="1">{#N/A,#N/A,FALSE,"balance";#N/A,#N/A,FALSE,"P&amp;L";#N/A,#N/A,FALSE,"Equity";#N/A,#N/A,FALSE,"cash flow";#N/A,#N/A,FALSE,"bienes uso";#N/A,#N/A,FALSE,"intangibles";#N/A,#N/A,FALSE,"P&amp;L MD&amp;A";#N/A,#N/A,FALSE,"breakdown";#N/A,#N/A,FALSE,"stat ratios"}</definedName>
    <definedName name="BAÑO" hidden="1">{#N/A,#N/A,FALSE,"Aging Summary";#N/A,#N/A,FALSE,"Ratio Analysis";#N/A,#N/A,FALSE,"Test 120 Day Accts";#N/A,#N/A,FALSE,"Tickmarks"}</definedName>
    <definedName name="basta" hidden="1">{#N/A,#N/A,FALSE,"Aging Summary";#N/A,#N/A,FALSE,"Ratio Analysis";#N/A,#N/A,FALSE,"Test 120 Day Accts";#N/A,#N/A,FALSE,"Tickmarks"}</definedName>
    <definedName name="basta1" hidden="1">#REF!</definedName>
    <definedName name="basta2" hidden="1">{#N/A,#N/A,FALSE,"Aging Summary";#N/A,#N/A,FALSE,"Ratio Analysis";#N/A,#N/A,FALSE,"Test 120 Day Accts";#N/A,#N/A,FALSE,"Tickmarks"}</definedName>
    <definedName name="bastaa" hidden="1">{#N/A,#N/A,FALSE,"Aging Summary";#N/A,#N/A,FALSE,"Ratio Analysis";#N/A,#N/A,FALSE,"Test 120 Day Accts";#N/A,#N/A,FALSE,"Tickmarks"}</definedName>
    <definedName name="bastadale" hidden="1">{#N/A,#N/A,FALSE,"Aging Summary";#N/A,#N/A,FALSE,"Ratio Analysis";#N/A,#N/A,FALSE,"Test 120 Day Accts";#N/A,#N/A,FALSE,"Tickmarks"}</definedName>
    <definedName name="bastadeunavez" hidden="1">{#N/A,#N/A,FALSE,"Aging Summary";#N/A,#N/A,FALSE,"Ratio Analysis";#N/A,#N/A,FALSE,"Test 120 Day Accts";#N/A,#N/A,FALSE,"Tickmarks"}</definedName>
    <definedName name="batman" hidden="1">{#N/A,#N/A,FALSE,"Aging Summary";#N/A,#N/A,FALSE,"Ratio Analysis";#N/A,#N/A,FALSE,"Test 120 Day Accts";#N/A,#N/A,FALSE,"Tickmarks"}</definedName>
    <definedName name="BB"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bbb" hidden="1">{#N/A,#N/A,FALSE,"LLAVE";#N/A,#N/A,FALSE,"EERR";#N/A,#N/A,FALSE,"ESP";#N/A,#N/A,FALSE,"EOAF";#N/A,#N/A,FALSE,"CASH";#N/A,#N/A,FALSE,"FINANZAS";#N/A,#N/A,FALSE,"DEUDA";#N/A,#N/A,FALSE,"INVERSION";#N/A,#N/A,FALSE,"PERSONAL"}</definedName>
    <definedName name="bbbb" hidden="1">{#N/A,#N/A,FALSE,"Aging Summary";#N/A,#N/A,FALSE,"Ratio Analysis";#N/A,#N/A,FALSE,"Test 120 Day Accts";#N/A,#N/A,FALSE,"Tickmarks"}</definedName>
    <definedName name="BBBBB" hidden="1">{#N/A,#N/A,FALSE,"BHA"}</definedName>
    <definedName name="bbbbbb" hidden="1">{#N/A,#N/A,FALSE,"5""DP  "}</definedName>
    <definedName name="bbbbbbbb" hidden="1">{#N/A,#N/A,FALSE,"Aging Summary";#N/A,#N/A,FALSE,"Ratio Analysis";#N/A,#N/A,FALSE,"Test 120 Day Accts";#N/A,#N/A,FALSE,"Tickmarks"}</definedName>
    <definedName name="bbbbbbbbbbb" hidden="1">{#N/A,#N/A,FALSE,"Aging Summary";#N/A,#N/A,FALSE,"Ratio Analysis";#N/A,#N/A,FALSE,"Test 120 Day Accts";#N/A,#N/A,FALSE,"Tickmarks"}</definedName>
    <definedName name="BBBBBBBBBBBB" hidden="1">{#N/A,#N/A,FALSE,"Aging Summary";#N/A,#N/A,FALSE,"Ratio Analysis";#N/A,#N/A,FALSE,"Test 120 Day Accts";#N/A,#N/A,FALSE,"Tickmarks"}</definedName>
    <definedName name="BBBBBBBBBBBBB" hidden="1">{#N/A,#N/A,FALSE,"Aging Summary";#N/A,#N/A,FALSE,"Ratio Analysis";#N/A,#N/A,FALSE,"Test 120 Day Accts";#N/A,#N/A,FALSE,"Tickmarks"}</definedName>
    <definedName name="bbbbbbbbbbbbbbbbbbbbbbbb" hidden="1">{#N/A,#N/A,FALSE,"Aging Summary";#N/A,#N/A,FALSE,"Ratio Analysis";#N/A,#N/A,FALSE,"Test 120 Day Accts";#N/A,#N/A,FALSE,"Tickmarks"}</definedName>
    <definedName name="Bca" hidden="1">{#N/A,#N/A,FALSE,"SUBSIDIARIAS"}</definedName>
    <definedName name="bcebce" hidden="1">#REF!</definedName>
    <definedName name="bcebceubce" hidden="1">#REF!</definedName>
    <definedName name="bcebec" hidden="1">#REF!</definedName>
    <definedName name="bcrubcr" hidden="1">#REF!</definedName>
    <definedName name="bcubce" hidden="1">#REF!</definedName>
    <definedName name="bcxebce" hidden="1">#REF!</definedName>
    <definedName name="BDASDBA5" hidden="1">{#N/A,#N/A,FALSE,"Aging Summary";#N/A,#N/A,FALSE,"Ratio Analysis";#N/A,#N/A,FALSE,"Test 120 Day Accts";#N/A,#N/A,FALSE,"Tickmarks"}</definedName>
    <definedName name="BEBE" hidden="1">{#N/A,#N/A,FALSE,"Aging Summary";#N/A,#N/A,FALSE,"Ratio Analysis";#N/A,#N/A,FALSE,"Test 120 Day Accts";#N/A,#N/A,FALSE,"Tickmarks"}</definedName>
    <definedName name="betsa" hidden="1">{#N/A,#N/A,FALSE,"Aging Summary";#N/A,#N/A,FALSE,"Ratio Analysis";#N/A,#N/A,FALSE,"Test 120 Day Accts";#N/A,#N/A,FALSE,"Tickmarks"}</definedName>
    <definedName name="betsabe" hidden="1">{#N/A,#N/A,FALSE,"Aging Summary";#N/A,#N/A,FALSE,"Ratio Analysis";#N/A,#N/A,FALSE,"Test 120 Day Accts";#N/A,#N/A,FALSE,"Tickmarks"}</definedName>
    <definedName name="BEx02W027EKHE75IQMI4ND2YKR8D" hidden="1">#REF!</definedName>
    <definedName name="BEx1IBBWKG3FQ6TE7TU42PY8L8XT" hidden="1">#REF!</definedName>
    <definedName name="BEx1UY4HRR226IRLQNOEWM74YLDJ" hidden="1">#REF!</definedName>
    <definedName name="BEx3DWDHY9LTG55UQ47ZC2M86O76" hidden="1">#REF!</definedName>
    <definedName name="BEx3K1UQPIGYEVJZ7YI0Q766WXMT" hidden="1">#REF!</definedName>
    <definedName name="BEx3NYV12VZJ5ZOGC0L0FGQFXXTH" hidden="1">#REF!</definedName>
    <definedName name="BEx3OKFWRDJCZBQXFH4GKJCGXSZ7" hidden="1">#REF!</definedName>
    <definedName name="BEx3Q0AI1GMMZU4RFXM8V15A800B" hidden="1">#REF!</definedName>
    <definedName name="BEx3T7830WJ6ASRIF4RGZ5ZT0E67" hidden="1">#REF!</definedName>
    <definedName name="BEx5G62VMSHX4U9P1PYAG5GUNA04" hidden="1">#REF!</definedName>
    <definedName name="BEx5IRFS2WEHP9X39052S6HH02D2" hidden="1">#REF!</definedName>
    <definedName name="BEx5L61TUF3MO9SR8FEZ56I5DMI4" hidden="1">#REF!</definedName>
    <definedName name="BEx5M7D24REYY9ZZBXGE5GEOC7GO" hidden="1">#REF!</definedName>
    <definedName name="BEx5OVF1ZO04W8VACKIWLXW6EMO2" hidden="1">#REF!</definedName>
    <definedName name="BEx74ESI8I3TPV267LS9IEITCFWZ" hidden="1">#REF!</definedName>
    <definedName name="BEx7GXZPS68SADFZELR6K7027GD8" hidden="1">#REF!</definedName>
    <definedName name="BEx7H38H7A0YYF2CIC579ZVCPI5O" hidden="1">#REF!</definedName>
    <definedName name="BEx7JIQW48905OE6N0EPGR2HBPSO" hidden="1">#REF!</definedName>
    <definedName name="BEx8ZIAZBW4IPMJX9YPV626X9IRX" hidden="1">#REF!</definedName>
    <definedName name="BEx96SJM9YISRGYMJ71ORYLFFSAO" hidden="1">#REF!</definedName>
    <definedName name="BEx9E3Z8GWP6MPP0IHRTL8M4VSWK" hidden="1">#REF!</definedName>
    <definedName name="BEx9FQ9PTMA15QX37S30KM4WUTCB" hidden="1">#REF!</definedName>
    <definedName name="BEx9H4GWMMKJ2JA139D2922HT0HG" hidden="1">#REF!</definedName>
    <definedName name="BExB5AS7N5H8CULS15ZSE3XKKI28" hidden="1">#REF!</definedName>
    <definedName name="BExB8E4APXHQ61I88UIMAQ07HIR2" hidden="1">#REF!</definedName>
    <definedName name="BExD5DD9LP406JV00QBON3OH1EF1" hidden="1">#REF!</definedName>
    <definedName name="BExDBGG6CE7L5DS09VAU3YY5IJLV" hidden="1">#REF!</definedName>
    <definedName name="BExEYQUHJ26IT2BJP3VRYQZHVZ4E" hidden="1">#REF!</definedName>
    <definedName name="BExF2AYREXJUWUFJ7FO47M6CSRWE" hidden="1">#REF!</definedName>
    <definedName name="BExF3AHA1O54L9W1MMO3F98OPY3Q" hidden="1">#REF!</definedName>
    <definedName name="BExF4RDK5MXBOW04Y4T3O4YSPSK0" hidden="1">#REF!</definedName>
    <definedName name="BExGSZC59XVHYUV17LECKX2AIS26" hidden="1">#REF!</definedName>
    <definedName name="BExGTEX8EI6MZJFP2HCABP8VFJM8" hidden="1">#REF!</definedName>
    <definedName name="BExGYISE7DO37I33FSB8IPCAL0JT" hidden="1">#REF!</definedName>
    <definedName name="BExIKOKRBJ85M2T5N8FW5Z9VMWAV" hidden="1">#REF!</definedName>
    <definedName name="BExINVIDFXY29ZICNUP14YUJUHV0" hidden="1">#REF!</definedName>
    <definedName name="BExIS0WQJFLQ4S8A76GEQ0P6F1TL" hidden="1">#REF!</definedName>
    <definedName name="BExITI3TOYPNE6MEYWB1JEDUCW96" hidden="1">#REF!</definedName>
    <definedName name="BExIXD0KJIEXR5YCYXSG6EOFP0YE" hidden="1">#REF!</definedName>
    <definedName name="BExIXFEVU135G5ASK504TNUJL9Z7" hidden="1">#REF!</definedName>
    <definedName name="BExKSFBXKI7BS5172WP8CW561FXA" hidden="1">#REF!</definedName>
    <definedName name="BExMLTUZEV59MB1M9TN5KIEJS17S" hidden="1">#REF!</definedName>
    <definedName name="BExMQJHKCPD5FKV0OH9PT1DJU2R8" hidden="1">#REF!</definedName>
    <definedName name="BExO5Z48HJZDCCDIPF0X3TXEU6Z6" hidden="1">#REF!</definedName>
    <definedName name="BExO7UJRMWHGMN0U5U6DRT0U27KW" hidden="1">#REF!</definedName>
    <definedName name="BExOBE7Z0CF0XADLDOKGFXT4CRWL" hidden="1">#REF!</definedName>
    <definedName name="BExOE77WRI8QPHLO0Q9JBG9J0R32" hidden="1">#REF!</definedName>
    <definedName name="BExOHGEIG2AI51QFVCIWZ802X007" hidden="1">#REF!</definedName>
    <definedName name="BExQBYCC533BQAV3O1VSEYYP418X" hidden="1">#REF!</definedName>
    <definedName name="BExQCLV12C363WO5FAIDSQ32V6K4" hidden="1">#REF!</definedName>
    <definedName name="BExQHVQ0XBUZRX3WK0MAXK4NBWKB" hidden="1">#REF!</definedName>
    <definedName name="BExS1N75KPDULLF675S9YY4CV9YX" hidden="1">#REF!</definedName>
    <definedName name="BExS6BMMYX8W4QOG3LAPKDX0Z6LW" hidden="1">#REF!</definedName>
    <definedName name="BExU8A8RQ93B0QO3J0L4ODRG3Z25" hidden="1">#REF!</definedName>
    <definedName name="BExVVLJFYXOYC7GWNKLARUI6WEQG" hidden="1">#REF!</definedName>
    <definedName name="BExVYNDRT16RKIYVRJLU0IV5GOCC" hidden="1">#REF!</definedName>
    <definedName name="BExW3AGJWU5YRJ96E7ECA0L2NL3J" hidden="1">#REF!</definedName>
    <definedName name="BExW3YL824Q9JXIO30MM4XOIZGN0" hidden="1">#REF!</definedName>
    <definedName name="BExW573FFZCBQ7WOCSVMVSIYRIIU" hidden="1">#REF!</definedName>
    <definedName name="BExXPGUJTIHIMT2HDGQRVQ4YYO5G" hidden="1">#REF!</definedName>
    <definedName name="BExXRC4PNQF7QV8TN100E4EL03VR" hidden="1">#REF!</definedName>
    <definedName name="BExXTLY3UL39LI570BI0ZDJOA2UG" hidden="1">#REF!</definedName>
    <definedName name="BExXTZFP2S9OPE4IM210QBJYSGH9" hidden="1">#REF!</definedName>
    <definedName name="BExXVBU4HO8HR5H6ECLV7KBSWSGA" hidden="1">#REF!</definedName>
    <definedName name="BExXVI9ZLQE0KWVU4AYA0RCGC13M" hidden="1">#REF!</definedName>
    <definedName name="BExZLLZ0J5B8IBMH6C5D1CP5CF4N" hidden="1">#REF!</definedName>
    <definedName name="BExZMXXD4XSFGLPZ5KEMB0P0V8ER" hidden="1">#REF!</definedName>
    <definedName name="BExZMYTRGEI94DZ99I30W3V514YK" hidden="1">#REF!</definedName>
    <definedName name="BExZPFZFTG5C51QB3MNY856EFIAD" hidden="1">#REF!</definedName>
    <definedName name="BExZR6X9B4J3GFGCZGUXC9YWQ1A6" hidden="1">#REF!</definedName>
    <definedName name="bffeee" hidden="1">#REF!</definedName>
    <definedName name="BG" hidden="1">{#N/A,#N/A,FALSE,"Aging Summary";#N/A,#N/A,FALSE,"Ratio Analysis";#N/A,#N/A,FALSE,"Test 120 Day Accts";#N/A,#N/A,FALSE,"Tickmarks"}</definedName>
    <definedName name="BG_Del" hidden="1">15</definedName>
    <definedName name="BG_Ins" hidden="1">4</definedName>
    <definedName name="BG_Mod" hidden="1">6</definedName>
    <definedName name="bgbgdbgbgd" hidden="1">#REF!</definedName>
    <definedName name="BGG" hidden="1">{#N/A,#N/A,FALSE,"Aging Summary";#N/A,#N/A,FALSE,"Ratio Analysis";#N/A,#N/A,FALSE,"Test 120 Day Accts";#N/A,#N/A,FALSE,"Tickmarks"}</definedName>
    <definedName name="bgh" hidden="1">{#N/A,#N/A,FALSE,"UDIS SEPT 96"}</definedName>
    <definedName name="bgmmgb" hidden="1">{#N/A,#N/A,FALSE,"Aging Summary";#N/A,#N/A,FALSE,"Ratio Analysis";#N/A,#N/A,FALSE,"Test 120 Day Accts";#N/A,#N/A,FALSE,"Tickmarks"}</definedName>
    <definedName name="bieeeen" hidden="1">{#N/A,#N/A,FALSE,"Aging Summary";#N/A,#N/A,FALSE,"Ratio Analysis";#N/A,#N/A,FALSE,"Test 120 Day Accts";#N/A,#N/A,FALSE,"Tickmarks"}</definedName>
    <definedName name="biene" hidden="1">{#N/A,#N/A,FALSE,"balance";#N/A,#N/A,FALSE,"P&amp;L";#N/A,#N/A,FALSE,"Equity";#N/A,#N/A,FALSE,"cash flow";#N/A,#N/A,FALSE,"bienes uso";#N/A,#N/A,FALSE,"intangibles";#N/A,#N/A,FALSE,"P&amp;L MD&amp;A";#N/A,#N/A,FALSE,"breakdown";#N/A,#N/A,FALSE,"stat ratios"}</definedName>
    <definedName name="bienes" hidden="1">#REF!</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7" hidden="1">#REF!</definedName>
    <definedName name="BLPH15" hidden="1">#REF!</definedName>
    <definedName name="BLPH18" hidden="1">#REF!</definedName>
    <definedName name="BLPH19" hidden="1">#REF!</definedName>
    <definedName name="BLPH2" hidden="1">#REF!</definedName>
    <definedName name="BLPH20" hidden="1">#REF!</definedName>
    <definedName name="BLPH3" hidden="1">#REF!</definedName>
    <definedName name="BLPH4" hidden="1">#REF!</definedName>
    <definedName name="BLPH44"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6" hidden="1">#REF!</definedName>
    <definedName name="BLPH7" hidden="1">#REF!</definedName>
    <definedName name="BLPH8" hidden="1">#REF!</definedName>
    <definedName name="BLPH96" hidden="1">#REF!</definedName>
    <definedName name="BLPH97" hidden="1">#REF!</definedName>
    <definedName name="BLPH98" hidden="1">#REF!</definedName>
    <definedName name="BLPH99" hidden="1">#REF!</definedName>
    <definedName name="bn" hidden="1">{#N/A,#N/A,FALSE,"Aging Summary";#N/A,#N/A,FALSE,"Ratio Analysis";#N/A,#N/A,FALSE,"Test 120 Day Accts";#N/A,#N/A,FALSE,"Tickmarks"}</definedName>
    <definedName name="bnb" hidden="1">{#N/A,#N/A,FALSE,"5""DP  "}</definedName>
    <definedName name="bndbvdfv" hidden="1">{#N/A,#N/A,FALSE,"OBLIG.S-CAPITAL"}</definedName>
    <definedName name="borra" localSheetId="2" hidden="1">{#N/A,#N/A,FALSE,"Aging Summary";#N/A,#N/A,FALSE,"Ratio Analysis";#N/A,#N/A,FALSE,"Test 120 Day Accts";#N/A,#N/A,FALSE,"Tickmarks"}</definedName>
    <definedName name="borra" localSheetId="3" hidden="1">{#N/A,#N/A,FALSE,"Aging Summary";#N/A,#N/A,FALSE,"Ratio Analysis";#N/A,#N/A,FALSE,"Test 120 Day Accts";#N/A,#N/A,FALSE,"Tickmarks"}</definedName>
    <definedName name="borra" localSheetId="0" hidden="1">{#N/A,#N/A,FALSE,"Aging Summary";#N/A,#N/A,FALSE,"Ratio Analysis";#N/A,#N/A,FALSE,"Test 120 Day Accts";#N/A,#N/A,FALSE,"Tickmarks"}</definedName>
    <definedName name="borra" hidden="1">{#N/A,#N/A,FALSE,"Aging Summary";#N/A,#N/A,FALSE,"Ratio Analysis";#N/A,#N/A,FALSE,"Test 120 Day Accts";#N/A,#N/A,FALSE,"Tickmarks"}</definedName>
    <definedName name="borra1" hidden="1">{#N/A,#N/A,FALSE,"Aging Summary";#N/A,#N/A,FALSE,"Ratio Analysis";#N/A,#N/A,FALSE,"Test 120 Day Accts";#N/A,#N/A,FALSE,"Tickmarks"}</definedName>
    <definedName name="bptkbtpbt" hidden="1">{#N/A,#N/A,FALSE,"Aging Summary";#N/A,#N/A,FALSE,"Ratio Analysis";#N/A,#N/A,FALSE,"Test 120 Day Accts";#N/A,#N/A,FALSE,"Tickmarks"}</definedName>
    <definedName name="bptlpb" hidden="1">{#N/A,#N/A,FALSE,"Aging Summary";#N/A,#N/A,FALSE,"Ratio Analysis";#N/A,#N/A,FALSE,"Test 120 Day Accts";#N/A,#N/A,FALSE,"Tickmarks"}</definedName>
    <definedName name="bria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2.1" hidden="1">{#N/A,#N/A,FALSE,"Aging Summary";#N/A,#N/A,FALSE,"Ratio Analysis";#N/A,#N/A,FALSE,"Test 120 Day Accts";#N/A,#N/A,FALSE,"Tickmarks"}</definedName>
    <definedName name="BS\21" hidden="1">{#N/A,#N/A,FALSE,"Aging Summary";#N/A,#N/A,FALSE,"Ratio Analysis";#N/A,#N/A,FALSE,"Test 120 Day Accts";#N/A,#N/A,FALSE,"Tickmarks"}</definedName>
    <definedName name="bsssss" hidden="1">{"custodia",#N/A,FALSE,"Encaje";"encajeprint",#N/A,FALSE,"Encaje"}</definedName>
    <definedName name="bsuso" hidden="1">{#N/A,#N/A,FALSE,"Aging Summary";#N/A,#N/A,FALSE,"Ratio Analysis";#N/A,#N/A,FALSE,"Test 120 Day Accts";#N/A,#N/A,FALSE,"Tickmarks"}</definedName>
    <definedName name="bu" hidden="1">#REF!</definedName>
    <definedName name="buen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bueno1" hidden="1">{#N/A,#N/A,FALSE,"Aging Summary";#N/A,#N/A,FALSE,"Ratio Analysis";#N/A,#N/A,FALSE,"Test 120 Day Accts";#N/A,#N/A,FALSE,"Tickmarks"}</definedName>
    <definedName name="bueno3" hidden="1">{#N/A,#N/A,FALSE,"Aging Summary";#N/A,#N/A,FALSE,"Ratio Analysis";#N/A,#N/A,FALSE,"Test 120 Day Accts";#N/A,#N/A,FALSE,"Tickmarks"}</definedName>
    <definedName name="bueno4" hidden="1">{#N/A,#N/A,FALSE,"Aging Summary";#N/A,#N/A,FALSE,"Ratio Analysis";#N/A,#N/A,FALSE,"Test 120 Day Accts";#N/A,#N/A,FALSE,"Tickmarks"}</definedName>
    <definedName name="bueno6" hidden="1">{#N/A,#N/A,FALSE,"Aging Summary";#N/A,#N/A,FALSE,"Ratio Analysis";#N/A,#N/A,FALSE,"Test 120 Day Accts";#N/A,#N/A,FALSE,"Tickmarks"}</definedName>
    <definedName name="buenochau" hidden="1">{#N/A,#N/A,FALSE,"Aging Summary";#N/A,#N/A,FALSE,"Ratio Analysis";#N/A,#N/A,FALSE,"Test 120 Day Accts";#N/A,#N/A,FALSE,"Tickmarks"}</definedName>
    <definedName name="buenochau1" hidden="1">{#N/A,#N/A,FALSE,"Aging Summary";#N/A,#N/A,FALSE,"Ratio Analysis";#N/A,#N/A,FALSE,"Test 120 Day Accts";#N/A,#N/A,FALSE,"Tickmarks"}</definedName>
    <definedName name="buenochau2" hidden="1">{#N/A,#N/A,FALSE,"Aging Summary";#N/A,#N/A,FALSE,"Ratio Analysis";#N/A,#N/A,FALSE,"Test 120 Day Accts";#N/A,#N/A,FALSE,"Tickmarks"}</definedName>
    <definedName name="bu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undi" hidden="1">{#N/A,#N/A,TRUE,"INDICE";#N/A,#N/A,TRUE,"Variables";#N/A,#N/A,TRUE,"Cdro_Rtado";#N/A,#N/A,TRUE,"Patrim";#N/A,#N/A,TRUE,"Cash Flow";#N/A,#N/A,TRUE,"Cobranza";#N/A,#N/A,TRUE,"Resumen Gs.";#N/A,#N/A,TRUE,"Gs Comerc";#N/A,#N/A,TRUE,"Gs Administ";#N/A,#N/A,TRUE,"Gs Explot";#N/A,#N/A,TRUE,"Gs Personal";#N/A,#N/A,TRUE,"Inver."}</definedName>
    <definedName name="bv" hidden="1">{"Of1",#N/A,TRUE,"Hoja1";"Of2",#N/A,TRUE,"Hoja1";"Of3",#N/A,TRUE,"Hoja1";"Of4",#N/A,TRUE,"Hoja1";"Of5",#N/A,TRUE,"Hoja1";"Of6",#N/A,TRUE,"Hoja1";"Of7",#N/A,TRUE,"Hoja1";"Of8",#N/A,TRUE,"Hoja1";"Of9",#N/A,TRUE,"Hoja1";"Com2",#N/A,TRUE,"Compara";"Com3",#N/A,TRUE,"Compara";"Com1",#N/A,TRUE,"Compara"}</definedName>
    <definedName name="bvcxx" hidden="1">#REF!</definedName>
    <definedName name="BVG" hidden="1">{#N/A,#N/A,FALSE,"Aging Summary";#N/A,#N/A,FALSE,"Ratio Analysis";#N/A,#N/A,FALSE,"Test 120 Day Accts";#N/A,#N/A,FALSE,"Tickmarks"}</definedName>
    <definedName name="bvrurb" hidden="1">#REF!</definedName>
    <definedName name="bvurbvr" hidden="1">#REF!</definedName>
    <definedName name="bvurr" hidden="1">#REF!</definedName>
    <definedName name="bvurvr" hidden="1">#REF!</definedName>
    <definedName name="bx" hidden="1">{#N/A,#N/A,FALSE,"LLAVE";#N/A,#N/A,FALSE,"EERR";#N/A,#N/A,FALSE,"ESP";#N/A,#N/A,FALSE,"EOAF";#N/A,#N/A,FALSE,"CASH";#N/A,#N/A,FALSE,"FINANZAS";#N/A,#N/A,FALSE,"DEUDA";#N/A,#N/A,FALSE,"INVERSION";#N/A,#N/A,FALSE,"PERSONAL"}</definedName>
    <definedName name="bxuxbeuex" hidden="1">#REF!</definedName>
    <definedName name="C_" localSheetId="2">#REF!</definedName>
    <definedName name="C_" localSheetId="3">#REF!</definedName>
    <definedName name="C_">#REF!</definedName>
    <definedName name="caaaaaaan" hidden="1">{#N/A,#N/A,FALSE,"Aging Summary";#N/A,#N/A,FALSE,"Ratio Analysis";#N/A,#N/A,FALSE,"Test 120 Day Accts";#N/A,#N/A,FALSE,"Tickmarks"}</definedName>
    <definedName name="caca" hidden="1">{#N/A,#N/A,FALSE,"Aging Summary";#N/A,#N/A,FALSE,"Ratio Analysis";#N/A,#N/A,FALSE,"Test 120 Day Accts";#N/A,#N/A,FALSE,"Tickmarks"}</definedName>
    <definedName name="caja" hidden="1">{#N/A,#N/A,FALSE,"Aging Summary";#N/A,#N/A,FALSE,"Ratio Analysis";#N/A,#N/A,FALSE,"Test 120 Day Accts";#N/A,#N/A,FALSE,"Tickmarks"}</definedName>
    <definedName name="caja1" hidden="1">{#N/A,#N/A,FALSE,"Aging Summary";#N/A,#N/A,FALSE,"Ratio Analysis";#N/A,#N/A,FALSE,"Test 120 Day Accts";#N/A,#N/A,FALSE,"Tickmarks"}</definedName>
    <definedName name="caja2" hidden="1">{#N/A,#N/A,FALSE,"Aging Summary";#N/A,#N/A,FALSE,"Ratio Analysis";#N/A,#N/A,FALSE,"Test 120 Day Accts";#N/A,#N/A,FALSE,"Tickmarks"}</definedName>
    <definedName name="caja3" hidden="1">{#N/A,#N/A,FALSE,"Aging Summary";#N/A,#N/A,FALSE,"Ratio Analysis";#N/A,#N/A,FALSE,"Test 120 Day Accts";#N/A,#N/A,FALSE,"Tickmarks"}</definedName>
    <definedName name="caja4" hidden="1">{#N/A,#N/A,FALSE,"Aging Summary";#N/A,#N/A,FALSE,"Ratio Analysis";#N/A,#N/A,FALSE,"Test 120 Day Accts";#N/A,#N/A,FALSE,"Tickmarks"}</definedName>
    <definedName name="caja5" hidden="1">{"'DIFPRE'!$A$2:$M$54"}</definedName>
    <definedName name="caja6" hidden="1">{#N/A,#N/A,FALSE,"Aging Summary";#N/A,#N/A,FALSE,"Ratio Analysis";#N/A,#N/A,FALSE,"Test 120 Day Accts";#N/A,#N/A,FALSE,"Tickmarks"}</definedName>
    <definedName name="çalaz" hidden="1">{#N/A,#N/A,FALSE,"Aging Summary";#N/A,#N/A,FALSE,"Ratio Analysis";#N/A,#N/A,FALSE,"Test 120 Day Accts";#N/A,#N/A,FALSE,"Tickmarks"}</definedName>
    <definedName name="cambi" hidden="1">{#N/A,#N/A,FALSE,"Aging Summary";#N/A,#N/A,FALSE,"Ratio Analysis";#N/A,#N/A,FALSE,"Test 120 Day Accts";#N/A,#N/A,FALSE,"Tickmarks"}</definedName>
    <definedName name="cambio" hidden="1">#REF!</definedName>
    <definedName name="ca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po" hidden="1">#REF!</definedName>
    <definedName name="CAPX_AR" localSheetId="2">#REF!</definedName>
    <definedName name="CAPX_AR" localSheetId="3">#REF!</definedName>
    <definedName name="CAPX_AR">#REF!</definedName>
    <definedName name="car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tera"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Catalog" hidden="1">1</definedName>
    <definedName name="catorce" hidden="1">{#N/A,#N/A,FALSE,"Aging Summary";#N/A,#N/A,FALSE,"Ratio Analysis";#N/A,#N/A,FALSE,"Test 120 Day Accts";#N/A,#N/A,FALSE,"Tickmarks"}</definedName>
    <definedName name="cc" hidden="1">{"toptrial",#N/A,TRUE,"toptrial";"adjustment",#N/A,TRUE,"toptrial";"voucher",#N/A,TRUE,"toptrial"}</definedName>
    <definedName name="CCC" hidden="1">#REF!</definedName>
    <definedName name="CCCAAAAA" hidden="1">{#N/A,#N/A,FALSE,"Aging Summary";#N/A,#N/A,FALSE,"Ratio Analysis";#N/A,#N/A,FALSE,"Test 120 Day Accts";#N/A,#N/A,FALSE,"Tickmarks"}</definedName>
    <definedName name="cccc" hidden="1">{#N/A,#N/A,FALSE,"Aging Summary";#N/A,#N/A,FALSE,"Ratio Analysis";#N/A,#N/A,FALSE,"Test 120 Day Accts";#N/A,#N/A,FALSE,"Tickmarks"}</definedName>
    <definedName name="ccccc" hidden="1">{#N/A,#N/A,FALSE,"ENERGIA";#N/A,#N/A,FALSE,"PERDIDAS";#N/A,#N/A,FALSE,"CLIENTES";#N/A,#N/A,FALSE,"ESTADO";#N/A,#N/A,FALSE,"TECNICA"}</definedName>
    <definedName name="ÇÇÇÇÇÇ" hidden="1">{#N/A,#N/A,FALSE,"Aging Summary";#N/A,#N/A,FALSE,"Ratio Analysis";#N/A,#N/A,FALSE,"Test 120 Day Accts";#N/A,#N/A,FALSE,"Tickmarks"}</definedName>
    <definedName name="CCCCCCCC" hidden="1">{#N/A,#N/A,FALSE,"BHA"}</definedName>
    <definedName name="CCCCCCCCCCCC" hidden="1">{#N/A,#N/A,FALSE,"Aging Summary";#N/A,#N/A,FALSE,"Ratio Analysis";#N/A,#N/A,FALSE,"Test 120 Day Accts";#N/A,#N/A,FALSE,"Tickmarks"}</definedName>
    <definedName name="ÇÇÇÇÇÇÇÇÇÇÇÇ" hidden="1">{#N/A,#N/A,FALSE,"Aging Summary";#N/A,#N/A,FALSE,"Ratio Analysis";#N/A,#N/A,FALSE,"Test 120 Day Accts";#N/A,#N/A,FALSE,"Tickmarks"}</definedName>
    <definedName name="CCCCCCCCCCCCCC" hidden="1">{#N/A,#N/A,FALSE,"Aging Summary";#N/A,#N/A,FALSE,"Ratio Analysis";#N/A,#N/A,FALSE,"Test 120 Day Accts";#N/A,#N/A,FALSE,"Tickmarks"}</definedName>
    <definedName name="ÇÇÇÇÇÇÇÇÇÇÇÇÇÇ" hidden="1">{#N/A,#N/A,FALSE,"Aging Summary";#N/A,#N/A,FALSE,"Ratio Analysis";#N/A,#N/A,FALSE,"Test 120 Day Accts";#N/A,#N/A,FALSE,"Tickmarks"}</definedName>
    <definedName name="ÇÇÇÇÇÇÇÇÇÇÇÇÇÇÇÇ" hidden="1">{#N/A,#N/A,FALSE,"Aging Summary";#N/A,#N/A,FALSE,"Ratio Analysis";#N/A,#N/A,FALSE,"Test 120 Day Accts";#N/A,#N/A,FALSE,"Tickmarks"}</definedName>
    <definedName name="ccccccccccccccccc" hidden="1">{#N/A,#N/A,FALSE,"Aging Summary";#N/A,#N/A,FALSE,"Ratio Analysis";#N/A,#N/A,FALSE,"Test 120 Day Accts";#N/A,#N/A,FALSE,"Tickmarks"}</definedName>
    <definedName name="ccccccccccccccccccc" hidden="1">{#N/A,#N/A,FALSE,"Aging Summary";#N/A,#N/A,FALSE,"Ratio Analysis";#N/A,#N/A,FALSE,"Test 120 Day Accts";#N/A,#N/A,FALSE,"Tickmarks"}</definedName>
    <definedName name="cccccccccccccccccccccccccccc"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CCCCLP" hidden="1">#REF!</definedName>
    <definedName name="CCG" hidden="1">#REF!</definedName>
    <definedName name="CCSDCXCVX" hidden="1">{#N/A,#N/A,FALSE,"Aging Summary";#N/A,#N/A,FALSE,"Ratio Analysis";#N/A,#N/A,FALSE,"Test 120 Day Accts";#N/A,#N/A,FALSE,"Tickmarks"}</definedName>
    <definedName name="CD" hidden="1">{#N/A,#N/A,FALSE,"LLAVE";#N/A,#N/A,FALSE,"EERR";#N/A,#N/A,FALSE,"ESP";#N/A,#N/A,FALSE,"EOAF";#N/A,#N/A,FALSE,"CASH";#N/A,#N/A,FALSE,"FINANZAS";#N/A,#N/A,FALSE,"DEUDA";#N/A,#N/A,FALSE,"INVERSION";#N/A,#N/A,FALSE,"PERSONAL"}</definedName>
    <definedName name="cdcdc" hidden="1">{#N/A,#N/A,FALSE,"Aging Summary";#N/A,#N/A,FALSE,"Ratio Analysis";#N/A,#N/A,FALSE,"Test 120 Day Accts";#N/A,#N/A,FALSE,"Tickmarks"}</definedName>
    <definedName name="cdcdcd" hidden="1">{"'DIFPRE'!$A$2:$M$54"}</definedName>
    <definedName name="cdcdcdc" hidden="1">{#N/A,#N/A,FALSE,"Aging Summary";#N/A,#N/A,FALSE,"Ratio Analysis";#N/A,#N/A,FALSE,"Test 120 Day Accts";#N/A,#N/A,FALSE,"Tickmarks"}</definedName>
    <definedName name="cdcdcdcd" hidden="1">{#N/A,#N/A,FALSE,"Aging Summary";#N/A,#N/A,FALSE,"Ratio Analysis";#N/A,#N/A,FALSE,"Test 120 Day Accts";#N/A,#N/A,FALSE,"Tickmarks"}</definedName>
    <definedName name="cdcdcdcdcddcd" hidden="1">{#N/A,#N/A,FALSE,"Aging Summary";#N/A,#N/A,FALSE,"Ratio Analysis";#N/A,#N/A,FALSE,"Test 120 Day Accts";#N/A,#N/A,FALSE,"Tickmarks"}</definedName>
    <definedName name="cdd" hidden="1">{#N/A,#N/A,FALSE,"Aging Summary";#N/A,#N/A,FALSE,"Ratio Analysis";#N/A,#N/A,FALSE,"Test 120 Day Accts";#N/A,#N/A,FALSE,"Tickmarks"}</definedName>
    <definedName name="cdddd" hidden="1">{#N/A,#N/A,FALSE,"Aging Summary";#N/A,#N/A,FALSE,"Ratio Analysis";#N/A,#N/A,FALSE,"Test 120 Day Accts";#N/A,#N/A,FALSE,"Tickmarks"}</definedName>
    <definedName name="CDSVVD" hidden="1">#REF!</definedName>
    <definedName name="CDV" hidden="1">{#N/A,#N/A,FALSE,"Aging Summary";#N/A,#N/A,FALSE,"Ratio Analysis";#N/A,#N/A,FALSE,"Test 120 Day Accts";#N/A,#N/A,FALSE,"Tickmarks"}</definedName>
    <definedName name="cdx" hidden="1">{#N/A,#N/A,FALSE,"Aging Summary";#N/A,#N/A,FALSE,"Ratio Analysis";#N/A,#N/A,FALSE,"Test 120 Day Accts";#N/A,#N/A,FALSE,"Tickmarks"}</definedName>
    <definedName name="CE" hidden="1">{#N/A,#N/A,FALSE,"Aging Summary";#N/A,#N/A,FALSE,"Ratio Analysis";#N/A,#N/A,FALSE,"Test 120 Day Accts";#N/A,#N/A,FALSE,"Tickmarks"}</definedName>
    <definedName name="ceccec" hidden="1">{#N/A,#N/A,FALSE,"Aging Summary";#N/A,#N/A,FALSE,"Ratio Analysis";#N/A,#N/A,FALSE,"Test 120 Day Accts";#N/A,#N/A,FALSE,"Tickmarks"}</definedName>
    <definedName name="ceci" hidden="1">#REF!</definedName>
    <definedName name="celu" hidden="1">{#N/A,#N/A,FALSE,"Aging Summary";#N/A,#N/A,FALSE,"Ratio Analysis";#N/A,#N/A,FALSE,"Test 120 Day Accts";#N/A,#N/A,FALSE,"Tickmarks"}</definedName>
    <definedName name="ceoceoe" hidden="1">#REF!</definedName>
    <definedName name="CEPE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r" hidden="1">{#N/A,#N/A,FALSE,"Hoja LLave";#N/A,#N/A,FALSE,"Portada";#N/A,#N/A,FALSE,"Nota 2";#N/A,#N/A,FALSE,"Anexo A";#N/A,#N/A,FALSE,"Est.Sit.Patr.";#N/A,#N/A,FALSE,"Cuadro I";#N/A,#N/A,FALSE,"Anexo F";#N/A,#N/A,FALSE,"E.E.P.N.";#N/A,#N/A,FALSE,"Resultados";#N/A,#N/A,FALSE,"E.V.C.C."}</definedName>
    <definedName name="CERO">#REF!</definedName>
    <definedName name="cewi4" hidden="1">#REF!</definedName>
    <definedName name="cewnifw" hidden="1">{#N/A,#N/A,FALSE,"Aging Summary";#N/A,#N/A,FALSE,"Ratio Analysis";#N/A,#N/A,FALSE,"Test 120 Day Accts";#N/A,#N/A,FALSE,"Tickmarks"}</definedName>
    <definedName name="chaaa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hau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3"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hol" hidden="1">{#N/A,#N/A,FALSE,"Aging Summary";#N/A,#N/A,FALSE,"Ratio Analysis";#N/A,#N/A,FALSE,"Test 120 Day Accts";#N/A,#N/A,FALSE,"Tickmarks"}</definedName>
    <definedName name="chauhola" hidden="1">{#N/A,#N/A,FALSE,"Aging Summary";#N/A,#N/A,FALSE,"Ratio Analysis";#N/A,#N/A,FALSE,"Test 120 Day Accts";#N/A,#N/A,FALSE,"Tickmarks"}</definedName>
    <definedName name="chauhola2" hidden="1">{#N/A,#N/A,FALSE,"Aging Summary";#N/A,#N/A,FALSE,"Ratio Analysis";#N/A,#N/A,FALSE,"Test 120 Day Accts";#N/A,#N/A,FALSE,"Tickmarks"}</definedName>
    <definedName name="chauhola3" hidden="1">{#N/A,#N/A,FALSE,"Aging Summary";#N/A,#N/A,FALSE,"Ratio Analysis";#N/A,#N/A,FALSE,"Test 120 Day Accts";#N/A,#N/A,FALSE,"Tickmarks"}</definedName>
    <definedName name="chauholi" hidden="1">{#N/A,#N/A,FALSE,"Aging Summary";#N/A,#N/A,FALSE,"Ratio Analysis";#N/A,#N/A,FALSE,"Test 120 Day Accts";#N/A,#N/A,FALSE,"Tickmarks"}</definedName>
    <definedName name="chauholo" hidden="1">{#N/A,#N/A,FALSE,"Aging Summary";#N/A,#N/A,FALSE,"Ratio Analysis";#N/A,#N/A,FALSE,"Test 120 Day Accts";#N/A,#N/A,FALSE,"Tickmarks"}</definedName>
    <definedName name="chaup" hidden="1">#REF!</definedName>
    <definedName name="chausd" hidden="1">#REF!</definedName>
    <definedName name="chau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eche" hidden="1">{#N/A,#N/A,FALSE,"Aging Summary";#N/A,#N/A,FALSE,"Ratio Analysis";#N/A,#N/A,FALSE,"Test 120 Day Accts";#N/A,#N/A,FALSE,"Tickmarks"}</definedName>
    <definedName name="CHEL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ia" hidden="1">{#N/A,#N/A,FALSE,"Aging Summary";#N/A,#N/A,FALSE,"Ratio Analysis";#N/A,#N/A,FALSE,"Test 120 Day Accts";#N/A,#N/A,FALSE,"Tickmarks"}</definedName>
    <definedName name="cimwe" hidden="1">#REF!</definedName>
    <definedName name="ÇIOUI" hidden="1">{#N/A,#N/A,FALSE,"Aging Summary";#N/A,#N/A,FALSE,"Ratio Analysis";#N/A,#N/A,FALSE,"Test 120 Day Accts";#N/A,#N/A,FALSE,"Tickmarks"}</definedName>
    <definedName name="CIRD" hidden="1">#REF!</definedName>
    <definedName name="ciw" hidden="1">#REF!</definedName>
    <definedName name="ciwcnwi" hidden="1">{#N/A,#N/A,FALSE,"Aging Summary";#N/A,#N/A,FALSE,"Ratio Analysis";#N/A,#N/A,FALSE,"Test 120 Day Accts";#N/A,#N/A,FALSE,"Tickmarks"}</definedName>
    <definedName name="ciwecwc" hidden="1">#REF!</definedName>
    <definedName name="ciweiwecw" hidden="1">#REF!</definedName>
    <definedName name="ciwejcw" hidden="1">#REF!</definedName>
    <definedName name="ciwicw" hidden="1">#REF!</definedName>
    <definedName name="cjhaskdh" hidden="1">{#N/A,#N/A,FALSE,"invoice ucc";#N/A,#N/A,FALSE,"asiento"}</definedName>
    <definedName name="cjiejec" hidden="1">#REF!</definedName>
    <definedName name="cjkxahf" hidden="1">{#N/A,#N/A,FALSE,"Aging Summary";#N/A,#N/A,FALSE,"Ratio Analysis";#N/A,#N/A,FALSE,"Test 120 Day Accts";#N/A,#N/A,FALSE,"Tickmarks"}</definedName>
    <definedName name="cjwoicw" hidden="1">#REF!</definedName>
    <definedName name="ckecw" hidden="1">#REF!</definedName>
    <definedName name="ckewoew" hidden="1">#REF!</definedName>
    <definedName name="ckjww" hidden="1">#REF!</definedName>
    <definedName name="ckwo" hidden="1">#REF!</definedName>
    <definedName name="ckwocw" hidden="1">#REF!</definedName>
    <definedName name="ckwoecw" hidden="1">#REF!</definedName>
    <definedName name="ckwpekc" hidden="1">{#N/A,#N/A,FALSE,"Aging Summary";#N/A,#N/A,FALSE,"Ratio Analysis";#N/A,#N/A,FALSE,"Test 120 Day Accts";#N/A,#N/A,FALSE,"Tickmarks"}</definedName>
    <definedName name="cl" hidden="1">{#N/A,#N/A,FALSE,"Hoja LLave";#N/A,#N/A,FALSE,"Portada";#N/A,#N/A,FALSE,"Nota 2";#N/A,#N/A,FALSE,"Anexo A";#N/A,#N/A,FALSE,"Est.Sit.Patr.";#N/A,#N/A,FALSE,"Cuadro I";#N/A,#N/A,FALSE,"Anexo F";#N/A,#N/A,FALSE,"E.E.P.N.";#N/A,#N/A,FALSE,"Resultados";#N/A,#N/A,FALSE,"E.V.C.C."}</definedName>
    <definedName name="CLIENTES" hidden="1">2</definedName>
    <definedName name="cmemce" hidden="1">#REF!</definedName>
    <definedName name="cmemcmw" hidden="1">#REF!</definedName>
    <definedName name="cmew" hidden="1">#REF!</definedName>
    <definedName name="cmewi" hidden="1">#REF!</definedName>
    <definedName name="cmewicw" hidden="1">#REF!</definedName>
    <definedName name="cmewocw" hidden="1">{#N/A,#N/A,FALSE,"Aging Summary";#N/A,#N/A,FALSE,"Ratio Analysis";#N/A,#N/A,FALSE,"Test 120 Day Accts";#N/A,#N/A,FALSE,"Tickmarks"}</definedName>
    <definedName name="cmewocwek" hidden="1">#REF!</definedName>
    <definedName name="cmiec" hidden="1">#REF!</definedName>
    <definedName name="cmiecw" hidden="1">#REF!</definedName>
    <definedName name="cmiewmcw" hidden="1">#REF!</definedName>
    <definedName name="cmimcw" hidden="1">#REF!</definedName>
    <definedName name="cmiwcw" hidden="1">#REF!</definedName>
    <definedName name="cmiwejcw" hidden="1">#REF!</definedName>
    <definedName name="cmmcmc" hidden="1">{#N/A,#N/A,FALSE,"Aging Summary";#N/A,#N/A,FALSE,"Ratio Analysis";#N/A,#N/A,FALSE,"Test 120 Day Accts";#N/A,#N/A,FALSE,"Tickmarks"}</definedName>
    <definedName name="CmntLinesToShow" hidden="1">6</definedName>
    <definedName name="cmowmcw" hidden="1">{#N/A,#N/A,FALSE,"Aging Summary";#N/A,#N/A,FALSE,"Ratio Analysis";#N/A,#N/A,FALSE,"Test 120 Day Accts";#N/A,#N/A,FALSE,"Tickmarks"}</definedName>
    <definedName name="cmowomcw" hidden="1">{#N/A,#N/A,FALSE,"Aging Summary";#N/A,#N/A,FALSE,"Ratio Analysis";#N/A,#N/A,FALSE,"Test 120 Day Accts";#N/A,#N/A,FALSE,"Tickmarks"}</definedName>
    <definedName name="cmwecmwmc" hidden="1">#REF!</definedName>
    <definedName name="cmwewc" hidden="1">#REF!</definedName>
    <definedName name="cmwi" hidden="1">#REF!</definedName>
    <definedName name="cmwicew" hidden="1">#REF!</definedName>
    <definedName name="cmwicw" hidden="1">#REF!</definedName>
    <definedName name="cmwicwe" hidden="1">#REF!</definedName>
    <definedName name="cmwiecw" hidden="1">#REF!</definedName>
    <definedName name="cmwimcww" hidden="1">#REF!</definedName>
    <definedName name="cmwiwc" hidden="1">#REF!</definedName>
    <definedName name="cmwo" hidden="1">#REF!</definedName>
    <definedName name="cmwocw" hidden="1">{#N/A,#N/A,FALSE,"Aging Summary";#N/A,#N/A,FALSE,"Ratio Analysis";#N/A,#N/A,FALSE,"Test 120 Day Accts";#N/A,#N/A,FALSE,"Tickmarks"}</definedName>
    <definedName name="cmwpec" hidden="1">{#N/A,#N/A,FALSE,"Aging Summary";#N/A,#N/A,FALSE,"Ratio Analysis";#N/A,#N/A,FALSE,"Test 120 Day Accts";#N/A,#N/A,FALSE,"Tickmarks"}</definedName>
    <definedName name="cneunce" hidden="1">#REF!</definedName>
    <definedName name="cnicw" hidden="1">#REF!</definedName>
    <definedName name="cnience" hidden="1">{#N/A,#N/A,FALSE,"Aging Summary";#N/A,#N/A,FALSE,"Ratio Analysis";#N/A,#N/A,FALSE,"Test 120 Day Accts";#N/A,#N/A,FALSE,"Tickmarks"}</definedName>
    <definedName name="cniewncw" hidden="1">#REF!</definedName>
    <definedName name="cnmiew" hidden="1">#REF!</definedName>
    <definedName name="cnrivrq" hidden="1">{#N/A,#N/A,FALSE,"Aging Summary";#N/A,#N/A,FALSE,"Ratio Analysis";#N/A,#N/A,FALSE,"Test 120 Day Accts";#N/A,#N/A,FALSE,"Tickmarks"}</definedName>
    <definedName name="cnwenucw" hidden="1">#REF!</definedName>
    <definedName name="ÇOÇ" hidden="1">{#N/A,#N/A,FALSE,"Aging Summary";#N/A,#N/A,FALSE,"Ratio Analysis";#N/A,#N/A,FALSE,"Test 120 Day Accts";#N/A,#N/A,FALSE,"Tickmarks"}</definedName>
    <definedName name="coekew" hidden="1">#REF!</definedName>
    <definedName name="coencew" hidden="1">#REF!</definedName>
    <definedName name="coewijcw" hidden="1">#REF!</definedName>
    <definedName name="ÇOK" hidden="1">{#N/A,#N/A,FALSE,"Aging Summary";#N/A,#N/A,FALSE,"Ratio Analysis";#N/A,#N/A,FALSE,"Test 120 Day Accts";#N/A,#N/A,FALSE,"Tickmarks"}</definedName>
    <definedName name="cokeew" hidden="1">#REF!</definedName>
    <definedName name="cokwocew" hidden="1">#REF!</definedName>
    <definedName name="cokwoec" hidden="1">#REF!</definedName>
    <definedName name="coMike" hidden="1">{"Data Sheet Continuation",#N/A,FALSE,"Data Sheet"}</definedName>
    <definedName name="como" hidden="1">{#N/A,#N/A,FALSE,"Aging Summary";#N/A,#N/A,FALSE,"Ratio Analysis";#N/A,#N/A,FALSE,"Test 120 Day Accts";#N/A,#N/A,FALSE,"Tickmarks"}</definedName>
    <definedName name="comova" hidden="1">{#N/A,#N/A,FALSE,"Aging Summary";#N/A,#N/A,FALSE,"Ratio Analysis";#N/A,#N/A,FALSE,"Test 120 Day Accts";#N/A,#N/A,FALSE,"Tickmarks"}</definedName>
    <definedName name="Comparacion" hidden="1">{#N/A,#N/A,FALSE,"Aging Summary";#N/A,#N/A,FALSE,"Ratio Analysis";#N/A,#N/A,FALSE,"Test 120 Day Accts";#N/A,#N/A,FALSE,"Tickmarks"}</definedName>
    <definedName name="compe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pu" hidden="1">{#N/A,#N/A,FALSE,"Aging Summary";#N/A,#N/A,FALSE,"Ratio Analysis";#N/A,#N/A,FALSE,"Test 120 Day Accts";#N/A,#N/A,FALSE,"Tickmarks"}</definedName>
    <definedName name="co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weocmw" hidden="1">{#N/A,#N/A,FALSE,"Aging Summary";#N/A,#N/A,FALSE,"Ratio Analysis";#N/A,#N/A,FALSE,"Test 120 Day Accts";#N/A,#N/A,FALSE,"Tickmarks"}</definedName>
    <definedName name="CONC" hidden="1">{#N/A,#N/A,FALSE,"Aging Summary";#N/A,#N/A,FALSE,"Ratio Analysis";#N/A,#N/A,FALSE,"Test 120 Day Accts";#N/A,#N/A,FALSE,"Tickmarks"}</definedName>
    <definedName name="Consigna" hidden="1">{#N/A,#N/A,FALSE,"Aging Summary";#N/A,#N/A,FALSE,"Ratio Analysis";#N/A,#N/A,FALSE,"Test 120 Day Accts";#N/A,#N/A,FALSE,"Tickmarks"}</definedName>
    <definedName name="contri.xl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pia" hidden="1">{#N/A,#N/A,FALSE,"Aging Summary";#N/A,#N/A,FALSE,"Ratio Analysis";#N/A,#N/A,FALSE,"Test 120 Day Accts";#N/A,#N/A,FALSE,"Tickmarks"}</definedName>
    <definedName name="copiar" hidden="1">{#N/A,#N/A,FALSE,"Aging Summary";#N/A,#N/A,FALSE,"Ratio Analysis";#N/A,#N/A,FALSE,"Test 120 Day Accts";#N/A,#N/A,FALSE,"Tickmarks"}</definedName>
    <definedName name="CORP_OH" localSheetId="2">#REF!</definedName>
    <definedName name="CORP_OH" localSheetId="3">#REF!</definedName>
    <definedName name="CORP_OH">#REF!</definedName>
    <definedName name="CORP_OH_APRO" localSheetId="2">#REF!</definedName>
    <definedName name="CORP_OH_APRO" localSheetId="3">#REF!</definedName>
    <definedName name="CORP_OH_APRO">#REF!</definedName>
    <definedName name="COSTOS">[1]EMBARQUES!#REF!</definedName>
    <definedName name="covewjew" hidden="1">#REF!</definedName>
    <definedName name="cowecw" hidden="1">#REF!</definedName>
    <definedName name="cowemcwoc" hidden="1">{#N/A,#N/A,FALSE,"Aging Summary";#N/A,#N/A,FALSE,"Ratio Analysis";#N/A,#N/A,FALSE,"Test 120 Day Accts";#N/A,#N/A,FALSE,"Tickmarks"}</definedName>
    <definedName name="coweocw" hidden="1">{#N/A,#N/A,FALSE,"Aging Summary";#N/A,#N/A,FALSE,"Ratio Analysis";#N/A,#N/A,FALSE,"Test 120 Day Accts";#N/A,#N/A,FALSE,"Tickmarks"}</definedName>
    <definedName name="coweocwkcw" hidden="1">#REF!</definedName>
    <definedName name="cowkocw" hidden="1">#REF!</definedName>
    <definedName name="cowmcw" hidden="1">{#N/A,#N/A,FALSE,"Aging Summary";#N/A,#N/A,FALSE,"Ratio Analysis";#N/A,#N/A,FALSE,"Test 120 Day Accts";#N/A,#N/A,FALSE,"Tickmarks"}</definedName>
    <definedName name="cowmecw" hidden="1">{#N/A,#N/A,FALSE,"Aging Summary";#N/A,#N/A,FALSE,"Ratio Analysis";#N/A,#N/A,FALSE,"Test 120 Day Accts";#N/A,#N/A,FALSE,"Tickmarks"}</definedName>
    <definedName name="cowmocw" hidden="1">#REF!</definedName>
    <definedName name="CP" hidden="1">#REF!</definedName>
    <definedName name="cpewlcw" hidden="1">#REF!</definedName>
    <definedName name="cpewocw" hidden="1">#REF!</definedName>
    <definedName name="cpewpcwo" hidden="1">#REF!</definedName>
    <definedName name="cpimciwcw" hidden="1">{#N/A,#N/A,FALSE,"Aging Summary";#N/A,#N/A,FALSE,"Ratio Analysis";#N/A,#N/A,FALSE,"Test 120 Day Accts";#N/A,#N/A,FALSE,"Tickmarks"}</definedName>
    <definedName name="CPL" hidden="1">#REF!</definedName>
    <definedName name="CPPELPQ" hidden="1">#REF!</definedName>
    <definedName name="CPQLEC" hidden="1">#REF!</definedName>
    <definedName name="cpwmpcw" hidden="1">{#N/A,#N/A,FALSE,"Aging Summary";#N/A,#N/A,FALSE,"Ratio Analysis";#N/A,#N/A,FALSE,"Test 120 Day Accts";#N/A,#N/A,FALSE,"Tickmarks"}</definedName>
    <definedName name="cpwomcw" hidden="1">{#N/A,#N/A,FALSE,"Aging Summary";#N/A,#N/A,FALSE,"Ratio Analysis";#N/A,#N/A,FALSE,"Test 120 Day Accts";#N/A,#N/A,FALSE,"Tickmarks"}</definedName>
    <definedName name="CR" hidden="1">{#N/A,#N/A,FALSE,"Aging Summary";#N/A,#N/A,FALSE,"Ratio Analysis";#N/A,#N/A,FALSE,"Test 120 Day Accts";#N/A,#N/A,FALSE,"Tickmarks"}</definedName>
    <definedName name="çrçrç" hidden="1">{#N/A,#N/A,FALSE,"Aging Summary";#N/A,#N/A,FALSE,"Ratio Analysis";#N/A,#N/A,FALSE,"Test 120 Day Accts";#N/A,#N/A,FALSE,"Tickmarks"}</definedName>
    <definedName name="CRE" hidden="1">{#N/A,#N/A,FALSE,"Aging Summary";#N/A,#N/A,FALSE,"Ratio Analysis";#N/A,#N/A,FALSE,"Test 120 Day Accts";#N/A,#N/A,FALSE,"Tickmarks"}</definedName>
    <definedName name="cred" hidden="1">{#N/A,#N/A,FALSE,"DeudAcre";#N/A,#N/A,FALSE,"Compvta";#N/A,#N/A,FALSE,"Ajust.IM";#N/A,#N/A,FALSE,"Ajust.Exi";#N/A,#N/A,FALSE,"Ajust.Div";#N/A,#N/A,FALSE,"Ajust.IF"}</definedName>
    <definedName name="cries" hidden="1">{#N/A,#N/A,FALSE,"Aging Summary";#N/A,#N/A,FALSE,"Ratio Analysis";#N/A,#N/A,FALSE,"Test 120 Day Accts";#N/A,#N/A,FALSE,"Tickmarks"}</definedName>
    <definedName name="CRIS" hidden="1">{#N/A,#N/A,FALSE,"Aging Summary";#N/A,#N/A,FALSE,"Ratio Analysis";#N/A,#N/A,FALSE,"Test 120 Day Accts";#N/A,#N/A,FALSE,"Tickmarks"}</definedName>
    <definedName name="cristian" hidden="1">{#N/A,#N/A,FALSE,"Aging Summary";#N/A,#N/A,FALSE,"Ratio Analysis";#N/A,#N/A,FALSE,"Test 120 Day Accts";#N/A,#N/A,FALSE,"Tickmarks"}</definedName>
    <definedName name="crs" hidden="1">{#N/A,#N/A,FALSE,"Aging Summary";#N/A,#N/A,FALSE,"Ratio Analysis";#N/A,#N/A,FALSE,"Test 120 Day Accts";#N/A,#N/A,FALSE,"Tickmarks"}</definedName>
    <definedName name="cruz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SCVXVX" hidden="1">{#N/A,#N/A,FALSE,"Aging Summary";#N/A,#N/A,FALSE,"Ratio Analysis";#N/A,#N/A,FALSE,"Test 120 Day Accts";#N/A,#N/A,FALSE,"Tickmarks"}</definedName>
    <definedName name="csd" hidden="1">{#N/A,#N/A,FALSE,"OBLIG.S-CAPITAL"}</definedName>
    <definedName name="csdcs" hidden="1">{#N/A,#N/A,FALSE,"EDO. DE RESULTADOS";#N/A,#N/A,FALSE,"CAMBIOS";#N/A,#N/A,FALSE,"COM - VTA";#N/A,#N/A,FALSE,"DIVIDENDOS";#N/A,#N/A,FALSE,"OTROS ING. DE OP.";#N/A,#N/A,FALSE,"GASTOS DE PERSONAL";#N/A,#N/A,FALSE,"RENTAS";#N/A,#N/A,FALSE,"OTROS GASTOS";#N/A,#N/A,FALSE,"DEP. Y AMO.";#N/A,#N/A,FALSE,"OTROS PROD."}</definedName>
    <definedName name="CSFV" hidden="1">{#N/A,#N/A,FALSE,"Aging Summary";#N/A,#N/A,FALSE,"Ratio Analysis";#N/A,#N/A,FALSE,"Test 120 Day Accts";#N/A,#N/A,FALSE,"Tickmarks"}</definedName>
    <definedName name="CSFVZC" hidden="1">{#N/A,#N/A,FALSE,"Aging Summary";#N/A,#N/A,FALSE,"Ratio Analysis";#N/A,#N/A,FALSE,"Test 120 Day Accts";#N/A,#N/A,FALSE,"Tickmarks"}</definedName>
    <definedName name="CSFXC" hidden="1">{#N/A,#N/A,FALSE,"Aging Summary";#N/A,#N/A,FALSE,"Ratio Analysis";#N/A,#N/A,FALSE,"Test 120 Day Accts";#N/A,#N/A,FALSE,"Tickmarks"}</definedName>
    <definedName name="CTF" hidden="1">{#N/A,#N/A,FALSE,"Aging Summary";#N/A,#N/A,FALSE,"Ratio Analysis";#N/A,#N/A,FALSE,"Test 120 Day Accts";#N/A,#N/A,FALSE,"Tickmarks"}</definedName>
    <definedName name="ctg" hidden="1">{#N/A,#N/A,FALSE,"Aging Summary";#N/A,#N/A,FALSE,"Ratio Analysis";#N/A,#N/A,FALSE,"Test 120 Day Accts";#N/A,#N/A,FALSE,"Tickmarks"}</definedName>
    <definedName name="cuentas" hidden="1">#REF!</definedName>
    <definedName name="cuwcnw" hidden="1">#REF!</definedName>
    <definedName name="cv" hidden="1">#REF!</definedName>
    <definedName name="CVCV" hidden="1">{#N/A,#N/A,FALSE,"Aging Summary";#N/A,#N/A,FALSE,"Ratio Analysis";#N/A,#N/A,FALSE,"Test 120 Day Accts";#N/A,#N/A,FALSE,"Tickmarks"}</definedName>
    <definedName name="cvcvcv" hidden="1">{#N/A,#N/A,FALSE,"Aging Summary";#N/A,#N/A,FALSE,"Ratio Analysis";#N/A,#N/A,FALSE,"Test 120 Day Accts";#N/A,#N/A,FALSE,"Tickmarks"}</definedName>
    <definedName name="CVCVCX" hidden="1">{#N/A,#N/A,FALSE,"Aging Summary";#N/A,#N/A,FALSE,"Ratio Analysis";#N/A,#N/A,FALSE,"Test 120 Day Accts";#N/A,#N/A,FALSE,"Tickmarks"}</definedName>
    <definedName name="cv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vfff" hidden="1">{#N/A,#N/A,FALSE,"Aging Summary";#N/A,#N/A,FALSE,"Ratio Analysis";#N/A,#N/A,FALSE,"Test 120 Day Accts";#N/A,#N/A,FALSE,"Tickmarks"}</definedName>
    <definedName name="CVSCXV" hidden="1">{#N/A,#N/A,FALSE,"Aging Summary";#N/A,#N/A,FALSE,"Ratio Analysis";#N/A,#N/A,FALSE,"Test 120 Day Accts";#N/A,#N/A,FALSE,"Tickmarks"}</definedName>
    <definedName name="CVSVXV" hidden="1">{#N/A,#N/A,FALSE,"Aging Summary";#N/A,#N/A,FALSE,"Ratio Analysis";#N/A,#N/A,FALSE,"Test 120 Day Accts";#N/A,#N/A,FALSE,"Tickmarks"}</definedName>
    <definedName name="CVVBG" hidden="1">{#N/A,#N/A,FALSE,"Aging Summary";#N/A,#N/A,FALSE,"Ratio Analysis";#N/A,#N/A,FALSE,"Test 120 Day Accts";#N/A,#N/A,FALSE,"Tickmarks"}</definedName>
    <definedName name="cvxcvx" hidden="1">{#N/A,#N/A,FALSE,"Aging Summary";#N/A,#N/A,FALSE,"Ratio Analysis";#N/A,#N/A,FALSE,"Test 120 Day Accts";#N/A,#N/A,FALSE,"Tickmarks"}</definedName>
    <definedName name="CVXVXV" hidden="1">{#N/A,#N/A,FALSE,"Aging Summary";#N/A,#N/A,FALSE,"Ratio Analysis";#N/A,#N/A,FALSE,"Test 120 Day Accts";#N/A,#N/A,FALSE,"Tickmarks"}</definedName>
    <definedName name="cw" hidden="1">#REF!</definedName>
    <definedName name="cwcd" hidden="1">{#N/A,#N/A,FALSE,"EDO. RES. CNB";#N/A,#N/A,FALSE,"TRIMESTRAL"}</definedName>
    <definedName name="cwd" hidden="1">{#N/A,#N/A,FALSE,"UDIS SEPT 96"}</definedName>
    <definedName name="cwkcow" hidden="1">{#N/A,#N/A,FALSE,"Aging Summary";#N/A,#N/A,FALSE,"Ratio Analysis";#N/A,#N/A,FALSE,"Test 120 Day Accts";#N/A,#N/A,FALSE,"Tickmarks"}</definedName>
    <definedName name="cwocw" hidden="1">{#N/A,#N/A,FALSE,"Aging Summary";#N/A,#N/A,FALSE,"Ratio Analysis";#N/A,#N/A,FALSE,"Test 120 Day Accts";#N/A,#N/A,FALSE,"Tickmarks"}</definedName>
    <definedName name="cwoewc" hidden="1">#REF!</definedName>
    <definedName name="cwokcw" hidden="1">#REF!</definedName>
    <definedName name="Cwvu.TO_PRINT." hidden="1">#REF!,#REF!,#REF!,#REF!</definedName>
    <definedName name="cxcczz" hidden="1">#REF!</definedName>
    <definedName name="CXSZDB" hidden="1">#REF!</definedName>
    <definedName name="CZCVXVD" hidden="1">{#N/A,#N/A,FALSE,"Aging Summary";#N/A,#N/A,FALSE,"Ratio Analysis";#N/A,#N/A,FALSE,"Test 120 Day Accts";#N/A,#N/A,FALSE,"Tickmarks"}</definedName>
    <definedName name="czcx" hidden="1">{#N/A,#N/A,FALSE,"Aging Summary";#N/A,#N/A,FALSE,"Ratio Analysis";#N/A,#N/A,FALSE,"Test 120 Day Accts";#N/A,#N/A,FALSE,"Tickmarks"}</definedName>
    <definedName name="CZXZCCC" hidden="1">{#N/A,#N/A,FALSE,"Aging Summary";#N/A,#N/A,FALSE,"Ratio Analysis";#N/A,#N/A,FALSE,"Test 120 Day Accts";#N/A,#N/A,FALSE,"Tickmarks"}</definedName>
    <definedName name="D" localSheetId="2">#REF!</definedName>
    <definedName name="D" localSheetId="3">#REF!</definedName>
    <definedName name="D">#REF!</definedName>
    <definedName name="D2239DA" hidden="1">#REF!</definedName>
    <definedName name="d3d3d3" hidden="1">#REF!</definedName>
    <definedName name="d3d3d3d3d" hidden="1">#REF!</definedName>
    <definedName name="d4d4d4" hidden="1">{#N/A,#N/A,FALSE,"Aging Summary";#N/A,#N/A,FALSE,"Ratio Analysis";#N/A,#N/A,FALSE,"Test 120 Day Accts";#N/A,#N/A,FALSE,"Tickmarks"}</definedName>
    <definedName name="DA" hidden="1">#REF!</definedName>
    <definedName name="DA_2232625947800001099" hidden="1">#REF!</definedName>
    <definedName name="DA_2232625947800001101" hidden="1">#REF!</definedName>
    <definedName name="DA_2232625947800001109" hidden="1">#REF!</definedName>
    <definedName name="DA_2232625947800001111" hidden="1">#REF!</definedName>
    <definedName name="DA_2232625947800001113" hidden="1">#REF!</definedName>
    <definedName name="DA_2232625947800001115" hidden="1">#REF!</definedName>
    <definedName name="DA_2232625947800001117" hidden="1">#REF!</definedName>
    <definedName name="DA_2232625947800001119" hidden="1">#REF!</definedName>
    <definedName name="DA_2232625947800001121" hidden="1">#REF!</definedName>
    <definedName name="DA_2232625947800001123" hidden="1">#REF!</definedName>
    <definedName name="DA_2232625947800001131" hidden="1">#REF!</definedName>
    <definedName name="DA_2405665016300000446" hidden="1">#REF!</definedName>
    <definedName name="DA_2405665016300000500" hidden="1">#REF!</definedName>
    <definedName name="DA_2405665016300000649" hidden="1">#REF!</definedName>
    <definedName name="DA_2405665016300000677" hidden="1">#REF!</definedName>
    <definedName name="daaaaaaa" hidden="1">{#N/A,#N/A,TRUE,"INDICE";#N/A,#N/A,TRUE,"Variables";#N/A,#N/A,TRUE,"Cdro_Rtado";#N/A,#N/A,TRUE,"Patrim";#N/A,#N/A,TRUE,"Cash Flow";#N/A,#N/A,TRUE,"Cobranza";#N/A,#N/A,TRUE,"Resumen Gs.";#N/A,#N/A,TRUE,"Gs Comerc";#N/A,#N/A,TRUE,"Gs Administ";#N/A,#N/A,TRUE,"Gs Explot";#N/A,#N/A,TRUE,"Gs Personal";#N/A,#N/A,TRUE,"Inver."}</definedName>
    <definedName name="daaaaaaaaaaaaaaaaaaaa" hidden="1">{#N/A,#N/A,FALSE,"Aging Summary";#N/A,#N/A,FALSE,"Ratio Analysis";#N/A,#N/A,FALSE,"Test 120 Day Accts";#N/A,#N/A,FALSE,"Tickmarks"}</definedName>
    <definedName name="DAD" hidden="1">{#N/A,#N/A,FALSE,"Aging Summary";#N/A,#N/A,FALSE,"Ratio Analysis";#N/A,#N/A,FALSE,"Test 120 Day Accts";#N/A,#N/A,FALSE,"Tickmarks"}</definedName>
    <definedName name="dada" hidden="1">{#N/A,#N/A,FALSE,"Aging Summary";#N/A,#N/A,FALSE,"Ratio Analysis";#N/A,#N/A,FALSE,"Test 120 Day Accts";#N/A,#N/A,FALSE,"Tickmarks"}</definedName>
    <definedName name="dadaaaaaaaaaaaaa" hidden="1">{#N/A,#N/A,FALSE,"Aging Summary";#N/A,#N/A,FALSE,"Ratio Analysis";#N/A,#N/A,FALSE,"Test 120 Day Accts";#N/A,#N/A,FALSE,"Tickmarks"}</definedName>
    <definedName name="dadad" hidden="1">{"'DIFPRE'!$A$2:$M$54"}</definedName>
    <definedName name="dadadada" hidden="1">{#N/A,#N/A,FALSE,"Aging Summary";#N/A,#N/A,FALSE,"Ratio Analysis";#N/A,#N/A,FALSE,"Test 120 Day Accts";#N/A,#N/A,FALSE,"Tickmarks"}</definedName>
    <definedName name="dadadasdads" hidden="1">{#N/A,#N/A,FALSE,"Aging Summary";#N/A,#N/A,FALSE,"Ratio Analysis";#N/A,#N/A,FALSE,"Test 120 Day Accts";#N/A,#N/A,FALSE,"Tickmarks"}</definedName>
    <definedName name="DADD" hidden="1">{#N/A,#N/A,FALSE,"Aging Summary";#N/A,#N/A,FALSE,"Ratio Analysis";#N/A,#N/A,FALSE,"Test 120 Day Accts";#N/A,#N/A,FALSE,"Tickmarks"}</definedName>
    <definedName name="dade" hidden="1">{#N/A,#N/A,FALSE,"Aging Summary";#N/A,#N/A,FALSE,"Ratio Analysis";#N/A,#N/A,FALSE,"Test 120 Day Accts";#N/A,#N/A,FALSE,"Tickmarks"}</definedName>
    <definedName name="DADEAS" hidden="1">{#N/A,#N/A,FALSE,"Aging Summary";#N/A,#N/A,FALSE,"Ratio Analysis";#N/A,#N/A,FALSE,"Test 120 Day Accts";#N/A,#N/A,FALSE,"Tickmarks"}</definedName>
    <definedName name="dadewd" hidden="1">{#N/A,#N/A,FALSE,"Aging Summary";#N/A,#N/A,FALSE,"Ratio Analysis";#N/A,#N/A,FALSE,"Test 120 Day Accts";#N/A,#N/A,FALSE,"Tickmarks"}</definedName>
    <definedName name="dadmm" hidden="1">{#N/A,#N/A,FALSE,"Aging Summary";#N/A,#N/A,FALSE,"Ratio Analysis";#N/A,#N/A,FALSE,"Test 120 Day Accts";#N/A,#N/A,FALSE,"Tickmarks"}</definedName>
    <definedName name="dads" hidden="1">{#N/A,#N/A,FALSE,"Aging Summary";#N/A,#N/A,FALSE,"Ratio Analysis";#N/A,#N/A,FALSE,"Test 120 Day Accts";#N/A,#N/A,FALSE,"Tickmarks"}</definedName>
    <definedName name="dadsd" hidden="1">{#N/A,#N/A,FALSE,"Aging Summary";#N/A,#N/A,FALSE,"Ratio Analysis";#N/A,#N/A,FALSE,"Test 120 Day Accts";#N/A,#N/A,FALSE,"Tickmarks"}</definedName>
    <definedName name="DADSDDFED" hidden="1">{#N/A,#N/A,FALSE,"Aging Summary";#N/A,#N/A,FALSE,"Ratio Analysis";#N/A,#N/A,FALSE,"Test 120 Day Accts";#N/A,#N/A,FALSE,"Tickmarks"}</definedName>
    <definedName name="DADSDSD" hidden="1">{#N/A,#N/A,FALSE,"Aging Summary";#N/A,#N/A,FALSE,"Ratio Analysis";#N/A,#N/A,FALSE,"Test 120 Day Accts";#N/A,#N/A,FALSE,"Tickmarks"}</definedName>
    <definedName name="dadsf" hidden="1">{#N/A,#N/A,FALSE,"Aging Summary";#N/A,#N/A,FALSE,"Ratio Analysis";#N/A,#N/A,FALSE,"Test 120 Day Accts";#N/A,#N/A,FALSE,"Tickmarks"}</definedName>
    <definedName name="dadshdahd" hidden="1">{#N/A,#N/A,FALSE,"Aging Summary";#N/A,#N/A,FALSE,"Ratio Analysis";#N/A,#N/A,FALSE,"Test 120 Day Accts";#N/A,#N/A,FALSE,"Tickmarks"}</definedName>
    <definedName name="dadssdsd" hidden="1">#REF!</definedName>
    <definedName name="dadws" hidden="1">{#N/A,#N/A,FALSE,"Aging Summary";#N/A,#N/A,FALSE,"Ratio Analysis";#N/A,#N/A,FALSE,"Test 120 Day Accts";#N/A,#N/A,FALSE,"Tickmarks"}</definedName>
    <definedName name="DAEQE" hidden="1">{#N/A,#N/A,FALSE,"Aging Summary";#N/A,#N/A,FALSE,"Ratio Analysis";#N/A,#N/A,FALSE,"Test 120 Day Accts";#N/A,#N/A,FALSE,"Tickmarks"}</definedName>
    <definedName name="DAFDEDFEDF" hidden="1">{#N/A,#N/A,FALSE,"Aging Summary";#N/A,#N/A,FALSE,"Ratio Analysis";#N/A,#N/A,FALSE,"Test 120 Day Accts";#N/A,#N/A,FALSE,"Tickmarks"}</definedName>
    <definedName name="DAFSF" hidden="1">{#N/A,#N/A,FALSE,"Aging Summary";#N/A,#N/A,FALSE,"Ratio Analysis";#N/A,#N/A,FALSE,"Test 120 Day Accts";#N/A,#N/A,FALSE,"Tickmarks"}</definedName>
    <definedName name="DAHDA6" hidden="1">{#N/A,#N/A,FALSE,"Aging Summary";#N/A,#N/A,FALSE,"Ratio Analysis";#N/A,#N/A,FALSE,"Test 120 Day Accts";#N/A,#N/A,FALSE,"Tickmarks"}</definedName>
    <definedName name="daida9" hidden="1">{#N/A,#N/A,FALSE,"Aging Summary";#N/A,#N/A,FALSE,"Ratio Analysis";#N/A,#N/A,FALSE,"Test 120 Day Accts";#N/A,#N/A,FALSE,"Tickmarks"}</definedName>
    <definedName name="DAIDNASIDNA" hidden="1">{#N/A,#N/A,FALSE,"Aging Summary";#N/A,#N/A,FALSE,"Ratio Analysis";#N/A,#N/A,FALSE,"Test 120 Day Accts";#N/A,#N/A,FALSE,"Tickmarks"}</definedName>
    <definedName name="daidsj9a" hidden="1">{#N/A,#N/A,FALSE,"Aging Summary";#N/A,#N/A,FALSE,"Ratio Analysis";#N/A,#N/A,FALSE,"Test 120 Day Accts";#N/A,#N/A,FALSE,"Tickmarks"}</definedName>
    <definedName name="daidsnad" hidden="1">{#N/A,#N/A,FALSE,"Aging Summary";#N/A,#N/A,FALSE,"Ratio Analysis";#N/A,#N/A,FALSE,"Test 120 Day Accts";#N/A,#N/A,FALSE,"Tickmarks"}</definedName>
    <definedName name="DAIJSD0" hidden="1">{#N/A,#N/A,FALSE,"Aging Summary";#N/A,#N/A,FALSE,"Ratio Analysis";#N/A,#N/A,FALSE,"Test 120 Day Accts";#N/A,#N/A,FALSE,"Tickmarks"}</definedName>
    <definedName name="dainsmd3" hidden="1">{#N/A,#N/A,FALSE,"Aging Summary";#N/A,#N/A,FALSE,"Ratio Analysis";#N/A,#N/A,FALSE,"Test 120 Day Accts";#N/A,#N/A,FALSE,"Tickmarks"}</definedName>
    <definedName name="DAISD7" hidden="1">{#N/A,#N/A,FALSE,"Aging Summary";#N/A,#N/A,FALSE,"Ratio Analysis";#N/A,#N/A,FALSE,"Test 120 Day Accts";#N/A,#N/A,FALSE,"Tickmarks"}</definedName>
    <definedName name="daisdajd" hidden="1">{#N/A,#N/A,FALSE,"Aging Summary";#N/A,#N/A,FALSE,"Ratio Analysis";#N/A,#N/A,FALSE,"Test 120 Day Accts";#N/A,#N/A,FALSE,"Tickmarks"}</definedName>
    <definedName name="daisdja09" hidden="1">{#N/A,#N/A,FALSE,"Aging Summary";#N/A,#N/A,FALSE,"Ratio Analysis";#N/A,#N/A,FALSE,"Test 120 Day Accts";#N/A,#N/A,FALSE,"Tickmarks"}</definedName>
    <definedName name="daisdniads" hidden="1">{#N/A,#N/A,FALSE,"Aging Summary";#N/A,#N/A,FALSE,"Ratio Analysis";#N/A,#N/A,FALSE,"Test 120 Day Accts";#N/A,#N/A,FALSE,"Tickmarks"}</definedName>
    <definedName name="daisnda" hidden="1">{"Schedule_1B",#N/A,FALSE,"I-B"}</definedName>
    <definedName name="daisndaisd" hidden="1">{"'DIFPRE'!$A$2:$M$54"}</definedName>
    <definedName name="dajdkaj" hidden="1">{#N/A,#N/A,FALSE,"Aging Summary";#N/A,#N/A,FALSE,"Ratio Analysis";#N/A,#N/A,FALSE,"Test 120 Day Accts";#N/A,#N/A,FALSE,"Tickmarks"}</definedName>
    <definedName name="DAJS" hidden="1">{#N/A,#N/A,FALSE,"Aging Summary";#N/A,#N/A,FALSE,"Ratio Analysis";#N/A,#N/A,FALSE,"Test 120 Day Accts";#N/A,#N/A,FALSE,"Tickmarks"}</definedName>
    <definedName name="dajsd09" hidden="1">{#N/A,#N/A,FALSE,"Aging Summary";#N/A,#N/A,FALSE,"Ratio Analysis";#N/A,#N/A,FALSE,"Test 120 Day Accts";#N/A,#N/A,FALSE,"Tickmarks"}</definedName>
    <definedName name="DAJSD9" hidden="1">{#N/A,#N/A,FALSE,"Aging Summary";#N/A,#N/A,FALSE,"Ratio Analysis";#N/A,#N/A,FALSE,"Test 120 Day Accts";#N/A,#N/A,FALSE,"Tickmarks"}</definedName>
    <definedName name="DAJSDJ" hidden="1">{#N/A,#N/A,FALSE,"CAPEX";#N/A,#N/A,FALSE,"PLAN";#N/A,#N/A,FALSE,"REV";#N/A,#N/A,FALSE,"CALOP";#N/A,#N/A,FALSE,"RESOP";#N/A,#N/A,FALSE,"PRES"}</definedName>
    <definedName name="dakda" hidden="1">{#N/A,#N/A,FALSE,"Aging Summary";#N/A,#N/A,FALSE,"Ratio Analysis";#N/A,#N/A,FALSE,"Test 120 Day Accts";#N/A,#N/A,FALSE,"Tickmarks"}</definedName>
    <definedName name="daleeeeeeeeee" hidden="1">{#N/A,#N/A,FALSE,"Aging Summary";#N/A,#N/A,FALSE,"Ratio Analysis";#N/A,#N/A,FALSE,"Test 120 Day Accts";#N/A,#N/A,FALSE,"Tickmarks"}</definedName>
    <definedName name="dalewa" hidden="1">{#N/A,#N/A,FALSE,"Aging Summary";#N/A,#N/A,FALSE,"Ratio Analysis";#N/A,#N/A,FALSE,"Test 120 Day Accts";#N/A,#N/A,FALSE,"Tickmarks"}</definedName>
    <definedName name="damismdaismdia" hidden="1">{#N/A,#N/A,FALSE,"Aging Summary";#N/A,#N/A,FALSE,"Ratio Analysis";#N/A,#N/A,FALSE,"Test 120 Day Accts";#N/A,#N/A,FALSE,"Tickmarks"}</definedName>
    <definedName name="dandnand" hidden="1">{#N/A,#N/A,FALSE,"Aging Summary";#N/A,#N/A,FALSE,"Ratio Analysis";#N/A,#N/A,FALSE,"Test 120 Day Accts";#N/A,#N/A,FALSE,"Tickmarks"}</definedName>
    <definedName name="dandsu78" hidden="1">{#N/A,#N/A,FALSE,"Aging Summary";#N/A,#N/A,FALSE,"Ratio Analysis";#N/A,#N/A,FALSE,"Test 120 Day Accts";#N/A,#N/A,FALSE,"Tickmarks"}</definedName>
    <definedName name="danisdmaisdmaisd" hidden="1">{#N/A,#N/A,TRUE,"ComparativoII"}</definedName>
    <definedName name="DANSD" hidden="1">{#N/A,#N/A,FALSE,"Aging Summary";#N/A,#N/A,FALSE,"Ratio Analysis";#N/A,#N/A,FALSE,"Test 120 Day Accts";#N/A,#N/A,FALSE,"Tickmarks"}</definedName>
    <definedName name="dansidnaisdnaisdnas" hidden="1">{"Planilla",#N/A,FALSE,"MOV HAC"}</definedName>
    <definedName name="daosdkaod" hidden="1">{#N/A,#N/A,FALSE,"Aging Summary";#N/A,#N/A,FALSE,"Ratio Analysis";#N/A,#N/A,FALSE,"Test 120 Day Accts";#N/A,#N/A,FALSE,"Tickmarks"}</definedName>
    <definedName name="dario" hidden="1">{#N/A,#N/A,FALSE,"Aging Summary";#N/A,#N/A,FALSE,"Ratio Analysis";#N/A,#N/A,FALSE,"Test 120 Day Accts";#N/A,#N/A,FALSE,"Tickmarks"}</definedName>
    <definedName name="das" hidden="1">{#N/A,#N/A,FALSE,"Aging Summary";#N/A,#N/A,FALSE,"Ratio Analysis";#N/A,#N/A,FALSE,"Test 120 Day Accts";#N/A,#N/A,FALSE,"Tickmarks"}</definedName>
    <definedName name="dasad" hidden="1">{#N/A,#N/A,FALSE,"Aging Summary";#N/A,#N/A,FALSE,"Ratio Analysis";#N/A,#N/A,FALSE,"Test 120 Day Accts";#N/A,#N/A,FALSE,"Tickmarks"}</definedName>
    <definedName name="dasas" hidden="1">{#N/A,#N/A,FALSE,"Aging Summary";#N/A,#N/A,FALSE,"Ratio Analysis";#N/A,#N/A,FALSE,"Test 120 Day Accts";#N/A,#N/A,FALSE,"Tickmarks"}</definedName>
    <definedName name="dasasd" hidden="1">{#N/A,#N/A,FALSE,"Aging Summary";#N/A,#N/A,FALSE,"Ratio Analysis";#N/A,#N/A,FALSE,"Test 120 Day Accts";#N/A,#N/A,FALSE,"Tickmarks"}</definedName>
    <definedName name="dasd" hidden="1">{#N/A,#N/A,FALSE,"Aging Summary";#N/A,#N/A,FALSE,"Ratio Analysis";#N/A,#N/A,FALSE,"Test 120 Day Accts";#N/A,#N/A,FALSE,"Tickmarks"}</definedName>
    <definedName name="dasdahsdui" hidden="1">{#N/A,#N/A,FALSE,"Aging Summary";#N/A,#N/A,FALSE,"Ratio Analysis";#N/A,#N/A,FALSE,"Test 120 Day Accts";#N/A,#N/A,FALSE,"Tickmarks"}</definedName>
    <definedName name="DASDAS" hidden="1">{#N/A,#N/A,FALSE,"Aging Summary";#N/A,#N/A,FALSE,"Ratio Analysis";#N/A,#N/A,FALSE,"Test 120 Day Accts";#N/A,#N/A,FALSE,"Tickmarks"}</definedName>
    <definedName name="dasdasd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asdd" hidden="1">{#N/A,#N/A,FALSE,"Aging Summary";#N/A,#N/A,FALSE,"Ratio Analysis";#N/A,#N/A,FALSE,"Test 120 Day Accts";#N/A,#N/A,FALSE,"Tickmarks"}</definedName>
    <definedName name="DASDEAS" hidden="1">{#N/A,#N/A,FALSE,"Aging Summary";#N/A,#N/A,FALSE,"Ratio Analysis";#N/A,#N/A,FALSE,"Test 120 Day Accts";#N/A,#N/A,FALSE,"Tickmarks"}</definedName>
    <definedName name="dasds" hidden="1">{#N/A,#N/A,FALSE,"Aging Summary";#N/A,#N/A,FALSE,"Ratio Analysis";#N/A,#N/A,FALSE,"Test 120 Day Accts";#N/A,#N/A,FALSE,"Tickmarks"}</definedName>
    <definedName name="dasdsds" hidden="1">{#N/A,#N/A,FALSE,"Aging Summary";#N/A,#N/A,FALSE,"Ratio Analysis";#N/A,#N/A,FALSE,"Test 120 Day Accts";#N/A,#N/A,FALSE,"Tickmarks"}</definedName>
    <definedName name="dassad" hidden="1">{#N/A,#N/A,FALSE,"Aging Summary";#N/A,#N/A,FALSE,"Ratio Analysis";#N/A,#N/A,FALSE,"Test 120 Day Accts";#N/A,#N/A,FALSE,"Tickmarks"}</definedName>
    <definedName name="_xlnm.Database">#REF!</definedName>
    <definedName name="DATOS" hidden="1">#REF!</definedName>
    <definedName name="DAUSND" hidden="1">{#N/A,#N/A,FALSE,"Aging Summary";#N/A,#N/A,FALSE,"Ratio Analysis";#N/A,#N/A,FALSE,"Test 120 Day Accts";#N/A,#N/A,FALSE,"Tickmarks"}</definedName>
    <definedName name="dbajsd" hidden="1">{#N/A,#N/A,FALSE,"Aging Summary";#N/A,#N/A,FALSE,"Ratio Analysis";#N/A,#N/A,FALSE,"Test 120 Day Accts";#N/A,#N/A,FALSE,"Tickmarks"}</definedName>
    <definedName name="dbgbhfgb" hidden="1">#REF!</definedName>
    <definedName name="dc" hidden="1">{#N/A,#N/A,FALSE,"Aging Summary";#N/A,#N/A,FALSE,"Ratio Analysis";#N/A,#N/A,FALSE,"Test 120 Day Accts";#N/A,#N/A,FALSE,"Tickmarks"}</definedName>
    <definedName name="DC_VAR1" localSheetId="2">#REF!</definedName>
    <definedName name="DC_VAR1" localSheetId="3">#REF!</definedName>
    <definedName name="DC_VAR1">#REF!</definedName>
    <definedName name="DC_VAR2" localSheetId="2">#REF!</definedName>
    <definedName name="DC_VAR2" localSheetId="3">#REF!</definedName>
    <definedName name="DC_VAR2">#REF!</definedName>
    <definedName name="dd" hidden="1">{#N/A,#N/A,FALSE,"Aging Summary";#N/A,#N/A,FALSE,"Ratio Analysis";#N/A,#N/A,FALSE,"Test 120 Day Accts";#N/A,#N/A,FALSE,"Tickmarks"}</definedName>
    <definedName name="dd3d33" hidden="1">#REF!</definedName>
    <definedName name="ddcdd" hidden="1">{#N/A,#N/A,FALSE,"Aging Summary";#N/A,#N/A,FALSE,"Ratio Analysis";#N/A,#N/A,FALSE,"Test 120 Day Accts";#N/A,#N/A,FALSE,"Tickmarks"}</definedName>
    <definedName name="DD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ddaa" hidden="1">#REF!</definedName>
    <definedName name="dddccc" hidden="1">{#N/A,#N/A,FALSE,"Aging Summary";#N/A,#N/A,FALSE,"Ratio Analysis";#N/A,#N/A,FALSE,"Test 120 Day Accts";#N/A,#N/A,FALSE,"Tickmarks"}</definedName>
    <definedName name="dddd" hidden="1">#REF!</definedName>
    <definedName name="DDDD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ddddd" hidden="1">#REF!</definedName>
    <definedName name="DDDDDDAD" hidden="1">{#N/A,#N/A,FALSE,"Aging Summary";#N/A,#N/A,FALSE,"Ratio Analysis";#N/A,#N/A,FALSE,"Test 120 Day Accts";#N/A,#N/A,FALSE,"Tickmarks"}</definedName>
    <definedName name="dddddddd" hidden="1">{#N/A,#N/A,FALSE,"Aging Summary";#N/A,#N/A,FALSE,"Ratio Analysis";#N/A,#N/A,FALSE,"Test 120 Day Accts";#N/A,#N/A,FALSE,"Tickmarks"}</definedName>
    <definedName name="DDDDDDDDDD" hidden="1">{#N/A,#N/A,FALSE,"Aging Summary";#N/A,#N/A,FALSE,"Ratio Analysis";#N/A,#N/A,FALSE,"Test 120 Day Accts";#N/A,#N/A,FALSE,"Tickmarks"}</definedName>
    <definedName name="DDDDDDDDDDDD" hidden="1">{#N/A,#N/A,FALSE,"Aging Summary";#N/A,#N/A,FALSE,"Ratio Analysis";#N/A,#N/A,FALSE,"Test 120 Day Accts";#N/A,#N/A,FALSE,"Tickmarks"}</definedName>
    <definedName name="dddddddddddddd" hidden="1">#REF!</definedName>
    <definedName name="DDDDDDDDDDDDDDD" hidden="1">{#N/A,#N/A,FALSE,"Aging Summary";#N/A,#N/A,FALSE,"Ratio Analysis";#N/A,#N/A,FALSE,"Test 120 Day Accts";#N/A,#N/A,FALSE,"Tickmarks"}</definedName>
    <definedName name="DDDDDDDDDDDDDDDAD" hidden="1">{#N/A,#N/A,FALSE,"Aging Summary";#N/A,#N/A,FALSE,"Ratio Analysis";#N/A,#N/A,FALSE,"Test 120 Day Accts";#N/A,#N/A,FALSE,"Tickmarks"}</definedName>
    <definedName name="dddddddddddddddd" hidden="1">#REF!</definedName>
    <definedName name="ddddddddddddddddddddddddd" hidden="1">{#N/A,#N/A,FALSE,"Aging Summary";#N/A,#N/A,FALSE,"Ratio Analysis";#N/A,#N/A,FALSE,"Test 120 Day Accts";#N/A,#N/A,FALSE,"Tickmarks"}</definedName>
    <definedName name="dddddddddddddddee" hidden="1">{#N/A,#N/A,FALSE,"Aging Summary";#N/A,#N/A,FALSE,"Ratio Analysis";#N/A,#N/A,FALSE,"Test 120 Day Accts";#N/A,#N/A,FALSE,"Tickmarks"}</definedName>
    <definedName name="dddddkkki"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EJAS" hidden="1">{#N/A,#N/A,FALSE,"Aging Summary";#N/A,#N/A,FALSE,"Ratio Analysis";#N/A,#N/A,FALSE,"Test 120 Day Accts";#N/A,#N/A,FALSE,"Tickmarks"}</definedName>
    <definedName name="DDE" hidden="1">{#N/A,#N/A,FALSE,"Aging Summary";#N/A,#N/A,FALSE,"Ratio Analysis";#N/A,#N/A,FALSE,"Test 120 Day Accts";#N/A,#N/A,FALSE,"Tickmarks"}</definedName>
    <definedName name="ddede" hidden="1">{#N/A,#N/A,FALSE,"OBLIG.S-CAPITAL"}</definedName>
    <definedName name="ddeded" hidden="1">{#N/A,#N/A,FALSE,"Aging Summary";#N/A,#N/A,FALSE,"Ratio Analysis";#N/A,#N/A,FALSE,"Test 120 Day Accts";#N/A,#N/A,FALSE,"Tickmarks"}</definedName>
    <definedName name="DDEF" hidden="1">{#N/A,#N/A,FALSE,"Aging Summary";#N/A,#N/A,FALSE,"Ratio Analysis";#N/A,#N/A,FALSE,"Test 120 Day Accts";#N/A,#N/A,FALSE,"Tickmarks"}</definedName>
    <definedName name="DDF" hidden="1">{#N/A,#N/A,FALSE,"Aging Summary";#N/A,#N/A,FALSE,"Ratio Analysis";#N/A,#N/A,FALSE,"Test 120 Day Accts";#N/A,#N/A,FALSE,"Tickmarks"}</definedName>
    <definedName name="DDJJ" hidden="1">#REF!</definedName>
    <definedName name="ddjqi" hidden="1">{#N/A,#N/A,FALSE,"Aging Summary";#N/A,#N/A,FALSE,"Ratio Analysis";#N/A,#N/A,FALSE,"Test 120 Day Accts";#N/A,#N/A,FALSE,"Tickmarks"}</definedName>
    <definedName name="ddqdkq" hidden="1">#REF!</definedName>
    <definedName name="ddqe" hidden="1">{#N/A,#N/A,FALSE,"Aging Summary";#N/A,#N/A,FALSE,"Ratio Analysis";#N/A,#N/A,FALSE,"Test 120 Day Accts";#N/A,#N/A,FALSE,"Tickmarks"}</definedName>
    <definedName name="ddsds" hidden="1">{#N/A,#N/A,FALSE,"Aging Summary";#N/A,#N/A,FALSE,"Ratio Analysis";#N/A,#N/A,FALSE,"Test 120 Day Accts";#N/A,#N/A,FALSE,"Tickmarks"}</definedName>
    <definedName name="de" hidden="1">{#N/A,#N/A,FALSE,"Aging Summary";#N/A,#N/A,FALSE,"Ratio Analysis";#N/A,#N/A,FALSE,"Test 120 Day Accts";#N/A,#N/A,FALSE,"Tickmarks"}</definedName>
    <definedName name="deahs" hidden="1">{#N/A,#N/A,FALSE,"Aging Summary";#N/A,#N/A,FALSE,"Ratio Analysis";#N/A,#N/A,FALSE,"Test 120 Day Accts";#N/A,#N/A,FALSE,"Tickmarks"}</definedName>
    <definedName name="DEAS" hidden="1">{#N/A,#N/A,FALSE,"Aging Summary";#N/A,#N/A,FALSE,"Ratio Analysis";#N/A,#N/A,FALSE,"Test 120 Day Accts";#N/A,#N/A,FALSE,"Tickmarks"}</definedName>
    <definedName name="DECAS" hidden="1">{#N/A,#N/A,FALSE,"Aging Summary";#N/A,#N/A,FALSE,"Ratio Analysis";#N/A,#N/A,FALSE,"Test 120 Day Accts";#N/A,#N/A,FALSE,"Tickmarks"}</definedName>
    <definedName name="declaraciones" hidden="1">#REF!</definedName>
    <definedName name="DEDDDSF" hidden="1">{#N/A,#N/A,FALSE,"Aging Summary";#N/A,#N/A,FALSE,"Ratio Analysis";#N/A,#N/A,FALSE,"Test 120 Day Accts";#N/A,#N/A,FALSE,"Tickmarks"}</definedName>
    <definedName name="dedede" hidden="1">{#N/A,#N/A,FALSE,"Aging Summary";#N/A,#N/A,FALSE,"Ratio Analysis";#N/A,#N/A,FALSE,"Test 120 Day Accts";#N/A,#N/A,FALSE,"Tickmarks"}</definedName>
    <definedName name="dededed" hidden="1">{#N/A,#N/A,FALSE,"Aging Summary";#N/A,#N/A,FALSE,"Ratio Analysis";#N/A,#N/A,FALSE,"Test 120 Day Accts";#N/A,#N/A,FALSE,"Tickmarks"}</definedName>
    <definedName name="dededede" hidden="1">#REF!</definedName>
    <definedName name="dede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fasd" hidden="1">{#N/A,#N/A,FALSE,"Aging Summary";#N/A,#N/A,FALSE,"Ratio Analysis";#N/A,#N/A,FALSE,"Test 120 Day Accts";#N/A,#N/A,FALSE,"Tickmarks"}</definedName>
    <definedName name="DEDFG" hidden="1">{#N/A,#N/A,FALSE,"Aging Summary";#N/A,#N/A,FALSE,"Ratio Analysis";#N/A,#N/A,FALSE,"Test 120 Day Accts";#N/A,#N/A,FALSE,"Tickmarks"}</definedName>
    <definedName name="dedwdw" hidden="1">{#N/A,#N/A,FALSE,"Aging Summary";#N/A,#N/A,FALSE,"Ratio Analysis";#N/A,#N/A,FALSE,"Test 120 Day Accts";#N/A,#N/A,FALSE,"Tickmarks"}</definedName>
    <definedName name="dee" hidden="1">{"toptrial",#N/A,TRUE,"toptrial";"adjustment",#N/A,TRUE,"toptrial";"voucher",#N/A,TRUE,"toptrial"}</definedName>
    <definedName name="deed3d3d3d" hidden="1">#REF!</definedName>
    <definedName name="deeeeeeeeeeeeeeeeee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ef" hidden="1">{#N/A,#N/A,FALSE,"Aging Summary";#N/A,#N/A,FALSE,"Ratio Analysis";#N/A,#N/A,FALSE,"Test 120 Day Accts";#N/A,#N/A,FALSE,"Tickmarks"}</definedName>
    <definedName name="DEFADSDF" hidden="1">{#N/A,#N/A,FALSE,"Aging Summary";#N/A,#N/A,FALSE,"Ratio Analysis";#N/A,#N/A,FALSE,"Test 120 Day Accts";#N/A,#N/A,FALSE,"Tickmarks"}</definedName>
    <definedName name="DEFAS" hidden="1">{#N/A,#N/A,FALSE,"Aging Summary";#N/A,#N/A,FALSE,"Ratio Analysis";#N/A,#N/A,FALSE,"Test 120 Day Accts";#N/A,#N/A,FALSE,"Tickmarks"}</definedName>
    <definedName name="DEFASSDE" hidden="1">{#N/A,#N/A,FALSE,"Aging Summary";#N/A,#N/A,FALSE,"Ratio Analysis";#N/A,#N/A,FALSE,"Test 120 Day Accts";#N/A,#N/A,FALSE,"Tickmarks"}</definedName>
    <definedName name="defdas" hidden="1">{#N/A,#N/A,FALSE,"Aging Summary";#N/A,#N/A,FALSE,"Ratio Analysis";#N/A,#N/A,FALSE,"Test 120 Day Accts";#N/A,#N/A,FALSE,"Tickmarks"}</definedName>
    <definedName name="DEFFS" hidden="1">{#N/A,#N/A,FALSE,"Aging Summary";#N/A,#N/A,FALSE,"Ratio Analysis";#N/A,#N/A,FALSE,"Test 120 Day Accts";#N/A,#N/A,FALSE,"Tickmarks"}</definedName>
    <definedName name="DEFFSD" hidden="1">{#N/A,#N/A,FALSE,"Aging Summary";#N/A,#N/A,FALSE,"Ratio Analysis";#N/A,#N/A,FALSE,"Test 120 Day Accts";#N/A,#N/A,FALSE,"Tickmarks"}</definedName>
    <definedName name="DEFRGVA" hidden="1">{#N/A,#N/A,FALSE,"Aging Summary";#N/A,#N/A,FALSE,"Ratio Analysis";#N/A,#N/A,FALSE,"Test 120 Day Accts";#N/A,#N/A,FALSE,"Tickmarks"}</definedName>
    <definedName name="DEFSDEF" hidden="1">{#N/A,#N/A,FALSE,"Aging Summary";#N/A,#N/A,FALSE,"Ratio Analysis";#N/A,#N/A,FALSE,"Test 120 Day Accts";#N/A,#N/A,FALSE,"Tickmarks"}</definedName>
    <definedName name="dejdjwd" hidden="1">{#N/A,#N/A,FALSE,"Aging Summary";#N/A,#N/A,FALSE,"Ratio Analysis";#N/A,#N/A,FALSE,"Test 120 Day Accts";#N/A,#N/A,FALSE,"Tickmarks"}</definedName>
    <definedName name="deje" hidden="1">{#N/A,#N/A,FALSE,"Aging Summary";#N/A,#N/A,FALSE,"Ratio Analysis";#N/A,#N/A,FALSE,"Test 120 Day Accts";#N/A,#N/A,FALSE,"Tickmarks"}</definedName>
    <definedName name="DEJFJS" hidden="1">{#N/A,#N/A,FALSE,"Aging Summary";#N/A,#N/A,FALSE,"Ratio Analysis";#N/A,#N/A,FALSE,"Test 120 Day Accts";#N/A,#N/A,FALSE,"Tickmarks"}</definedName>
    <definedName name="dejrfdc" hidden="1">{#N/A,#N/A,FALSE,"Aging Summary";#N/A,#N/A,FALSE,"Ratio Analysis";#N/A,#N/A,FALSE,"Test 120 Day Accts";#N/A,#N/A,FALSE,"Tickmarks"}</definedName>
    <definedName name="dekdoed" hidden="1">{#N/A,#N/A,FALSE,"Aging Summary";#N/A,#N/A,FALSE,"Ratio Analysis";#N/A,#N/A,FALSE,"Test 120 Day Accts";#N/A,#N/A,FALSE,"Tickmarks"}</definedName>
    <definedName name="dele" hidden="1">{#N/A,#N/A,FALSE,"Aging Summary";#N/A,#N/A,FALSE,"Ratio Analysis";#N/A,#N/A,FALSE,"Test 120 Day Accts";#N/A,#N/A,FALSE,"Tickmarks"}</definedName>
    <definedName name="demodme" hidden="1">{"'DIFPRE'!$A$2:$M$54"}</definedName>
    <definedName name="depwdwe" hidden="1">#REF!</definedName>
    <definedName name="deqpdkqd" hidden="1">{#N/A,#N/A,FALSE,"CAPEX";#N/A,#N/A,FALSE,"PLAN";#N/A,#N/A,FALSE,"REV";#N/A,#N/A,FALSE,"CALOP";#N/A,#N/A,FALSE,"RESOP";#N/A,#N/A,FALSE,"PRES"}</definedName>
    <definedName name="DE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ERASA" hidden="1">{#N/A,#N/A,FALSE,"Aging Summary";#N/A,#N/A,FALSE,"Ratio Analysis";#N/A,#N/A,FALSE,"Test 120 Day Accts";#N/A,#N/A,FALSE,"Tickmarks"}</definedName>
    <definedName name="DERESWE" hidden="1">{#N/A,#N/A,FALSE,"Aging Summary";#N/A,#N/A,FALSE,"Ratio Analysis";#N/A,#N/A,FALSE,"Test 120 Day Accts";#N/A,#N/A,FALSE,"Tickmarks"}</definedName>
    <definedName name="DERWS" hidden="1">{#N/A,#N/A,FALSE,"Aging Summary";#N/A,#N/A,FALSE,"Ratio Analysis";#N/A,#N/A,FALSE,"Test 120 Day Accts";#N/A,#N/A,FALSE,"Tickmarks"}</definedName>
    <definedName name="deu" hidden="1">{#N/A,#N/A,FALSE,"Datos";#N/A,#N/A,FALSE,"PartCap";#N/A,#N/A,FALSE,"Gtos-II";#N/A,#N/A,FALSE,"Inm.Mat1";#N/A,#N/A,FALSE,"Inm.Mat2";#N/A,#N/A,FALSE,"Inm.Fin";#N/A,#N/A,FALSE,"DeudAcre";#N/A,#N/A,FALSE,"Exist.Prov";#N/A,#N/A,FALSE,"Patrim.";#N/A,#N/A,FALSE,"IaD ";#N/A,#N/A,FALSE,"IptoSdes1";#N/A,#N/A,FALSE,"IptoSdes2";#N/A,#N/A,FALSE,"Ajust.IM";#N/A,#N/A,FALSE,"Ajust.Exi";#N/A,#N/A,FALSE,"Ajust.Div";#N/A,#N/A,FALSE,"Ajust.IF";#N/A,#N/A,FALSE,"Compvta";#N/A,#N/A,FALSE,"Avales";#N/A,#N/A,FALSE,"Conting.";#N/A,#N/A,FALSE,"Otra infor.1";#N/A,#N/A,FALSE,"Otra infor.2"}</definedName>
    <definedName name="DEUDA">[1]EMBARQUES!#REF!</definedName>
    <definedName name="dew" hidden="1">{#N/A,#N/A,FALSE,"Aging Summary";#N/A,#N/A,FALSE,"Ratio Analysis";#N/A,#N/A,FALSE,"Test 120 Day Accts";#N/A,#N/A,FALSE,"Tickmarks"}</definedName>
    <definedName name="dewjdowd" hidden="1">{#N/A,#N/A,FALSE,"Aging Summary";#N/A,#N/A,FALSE,"Ratio Analysis";#N/A,#N/A,FALSE,"Test 120 Day Accts";#N/A,#N/A,FALSE,"Tickmarks"}</definedName>
    <definedName name="dewodw" hidden="1">{#N/A,#N/A,FALSE,"Aging Summary";#N/A,#N/A,FALSE,"Ratio Analysis";#N/A,#N/A,FALSE,"Test 120 Day Accts";#N/A,#N/A,FALSE,"Tickmarks"}</definedName>
    <definedName name="dewqdqdq" hidden="1">{#N/A,#N/A,FALSE,"Aging Summary";#N/A,#N/A,FALSE,"Ratio Analysis";#N/A,#N/A,FALSE,"Test 120 Day Accts";#N/A,#N/A,FALSE,"Tickmarks"}</definedName>
    <definedName name="d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fa" hidden="1">#REF!</definedName>
    <definedName name="DFD" hidden="1">{#N/A,#N/A,FALSE,"Aging Summary";#N/A,#N/A,FALSE,"Ratio Analysis";#N/A,#N/A,FALSE,"Test 120 Day Accts";#N/A,#N/A,FALSE,"Tickmarks"}</definedName>
    <definedName name="DFDF" hidden="1">{"car",#N/A,FALSE,"Cara";"memoria",#N/A,FALSE,"Memoria";"infoaudi",#N/A,FALSE,"INFOAUDI";"com",#N/A,FALSE,"COM";"bal",#N/A,FALSE,"BAL";"res",#N/A,FALSE,"RES";"evo",#N/A,FALSE,"EVO";"oaf",#N/A,FALSE,"OAF";"notas",#N/A,FALSE,"NOT";"0I",#N/A,FALSE,"OI";"II",#N/A,FALSE,"II";"III",#N/A,FALSE,"III";"infoaudi",#N/A,FALSE,"INFOAUDI"}</definedName>
    <definedName name="dfdfdfdf" hidden="1">#REF!</definedName>
    <definedName name="dfdfdfdfdf" hidden="1">#REF!</definedName>
    <definedName name="DFDS" hidden="1">#REF!</definedName>
    <definedName name="dfdsfsda" hidden="1">{"car",#N/A,FALSE,"Cara";"memoria",#N/A,FALSE,"Memoria";"infoaudi",#N/A,FALSE,"INFOAUDI";"com",#N/A,FALSE,"COM";"bal",#N/A,FALSE,"BAL";"res",#N/A,FALSE,"RES";"evo",#N/A,FALSE,"EVO";"oaf",#N/A,FALSE,"OAF";"notas",#N/A,FALSE,"NOT";"0I",#N/A,FALSE,"OI";"II",#N/A,FALSE,"II";"III",#N/A,FALSE,"III";"infoaudi",#N/A,FALSE,"INFOAUDI"}</definedName>
    <definedName name="dfdsfsdfdsf" hidden="1">#REF!</definedName>
    <definedName name="DFES" hidden="1">{#N/A,#N/A,FALSE,"Aging Summary";#N/A,#N/A,FALSE,"Ratio Analysis";#N/A,#N/A,FALSE,"Test 120 Day Accts";#N/A,#N/A,FALSE,"Tickmarks"}</definedName>
    <definedName name="dfgdf" hidden="1">#REF!</definedName>
    <definedName name="dfgergegggeee" hidden="1">#REF!</definedName>
    <definedName name="dfgg" hidden="1">#REF!</definedName>
    <definedName name="dfgtats" hidden="1">#REF!</definedName>
    <definedName name="dfh" hidden="1">{"'DIFPRE'!$A$2:$M$54"}</definedName>
    <definedName name="dfkdsfksd" hidden="1">{#N/A,#N/A,FALSE,"Aging Summary";#N/A,#N/A,FALSE,"Ratio Analysis";#N/A,#N/A,FALSE,"Test 120 Day Accts";#N/A,#N/A,FALSE,"Tickmarks"}</definedName>
    <definedName name="dfkodsfs" hidden="1">#REF!</definedName>
    <definedName name="dfldpslf" hidden="1">{#N/A,#N/A,FALSE,"Aging Summary";#N/A,#N/A,FALSE,"Ratio Analysis";#N/A,#N/A,FALSE,"Test 120 Day Accts";#N/A,#N/A,FALSE,"Tickmarks"}</definedName>
    <definedName name="dfsa" hidden="1">{#N/A,#N/A,FALSE,"Aging Summary";#N/A,#N/A,FALSE,"Ratio Analysis";#N/A,#N/A,FALSE,"Test 120 Day Accts";#N/A,#N/A,FALSE,"Tickmarks"}</definedName>
    <definedName name="DFSAD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dfsd" hidden="1">{#N/A,#N/A,FALSE,"Aging Summary";#N/A,#N/A,FALSE,"Ratio Analysis";#N/A,#N/A,FALSE,"Test 120 Day Accts";#N/A,#N/A,FALSE,"Tickmarks"}</definedName>
    <definedName name="dfsdf" hidden="1">2</definedName>
    <definedName name="dfsdfsdf" hidden="1">#REF!</definedName>
    <definedName name="dfsfsf" hidden="1">{#N/A,#N/A,FALSE,"Aging Summary";#N/A,#N/A,FALSE,"Ratio Analysis";#N/A,#N/A,FALSE,"Test 120 Day Accts";#N/A,#N/A,FALSE,"Tickmarks"}</definedName>
    <definedName name="dfssdfsf" hidden="1">#REF!</definedName>
    <definedName name="dfssfd" hidden="1">{#N/A,#N/A,FALSE,"Aging Summary";#N/A,#N/A,FALSE,"Ratio Analysis";#N/A,#N/A,FALSE,"Test 120 Day Accts";#N/A,#N/A,FALSE,"Tickmarks"}</definedName>
    <definedName name="DGDGG" hidden="1">{#N/A,#N/A,FALSE,"Aging Summary";#N/A,#N/A,FALSE,"Ratio Analysis";#N/A,#N/A,FALSE,"Test 120 Day Accts";#N/A,#N/A,FALSE,"Tickmarks"}</definedName>
    <definedName name="dgh" hidden="1">#REF!</definedName>
    <definedName name="dghyfbgcv" hidden="1">#REF!</definedName>
    <definedName name="dghyjukjjn" hidden="1">#REF!</definedName>
    <definedName name="dh" hidden="1">{#N/A,#N/A,FALSE,"balance";#N/A,#N/A,FALSE,"resultados";#N/A,#N/A,FALSE,"patrimonio";#N/A,#N/A,FALSE,"bienes uso";#N/A,#N/A,FALSE,"art.64"}</definedName>
    <definedName name="dhajsd" hidden="1">{#N/A,#N/A,FALSE,"Aging Summary";#N/A,#N/A,FALSE,"Ratio Analysis";#N/A,#N/A,FALSE,"Test 120 Day Accts";#N/A,#N/A,FALSE,"Tickmarks"}</definedName>
    <definedName name="dhashdha" hidden="1">{#N/A,#N/A,FALSE,"Aging Summary";#N/A,#N/A,FALSE,"Ratio Analysis";#N/A,#N/A,FALSE,"Test 120 Day Accts";#N/A,#N/A,FALSE,"Tickmarks"}</definedName>
    <definedName name="DHAV" hidden="1">{#N/A,#N/A,FALSE,"Aging Summary";#N/A,#N/A,FALSE,"Ratio Analysis";#N/A,#N/A,FALSE,"Test 120 Day Accts";#N/A,#N/A,FALSE,"Tickmarks"}</definedName>
    <definedName name="dhdhdhd" hidden="1">{"Schedule_1D",#N/A,FALSE,"I-D"}</definedName>
    <definedName name="dhedas" hidden="1">{#N/A,#N/A,FALSE,"Aging Summary";#N/A,#N/A,FALSE,"Ratio Analysis";#N/A,#N/A,FALSE,"Test 120 Day Accts";#N/A,#N/A,FALSE,"Tickmarks"}</definedName>
    <definedName name="dhedsd" hidden="1">{#N/A,#N/A,FALSE,"Aging Summary";#N/A,#N/A,FALSE,"Ratio Analysis";#N/A,#N/A,FALSE,"Test 120 Day Accts";#N/A,#N/A,FALSE,"Tickmarks"}</definedName>
    <definedName name="DHEFDAS" hidden="1">{#N/A,#N/A,FALSE,"Aging Summary";#N/A,#N/A,FALSE,"Ratio Analysis";#N/A,#N/A,FALSE,"Test 120 Day Accts";#N/A,#N/A,FALSE,"Tickmarks"}</definedName>
    <definedName name="dheyasd" hidden="1">{#N/A,#N/A,FALSE,"Aging Summary";#N/A,#N/A,FALSE,"Ratio Analysis";#N/A,#N/A,FALSE,"Test 120 Day Accts";#N/A,#N/A,FALSE,"Tickmarks"}</definedName>
    <definedName name="dhhhhhhhhhhh" hidden="1">#REF!</definedName>
    <definedName name="dhsdads" hidden="1">{#N/A,#N/A,FALSE,"Aging Summary";#N/A,#N/A,FALSE,"Ratio Analysis";#N/A,#N/A,FALSE,"Test 120 Day Accts";#N/A,#N/A,FALSE,"Tickmarks"}</definedName>
    <definedName name="DIADAD" hidden="1">{#N/A,#N/A,FALSE,"Aging Summary";#N/A,#N/A,FALSE,"Ratio Analysis";#N/A,#N/A,FALSE,"Test 120 Day Accts";#N/A,#N/A,FALSE,"Tickmarks"}</definedName>
    <definedName name="DIAJS" hidden="1">{#N/A,#N/A,FALSE,"Aging Summary";#N/A,#N/A,FALSE,"Ratio Analysis";#N/A,#N/A,FALSE,"Test 120 Day Accts";#N/A,#N/A,FALSE,"Tickmarks"}</definedName>
    <definedName name="diajsidja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IANSD8" hidden="1">{#N/A,#N/A,FALSE,"Aging Summary";#N/A,#N/A,FALSE,"Ratio Analysis";#N/A,#N/A,FALSE,"Test 120 Day Accts";#N/A,#N/A,FALSE,"Tickmarks"}</definedName>
    <definedName name="DIANSDIA" hidden="1">{"Schedule_IA",#N/A,FALSE,"I-A"}</definedName>
    <definedName name="diasndiasndia" hidden="1">{#N/A,#N/A,FALSE,"Aging Summary";#N/A,#N/A,FALSE,"Ratio Analysis";#N/A,#N/A,FALSE,"Test 120 Day Accts";#N/A,#N/A,FALSE,"Tickmarks"}</definedName>
    <definedName name="DICIEMBRE" hidden="1">{#N/A,#N/A,FALSE,"OBLIG.S-CAPITAL"}</definedName>
    <definedName name="didnw" hidden="1">{#N/A,#N/A,FALSE,"Aging Summary";#N/A,#N/A,FALSE,"Ratio Analysis";#N/A,#N/A,FALSE,"Test 120 Day Accts";#N/A,#N/A,FALSE,"Tickmarks"}</definedName>
    <definedName name="di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ieqidw" hidden="1">{#N/A,#N/A,FALSE,"Aging Summary";#N/A,#N/A,FALSE,"Ratio Analysis";#N/A,#N/A,FALSE,"Test 120 Day Accts";#N/A,#N/A,FALSE,"Tickmarks"}</definedName>
    <definedName name="diezzzz" hidden="1">{#N/A,#N/A,FALSE,"Aging Summary";#N/A,#N/A,FALSE,"Ratio Analysis";#N/A,#N/A,FALSE,"Test 120 Day Accts";#N/A,#N/A,FALSE,"Tickmarks"}</definedName>
    <definedName name="diferencias" localSheetId="2">#REF!</definedName>
    <definedName name="diferencias" localSheetId="3">#REF!</definedName>
    <definedName name="diferencias">#REF!</definedName>
    <definedName name="diferente2" hidden="1">{#N/A,#N/A,FALSE,"Aging Summary";#N/A,#N/A,FALSE,"Ratio Analysis";#N/A,#N/A,FALSE,"Test 120 Day Accts";#N/A,#N/A,FALSE,"Tickmarks"}</definedName>
    <definedName name="Difference">#REF!</definedName>
    <definedName name="DIJAISD" hidden="1">{#N/A,#N/A,FALSE,"Aging Summary";#N/A,#N/A,FALSE,"Ratio Analysis";#N/A,#N/A,FALSE,"Test 120 Day Accts";#N/A,#N/A,FALSE,"Tickmarks"}</definedName>
    <definedName name="dije" hidden="1">#REF!</definedName>
    <definedName name="dijeide" hidden="1">#REF!</definedName>
    <definedName name="dijwidjw" hidden="1">{#N/A,#N/A,FALSE,"Aging Summary";#N/A,#N/A,FALSE,"Ratio Analysis";#N/A,#N/A,FALSE,"Test 120 Day Accts";#N/A,#N/A,FALSE,"Tickmarks"}</definedName>
    <definedName name="dimaida" hidden="1">{#N/A,#N/A,FALSE,"Aging Summary";#N/A,#N/A,FALSE,"Ratio Analysis";#N/A,#N/A,FALSE,"Test 120 Day Accts";#N/A,#N/A,FALSE,"Tickmarks"}</definedName>
    <definedName name="dimedede" hidden="1">{#N/A,#N/A,FALSE,"Aging Summary";#N/A,#N/A,FALSE,"Ratio Analysis";#N/A,#N/A,FALSE,"Test 120 Day Accts";#N/A,#N/A,FALSE,"Tickmarks"}</definedName>
    <definedName name="dinqdinqd" hidden="1">{#N/A,#N/A,FALSE,"Aging Summary";#N/A,#N/A,FALSE,"Ratio Analysis";#N/A,#N/A,FALSE,"Test 120 Day Accts";#N/A,#N/A,FALSE,"Tickmarks"}</definedName>
    <definedName name="diqq" hidden="1">#REF!</definedName>
    <definedName name="directcost" localSheetId="2">#REF!</definedName>
    <definedName name="directcost" localSheetId="3">#REF!</definedName>
    <definedName name="directcost">#REF!</definedName>
    <definedName name="Disaggregations">#REF!</definedName>
    <definedName name="diufsas" hidden="1">{#N/A,#N/A,FALSE,"Aging Summary";#N/A,#N/A,FALSE,"Ratio Analysis";#N/A,#N/A,FALSE,"Test 120 Day Accts";#N/A,#N/A,FALSE,"Tickmarks"}</definedName>
    <definedName name="diwmidw" hidden="1">{#N/A,#N/A,FALSE,"Aging Summary";#N/A,#N/A,FALSE,"Ratio Analysis";#N/A,#N/A,FALSE,"Test 120 Day Accts";#N/A,#N/A,FALSE,"Tickmarks"}</definedName>
    <definedName name="DJAI32" hidden="1">{#N/A,#N/A,FALSE,"Aging Summary";#N/A,#N/A,FALSE,"Ratio Analysis";#N/A,#N/A,FALSE,"Test 120 Day Accts";#N/A,#N/A,FALSE,"Tickmarks"}</definedName>
    <definedName name="djaid9a" hidden="1">{#N/A,#N/A,FALSE,"Aging Summary";#N/A,#N/A,FALSE,"Ratio Analysis";#N/A,#N/A,FALSE,"Test 120 Day Accts";#N/A,#N/A,FALSE,"Tickmarks"}</definedName>
    <definedName name="DJAIS0" hidden="1">{#N/A,#N/A,FALSE,"Aging Summary";#N/A,#N/A,FALSE,"Ratio Analysis";#N/A,#N/A,FALSE,"Test 120 Day Accts";#N/A,#N/A,FALSE,"Tickmarks"}</definedName>
    <definedName name="DJAISD" hidden="1">{#N/A,#N/A,FALSE,"Aging Summary";#N/A,#N/A,FALSE,"Ratio Analysis";#N/A,#N/A,FALSE,"Test 120 Day Accts";#N/A,#N/A,FALSE,"Tickmarks"}</definedName>
    <definedName name="djaisd9" hidden="1">{#N/A,#N/A,FALSE,"Aging Summary";#N/A,#N/A,FALSE,"Ratio Analysis";#N/A,#N/A,FALSE,"Test 120 Day Accts";#N/A,#N/A,FALSE,"Tickmarks"}</definedName>
    <definedName name="djaisd9a" hidden="1">{#N/A,#N/A,FALSE,"Aging Summary";#N/A,#N/A,FALSE,"Ratio Analysis";#N/A,#N/A,FALSE,"Test 120 Day Accts";#N/A,#N/A,FALSE,"Tickmarks"}</definedName>
    <definedName name="DJAJSDA" hidden="1">{#N/A,#N/A,FALSE,"Aging Summary";#N/A,#N/A,FALSE,"Ratio Analysis";#N/A,#N/A,FALSE,"Test 120 Day Accts";#N/A,#N/A,FALSE,"Tickmarks"}</definedName>
    <definedName name="djaosjd" hidden="1">{#N/A,#N/A,FALSE,"Aging Summary";#N/A,#N/A,FALSE,"Ratio Analysis";#N/A,#N/A,FALSE,"Test 120 Day Accts";#N/A,#N/A,FALSE,"Tickmarks"}</definedName>
    <definedName name="DJAS8D" hidden="1">{#N/A,#N/A,FALSE,"Aging Summary";#N/A,#N/A,FALSE,"Ratio Analysis";#N/A,#N/A,FALSE,"Test 120 Day Accts";#N/A,#N/A,FALSE,"Tickmarks"}</definedName>
    <definedName name="DJAS9D8" hidden="1">{#N/A,#N/A,FALSE,"Aging Summary";#N/A,#N/A,FALSE,"Ratio Analysis";#N/A,#N/A,FALSE,"Test 120 Day Accts";#N/A,#N/A,FALSE,"Tickmarks"}</definedName>
    <definedName name="djasd" hidden="1">{#N/A,#N/A,FALSE,"Aging Summary";#N/A,#N/A,FALSE,"Ratio Analysis";#N/A,#N/A,FALSE,"Test 120 Day Accts";#N/A,#N/A,FALSE,"Tickmarks"}</definedName>
    <definedName name="djasd9" hidden="1">{#N/A,#N/A,FALSE,"Aging Summary";#N/A,#N/A,FALSE,"Ratio Analysis";#N/A,#N/A,FALSE,"Test 120 Day Accts";#N/A,#N/A,FALSE,"Tickmarks"}</definedName>
    <definedName name="DJASKDJASD" hidden="1">{#N/A,#N/A,FALSE,"Aging Summary";#N/A,#N/A,FALSE,"Ratio Analysis";#N/A,#N/A,FALSE,"Test 120 Day Accts";#N/A,#N/A,FALSE,"Tickmarks"}</definedName>
    <definedName name="djasodjaosjdoa" hidden="1">{#N/A,#N/A,FALSE,"Aging Summary";#N/A,#N/A,FALSE,"Ratio Analysis";#N/A,#N/A,FALSE,"Test 120 Day Accts";#N/A,#N/A,FALSE,"Tickmarks"}</definedName>
    <definedName name="djdede" hidden="1">{#N/A,#N/A,FALSE,"Aging Summary";#N/A,#N/A,FALSE,"Ratio Analysis";#N/A,#N/A,FALSE,"Test 120 Day Accts";#N/A,#N/A,FALSE,"Tickmarks"}</definedName>
    <definedName name="djeide" hidden="1">#REF!</definedName>
    <definedName name="djeqdjod" hidden="1">{#N/A,#N/A,FALSE,"Aging Summary";#N/A,#N/A,FALSE,"Ratio Analysis";#N/A,#N/A,FALSE,"Test 120 Day Accts";#N/A,#N/A,FALSE,"Tickmarks"}</definedName>
    <definedName name="DJFDJI" hidden="1">{#N/A,#N/A,FALSE,"Aging Summary";#N/A,#N/A,FALSE,"Ratio Analysis";#N/A,#N/A,FALSE,"Test 120 Day Accts";#N/A,#N/A,FALSE,"Tickmarks"}</definedName>
    <definedName name="DJFJ" hidden="1">{#N/A,#N/A,FALSE,"Aging Summary";#N/A,#N/A,FALSE,"Ratio Analysis";#N/A,#N/A,FALSE,"Test 120 Day Accts";#N/A,#N/A,FALSE,"Tickmarks"}</definedName>
    <definedName name="djiew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jiewjdiw" hidden="1">{#N/A,#N/A,FALSE,"Aging Summary";#N/A,#N/A,FALSE,"Ratio Analysis";#N/A,#N/A,FALSE,"Test 120 Day Accts";#N/A,#N/A,FALSE,"Tickmarks"}</definedName>
    <definedName name="djqidjq" hidden="1">{#N/A,#N/A,FALSE,"Aging Summary";#N/A,#N/A,FALSE,"Ratio Analysis";#N/A,#N/A,FALSE,"Test 120 Day Accts";#N/A,#N/A,FALSE,"Tickmarks"}</definedName>
    <definedName name="djqidjqd" hidden="1">{#N/A,#N/A,FALSE,"Aging Summary";#N/A,#N/A,FALSE,"Ratio Analysis";#N/A,#N/A,FALSE,"Test 120 Day Accts";#N/A,#N/A,FALSE,"Tickmarks"}</definedName>
    <definedName name="djqoidjq" hidden="1">{#N/A,#N/A,FALSE,"Aging Summary";#N/A,#N/A,FALSE,"Ratio Analysis";#N/A,#N/A,FALSE,"Test 120 Day Accts";#N/A,#N/A,FALSE,"Tickmarks"}</definedName>
    <definedName name="DJSASOFD89EUKDSNCI88CA" hidden="1">{#N/A,#N/A,FALSE,"Aging Summary";#N/A,#N/A,FALSE,"Ratio Analysis";#N/A,#N/A,FALSE,"Test 120 Day Accts";#N/A,#N/A,FALSE,"Tickmarks"}</definedName>
    <definedName name="dkaodkad" hidden="1">{#N/A,#N/A,FALSE,"Aging Summary";#N/A,#N/A,FALSE,"Ratio Analysis";#N/A,#N/A,FALSE,"Test 120 Day Accts";#N/A,#N/A,FALSE,"Tickmarks"}</definedName>
    <definedName name="dkaoksd" hidden="1">{#N/A,#N/A,FALSE,"Aging Summary";#N/A,#N/A,FALSE,"Ratio Analysis";#N/A,#N/A,FALSE,"Test 120 Day Accts";#N/A,#N/A,FALSE,"Tickmarks"}</definedName>
    <definedName name="dkaosd" hidden="1">{#N/A,#N/A,FALSE,"Aging Summary";#N/A,#N/A,FALSE,"Ratio Analysis";#N/A,#N/A,FALSE,"Test 120 Day Accts";#N/A,#N/A,FALSE,"Tickmarks"}</definedName>
    <definedName name="DKAOSD0" hidden="1">{#N/A,#N/A,FALSE,"Aging Summary";#N/A,#N/A,FALSE,"Ratio Analysis";#N/A,#N/A,FALSE,"Test 120 Day Accts";#N/A,#N/A,FALSE,"Tickmarks"}</definedName>
    <definedName name="dkaosdk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kaosdkad" hidden="1">{#N/A,#N/A,FALSE,"Aging Summary";#N/A,#N/A,FALSE,"Ratio Analysis";#N/A,#N/A,FALSE,"Test 120 Day Accts";#N/A,#N/A,FALSE,"Tickmarks"}</definedName>
    <definedName name="dkaosdkaods" hidden="1">{#N/A,#N/A,FALSE,"Aging Summary";#N/A,#N/A,FALSE,"Ratio Analysis";#N/A,#N/A,FALSE,"Test 120 Day Accts";#N/A,#N/A,FALSE,"Tickmarks"}</definedName>
    <definedName name="dkaoskda" hidden="1">{#N/A,#N/A,FALSE,"Aging Summary";#N/A,#N/A,FALSE,"Ratio Analysis";#N/A,#N/A,FALSE,"Test 120 Day Accts";#N/A,#N/A,FALSE,"Tickmarks"}</definedName>
    <definedName name="dkaoskdaoksd" hidden="1">{#N/A,#N/A,FALSE,"Aging Summary";#N/A,#N/A,FALSE,"Ratio Analysis";#N/A,#N/A,FALSE,"Test 120 Day Accts";#N/A,#N/A,FALSE,"Tickmarks"}</definedName>
    <definedName name="dkdoqd" hidden="1">{#N/A,#N/A,FALSE,"Aging Summary";#N/A,#N/A,FALSE,"Ratio Analysis";#N/A,#N/A,FALSE,"Test 120 Day Accts";#N/A,#N/A,FALSE,"Tickmarks"}</definedName>
    <definedName name="dkedkw" hidden="1">{#N/A,#N/A,FALSE,"Aging Summary";#N/A,#N/A,FALSE,"Ratio Analysis";#N/A,#N/A,FALSE,"Test 120 Day Accts";#N/A,#N/A,FALSE,"Tickmarks"}</definedName>
    <definedName name="dkeod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keodked" hidden="1">{#N/A,#N/A,FALSE,"Aging Summary";#N/A,#N/A,FALSE,"Ratio Analysis";#N/A,#N/A,FALSE,"Test 120 Day Accts";#N/A,#N/A,FALSE,"Tickmarks"}</definedName>
    <definedName name="dkeodkede" hidden="1">{#N/A,#N/A,FALSE,"Aging Summary";#N/A,#N/A,FALSE,"Ratio Analysis";#N/A,#N/A,FALSE,"Test 120 Day Accts";#N/A,#N/A,FALSE,"Tickmarks"}</definedName>
    <definedName name="dkeokde" hidden="1">{#N/A,#N/A,FALSE,"Aging Summary";#N/A,#N/A,FALSE,"Ratio Analysis";#N/A,#N/A,FALSE,"Test 120 Day Accts";#N/A,#N/A,FALSE,"Tickmarks"}</definedName>
    <definedName name="dkewofkew" hidden="1">#REF!</definedName>
    <definedName name="dkfdofd" hidden="1">#REF!</definedName>
    <definedName name="dkfdokf" hidden="1">#REF!</definedName>
    <definedName name="dkfjdakjf" hidden="1">{#N/A,#N/A,FALSE,"Aging Summary";#N/A,#N/A,FALSE,"Ratio Analysis";#N/A,#N/A,FALSE,"Test 120 Day Accts";#N/A,#N/A,FALSE,"Tickmarks"}</definedName>
    <definedName name="dkhdshfsjfhkfjahflkashlfhf" hidden="1">#REF!</definedName>
    <definedName name="dkodee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kodkw" hidden="1">{#N/A,#N/A,FALSE,"Aging Summary";#N/A,#N/A,FALSE,"Ratio Analysis";#N/A,#N/A,FALSE,"Test 120 Day Accts";#N/A,#N/A,FALSE,"Tickmarks"}</definedName>
    <definedName name="dkodoq" hidden="1">#REF!</definedName>
    <definedName name="dkoekd" hidden="1">{#N/A,#N/A,FALSE,"Aging Summary";#N/A,#N/A,FALSE,"Ratio Analysis";#N/A,#N/A,FALSE,"Test 120 Day Accts";#N/A,#N/A,FALSE,"Tickmarks"}</definedName>
    <definedName name="dkoekde" hidden="1">{"Schedule_I",#N/A,FALSE,"I"}</definedName>
    <definedName name="dkoekdwq" hidden="1">{#N/A,#N/A,FALSE,"Aging Summary";#N/A,#N/A,FALSE,"Ratio Analysis";#N/A,#N/A,FALSE,"Test 120 Day Accts";#N/A,#N/A,FALSE,"Tickmarks"}</definedName>
    <definedName name="dkoqekdq" hidden="1">{#N/A,#N/A,FALSE,"Aging Summary";#N/A,#N/A,FALSE,"Ratio Analysis";#N/A,#N/A,FALSE,"Test 120 Day Accts";#N/A,#N/A,FALSE,"Tickmarks"}</definedName>
    <definedName name="dkoqkdq" hidden="1">{#N/A,#N/A,FALSE,"Aging Summary";#N/A,#N/A,FALSE,"Ratio Analysis";#N/A,#N/A,FALSE,"Test 120 Day Accts";#N/A,#N/A,FALSE,"Tickmarks"}</definedName>
    <definedName name="dkoqkdqd" hidden="1">{#N/A,#N/A,FALSE,"Aging Summary";#N/A,#N/A,FALSE,"Ratio Analysis";#N/A,#N/A,FALSE,"Test 120 Day Accts";#N/A,#N/A,FALSE,"Tickmarks"}</definedName>
    <definedName name="dkowekdowekdw" hidden="1">{#N/A,#N/A,FALSE,"Aging Summary";#N/A,#N/A,FALSE,"Ratio Analysis";#N/A,#N/A,FALSE,"Test 120 Day Accts";#N/A,#N/A,FALSE,"Tickmarks"}</definedName>
    <definedName name="dkowqkdqkd" hidden="1">{#N/A,#N/A,FALSE,"Aging Summary";#N/A,#N/A,FALSE,"Ratio Analysis";#N/A,#N/A,FALSE,"Test 120 Day Accts";#N/A,#N/A,FALSE,"Tickmarks"}</definedName>
    <definedName name="dkpede" hidden="1">{#N/A,#N/A,FALSE,"Aging Summary";#N/A,#N/A,FALSE,"Ratio Analysis";#N/A,#N/A,FALSE,"Test 120 Day Accts";#N/A,#N/A,FALSE,"Tickmarks"}</definedName>
    <definedName name="dkpewkdw" hidden="1">{#N/A,#N/A,FALSE,"Aging Summary";#N/A,#N/A,FALSE,"Ratio Analysis";#N/A,#N/A,FALSE,"Test 120 Day Accts";#N/A,#N/A,FALSE,"Tickmarks"}</definedName>
    <definedName name="dkqod" hidden="1">{#N/A,#N/A,FALSE,"Aging Summary";#N/A,#N/A,FALSE,"Ratio Analysis";#N/A,#N/A,FALSE,"Test 120 Day Accts";#N/A,#N/A,FALSE,"Tickmarks"}</definedName>
    <definedName name="dkqodkq" hidden="1">{#N/A,#N/A,FALSE,"Aging Summary";#N/A,#N/A,FALSE,"Ratio Analysis";#N/A,#N/A,FALSE,"Test 120 Day Accts";#N/A,#N/A,FALSE,"Tickmarks"}</definedName>
    <definedName name="dkqodkqokdq" hidden="1">{#N/A,#N/A,FALSE,"Aging Summary";#N/A,#N/A,FALSE,"Ratio Analysis";#N/A,#N/A,FALSE,"Test 120 Day Accts";#N/A,#N/A,FALSE,"Tickmarks"}</definedName>
    <definedName name="dkqodqkd" hidden="1">{#N/A,#N/A,FALSE,"Aging Summary";#N/A,#N/A,FALSE,"Ratio Analysis";#N/A,#N/A,FALSE,"Test 120 Day Accts";#N/A,#N/A,FALSE,"Tickmarks"}</definedName>
    <definedName name="dkqowdkq" hidden="1">{#N/A,#N/A,FALSE,"Aging Summary";#N/A,#N/A,FALSE,"Ratio Analysis";#N/A,#N/A,FALSE,"Test 120 Day Accts";#N/A,#N/A,FALSE,"Tickmarks"}</definedName>
    <definedName name="dkqowdkqd" hidden="1">{#N/A,#N/A,FALSE,"Aging Summary";#N/A,#N/A,FALSE,"Ratio Analysis";#N/A,#N/A,FALSE,"Test 120 Day Accts";#N/A,#N/A,FALSE,"Tickmarks"}</definedName>
    <definedName name="dkqowkdq"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dkqowmdq" hidden="1">{#N/A,#N/A,FALSE,"Aging Summary";#N/A,#N/A,FALSE,"Ratio Analysis";#N/A,#N/A,FALSE,"Test 120 Day Accts";#N/A,#N/A,FALSE,"Tickmarks"}</definedName>
    <definedName name="dkqwodkqd" hidden="1">{#N/A,#N/A,FALSE,"Aging Summary";#N/A,#N/A,FALSE,"Ratio Analysis";#N/A,#N/A,FALSE,"Test 120 Day Accts";#N/A,#N/A,FALSE,"Tickmarks"}</definedName>
    <definedName name="dksaljdajda" hidden="1">{#N/A,#N/A,FALSE,"Aging Summary";#N/A,#N/A,FALSE,"Ratio Analysis";#N/A,#N/A,FALSE,"Test 120 Day Accts";#N/A,#N/A,FALSE,"Tickmarks"}</definedName>
    <definedName name="dkweodkwd" hidden="1">{#N/A,#N/A,FALSE,"Aging Summary";#N/A,#N/A,FALSE,"Ratio Analysis";#N/A,#N/A,FALSE,"Test 120 Day Accts";#N/A,#N/A,FALSE,"Tickmarks"}</definedName>
    <definedName name="dkwepdkw" hidden="1">{#N/A,#N/A,FALSE,"Aging Summary";#N/A,#N/A,FALSE,"Ratio Analysis";#N/A,#N/A,FALSE,"Test 120 Day Accts";#N/A,#N/A,FALSE,"Tickmarks"}</definedName>
    <definedName name="dkwer" hidden="1">{#N/A,#N/A,FALSE,"Aging Summary";#N/A,#N/A,FALSE,"Ratio Analysis";#N/A,#N/A,FALSE,"Test 120 Day Accts";#N/A,#N/A,FALSE,"Tickmarks"}</definedName>
    <definedName name="dkwodkw" hidden="1">#REF!</definedName>
    <definedName name="dkwodw" hidden="1">{#N/A,#N/A,FALSE,"Aging Summary";#N/A,#N/A,FALSE,"Ratio Analysis";#N/A,#N/A,FALSE,"Test 120 Day Accts";#N/A,#N/A,FALSE,"Tickmarks"}</definedName>
    <definedName name="dkwodwokd" hidden="1">{#N/A,#N/A,FALSE,"Aging Summary";#N/A,#N/A,FALSE,"Ratio Analysis";#N/A,#N/A,FALSE,"Test 120 Day Accts";#N/A,#N/A,FALSE,"Tickmarks"}</definedName>
    <definedName name="dkwokdw" hidden="1">{#N/A,#N/A,FALSE,"Aging Summary";#N/A,#N/A,FALSE,"Ratio Analysis";#N/A,#N/A,FALSE,"Test 120 Day Accts";#N/A,#N/A,FALSE,"Tickmarks"}</definedName>
    <definedName name="dldldl" hidden="1">{#N/A,#N/A,FALSE,"Aging Summary";#N/A,#N/A,FALSE,"Ratio Analysis";#N/A,#N/A,FALSE,"Test 120 Day Accts";#N/A,#N/A,FALSE,"Tickmarks"}</definedName>
    <definedName name="dlpewdplwe" hidden="1">{#N/A,#N/A,FALSE,"Aging Summary";#N/A,#N/A,FALSE,"Ratio Analysis";#N/A,#N/A,FALSE,"Test 120 Day Accts";#N/A,#N/A,FALSE,"Tickmarks"}</definedName>
    <definedName name="dlpqdlqd" hidden="1">{#N/A,#N/A,FALSE,"Aging Summary";#N/A,#N/A,FALSE,"Ratio Analysis";#N/A,#N/A,FALSE,"Test 120 Day Accts";#N/A,#N/A,FALSE,"Tickmarks"}</definedName>
    <definedName name="dlpqwpldpqwd" hidden="1">#REF!</definedName>
    <definedName name="dlpqwpldwq" hidden="1">#REF!</definedName>
    <definedName name="dlpsaldad" hidden="1">{#N/A,#N/A,FALSE,"Aging Summary";#N/A,#N/A,FALSE,"Ratio Analysis";#N/A,#N/A,FALSE,"Test 120 Day Accts";#N/A,#N/A,FALSE,"Tickmarks"}</definedName>
    <definedName name="dlpwqd" hidden="1">#REF!</definedName>
    <definedName name="dlpwqld" hidden="1">#REF!</definedName>
    <definedName name="dlqkdq" hidden="1">{#N/A,#N/A,FALSE,"Aging Summary";#N/A,#N/A,FALSE,"Ratio Analysis";#N/A,#N/A,FALSE,"Test 120 Day Accts";#N/A,#N/A,FALSE,"Tickmarks"}</definedName>
    <definedName name="dlqpdlqwldp" hidden="1">#REF!</definedName>
    <definedName name="dlqpdqlwd" hidden="1">{#N/A,#N/A,FALSE,"Aging Summary";#N/A,#N/A,FALSE,"Ratio Analysis";#N/A,#N/A,FALSE,"Test 120 Day Accts";#N/A,#N/A,FALSE,"Tickmarks"}</definedName>
    <definedName name="dlqpldq" hidden="1">#REF!</definedName>
    <definedName name="dlqpwdlwq" hidden="1">#REF!</definedName>
    <definedName name="dlqpwld" hidden="1">#REF!</definedName>
    <definedName name="dlqpwldq" hidden="1">#REF!</definedName>
    <definedName name="dlqwpdlq" hidden="1">#REF!</definedName>
    <definedName name="dlqwpldq" hidden="1">#REF!</definedName>
    <definedName name="dlwpdlw" hidden="1">{#N/A,#N/A,FALSE,"Aging Summary";#N/A,#N/A,FALSE,"Ratio Analysis";#N/A,#N/A,FALSE,"Test 120 Day Accts";#N/A,#N/A,FALSE,"Tickmarks"}</definedName>
    <definedName name="dlwpdwd" hidden="1">{#N/A,#N/A,FALSE,"Aging Summary";#N/A,#N/A,FALSE,"Ratio Analysis";#N/A,#N/A,FALSE,"Test 120 Day Accts";#N/A,#N/A,FALSE,"Tickmarks"}</definedName>
    <definedName name="dmaisd" hidden="1">{#N/A,#N/A,FALSE,"Aging Summary";#N/A,#N/A,FALSE,"Ratio Analysis";#N/A,#N/A,FALSE,"Test 120 Day Accts";#N/A,#N/A,FALSE,"Tickmarks"}</definedName>
    <definedName name="dmaisd9" hidden="1">{#N/A,#N/A,FALSE,"Aging Summary";#N/A,#N/A,FALSE,"Ratio Analysis";#N/A,#N/A,FALSE,"Test 120 Day Accts";#N/A,#N/A,FALSE,"Tickmarks"}</definedName>
    <definedName name="dmaisdma" hidden="1">{#N/A,#N/A,TRUE,"INDICE";#N/A,#N/A,TRUE,"Variables";#N/A,#N/A,TRUE,"Cdro_Rtado";#N/A,#N/A,TRUE,"Patrim";#N/A,#N/A,TRUE,"Cash Flow";#N/A,#N/A,TRUE,"Vtas. U_Fís";#N/A,#N/A,TRUE,"Vtas. $";#N/A,#N/A,TRUE,"Cobranza";#N/A,#N/A,TRUE,"Resumen Gs.";#N/A,#N/A,TRUE,"Gs Comerc";#N/A,#N/A,TRUE,"Gs Administ";#N/A,#N/A,TRUE,"Gs Explot";#N/A,#N/A,TRUE,"Gs Personal";#N/A,#N/A,TRUE,"Inver."}</definedName>
    <definedName name="dmaismdaidsmad" hidden="1">{"Schedule_IA",#N/A,FALSE,"I-A"}</definedName>
    <definedName name="dmaismdaisd" hidden="1">{#N/A,#N/A,FALSE,"invoice ucc";#N/A,#N/A,FALSE,"asiento"}</definedName>
    <definedName name="dmaismdaoi" hidden="1">{"custodia",#N/A,FALSE,"Encaje";"encajeprint",#N/A,FALSE,"Encaje"}</definedName>
    <definedName name="dmaismdia" hidden="1">{#N/A,#N/A,FALSE,"Aging Summary";#N/A,#N/A,FALSE,"Ratio Analysis";#N/A,#N/A,FALSE,"Test 120 Day Accts";#N/A,#N/A,FALSE,"Tickmarks"}</definedName>
    <definedName name="dmakda" hidden="1">{#N/A,#N/A,FALSE,"Aging Summary";#N/A,#N/A,FALSE,"Ratio Analysis";#N/A,#N/A,FALSE,"Test 120 Day Accts";#N/A,#N/A,FALSE,"Tickmarks"}</definedName>
    <definedName name="dmasmda" hidden="1">{#N/A,#N/A,FALSE,"Total";#N/A,#N/A,FALSE,"Accid.";#N/A,#N/A,FALSE,"Previsional";#N/A,#N/A,FALSE,"Vida ind.";#N/A,#N/A,FALSE,"Colectivo"}</definedName>
    <definedName name="dmasmdaida" hidden="1">{"Schedule_IA",#N/A,FALSE,"I-A"}</definedName>
    <definedName name="dmeidemde" hidden="1">{#N/A,#N/A,FALSE,"Aging Summary";#N/A,#N/A,FALSE,"Ratio Analysis";#N/A,#N/A,FALSE,"Test 120 Day Accts";#N/A,#N/A,FALSE,"Tickmarks"}</definedName>
    <definedName name="dmeidme" hidden="1">{#N/A,#N/A,FALSE,"Aging Summary";#N/A,#N/A,FALSE,"Ratio Analysis";#N/A,#N/A,FALSE,"Test 120 Day Accts";#N/A,#N/A,FALSE,"Tickmarks"}</definedName>
    <definedName name="dmeomde" hidden="1">{#N/A,#N/A,FALSE,"Aging Summary";#N/A,#N/A,FALSE,"Ratio Analysis";#N/A,#N/A,FALSE,"Test 120 Day Accts";#N/A,#N/A,FALSE,"Tickmarks"}</definedName>
    <definedName name="dmqdq" hidden="1">{#N/A,#N/A,FALSE,"Aging Summary";#N/A,#N/A,FALSE,"Ratio Analysis";#N/A,#N/A,FALSE,"Test 120 Day Accts";#N/A,#N/A,FALSE,"Tickmarks"}</definedName>
    <definedName name="dmqmdqod" hidden="1">{#N/A,#N/A,FALSE,"Aging Summary";#N/A,#N/A,FALSE,"Ratio Analysis";#N/A,#N/A,FALSE,"Test 120 Day Accts";#N/A,#N/A,FALSE,"Tickmarks"}</definedName>
    <definedName name="dmqnwidq" hidden="1">#REF!</definedName>
    <definedName name="dmqod" hidden="1">{#N/A,#N/A,FALSE,"Aging Summary";#N/A,#N/A,FALSE,"Ratio Analysis";#N/A,#N/A,FALSE,"Test 120 Day Accts";#N/A,#N/A,FALSE,"Tickmarks"}</definedName>
    <definedName name="dmqodq" hidden="1">{#N/A,#N/A,FALSE,"Aging Summary";#N/A,#N/A,FALSE,"Ratio Analysis";#N/A,#N/A,FALSE,"Test 120 Day Accts";#N/A,#N/A,FALSE,"Tickmarks"}</definedName>
    <definedName name="dmqwdoq" hidden="1">{#N/A,#N/A,FALSE,"Aging Summary";#N/A,#N/A,FALSE,"Ratio Analysis";#N/A,#N/A,FALSE,"Test 120 Day Accts";#N/A,#N/A,FALSE,"Tickmarks"}</definedName>
    <definedName name="dmwedm" hidden="1">{#N/A,#N/A,FALSE,"Aging Summary";#N/A,#N/A,FALSE,"Ratio Analysis";#N/A,#N/A,FALSE,"Test 120 Day Accts";#N/A,#N/A,FALSE,"Tickmarks"}</definedName>
    <definedName name="dmwedmew" hidden="1">{#N/A,#N/A,FALSE,"Aging Summary";#N/A,#N/A,FALSE,"Ratio Analysis";#N/A,#N/A,FALSE,"Test 120 Day Accts";#N/A,#N/A,FALSE,"Tickmarks"}</definedName>
    <definedName name="dmwoemdw" hidden="1">{#N/A,#N/A,FALSE,"Aging Summary";#N/A,#N/A,FALSE,"Ratio Analysis";#N/A,#N/A,FALSE,"Test 120 Day Accts";#N/A,#N/A,FALSE,"Tickmarks"}</definedName>
    <definedName name="dmwqodmq" hidden="1">{#N/A,#N/A,FALSE,"Aging Summary";#N/A,#N/A,FALSE,"Ratio Analysis";#N/A,#N/A,FALSE,"Test 120 Day Accts";#N/A,#N/A,FALSE,"Tickmarks"}</definedName>
    <definedName name="DNAD8" hidden="1">{#N/A,#N/A,FALSE,"Aging Summary";#N/A,#N/A,FALSE,"Ratio Analysis";#N/A,#N/A,FALSE,"Test 120 Day Accts";#N/A,#N/A,FALSE,"Tickmarks"}</definedName>
    <definedName name="dnadia87" hidden="1">{#N/A,#N/A,FALSE,"Aging Summary";#N/A,#N/A,FALSE,"Ratio Analysis";#N/A,#N/A,FALSE,"Test 120 Day Accts";#N/A,#N/A,FALSE,"Tickmarks"}</definedName>
    <definedName name="DNAID" hidden="1">{#N/A,#N/A,FALSE,"Aging Summary";#N/A,#N/A,FALSE,"Ratio Analysis";#N/A,#N/A,FALSE,"Test 120 Day Accts";#N/A,#N/A,FALSE,"Tickmarks"}</definedName>
    <definedName name="DNAINSD" hidden="1">{#N/A,#N/A,FALSE,"Aging Summary";#N/A,#N/A,FALSE,"Ratio Analysis";#N/A,#N/A,FALSE,"Test 120 Day Accts";#N/A,#N/A,FALSE,"Tickmarks"}</definedName>
    <definedName name="DNAISDN" hidden="1">{#N/A,#N/A,FALSE,"Aging Summary";#N/A,#N/A,FALSE,"Ratio Analysis";#N/A,#N/A,FALSE,"Test 120 Day Accts";#N/A,#N/A,FALSE,"Tickmarks"}</definedName>
    <definedName name="dnaisnd" hidden="1">{#N/A,#N/A,FALSE,"Aging Summary";#N/A,#N/A,FALSE,"Ratio Analysis";#N/A,#N/A,FALSE,"Test 120 Day Accts";#N/A,#N/A,FALSE,"Tickmarks"}</definedName>
    <definedName name="dnamisd" hidden="1">{"maq y eq",#N/A,TRUE,"Maq y Eq";"rodados",#N/A,TRUE,"Rodados"}</definedName>
    <definedName name="DNASDI" hidden="1">{#N/A,#N/A,FALSE,"Aging Summary";#N/A,#N/A,FALSE,"Ratio Analysis";#N/A,#N/A,FALSE,"Test 120 Day Accts";#N/A,#N/A,FALSE,"Tickmarks"}</definedName>
    <definedName name="dnasdnaisd" hidden="1">#REF!</definedName>
    <definedName name="dnasnduads" hidden="1">{#N/A,#N/A,FALSE,"Aging Summary";#N/A,#N/A,FALSE,"Ratio Analysis";#N/A,#N/A,FALSE,"Test 120 Day Accts";#N/A,#N/A,FALSE,"Tickmarks"}</definedName>
    <definedName name="DNAUNDSA98" hidden="1">{#N/A,#N/A,FALSE,"Aging Summary";#N/A,#N/A,FALSE,"Ratio Analysis";#N/A,#N/A,FALSE,"Test 120 Day Accts";#N/A,#N/A,FALSE,"Tickmarks"}</definedName>
    <definedName name="dnausdnausd" hidden="1">{#N/A,#N/A,FALSE,"Aging Summary";#N/A,#N/A,FALSE,"Ratio Analysis";#N/A,#N/A,FALSE,"Test 120 Day Accts";#N/A,#N/A,FALSE,"Tickmarks"}</definedName>
    <definedName name="dnedied" hidden="1">{#N/A,#N/A,FALSE,"Aging Summary";#N/A,#N/A,FALSE,"Ratio Analysis";#N/A,#N/A,FALSE,"Test 120 Day Accts";#N/A,#N/A,FALSE,"Tickmarks"}</definedName>
    <definedName name="dneindw" hidden="1">{#N/A,#N/A,FALSE,"Aging Summary";#N/A,#N/A,FALSE,"Ratio Analysis";#N/A,#N/A,FALSE,"Test 120 Day Accts";#N/A,#N/A,FALSE,"Tickmarks"}</definedName>
    <definedName name="dniend" hidden="1">{#N/A,#N/A,FALSE,"Aging Summary";#N/A,#N/A,FALSE,"Ratio Analysis";#N/A,#N/A,FALSE,"Test 120 Day Accts";#N/A,#N/A,FALSE,"Tickmarks"}</definedName>
    <definedName name="dniqd" hidden="1">{#N/A,#N/A,FALSE,"Aging Summary";#N/A,#N/A,FALSE,"Ratio Analysis";#N/A,#N/A,FALSE,"Test 120 Day Accts";#N/A,#N/A,FALSE,"Tickmarks"}</definedName>
    <definedName name="dniqdemq" hidden="1">{#N/A,#N/A,FALSE,"Aging Summary";#N/A,#N/A,FALSE,"Ratio Analysis";#N/A,#N/A,FALSE,"Test 120 Day Accts";#N/A,#N/A,FALSE,"Tickmarks"}</definedName>
    <definedName name="dnmaismd" hidden="1">{#N/A,#N/A,FALSE,"Aging Summary";#N/A,#N/A,FALSE,"Ratio Analysis";#N/A,#N/A,FALSE,"Test 120 Day Accts";#N/A,#N/A,FALSE,"Tickmarks"}</definedName>
    <definedName name="dnmaismdiamsdiamdsa" hidden="1">{"AUT ANALISE DESP",#N/A,TRUE,"AN.DESP. MR$"}</definedName>
    <definedName name="dnmiqwnd" hidden="1">{"'DIFPRE'!$A$2:$M$54"}</definedName>
    <definedName name="dnqd" hidden="1">{#N/A,#N/A,FALSE,"Aging Summary";#N/A,#N/A,FALSE,"Ratio Analysis";#N/A,#N/A,FALSE,"Test 120 Day Accts";#N/A,#N/A,FALSE,"Tickmarks"}</definedName>
    <definedName name="dnqiwnd" hidden="1">{#N/A,#N/A,FALSE,"Aging Summary";#N/A,#N/A,FALSE,"Ratio Analysis";#N/A,#N/A,FALSE,"Test 120 Day Accts";#N/A,#N/A,FALSE,"Tickmarks"}</definedName>
    <definedName name="dnqwind" hidden="1">{"'DIFPRE'!$A$2:$M$54"}</definedName>
    <definedName name="doasdoaosd" hidden="1">{#N/A,#N/A,FALSE,"Aging Summary";#N/A,#N/A,FALSE,"Ratio Analysis";#N/A,#N/A,FALSE,"Test 120 Day Accts";#N/A,#N/A,FALSE,"Tickmarks"}</definedName>
    <definedName name="doce" hidden="1">{#N/A,#N/A,FALSE,"Aging Summary";#N/A,#N/A,FALSE,"Ratio Analysis";#N/A,#N/A,FALSE,"Test 120 Day Accts";#N/A,#N/A,FALSE,"Tickmarks"}</definedName>
    <definedName name="doded" hidden="1">{"Schedule_1C",#N/A,FALSE,"I-C"}</definedName>
    <definedName name="dodkwodw" hidden="1">{#N/A,#N/A,FALSE,"Aging Summary";#N/A,#N/A,FALSE,"Ratio Analysis";#N/A,#N/A,FALSE,"Test 120 Day Accts";#N/A,#N/A,FALSE,"Tickmarks"}</definedName>
    <definedName name="doe" hidden="1">{#N/A,#N/A,FALSE,"Aging Summary";#N/A,#N/A,FALSE,"Ratio Analysis";#N/A,#N/A,FALSE,"Test 120 Day Accts";#N/A,#N/A,FALSE,"Tickmarks"}</definedName>
    <definedName name="doed" hidden="1">{#N/A,#N/A,FALSE,"Aging Summary";#N/A,#N/A,FALSE,"Ratio Analysis";#N/A,#N/A,FALSE,"Test 120 Day Accts";#N/A,#N/A,FALSE,"Tickmarks"}</definedName>
    <definedName name="doekodekd" hidden="1">{#N/A,#N/A,FALSE,"Aging Summary";#N/A,#N/A,FALSE,"Ratio Analysis";#N/A,#N/A,FALSE,"Test 120 Day Accts";#N/A,#N/A,FALSE,"Tickmarks"}</definedName>
    <definedName name="dofksdkfs" hidden="1">{#N/A,#N/A,FALSE,"Aging Summary";#N/A,#N/A,FALSE,"Ratio Analysis";#N/A,#N/A,FALSE,"Test 120 Day Accts";#N/A,#N/A,FALSE,"Tickmarks"}</definedName>
    <definedName name="dojdoqjd" hidden="1">{#N/A,#N/A,FALSE,"Aging Summary";#N/A,#N/A,FALSE,"Ratio Analysis";#N/A,#N/A,FALSE,"Test 120 Day Accts";#N/A,#N/A,FALSE,"Tickmarks"}</definedName>
    <definedName name="dokaosdka" hidden="1">{#N/A,#N/A,FALSE,"Aging Summary";#N/A,#N/A,FALSE,"Ratio Analysis";#N/A,#N/A,FALSE,"Test 120 Day Accts";#N/A,#N/A,FALSE,"Tickmarks"}</definedName>
    <definedName name="dokdok" hidden="1">{#N/A,#N/A,FALSE,"Aging Summary";#N/A,#N/A,FALSE,"Ratio Analysis";#N/A,#N/A,FALSE,"Test 120 Day Accts";#N/A,#N/A,FALSE,"Tickmarks"}</definedName>
    <definedName name="dokdw" hidden="1">{#N/A,#N/A,FALSE,"Aging Summary";#N/A,#N/A,FALSE,"Ratio Analysis";#N/A,#N/A,FALSE,"Test 120 Day Accts";#N/A,#N/A,FALSE,"Tickmarks"}</definedName>
    <definedName name="dokode" hidden="1">#REF!</definedName>
    <definedName name="dokoqd" hidden="1">#REF!</definedName>
    <definedName name="dokqwodq" hidden="1">#REF!</definedName>
    <definedName name="dokqwodqk" hidden="1">#REF!</definedName>
    <definedName name="dokwodwk" hidden="1">{#N/A,#N/A,FALSE,"Aging Summary";#N/A,#N/A,FALSE,"Ratio Analysis";#N/A,#N/A,FALSE,"Test 120 Day Accts";#N/A,#N/A,FALSE,"Tickmarks"}</definedName>
    <definedName name="dokwokdw" hidden="1">{#N/A,#N/A,FALSE,"Aging Summary";#N/A,#N/A,FALSE,"Ratio Analysis";#N/A,#N/A,FALSE,"Test 120 Day Accts";#N/A,#N/A,FALSE,"Tickmarks"}</definedName>
    <definedName name="dokwqdokqdq" hidden="1">{#N/A,#N/A,FALSE,"Aging Summary";#N/A,#N/A,FALSE,"Ratio Analysis";#N/A,#N/A,FALSE,"Test 120 Day Accts";#N/A,#N/A,FALSE,"Tickmarks"}</definedName>
    <definedName name="dokwqodq" hidden="1">{#N/A,#N/A,FALSE,"Aging Summary";#N/A,#N/A,FALSE,"Ratio Analysis";#N/A,#N/A,FALSE,"Test 120 Day Accts";#N/A,#N/A,FALSE,"Tickmarks"}</definedName>
    <definedName name="domqod" hidden="1">{#N/A,#N/A,FALSE,"Aging Summary";#N/A,#N/A,FALSE,"Ratio Analysis";#N/A,#N/A,FALSE,"Test 120 Day Accts";#N/A,#N/A,FALSE,"Tickmarks"}</definedName>
    <definedName name="dooeode" hidden="1">{#N/A,#N/A,FALSE,"Aging Summary";#N/A,#N/A,FALSE,"Ratio Analysis";#N/A,#N/A,FALSE,"Test 120 Day Accts";#N/A,#N/A,FALSE,"Tickmarks"}</definedName>
    <definedName name="doqjdq" hidden="1">{#N/A,#N/A,FALSE,"Aging Summary";#N/A,#N/A,FALSE,"Ratio Analysis";#N/A,#N/A,FALSE,"Test 120 Day Accts";#N/A,#N/A,FALSE,"Tickmarks"}</definedName>
    <definedName name="doqjwodjqd" hidden="1">{#N/A,#N/A,FALSE,"Aging Summary";#N/A,#N/A,FALSE,"Ratio Analysis";#N/A,#N/A,FALSE,"Test 120 Day Accts";#N/A,#N/A,FALSE,"Tickmarks"}</definedName>
    <definedName name="doqkd" hidden="1">{#N/A,#N/A,FALSE,"Aging Summary";#N/A,#N/A,FALSE,"Ratio Analysis";#N/A,#N/A,FALSE,"Test 120 Day Accts";#N/A,#N/A,FALSE,"Tickmarks"}</definedName>
    <definedName name="doqkdokq" hidden="1">{#N/A,#N/A,FALSE,"Aging Summary";#N/A,#N/A,FALSE,"Ratio Analysis";#N/A,#N/A,FALSE,"Test 120 Day Accts";#N/A,#N/A,FALSE,"Tickmarks"}</definedName>
    <definedName name="doqkdoqkd" hidden="1">{"'DIFPRE'!$A$2:$M$54"}</definedName>
    <definedName name="doqkwdoqkd" hidden="1">{#N/A,#N/A,FALSE,"Aging Summary";#N/A,#N/A,FALSE,"Ratio Analysis";#N/A,#N/A,FALSE,"Test 120 Day Accts";#N/A,#N/A,FALSE,"Tickmarks"}</definedName>
    <definedName name="doqkwdq" hidden="1">{#N/A,#N/A,FALSE,"Aging Summary";#N/A,#N/A,FALSE,"Ratio Analysis";#N/A,#N/A,FALSE,"Test 120 Day Accts";#N/A,#N/A,FALSE,"Tickmarks"}</definedName>
    <definedName name="doqmwdq" hidden="1">{#N/A,#N/A,FALSE,"Aging Summary";#N/A,#N/A,FALSE,"Ratio Analysis";#N/A,#N/A,FALSE,"Test 120 Day Accts";#N/A,#N/A,FALSE,"Tickmarks"}</definedName>
    <definedName name="doqwkdqd" hidden="1">#REF!</definedName>
    <definedName name="do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owkdokwe" hidden="1">{#N/A,#N/A,FALSE,"Aging Summary";#N/A,#N/A,FALSE,"Ratio Analysis";#N/A,#N/A,FALSE,"Test 120 Day Accts";#N/A,#N/A,FALSE,"Tickmarks"}</definedName>
    <definedName name="dowkdw" hidden="1">{#N/A,#N/A,FALSE,"Aging Summary";#N/A,#N/A,FALSE,"Ratio Analysis";#N/A,#N/A,FALSE,"Test 120 Day Accts";#N/A,#N/A,FALSE,"Tickmarks"}</definedName>
    <definedName name="dowodkw" hidden="1">{#N/A,#N/A,FALSE,"Aging Summary";#N/A,#N/A,FALSE,"Ratio Analysis";#N/A,#N/A,FALSE,"Test 120 Day Accts";#N/A,#N/A,FALSE,"Tickmarks"}</definedName>
    <definedName name="dowqkdqkdq" hidden="1">{#N/A,#N/A,FALSE,"Aging Summary";#N/A,#N/A,FALSE,"Ratio Analysis";#N/A,#N/A,FALSE,"Test 120 Day Accts";#N/A,#N/A,FALSE,"Tickmarks"}</definedName>
    <definedName name="dp" hidden="1">{#N/A,#N/A,FALSE,"BHA"}</definedName>
    <definedName name="dpalda" hidden="1">{#N/A,#N/A,FALSE,"Aging Summary";#N/A,#N/A,FALSE,"Ratio Analysis";#N/A,#N/A,FALSE,"Test 120 Day Accts";#N/A,#N/A,FALSE,"Tickmarks"}</definedName>
    <definedName name="dpdpwed" hidden="1">{#N/A,#N/A,FALSE,"Aging Summary";#N/A,#N/A,FALSE,"Ratio Analysis";#N/A,#N/A,FALSE,"Test 120 Day Accts";#N/A,#N/A,FALSE,"Tickmarks"}</definedName>
    <definedName name="dpeldq" hidden="1">{#N/A,#N/A,FALSE,"Aging Summary";#N/A,#N/A,FALSE,"Ratio Analysis";#N/A,#N/A,FALSE,"Test 120 Day Accts";#N/A,#N/A,FALSE,"Tickmarks"}</definedName>
    <definedName name="dpelpdewld" hidden="1">{#N/A,#N/A,FALSE,"Aging Summary";#N/A,#N/A,FALSE,"Ratio Analysis";#N/A,#N/A,FALSE,"Test 120 Day Accts";#N/A,#N/A,FALSE,"Tickmarks"}</definedName>
    <definedName name="dpepde" hidden="1">{#N/A,#N/A,FALSE,"Aging Summary";#N/A,#N/A,FALSE,"Ratio Analysis";#N/A,#N/A,FALSE,"Test 120 Day Accts";#N/A,#N/A,FALSE,"Tickmarks"}</definedName>
    <definedName name="DPEPDL" hidden="1">{#N/A,#N/A,FALSE,"Aging Summary";#N/A,#N/A,FALSE,"Ratio Analysis";#N/A,#N/A,FALSE,"Test 120 Day Accts";#N/A,#N/A,FALSE,"Tickmarks"}</definedName>
    <definedName name="dpeqdlq" hidden="1">#REF!</definedName>
    <definedName name="dpewqlkdpw" hidden="1">#REF!</definedName>
    <definedName name="dpfpsdpf" hidden="1">#REF!</definedName>
    <definedName name="dplapdlad" hidden="1">{#N/A,#N/A,FALSE,"Aging Summary";#N/A,#N/A,FALSE,"Ratio Analysis";#N/A,#N/A,FALSE,"Test 120 Day Accts";#N/A,#N/A,FALSE,"Tickmarks"}</definedName>
    <definedName name="dpleld" hidden="1">{#N/A,#N/A,FALSE,"Aging Summary";#N/A,#N/A,FALSE,"Ratio Analysis";#N/A,#N/A,FALSE,"Test 120 Day Accts";#N/A,#N/A,FALSE,"Tickmarks"}</definedName>
    <definedName name="dplkpekdw" hidden="1">{#N/A,#N/A,FALSE,"Aging Summary";#N/A,#N/A,FALSE,"Ratio Analysis";#N/A,#N/A,FALSE,"Test 120 Day Accts";#N/A,#N/A,FALSE,"Tickmarks"}</definedName>
    <definedName name="dplqdpqd" hidden="1">{"Schedule_1B",#N/A,FALSE,"I-B"}</definedName>
    <definedName name="dplqpdlqd" hidden="1">{#N/A,#N/A,FALSE,"Aging Summary";#N/A,#N/A,FALSE,"Ratio Analysis";#N/A,#N/A,FALSE,"Test 120 Day Accts";#N/A,#N/A,FALSE,"Tickmarks"}</definedName>
    <definedName name="dplqpdql" hidden="1">{#N/A,#N/A,FALSE,"Aging Summary";#N/A,#N/A,FALSE,"Ratio Analysis";#N/A,#N/A,FALSE,"Test 120 Day Accts";#N/A,#N/A,FALSE,"Tickmarks"}</definedName>
    <definedName name="dplqpldq" hidden="1">#REF!</definedName>
    <definedName name="dplqwpdlqd" hidden="1">{#N/A,#N/A,FALSE,"Aging Summary";#N/A,#N/A,FALSE,"Ratio Analysis";#N/A,#N/A,FALSE,"Test 120 Day Accts";#N/A,#N/A,FALSE,"Tickmarks"}</definedName>
    <definedName name="dplqwpdq" hidden="1">#REF!</definedName>
    <definedName name="dplqwpldq" hidden="1">#REF!</definedName>
    <definedName name="dplqwpldql" hidden="1">#REF!</definedName>
    <definedName name="dplwwplqd" hidden="1">#REF!</definedName>
    <definedName name="dpqdlq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pqdqdw" hidden="1">{#N/A,#N/A,FALSE,"Aging Summary";#N/A,#N/A,FALSE,"Ratio Analysis";#N/A,#N/A,FALSE,"Test 120 Day Accts";#N/A,#N/A,FALSE,"Tickmarks"}</definedName>
    <definedName name="dpqkdq" hidden="1">#REF!</definedName>
    <definedName name="dpqldpqldqwd" hidden="1">{#N/A,#N/A,FALSE,"Aging Summary";#N/A,#N/A,FALSE,"Ratio Analysis";#N/A,#N/A,FALSE,"Test 120 Day Accts";#N/A,#N/A,FALSE,"Tickmarks"}</definedName>
    <definedName name="dpqldqd" hidden="1">{#N/A,#N/A,FALSE,"Aging Summary";#N/A,#N/A,FALSE,"Ratio Analysis";#N/A,#N/A,FALSE,"Test 120 Day Accts";#N/A,#N/A,FALSE,"Tickmarks"}</definedName>
    <definedName name="DPQLFQFQ" hidden="1">{#N/A,#N/A,FALSE,"Aging Summary";#N/A,#N/A,FALSE,"Ratio Analysis";#N/A,#N/A,FALSE,"Test 120 Day Accts";#N/A,#N/A,FALSE,"Tickmarks"}</definedName>
    <definedName name="dpqlwpdq" hidden="1">#REF!</definedName>
    <definedName name="dpqlwpdqld" hidden="1">{#N/A,#N/A,FALSE,"Aging Summary";#N/A,#N/A,FALSE,"Ratio Analysis";#N/A,#N/A,FALSE,"Test 120 Day Accts";#N/A,#N/A,FALSE,"Tickmarks"}</definedName>
    <definedName name="dpqwldpqlwd" hidden="1">#REF!</definedName>
    <definedName name="dpqwldqplw" hidden="1">#REF!</definedName>
    <definedName name="dpsldpsld" hidden="1">#REF!</definedName>
    <definedName name="dpswpsw" hidden="1">{#N/A,#N/A,FALSE,"Aging Summary";#N/A,#N/A,FALSE,"Ratio Analysis";#N/A,#N/A,FALSE,"Test 120 Day Accts";#N/A,#N/A,FALSE,"Tickmarks"}</definedName>
    <definedName name="dpwldpqldw" hidden="1">{#N/A,#N/A,FALSE,"Aging Summary";#N/A,#N/A,FALSE,"Ratio Analysis";#N/A,#N/A,FALSE,"Test 120 Day Accts";#N/A,#N/A,FALSE,"Tickmarks"}</definedName>
    <definedName name="dpwpdw" hidden="1">{#N/A,#N/A,FALSE,"Aging Summary";#N/A,#N/A,FALSE,"Ratio Analysis";#N/A,#N/A,FALSE,"Test 120 Day Accts";#N/A,#N/A,FALSE,"Tickmarks"}</definedName>
    <definedName name="DQAQ" hidden="1">{#N/A,#N/A,FALSE,"Aging Summary";#N/A,#N/A,FALSE,"Ratio Analysis";#N/A,#N/A,FALSE,"Test 120 Day Accts";#N/A,#N/A,FALSE,"Tickmarks"}</definedName>
    <definedName name="dqddd" hidden="1">{#N/A,#N/A,FALSE,"Aging Summary";#N/A,#N/A,FALSE,"Ratio Analysis";#N/A,#N/A,FALSE,"Test 120 Day Accts";#N/A,#N/A,FALSE,"Tickmarks"}</definedName>
    <definedName name="dqdkq" hidden="1">{#N/A,#N/A,FALSE,"Aging Summary";#N/A,#N/A,FALSE,"Ratio Analysis";#N/A,#N/A,FALSE,"Test 120 Day Accts";#N/A,#N/A,FALSE,"Tickmarks"}</definedName>
    <definedName name="dqdq" hidden="1">{#N/A,#N/A,FALSE,"Aging Summary";#N/A,#N/A,FALSE,"Ratio Analysis";#N/A,#N/A,FALSE,"Test 120 Day Accts";#N/A,#N/A,FALSE,"Tickmarks"}</definedName>
    <definedName name="dqdqde" hidden="1">{#N/A,#N/A,FALSE,"Aging Summary";#N/A,#N/A,FALSE,"Ratio Analysis";#N/A,#N/A,FALSE,"Test 120 Day Accts";#N/A,#N/A,FALSE,"Tickmarks"}</definedName>
    <definedName name="DQE" hidden="1">{#N/A,#N/A,FALSE,"Aging Summary";#N/A,#N/A,FALSE,"Ratio Analysis";#N/A,#N/A,FALSE,"Test 120 Day Accts";#N/A,#N/A,FALSE,"Tickmarks"}</definedName>
    <definedName name="DQEASSD" hidden="1">{#N/A,#N/A,FALSE,"Aging Summary";#N/A,#N/A,FALSE,"Ratio Analysis";#N/A,#N/A,FALSE,"Test 120 Day Accts";#N/A,#N/A,FALSE,"Tickmarks"}</definedName>
    <definedName name="dqec" hidden="1">#REF!</definedName>
    <definedName name="dqed" hidden="1">{#N/A,#N/A,FALSE,"Aging Summary";#N/A,#N/A,FALSE,"Ratio Analysis";#N/A,#N/A,FALSE,"Test 120 Day Accts";#N/A,#N/A,FALSE,"Tickmarks"}</definedName>
    <definedName name="DQEQ" hidden="1">{#N/A,#N/A,FALSE,"Aging Summary";#N/A,#N/A,FALSE,"Ratio Analysis";#N/A,#N/A,FALSE,"Test 120 Day Accts";#N/A,#N/A,FALSE,"Tickmarks"}</definedName>
    <definedName name="dqidnmq" hidden="1">{#N/A,#N/A,FALSE,"Aging Summary";#N/A,#N/A,FALSE,"Ratio Analysis";#N/A,#N/A,FALSE,"Test 120 Day Accts";#N/A,#N/A,FALSE,"Tickmarks"}</definedName>
    <definedName name="dqiwdn" hidden="1">{#N/A,#N/A,FALSE,"Aging Summary";#N/A,#N/A,FALSE,"Ratio Analysis";#N/A,#N/A,FALSE,"Test 120 Day Accts";#N/A,#N/A,FALSE,"Tickmarks"}</definedName>
    <definedName name="dqjdoqd" hidden="1">{#N/A,#N/A,FALSE,"Aging Summary";#N/A,#N/A,FALSE,"Ratio Analysis";#N/A,#N/A,FALSE,"Test 120 Day Accts";#N/A,#N/A,FALSE,"Tickmarks"}</definedName>
    <definedName name="dqjwdiq" hidden="1">{#N/A,#N/A,FALSE,"Aging Summary";#N/A,#N/A,FALSE,"Ratio Analysis";#N/A,#N/A,FALSE,"Test 120 Day Accts";#N/A,#N/A,FALSE,"Tickmarks"}</definedName>
    <definedName name="dqkdlqkd" hidden="1">{#N/A,#N/A,FALSE,"Aging Summary";#N/A,#N/A,FALSE,"Ratio Analysis";#N/A,#N/A,FALSE,"Test 120 Day Accts";#N/A,#N/A,FALSE,"Tickmarks"}</definedName>
    <definedName name="dqkwdq" hidden="1">{#N/A,#N/A,FALSE,"Aging Summary";#N/A,#N/A,FALSE,"Ratio Analysis";#N/A,#N/A,FALSE,"Test 120 Day Accts";#N/A,#N/A,FALSE,"Tickmarks"}</definedName>
    <definedName name="dqnmiwdnq" hidden="1">{#N/A,#N/A,FALSE,"Aging Summary";#N/A,#N/A,FALSE,"Ratio Analysis";#N/A,#N/A,FALSE,"Test 120 Day Accts";#N/A,#N/A,FALSE,"Tickmarks"}</definedName>
    <definedName name="dqodqwodq" hidden="1">#REF!</definedName>
    <definedName name="dqokdq" hidden="1">{#N/A,#N/A,FALSE,"Aging Summary";#N/A,#N/A,FALSE,"Ratio Analysis";#N/A,#N/A,FALSE,"Test 120 Day Accts";#N/A,#N/A,FALSE,"Tickmarks"}</definedName>
    <definedName name="dqpdlqpdwlq" hidden="1">{#N/A,#N/A,FALSE,"Aging Summary";#N/A,#N/A,FALSE,"Ratio Analysis";#N/A,#N/A,FALSE,"Test 120 Day Accts";#N/A,#N/A,FALSE,"Tickmarks"}</definedName>
    <definedName name="dqwd" hidden="1">{#N/A,#N/A,FALSE,"Aging Summary";#N/A,#N/A,FALSE,"Ratio Analysis";#N/A,#N/A,FALSE,"Test 120 Day Accts";#N/A,#N/A,FALSE,"Tickmarks"}</definedName>
    <definedName name="dqwdj" hidden="1">{#N/A,#N/A,FALSE,"Aging Summary";#N/A,#N/A,FALSE,"Ratio Analysis";#N/A,#N/A,FALSE,"Test 120 Day Accts";#N/A,#N/A,FALSE,"Tickmarks"}</definedName>
    <definedName name="dqwdjqidq" hidden="1">{#N/A,#N/A,FALSE,"Aging Summary";#N/A,#N/A,FALSE,"Ratio Analysis";#N/A,#N/A,FALSE,"Test 120 Day Accts";#N/A,#N/A,FALSE,"Tickmarks"}</definedName>
    <definedName name="dqwdnq" hidden="1">{#N/A,#N/A,FALSE,"Aging Summary";#N/A,#N/A,FALSE,"Ratio Analysis";#N/A,#N/A,FALSE,"Test 120 Day Accts";#N/A,#N/A,FALSE,"Tickmarks"}</definedName>
    <definedName name="dqwdqd" hidden="1">{#N/A,#N/A,FALSE,"Aging Summary";#N/A,#N/A,FALSE,"Ratio Analysis";#N/A,#N/A,FALSE,"Test 120 Day Accts";#N/A,#N/A,FALSE,"Tickmarks"}</definedName>
    <definedName name="DQWE" hidden="1">{#N/A,#N/A,TRUE,"proy96 long dist";#N/A,#N/A,TRUE,"warehouse"}</definedName>
    <definedName name="DQWEWED" hidden="1">{#N/A,#N/A,FALSE,"Aging Summary";#N/A,#N/A,FALSE,"Ratio Analysis";#N/A,#N/A,FALSE,"Test 120 Day Accts";#N/A,#N/A,FALSE,"Tickmarks"}</definedName>
    <definedName name="dqwidjqd" hidden="1">#REF!</definedName>
    <definedName name="dqwkdqokd" hidden="1">{#N/A,#N/A,FALSE,"Aging Summary";#N/A,#N/A,FALSE,"Ratio Analysis";#N/A,#N/A,FALSE,"Test 120 Day Accts";#N/A,#N/A,FALSE,"Tickmarks"}</definedName>
    <definedName name="dqwpdk" hidden="1">{#N/A,#N/A,FALSE,"Aging Summary";#N/A,#N/A,FALSE,"Ratio Analysis";#N/A,#N/A,FALSE,"Test 120 Day Accts";#N/A,#N/A,FALSE,"Tickmarks"}</definedName>
    <definedName name="d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raft" hidden="1">{#N/A,#N/A,TRUE,"Start Here";#N/A,#N/A,TRUE,"Title";#N/A,#N/A,TRUE,"TS ";#N/A,#N/A,TRUE,"WP";#N/A,#N/A,TRUE,"IE1 ";#N/A,#N/A,TRUE,"IE2 ";#N/A,#N/A,TRUE,"Rev1 ";#N/A,#N/A,TRUE,"Rev2 ";#N/A,#N/A,TRUE,"Rev3 ";#N/A,#N/A,TRUE,"GP1 ";#N/A,#N/A,TRUE,"GP2 ";#N/A,#N/A,TRUE,"Exp1 ";#N/A,#N/A,TRUE,"Exp2 ";#N/A,#N/A,TRUE,"Exp3 ";#N/A,#N/A,TRUE,"GIM ";#N/A,#N/A,TRUE,"Res ";#N/A,#N/A,TRUE,"Solutions";#N/A,#N/A,TRUE,"EBO 1"}</definedName>
    <definedName name="Drlg" hidden="1">{#N/A,#N/A,FALSE,"Departmental Cost"}</definedName>
    <definedName name="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sa" hidden="1">{"toptrial",#N/A,TRUE,"toptrial";"adjustment",#N/A,TRUE,"toptrial";"voucher",#N/A,TRUE,"toptrial"}</definedName>
    <definedName name="dsaaaaaaaaaaaaaaaaaaaa" hidden="1">{#N/A,#N/A,FALSE,"Aging Summary";#N/A,#N/A,FALSE,"Ratio Analysis";#N/A,#N/A,FALSE,"Test 120 Day Accts";#N/A,#N/A,FALSE,"Tickmarks"}</definedName>
    <definedName name="dsadasdas" hidden="1">{#N/A,#N/A,FALSE,"Aging Summary";#N/A,#N/A,FALSE,"Ratio Analysis";#N/A,#N/A,FALSE,"Test 120 Day Accts";#N/A,#N/A,FALSE,"Tickmarks"}</definedName>
    <definedName name="dsads" hidden="1">{#N/A,#N/A,FALSE,"Aging Summary";#N/A,#N/A,FALSE,"Ratio Analysis";#N/A,#N/A,FALSE,"Test 120 Day Accts";#N/A,#N/A,FALSE,"Tickmarks"}</definedName>
    <definedName name="dsadsa" hidden="1">{#N/A,#N/A,FALSE,"Aging Summary";#N/A,#N/A,FALSE,"Ratio Analysis";#N/A,#N/A,FALSE,"Test 120 Day Accts";#N/A,#N/A,FALSE,"Tickmarks"}</definedName>
    <definedName name="dsadsds" hidden="1">#REF!</definedName>
    <definedName name="dsaf" hidden="1">#REF!</definedName>
    <definedName name="dsasda" hidden="1">{#N/A,#N/A,FALSE,"Aging Summary";#N/A,#N/A,FALSE,"Ratio Analysis";#N/A,#N/A,FALSE,"Test 120 Day Accts";#N/A,#N/A,FALSE,"Tickmarks"}</definedName>
    <definedName name="dsd" hidden="1">{#N/A,#N/A,FALSE,"Aging Summary";#N/A,#N/A,FALSE,"Ratio Analysis";#N/A,#N/A,FALSE,"Test 120 Day Accts";#N/A,#N/A,FALSE,"Tickmarks"}</definedName>
    <definedName name="dsdas" hidden="1">{#N/A,#N/A,FALSE,"Aging Summary";#N/A,#N/A,FALSE,"Ratio Analysis";#N/A,#N/A,FALSE,"Test 120 Day Accts";#N/A,#N/A,FALSE,"Tickmarks"}</definedName>
    <definedName name="dsdasad" hidden="1">{#N/A,#N/A,FALSE,"Aging Summary";#N/A,#N/A,FALSE,"Ratio Analysis";#N/A,#N/A,FALSE,"Test 120 Day Accts";#N/A,#N/A,FALSE,"Tickmarks"}</definedName>
    <definedName name="dsdasd" hidden="1">{#N/A,#N/A,FALSE,"Aging Summary";#N/A,#N/A,FALSE,"Ratio Analysis";#N/A,#N/A,FALSE,"Test 120 Day Accts";#N/A,#N/A,FALSE,"Tickmarks"}</definedName>
    <definedName name="dsdasda" hidden="1">{#N/A,#N/A,FALSE,"Aging Summary";#N/A,#N/A,FALSE,"Ratio Analysis";#N/A,#N/A,FALSE,"Test 120 Day Accts";#N/A,#N/A,FALSE,"Tickmarks"}</definedName>
    <definedName name="dsdfads" hidden="1">{#N/A,#N/A,FALSE,"Aging Summary";#N/A,#N/A,FALSE,"Ratio Analysis";#N/A,#N/A,FALSE,"Test 120 Day Accts";#N/A,#N/A,FALSE,"Tickmarks"}</definedName>
    <definedName name="dsdfas" hidden="1">{#N/A,#N/A,FALSE,"Aging Summary";#N/A,#N/A,FALSE,"Ratio Analysis";#N/A,#N/A,FALSE,"Test 120 Day Accts";#N/A,#N/A,FALSE,"Tickmarks"}</definedName>
    <definedName name="DSDFS" hidden="1">{#N/A,#N/A,FALSE,"Aging Summary";#N/A,#N/A,FALSE,"Ratio Analysis";#N/A,#N/A,FALSE,"Test 120 Day Accts";#N/A,#N/A,FALSE,"Tickmarks"}</definedName>
    <definedName name="DSDFWFR" hidden="1">{#N/A,#N/A,FALSE,"Aging Summary";#N/A,#N/A,FALSE,"Ratio Analysis";#N/A,#N/A,FALSE,"Test 120 Day Accts";#N/A,#N/A,FALSE,"Tickmarks"}</definedName>
    <definedName name="DSDRAS" hidden="1">{#N/A,#N/A,FALSE,"Aging Summary";#N/A,#N/A,FALSE,"Ratio Analysis";#N/A,#N/A,FALSE,"Test 120 Day Accts";#N/A,#N/A,FALSE,"Tickmarks"}</definedName>
    <definedName name="dsdsaa" hidden="1">{#N/A,#N/A,FALSE,"Aging Summary";#N/A,#N/A,FALSE,"Ratio Analysis";#N/A,#N/A,FALSE,"Test 120 Day Accts";#N/A,#N/A,FALSE,"Tickmarks"}</definedName>
    <definedName name="dsdvc" hidden="1">{"car",#N/A,FALSE,"Cara";"memoria",#N/A,FALSE,"Memoria";"infoaudi",#N/A,FALSE,"INFOAUDI";"com",#N/A,FALSE,"COM";"bal",#N/A,FALSE,"BAL";"res",#N/A,FALSE,"RES";"evo",#N/A,FALSE,"EVO";"oaf",#N/A,FALSE,"OAF";"notas",#N/A,FALSE,"NOT";"0I",#N/A,FALSE,"OI";"II",#N/A,FALSE,"II";"III",#N/A,FALSE,"III";"infoaudi",#N/A,FALSE,"INFOAUDI"}</definedName>
    <definedName name="DSERWD" hidden="1">{#N/A,#N/A,FALSE,"Aging Summary";#N/A,#N/A,FALSE,"Ratio Analysis";#N/A,#N/A,FALSE,"Test 120 Day Accts";#N/A,#N/A,FALSE,"Tickmarks"}</definedName>
    <definedName name="DSF" hidden="1">{#N/A,#N/A,FALSE,"Aging Summary";#N/A,#N/A,FALSE,"Ratio Analysis";#N/A,#N/A,FALSE,"Test 120 Day Accts";#N/A,#N/A,FALSE,"Tickmarks"}</definedName>
    <definedName name="dsfc" hidden="1">{#N/A,#N/A,FALSE,"Aging Summary";#N/A,#N/A,FALSE,"Ratio Analysis";#N/A,#N/A,FALSE,"Test 120 Day Accts";#N/A,#N/A,FALSE,"Tickmarks"}</definedName>
    <definedName name="dsfds" hidden="1">#REF!</definedName>
    <definedName name="dsfdsf" hidden="1">#REF!</definedName>
    <definedName name="dsfsdf" hidden="1">#REF!</definedName>
    <definedName name="dsfsf" hidden="1">#REF!</definedName>
    <definedName name="DSFSFSF" hidden="1">{#N/A,#N/A,FALSE,"Aging Summary";#N/A,#N/A,FALSE,"Ratio Analysis";#N/A,#N/A,FALSE,"Test 120 Day Accts";#N/A,#N/A,FALSE,"Tickmarks"}</definedName>
    <definedName name="dsgsdgsdgsdgsd" hidden="1">{#N/A,#N/A,FALSE,"STRAD";#N/A,#N/A,FALSE,"BELGLO"}</definedName>
    <definedName name="dskfosdfks" hidden="1">{#N/A,#N/A,FALSE,"Aging Summary";#N/A,#N/A,FALSE,"Ratio Analysis";#N/A,#N/A,FALSE,"Test 120 Day Accts";#N/A,#N/A,FALSE,"Tickmarks"}</definedName>
    <definedName name="dslkjfslkdfhsahtreuiejdsanvdsnfkjasdñjfasjoierhjtrsdhpgesrfd2345630874265987324650943286509328465324" hidden="1">#REF!</definedName>
    <definedName name="DSOKFOSKFD" hidden="1">#REF!</definedName>
    <definedName name="DSS" hidden="1">{#N/A,#N/A,FALSE,"Aging Summary";#N/A,#N/A,FALSE,"Ratio Analysis";#N/A,#N/A,FALSE,"Test 120 Day Accts";#N/A,#N/A,FALSE,"Tickmarks"}</definedName>
    <definedName name="dss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DTTMovimientosTec" localSheetId="4" hidden="1">'1. PEPS T&amp;L DTT'!$B$38:$F$41</definedName>
    <definedName name="DTTSITec" localSheetId="4" hidden="1">'1. PEPS T&amp;L DTT'!$B$11:$F$12</definedName>
    <definedName name="duier" hidden="1">{#N/A,#N/A,FALSE,"Aging Summary";#N/A,#N/A,FALSE,"Ratio Analysis";#N/A,#N/A,FALSE,"Test 120 Day Accts";#N/A,#N/A,FALSE,"Tickmarks"}</definedName>
    <definedName name="dwdji" hidden="1">{#N/A,#N/A,FALSE,"Aging Summary";#N/A,#N/A,FALSE,"Ratio Analysis";#N/A,#N/A,FALSE,"Test 120 Day Accts";#N/A,#N/A,FALSE,"Tickmarks"}</definedName>
    <definedName name="dwdq" hidden="1">{#N/A,#N/A,FALSE,"Aging Summary";#N/A,#N/A,FALSE,"Ratio Analysis";#N/A,#N/A,FALSE,"Test 120 Day Accts";#N/A,#N/A,FALSE,"Tickmarks"}</definedName>
    <definedName name="dwdw" hidden="1">#REF!</definedName>
    <definedName name="dwdwd" hidden="1">{#N/A,#N/A,FALSE,"Aging Summary";#N/A,#N/A,FALSE,"Ratio Analysis";#N/A,#N/A,FALSE,"Test 120 Day Accts";#N/A,#N/A,FALSE,"Tickmarks"}</definedName>
    <definedName name="dwedwp" hidden="1">{#N/A,#N/A,FALSE,"Aging Summary";#N/A,#N/A,FALSE,"Ratio Analysis";#N/A,#N/A,FALSE,"Test 120 Day Accts";#N/A,#N/A,FALSE,"Tickmarks"}</definedName>
    <definedName name="DWEFADA" hidden="1">{#N/A,#N/A,FALSE,"Aging Summary";#N/A,#N/A,FALSE,"Ratio Analysis";#N/A,#N/A,FALSE,"Test 120 Day Accts";#N/A,#N/A,FALSE,"Tickmarks"}</definedName>
    <definedName name="dwefrsdf" hidden="1">{#N/A,#N/A,FALSE,"Aging Summary";#N/A,#N/A,FALSE,"Ratio Analysis";#N/A,#N/A,FALSE,"Test 120 Day Accts";#N/A,#N/A,FALSE,"Tickmarks"}</definedName>
    <definedName name="DWEJRAD" hidden="1">{#N/A,#N/A,FALSE,"Aging Summary";#N/A,#N/A,FALSE,"Ratio Analysis";#N/A,#N/A,FALSE,"Test 120 Day Accts";#N/A,#N/A,FALSE,"Tickmarks"}</definedName>
    <definedName name="dwekeofk" hidden="1">{#N/A,#N/A,FALSE,"Aging Summary";#N/A,#N/A,FALSE,"Ratio Analysis";#N/A,#N/A,FALSE,"Test 120 Day Accts";#N/A,#N/A,FALSE,"Tickmarks"}</definedName>
    <definedName name="DWERFSAADA" hidden="1">{#N/A,#N/A,FALSE,"Aging Summary";#N/A,#N/A,FALSE,"Ratio Analysis";#N/A,#N/A,FALSE,"Test 120 Day Accts";#N/A,#N/A,FALSE,"Tickmarks"}</definedName>
    <definedName name="dwied" hidden="1">{#N/A,#N/A,FALSE,"Aging Summary";#N/A,#N/A,FALSE,"Ratio Analysis";#N/A,#N/A,FALSE,"Test 120 Day Accts";#N/A,#N/A,FALSE,"Tickmarks"}</definedName>
    <definedName name="dwjqidjqd" hidden="1">{#N/A,#N/A,FALSE,"Aging Summary";#N/A,#N/A,FALSE,"Ratio Analysis";#N/A,#N/A,FALSE,"Test 120 Day Accts";#N/A,#N/A,FALSE,"Tickmarks"}</definedName>
    <definedName name="dwked" hidden="1">{#N/A,#N/A,FALSE,"Aging Summary";#N/A,#N/A,FALSE,"Ratio Analysis";#N/A,#N/A,FALSE,"Test 120 Day Accts";#N/A,#N/A,FALSE,"Tickmarks"}</definedName>
    <definedName name="dwodow" hidden="1">{#N/A,#N/A,FALSE,"Aging Summary";#N/A,#N/A,FALSE,"Ratio Analysis";#N/A,#N/A,FALSE,"Test 120 Day Accts";#N/A,#N/A,FALSE,"Tickmarks"}</definedName>
    <definedName name="dwokd" hidden="1">{#N/A,#N/A,FALSE,"Aging Summary";#N/A,#N/A,FALSE,"Ratio Analysis";#N/A,#N/A,FALSE,"Test 120 Day Accts";#N/A,#N/A,FALSE,"Tickmarks"}</definedName>
    <definedName name="dwqd" hidden="1">#REF!</definedName>
    <definedName name="dwqdqwdq" hidden="1">#REF!</definedName>
    <definedName name="dwqidjq" hidden="1">{"Schedule_1D",#N/A,FALSE,"I-D"}</definedName>
    <definedName name="DWRTWTRE" hidden="1">{#N/A,#N/A,FALSE,"Aging Summary";#N/A,#N/A,FALSE,"Ratio Analysis";#N/A,#N/A,FALSE,"Test 120 Day Accts";#N/A,#N/A,FALSE,"Tickmarks"}</definedName>
    <definedName name="dwsewasad" hidden="1">{#N/A,#N/A,FALSE,"Aging Summary";#N/A,#N/A,FALSE,"Ratio Analysis";#N/A,#N/A,FALSE,"Test 120 Day Accts";#N/A,#N/A,FALSE,"Tickmarks"}</definedName>
    <definedName name="dwshdds" hidden="1">{#N/A,#N/A,FALSE,"Aging Summary";#N/A,#N/A,FALSE,"Ratio Analysis";#N/A,#N/A,FALSE,"Test 120 Day Accts";#N/A,#N/A,FALSE,"Tickmarks"}</definedName>
    <definedName name="dww" hidden="1">19</definedName>
    <definedName name="dxfg" hidden="1">{"'DIFPRE'!$A$2:$M$54"}</definedName>
    <definedName name="DYUA" hidden="1">{#N/A,#N/A,FALSE,"Aging Summary";#N/A,#N/A,FALSE,"Ratio Analysis";#N/A,#N/A,FALSE,"Test 120 Day Accts";#N/A,#N/A,FALSE,"Tickmarks"}</definedName>
    <definedName name="E" localSheetId="2">#REF!</definedName>
    <definedName name="E" localSheetId="3">#REF!</definedName>
    <definedName name="E">#REF!</definedName>
    <definedName name="eaaa" hidden="1">{#N/A,#N/A,FALSE,"Aging Summary";#N/A,#N/A,FALSE,"Ratio Analysis";#N/A,#N/A,FALSE,"Test 120 Day Accts";#N/A,#N/A,FALSE,"Tickmarks"}</definedName>
    <definedName name="easads" hidden="1">{#N/A,#N/A,FALSE,"Aging Summary";#N/A,#N/A,FALSE,"Ratio Analysis";#N/A,#N/A,FALSE,"Test 120 Day Accts";#N/A,#N/A,FALSE,"Tickmarks"}</definedName>
    <definedName name="EB" hidden="1">{#N/A,#N/A,FALSE,"Aging Summary";#N/A,#N/A,FALSE,"Ratio Analysis";#N/A,#N/A,FALSE,"Test 120 Day Accts";#N/A,#N/A,FALSE,"Tickmarks"}</definedName>
    <definedName name="EBU_2" hidden="1">#REF!</definedName>
    <definedName name="eçep" hidden="1">{#N/A,#N/A,FALSE,"Aging Summary";#N/A,#N/A,FALSE,"Ratio Analysis";#N/A,#N/A,FALSE,"Test 120 Day Accts";#N/A,#N/A,FALSE,"Tickmarks"}</definedName>
    <definedName name="ed" hidden="1">{#N/A,#N/A,FALSE,"SUBSIDIARIAS"}</definedName>
    <definedName name="EDA" hidden="1">{#N/A,#N/A,FALSE,"Aging Summary";#N/A,#N/A,FALSE,"Ratio Analysis";#N/A,#N/A,FALSE,"Test 120 Day Accts";#N/A,#N/A,FALSE,"Tickmarks"}</definedName>
    <definedName name="EDD" hidden="1">{#N/A,#N/A,FALSE,"Aging Summary";#N/A,#N/A,FALSE,"Ratio Analysis";#N/A,#N/A,FALSE,"Test 120 Day Accts";#N/A,#N/A,FALSE,"Tickmarks"}</definedName>
    <definedName name="eddd" hidden="1">{#N/A,#N/A,FALSE,"Aging Summary";#N/A,#N/A,FALSE,"Ratio Analysis";#N/A,#N/A,FALSE,"Test 120 Day Accts";#N/A,#N/A,FALSE,"Tickmarks"}</definedName>
    <definedName name="EDDERS" hidden="1">{#N/A,#N/A,FALSE,"Aging Summary";#N/A,#N/A,FALSE,"Ratio Analysis";#N/A,#N/A,FALSE,"Test 120 Day Accts";#N/A,#N/A,FALSE,"Tickmarks"}</definedName>
    <definedName name="ed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ded" hidden="1">#REF!</definedName>
    <definedName name="edewdewd" hidden="1">{#N/A,#N/A,FALSE,"Aging Summary";#N/A,#N/A,FALSE,"Ratio Analysis";#N/A,#N/A,FALSE,"Test 120 Day Accts";#N/A,#N/A,FALSE,"Tickmarks"}</definedName>
    <definedName name="EDFSASD" hidden="1">{#N/A,#N/A,FALSE,"Aging Summary";#N/A,#N/A,FALSE,"Ratio Analysis";#N/A,#N/A,FALSE,"Test 120 Day Accts";#N/A,#N/A,FALSE,"Tickmarks"}</definedName>
    <definedName name="edhjfjsf" hidden="1">{#N/A,#N/A,FALSE,"Aging Summary";#N/A,#N/A,FALSE,"Ratio Analysis";#N/A,#N/A,FALSE,"Test 120 Day Accts";#N/A,#N/A,FALSE,"Tickmarks"}</definedName>
    <definedName name="edjwidw" hidden="1">{#N/A,#N/A,FALSE,"Aging Summary";#N/A,#N/A,FALSE,"Ratio Analysis";#N/A,#N/A,FALSE,"Test 120 Day Accts";#N/A,#N/A,FALSE,"Tickmarks"}</definedName>
    <definedName name="edo_res" hidden="1">{#N/A,#N/A,FALSE,"ING. EXT."}</definedName>
    <definedName name="edowedwd" hidden="1">{#N/A,#N/A,FALSE,"Aging Summary";#N/A,#N/A,FALSE,"Ratio Analysis";#N/A,#N/A,FALSE,"Test 120 Day Accts";#N/A,#N/A,FALSE,"Tickmarks"}</definedName>
    <definedName name="ed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dsfe" hidden="1">{#N/A,#N/A,FALSE,"Aging Summary";#N/A,#N/A,FALSE,"Ratio Analysis";#N/A,#N/A,FALSE,"Test 120 Day Accts";#N/A,#N/A,FALSE,"Tickmarks"}</definedName>
    <definedName name="ee" hidden="1">6</definedName>
    <definedName name="eebb" hidden="1">220</definedName>
    <definedName name="EEBU" hidden="1">{#N/A,#N/A,FALSE,"Aging Summary";#N/A,#N/A,FALSE,"Ratio Analysis";#N/A,#N/A,FALSE,"Test 120 Day Accts";#N/A,#N/A,FALSE,"Tickmarks"}</definedName>
    <definedName name="eeded" hidden="1">#REF!</definedName>
    <definedName name="eedwe" hidden="1">{#N/A,#N/A,FALSE,"Aging Summary";#N/A,#N/A,FALSE,"Ratio Analysis";#N/A,#N/A,FALSE,"Test 120 Day Accts";#N/A,#N/A,FALSE,"Tickmarks"}</definedName>
    <definedName name="eee" hidden="1">{#N/A,#N/A,FALSE,"PERSONAL";#N/A,#N/A,FALSE,"explotación";#N/A,#N/A,FALSE,"generales"}</definedName>
    <definedName name="EEE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eeee" hidden="1">{#N/A,#N/A,FALSE,"Aging Summary";#N/A,#N/A,FALSE,"Ratio Analysis";#N/A,#N/A,FALSE,"Test 120 Day Accts";#N/A,#N/A,FALSE,"Tickmarks"}</definedName>
    <definedName name="eeeeeaaaaaa" hidden="1">{#N/A,#N/A,FALSE,"Aging Summary";#N/A,#N/A,FALSE,"Ratio Analysis";#N/A,#N/A,FALSE,"Test 120 Day Accts";#N/A,#N/A,FALSE,"Tickmarks"}</definedName>
    <definedName name="eeeee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EEEEEE" hidden="1">{#N/A,#N/A,FALSE,"Aging Summary";#N/A,#N/A,FALSE,"Ratio Analysis";#N/A,#N/A,FALSE,"Test 120 Day Accts";#N/A,#N/A,FALSE,"Tickmarks"}</definedName>
    <definedName name="EEEEEEEE" hidden="1">{#N/A,#N/A,FALSE,"Aging Summary";#N/A,#N/A,FALSE,"Ratio Analysis";#N/A,#N/A,FALSE,"Test 120 Day Accts";#N/A,#N/A,FALSE,"Tickmarks"}</definedName>
    <definedName name="eeeeeeeeee" hidden="1">6</definedName>
    <definedName name="eeeeeeeeeee" hidden="1">{#N/A,#N/A,FALSE,"Aging Summary";#N/A,#N/A,FALSE,"Ratio Analysis";#N/A,#N/A,FALSE,"Test 120 Day Accts";#N/A,#N/A,FALSE,"Tickmarks"}</definedName>
    <definedName name="eeeeeeeeeeee" hidden="1">{#N/A,#N/A,FALSE,"Aging Summary";#N/A,#N/A,FALSE,"Ratio Analysis";#N/A,#N/A,FALSE,"Test 120 Day Accts";#N/A,#N/A,FALSE,"Tickmarks"}</definedName>
    <definedName name="eeeeeeeeeeeee" hidden="1">{#N/A,#N/A,FALSE,"Aging Summary";#N/A,#N/A,FALSE,"Ratio Analysis";#N/A,#N/A,FALSE,"Test 120 Day Accts";#N/A,#N/A,FALSE,"Tickmarks"}</definedName>
    <definedName name="EEEEEEEEEEEEEE" hidden="1">{#N/A,#N/A,FALSE,"Aging Summary";#N/A,#N/A,FALSE,"Ratio Analysis";#N/A,#N/A,FALSE,"Test 120 Day Accts";#N/A,#N/A,FALSE,"Tickmarks"}</definedName>
    <definedName name="eeeeeeeeeeeeeeeeeeee" hidden="1">{#N/A,#N/A,FALSE,"Aging Summary";#N/A,#N/A,FALSE,"Ratio Analysis";#N/A,#N/A,FALSE,"Test 120 Day Accts";#N/A,#N/A,FALSE,"Tickmarks"}</definedName>
    <definedName name="EEEER" hidden="1">{#N/A,#N/A,FALSE,"Aging Summary";#N/A,#N/A,FALSE,"Ratio Analysis";#N/A,#N/A,FALSE,"Test 120 Day Accts";#N/A,#N/A,FALSE,"Tickmarks"}</definedName>
    <definedName name="EEERER" hidden="1">{#N/A,#N/A,FALSE,"Aging Summary";#N/A,#N/A,FALSE,"Ratio Analysis";#N/A,#N/A,FALSE,"Test 120 Day Accts";#N/A,#N/A,FALSE,"Tickmarks"}</definedName>
    <definedName name="eefrr" hidden="1">#REF!</definedName>
    <definedName name="EEPN___" hidden="1">{#N/A,#N/A,FALSE,"CAPEX";#N/A,#N/A,FALSE,"PLAN";#N/A,#N/A,FALSE,"REV";#N/A,#N/A,FALSE,"CALOP";#N/A,#N/A,FALSE,"RESOP";#N/A,#N/A,FALSE,"PRES"}</definedName>
    <definedName name="eer" hidden="1">{#N/A,#N/A,FALSE,"Aging Summary";#N/A,#N/A,FALSE,"Ratio Analysis";#N/A,#N/A,FALSE,"Test 120 Day Accts";#N/A,#N/A,FALSE,"Tickmarks"}</definedName>
    <definedName name="EERR" hidden="1">{#N/A,#N/A,FALSE,"Aging Summary";#N/A,#N/A,FALSE,"Ratio Analysis";#N/A,#N/A,FALSE,"Test 120 Day Accts";#N/A,#N/A,FALSE,"Tickmarks"}</definedName>
    <definedName name="eewr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dd" hidden="1">{#N/A,#N/A,FALSE,"Aging Summary";#N/A,#N/A,FALSE,"Ratio Analysis";#N/A,#N/A,FALSE,"Test 120 Day Accts";#N/A,#N/A,FALSE,"Tickmarks"}</definedName>
    <definedName name="efdfass" hidden="1">{#N/A,#N/A,FALSE,"Aging Summary";#N/A,#N/A,FALSE,"Ratio Analysis";#N/A,#N/A,FALSE,"Test 120 Day Accts";#N/A,#N/A,FALSE,"Tickmarks"}</definedName>
    <definedName name="EFe" hidden="1">{#N/A,#N/A,FALSE,"Start";#N/A,#N/A,FALSE,"PSG West Activity";#N/A,#N/A,FALSE,"PSG GI WEST Trend";#N/A,#N/A,FALSE,"PSG Removals WEST Trend"}</definedName>
    <definedName name="EFEEEEEEEEEE" hidden="1">{#N/A,#N/A,FALSE,"Aging Summary";#N/A,#N/A,FALSE,"Ratio Analysis";#N/A,#N/A,FALSE,"Test 120 Day Accts";#N/A,#N/A,FALSE,"Tickmarks"}</definedName>
    <definedName name="efefje" hidden="1">#REF!</definedName>
    <definedName name="effas" hidden="1">{#N/A,#N/A,FALSE,"Aging Summary";#N/A,#N/A,FALSE,"Ratio Analysis";#N/A,#N/A,FALSE,"Test 120 Day Accts";#N/A,#N/A,FALSE,"Tickmarks"}</definedName>
    <definedName name="eff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fje" hidden="1">{#N/A,#N/A,FALSE,"Aging Summary";#N/A,#N/A,FALSE,"Ratio Analysis";#N/A,#N/A,FALSE,"Test 120 Day Accts";#N/A,#N/A,FALSE,"Tickmarks"}</definedName>
    <definedName name="efnwjnfw" hidden="1">{#N/A,#N/A,FALSE,"Aging Summary";#N/A,#N/A,FALSE,"Ratio Analysis";#N/A,#N/A,FALSE,"Test 120 Day Accts";#N/A,#N/A,FALSE,"Tickmarks"}</definedName>
    <definedName name="efplpwfel" hidden="1">#REF!</definedName>
    <definedName name="efvc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kfnkf" hidden="1">{#N/A,#N/A,FALSE,"Aging Summary";#N/A,#N/A,FALSE,"Ratio Analysis";#N/A,#N/A,FALSE,"Test 120 Day Accts";#N/A,#N/A,FALSE,"Tickmarks"}</definedName>
    <definedName name="efwqerwqer" hidden="1">#REF!</definedName>
    <definedName name="egr" hidden="1">{#N/A,#N/A,FALSE,"Aging Summary";#N/A,#N/A,FALSE,"Ratio Analysis";#N/A,#N/A,FALSE,"Test 120 Day Accts";#N/A,#N/A,FALSE,"Tickmarks"}</definedName>
    <definedName name="egwe" hidden="1">{#N/A,#N/A,FALSE,"STRAD";#N/A,#N/A,FALSE,"BELGLO"}</definedName>
    <definedName name="EHA" hidden="1">{#N/A,#N/A,FALSE,"Aging Summary";#N/A,#N/A,FALSE,"Ratio Analysis";#N/A,#N/A,FALSE,"Test 120 Day Accts";#N/A,#N/A,FALSE,"Tickmarks"}</definedName>
    <definedName name="ehajs" hidden="1">{#N/A,#N/A,FALSE,"Aging Summary";#N/A,#N/A,FALSE,"Ratio Analysis";#N/A,#N/A,FALSE,"Test 120 Day Accts";#N/A,#N/A,FALSE,"Tickmarks"}</definedName>
    <definedName name="ehakks" hidden="1">{#N/A,#N/A,FALSE,"Aging Summary";#N/A,#N/A,FALSE,"Ratio Analysis";#N/A,#N/A,FALSE,"Test 120 Day Accts";#N/A,#N/A,FALSE,"Tickmarks"}</definedName>
    <definedName name="ehrtu" hidden="1">{#N/A,#N/A,FALSE,"Aging Summary";#N/A,#N/A,FALSE,"Ratio Analysis";#N/A,#N/A,FALSE,"Test 120 Day Accts";#N/A,#N/A,FALSE,"Tickmarks"}</definedName>
    <definedName name="eifwif" hidden="1">{#N/A,#N/A,FALSE,"Aging Summary";#N/A,#N/A,FALSE,"Ratio Analysis";#N/A,#N/A,FALSE,"Test 120 Day Accts";#N/A,#N/A,FALSE,"Tickmarks"}</definedName>
    <definedName name="ejalsd" hidden="1">{#N/A,#N/A,FALSE,"Aging Summary";#N/A,#N/A,FALSE,"Ratio Analysis";#N/A,#N/A,FALSE,"Test 120 Day Accts";#N/A,#N/A,FALSE,"Tickmarks"}</definedName>
    <definedName name="ejas" hidden="1">{#N/A,#N/A,FALSE,"Aging Summary";#N/A,#N/A,FALSE,"Ratio Analysis";#N/A,#N/A,FALSE,"Test 120 Day Accts";#N/A,#N/A,FALSE,"Tickmarks"}</definedName>
    <definedName name="ejdla" hidden="1">{#N/A,#N/A,FALSE,"Aging Summary";#N/A,#N/A,FALSE,"Ratio Analysis";#N/A,#N/A,FALSE,"Test 120 Day Accts";#N/A,#N/A,FALSE,"Tickmarks"}</definedName>
    <definedName name="EJJEJ" hidden="1">{#N/A,#N/A,FALSE,"Aging Summary";#N/A,#N/A,FALSE,"Ratio Analysis";#N/A,#N/A,FALSE,"Test 120 Day Accts";#N/A,#N/A,FALSE,"Tickmarks"}</definedName>
    <definedName name="ejras" hidden="1">{#N/A,#N/A,FALSE,"Aging Summary";#N/A,#N/A,FALSE,"Ratio Analysis";#N/A,#N/A,FALSE,"Test 120 Day Accts";#N/A,#N/A,FALSE,"Tickmarks"}</definedName>
    <definedName name="ejwifjewi5353" hidden="1">#REF!</definedName>
    <definedName name="ekdokdoed" hidden="1">{#N/A,#N/A,FALSE,"Aging Summary";#N/A,#N/A,FALSE,"Ratio Analysis";#N/A,#N/A,FALSE,"Test 120 Day Accts";#N/A,#N/A,FALSE,"Tickmarks"}</definedName>
    <definedName name="ekekeke" hidden="1">{#N/A,#N/A,FALSE,"Aging Summary";#N/A,#N/A,FALSE,"Ratio Analysis";#N/A,#N/A,FALSE,"Test 120 Day Accts";#N/A,#N/A,FALSE,"Tickmarks"}</definedName>
    <definedName name="ekeme" hidden="1">{#N/A,#N/A,FALSE,"Aging Summary";#N/A,#N/A,FALSE,"Ratio Analysis";#N/A,#N/A,FALSE,"Test 120 Day Accts";#N/A,#N/A,FALSE,"Tickmarks"}</definedName>
    <definedName name="ekqwoekq" hidden="1">{#N/A,#N/A,FALSE,"Aging Summary";#N/A,#N/A,FALSE,"Ratio Analysis";#N/A,#N/A,FALSE,"Test 120 Day Accts";#N/A,#N/A,FALSE,"Tickmarks"}</definedName>
    <definedName name="ekwdokw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kwfoewf" hidden="1">{#N/A,#N/A,FALSE,"Aging Summary";#N/A,#N/A,FALSE,"Ratio Analysis";#N/A,#N/A,FALSE,"Test 120 Day Accts";#N/A,#N/A,FALSE,"Tickmarks"}</definedName>
    <definedName name="ekwwjkf" hidden="1">{#N/A,#N/A,FALSE,"Aging Summary";#N/A,#N/A,FALSE,"Ratio Analysis";#N/A,#N/A,FALSE,"Test 120 Day Accts";#N/A,#N/A,FALSE,"Tickmarks"}</definedName>
    <definedName name="EL" hidden="1">#REF!</definedName>
    <definedName name="ellaaaaa" hidden="1">{#N/A,#N/A,FALSE,"Aging Summary";#N/A,#N/A,FALSE,"Ratio Analysis";#N/A,#N/A,FALSE,"Test 120 Day Accts";#N/A,#N/A,FALSE,"Tickmarks"}</definedName>
    <definedName name="ellllll" hidden="1">{#N/A,#N/A,FALSE,"Aging Summary";#N/A,#N/A,FALSE,"Ratio Analysis";#N/A,#N/A,FALSE,"Test 120 Day Accts";#N/A,#N/A,FALSE,"Tickmarks"}</definedName>
    <definedName name="em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n" hidden="1">{#N/A,#N/A,FALSE,"Aging Summary";#N/A,#N/A,FALSE,"Ratio Analysis";#N/A,#N/A,FALSE,"Test 120 Day Accts";#N/A,#N/A,FALSE,"Tickmarks"}</definedName>
    <definedName name="enceincec" hidden="1">{"Schedule_1C",#N/A,FALSE,"I-C"}</definedName>
    <definedName name="endeid" hidden="1">{#N/A,#N/A,FALSE,"Aging Summary";#N/A,#N/A,FALSE,"Ratio Analysis";#N/A,#N/A,FALSE,"Test 120 Day Accts";#N/A,#N/A,FALSE,"Tickmarks"}</definedName>
    <definedName name="enh" hidden="1">{#N/A,#N/A,FALSE,"Hoja LLave";#N/A,#N/A,FALSE,"Portada";#N/A,#N/A,FALSE,"Nota 2";#N/A,#N/A,FALSE,"Anexo A";#N/A,#N/A,FALSE,"Est.Sit.Patr.";#N/A,#N/A,FALSE,"Cuadro I";#N/A,#N/A,FALSE,"Anexo F";#N/A,#N/A,FALSE,"E.E.P.N.";#N/A,#N/A,FALSE,"Resultados";#N/A,#N/A,FALSE,"E.V.C.C."}</definedName>
    <definedName name="eodod" hidden="1">{#N/A,#N/A,FALSE,"Aging Summary";#N/A,#N/A,FALSE,"Ratio Analysis";#N/A,#N/A,FALSE,"Test 120 Day Accts";#N/A,#N/A,FALSE,"Tickmarks"}</definedName>
    <definedName name="eokdokde" hidden="1">#REF!</definedName>
    <definedName name="eokdweokd" hidden="1">{#N/A,#N/A,FALSE,"Aging Summary";#N/A,#N/A,FALSE,"Ratio Analysis";#N/A,#N/A,FALSE,"Test 120 Day Accts";#N/A,#N/A,FALSE,"Tickmarks"}</definedName>
    <definedName name="eorkge" hidden="1">{#N/A,#N/A,FALSE,"Aging Summary";#N/A,#N/A,FALSE,"Ratio Analysis";#N/A,#N/A,FALSE,"Test 120 Day Accts";#N/A,#N/A,FALSE,"Tickmarks"}</definedName>
    <definedName name="EPMWorkbookOptions_1" hidden="1">"vTgAAB+LCAAAAAAABADtm21vqkgUx9/f5H4H43sEBJ8a6g0iWrMKXh7s3m0aAjK25CqwA9b22++Ij6Po+rRGWZImtTPnnDn8+c0w4yncj8/RMPMBYOB47mOWzlHZDHD7nu24b4/ZcTgg6GL2R/X7N+7Zg78tz/st+yEyDTLIzw0ePgPnMfsehv4DSU4mk9yEyXnwjcxTFE3+2Wmr/XcwMgnHDULT7YPs0sv+d68sGjWT4QTPdUF/OqbmCWMI"</definedName>
    <definedName name="EPMWorkbookOptions_2" hidden="1">"gRv2HDCJOrHuuhma81bULpkjMBttOVIIRv4YOtFQegBgF4IBQPH6IIcSylaNRrdj1LqC9ExTxsvcaeh+EtbAJ3yU20OZoigyMH3S8vvkq/Eitf4Q578MQZZU9HlgDgPwypHT8VfZ8L4/dPrmmnIHZ7WIgUdZa55fbHWZxcbgM5lWymXInV1Pjm0Dt+6MgBtEqe42XaUZYDbISn33JssYgjf0YDWEY8CRMR37XKOriPHcurq5I0IhBJ9hw/zw"</definedName>
    <definedName name="EPMWorkbookOptions_3" hidden="1">"oBOivFa+W10HuDccGIR7Ysz6NwItk9ytz6FW63a66/w9BtGF84Ig65LGkXGd+2LMBEfzuUDRTJleCxB3KyJfGdoAVimOnH2IjR74Q/OrCz0fwPCraoKKVamwFcK2LIZgC3QZzZ6SSZhFm7EqTCGfH9jTkXGvmMBtMwhVMERTG9gdMLLQChVjhjMZa4BMZv5rMr3MRXzNvXR5RZS0Jxp9/EvV6kZNRZN3y2FH4CcHQBP2379Wphm0Ij64zvAx"</definedName>
    <definedName name="EPMWorkbookOptions_4" hidden="1">"OyUnuzGD9t/bw3w5cv8lc+Qh2q3d/v8M1ZrCS/XTQaUoFi24h3NKH8EpXSgWBsAaEIWizRJsflAhygUACMoEeda2SmzJYm6A00hBnNIa0iVFNDbNExCdPi+NpiLr3ZM5ZZhCgWXZwznNJ289XcmIw9o0EkDrpUURmgbaTN67Kjc2h3WpdfqeqFiiqXK5dPgUZpL3qFmqiMPa4SW+KXbQnymwsWmeBCzaeyq/ztkZFYsMc8TWiE3iIycSEadV"</definedName>
    <definedName name="EPMWorkbookOptions_5" hidden="1">"kzW+nYIam+YpoOoKklY4g9SjD5uFBJI6VxHxiX50tX7vgF5GiLZw7zrczkStt1RNadV0rSVLV5ysxeRN1nUl8WdLXTDSx8tFqW3wV2S1lLwte4Pf+AIzAYftG6KzLT9fkc9yAvlECuKENiqVSkpobJonECprT6JyRUQryUM0khBndNaUQhqX5gmQImU1SVTO+4LueFbpY6qWdwLrupQ4s1093ZteGFtRaclnFC+PB/aY8uWdHKZmIuKo5im6"</definedName>
    <definedName name="EPMWorkbookOptions_6" hidden="1">"lEsErBdX5efdF4UuLAmVDFBuaFWTVa0lNY222BPb11zcEljzxrSMKUMYTZ7vpujGpnkKuopc1wXNEHhNbMrnVM+Op/eYcu+90LshZ1pHuwK7otRsSeI1yT2m8HsvpyBMzI1zkJiegy6Lbk9U1OsWlegEloDnKuKw9tKv63eleQKoHZFXdUVUr0lqAuufCxlnNfpf2v/2nxVwIWYH1Nbd/8vCZdT4ef9YXHDhOsAIyybeiCPjXu/CWhfmKNr2"</definedName>
    <definedName name="EPMWorkbookOptions_7" hidden="1">"W2/rjdtvynEKGEAQvMuu7AO3Gr2lxpF4Y2QnDIEJp0FlVzU/wMJyszmyXbwSiFarMJJxYb3dgdtP7Pld41pBz4SOaQ1BB8C3VYSt9u/fVmHnryBW/wEhhxeWvTgAAA=="</definedName>
    <definedName name="epokdpe" hidden="1">{#N/A,#N/A,FALSE,"Aging Summary";#N/A,#N/A,FALSE,"Ratio Analysis";#N/A,#N/A,FALSE,"Test 120 Day Accts";#N/A,#N/A,FALSE,"Tickmarks"}</definedName>
    <definedName name="epwpwpewp" hidden="1">#REF!</definedName>
    <definedName name="EQ" hidden="1">{#N/A,#N/A,FALSE,"Aging Summary";#N/A,#N/A,FALSE,"Ratio Analysis";#N/A,#N/A,FALSE,"Test 120 Day Accts";#N/A,#N/A,FALSE,"Tickmarks"}</definedName>
    <definedName name="eqeq" hidden="1">#REF!</definedName>
    <definedName name="eqeqp" hidden="1">#REF!</definedName>
    <definedName name="eqeqqw" hidden="1">{#N/A,#N/A,FALSE,"STRAD";#N/A,#N/A,FALSE,"BELGLO"}</definedName>
    <definedName name="EQFOQKFQE" hidden="1">#REF!</definedName>
    <definedName name="EQWE" hidden="1">{#N/A,#N/A,FALSE,"Aging Summary";#N/A,#N/A,FALSE,"Ratio Analysis";#N/A,#N/A,FALSE,"Test 120 Day Accts";#N/A,#N/A,FALSE,"Tickmarks"}</definedName>
    <definedName name="eqweq" hidden="1">#REF!</definedName>
    <definedName name="eqweqe" hidden="1">#REF!</definedName>
    <definedName name="EQWQ" hidden="1">{#N/A,#N/A,FALSE,"Aging Summary";#N/A,#N/A,FALSE,"Ratio Analysis";#N/A,#N/A,FALSE,"Test 120 Day Accts";#N/A,#N/A,FALSE,"Tickmarks"}</definedName>
    <definedName name="EQWQS" hidden="1">{#N/A,#N/A,FALSE,"Aging Summary";#N/A,#N/A,FALSE,"Ratio Analysis";#N/A,#N/A,FALSE,"Test 120 Day Accts";#N/A,#N/A,FALSE,"Tickmarks"}</definedName>
    <definedName name="ER">#REF!</definedName>
    <definedName name="era" hidden="1">{#N/A,#N/A,FALSE,"Aging Summary";#N/A,#N/A,FALSE,"Ratio Analysis";#N/A,#N/A,FALSE,"Test 120 Day Accts";#N/A,#N/A,FALSE,"Tickmarks"}</definedName>
    <definedName name="eras" hidden="1">{#N/A,#N/A,FALSE,"Aging Summary";#N/A,#N/A,FALSE,"Ratio Analysis";#N/A,#N/A,FALSE,"Test 120 Day Accts";#N/A,#N/A,FALSE,"Tickmarks"}</definedName>
    <definedName name="ERD" hidden="1">{#N/A,#N/A,FALSE,"Aging Summary";#N/A,#N/A,FALSE,"Ratio Analysis";#N/A,#N/A,FALSE,"Test 120 Day Accts";#N/A,#N/A,FALSE,"Tickmarks"}</definedName>
    <definedName name="erdwqe" hidden="1">#REF!</definedName>
    <definedName name="erer" hidden="1">{#N/A,#N/A,FALSE,"Aging Summary";#N/A,#N/A,FALSE,"Ratio Analysis";#N/A,#N/A,FALSE,"Test 120 Day Accts";#N/A,#N/A,FALSE,"Tickmarks"}</definedName>
    <definedName name="ERERE" hidden="1">{#N/A,#N/A,FALSE,"Aging Summary";#N/A,#N/A,FALSE,"Ratio Analysis";#N/A,#N/A,FALSE,"Test 120 Day Accts";#N/A,#N/A,FALSE,"Tickmarks"}</definedName>
    <definedName name="ERERER" hidden="1">{#N/A,#N/A,FALSE,"Aging Summary";#N/A,#N/A,FALSE,"Ratio Analysis";#N/A,#N/A,FALSE,"Test 120 Day Accts";#N/A,#N/A,FALSE,"Tickmarks"}</definedName>
    <definedName name="ererere" hidden="1">{#N/A,#N/A,FALSE,"Aging Summary";#N/A,#N/A,FALSE,"Ratio Analysis";#N/A,#N/A,FALSE,"Test 120 Day Accts";#N/A,#N/A,FALSE,"Tickmarks"}</definedName>
    <definedName name="erererf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t" hidden="1">{#N/A,#N/A,FALSE,"Aging Summary";#N/A,#N/A,FALSE,"Ratio Analysis";#N/A,#N/A,FALSE,"Test 120 Day Accts";#N/A,#N/A,FALSE,"Tickmarks"}</definedName>
    <definedName name="ERERR" hidden="1">{#N/A,#N/A,FALSE,"Aging Summary";#N/A,#N/A,FALSE,"Ratio Analysis";#N/A,#N/A,FALSE,"Test 120 Day Accts";#N/A,#N/A,FALSE,"Tickmarks"}</definedName>
    <definedName name="EREWE" hidden="1">{#N/A,#N/A,FALSE,"Aging Summary";#N/A,#N/A,FALSE,"Ratio Analysis";#N/A,#N/A,FALSE,"Test 120 Day Accts";#N/A,#N/A,FALSE,"Tickmarks"}</definedName>
    <definedName name="erf" hidden="1">{#N/A,#N/A,FALSE,"SUBSIDIARIAS"}</definedName>
    <definedName name="erfewrwerwerwerewr" hidden="1">#REF!</definedName>
    <definedName name="erfg" hidden="1">{#N/A,#N/A,FALSE,"Aging Summary";#N/A,#N/A,FALSE,"Ratio Analysis";#N/A,#N/A,FALSE,"Test 120 Day Accts";#N/A,#N/A,FALSE,"Tickmarks"}</definedName>
    <definedName name="erqqwe" hidden="1">{#N/A,#N/A,FALSE,"Aging Summary";#N/A,#N/A,FALSE,"Ratio Analysis";#N/A,#N/A,FALSE,"Test 120 Day Accts";#N/A,#N/A,FALSE,"Tickmarks"}</definedName>
    <definedName name="erqww" hidden="1">{#N/A,#N/A,FALSE,"Aging Summary";#N/A,#N/A,FALSE,"Ratio Analysis";#N/A,#N/A,FALSE,"Test 120 Day Accts";#N/A,#N/A,FALSE,"Tickmarks"}</definedName>
    <definedName name="err" hidden="1">{#N/A,#N/A,FALSE,"BHA"}</definedName>
    <definedName name="erreeeee" hidden="1">{#N/A,#N/A,FALSE,"Aging Summary";#N/A,#N/A,FALSE,"Ratio Analysis";#N/A,#N/A,FALSE,"Test 120 Day Accts";#N/A,#N/A,FALSE,"Tickmarks"}</definedName>
    <definedName name="ERREW" hidden="1">{#N/A,#N/A,FALSE,"Aging Summary";#N/A,#N/A,FALSE,"Ratio Analysis";#N/A,#N/A,FALSE,"Test 120 Day Accts";#N/A,#N/A,FALSE,"Tickmarks"}</definedName>
    <definedName name="errr" hidden="1">{#N/A,#N/A,FALSE,"Aging Summary";#N/A,#N/A,FALSE,"Ratio Analysis";#N/A,#N/A,FALSE,"Test 120 Day Accts";#N/A,#N/A,FALSE,"Tickmarks"}</definedName>
    <definedName name="ERRRR" hidden="1">{#N/A,#N/A,FALSE,"Aging Summary";#N/A,#N/A,FALSE,"Ratio Analysis";#N/A,#N/A,FALSE,"Test 120 Day Accts";#N/A,#N/A,FALSE,"Tickmarks"}</definedName>
    <definedName name="ERS" hidden="1">{#N/A,#N/A,FALSE,"Aging Summary";#N/A,#N/A,FALSE,"Ratio Analysis";#N/A,#N/A,FALSE,"Test 120 Day Accts";#N/A,#N/A,FALSE,"Tickmarks"}</definedName>
    <definedName name="er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rter" hidden="1">{#N/A,#N/A,FALSE,"STRAD";#N/A,#N/A,FALSE,"BELGLO"}</definedName>
    <definedName name="ertertert" hidden="1">{#N/A,#N/A,FALSE,"STRAD";#N/A,#N/A,FALSE,"BELGLO"}</definedName>
    <definedName name="ertertertert" hidden="1">{#N/A,#N/A,FALSE,"STRAD";#N/A,#N/A,FALSE,"BELGLO"}</definedName>
    <definedName name="ertewrwer" hidden="1">{"maq y eq",#N/A,TRUE,"Maq y Eq";"rodados",#N/A,TRUE,"Rodados"}</definedName>
    <definedName name="eru" hidden="1">{#N/A,#N/A,FALSE,"Aging Summary";#N/A,#N/A,FALSE,"Ratio Analysis";#N/A,#N/A,FALSE,"Test 120 Day Accts";#N/A,#N/A,FALSE,"Tickmarks"}</definedName>
    <definedName name="erw" hidden="1">{#N/A,#N/A,FALSE,"Aging Summary";#N/A,#N/A,FALSE,"Ratio Analysis";#N/A,#N/A,FALSE,"Test 120 Day Accts";#N/A,#N/A,FALSE,"Tickmarks"}</definedName>
    <definedName name="ERWE" hidden="1">{#N/A,#N/A,FALSE,"Aging Summary";#N/A,#N/A,FALSE,"Ratio Analysis";#N/A,#N/A,FALSE,"Test 120 Day Accts";#N/A,#N/A,FALSE,"Tickmarks"}</definedName>
    <definedName name="erwehrqlrehf" hidden="1">{#N/A,#N/A,FALSE,"invoice ucc";#N/A,#N/A,FALSE,"asiento"}</definedName>
    <definedName name="erwo" hidden="1">#REF!</definedName>
    <definedName name="ESC" hidden="1">{#N/A,#N/A,FALSE,"Aging Summary";#N/A,#N/A,FALSE,"Ratio Analysis";#N/A,#N/A,FALSE,"Test 120 Day Accts";#N/A,#N/A,FALSE,"Tickmarks"}</definedName>
    <definedName name="ESDS" hidden="1">{#N/A,#N/A,FALSE,"Aging Summary";#N/A,#N/A,FALSE,"Ratio Analysis";#N/A,#N/A,FALSE,"Test 120 Day Accts";#N/A,#N/A,FALSE,"Tickmarks"}</definedName>
    <definedName name="esta" hidden="1">{#N/A,#N/A,FALSE,"Aging Summary";#N/A,#N/A,FALSE,"Ratio Analysis";#N/A,#N/A,FALSE,"Test 120 Day Accts";#N/A,#N/A,FALSE,"Tickmarks"}</definedName>
    <definedName name="Estadoderesult" hidden="1">{"Monthly",#N/A,FALSE,"Phosphate Gross Profit";"Quarterly",#N/A,FALSE,"Phosphate Gross Profit"}</definedName>
    <definedName name="estadosII" hidden="1">{#N/A,#N/A,FALSE,"balance";#N/A,#N/A,FALSE,"P&amp;L";#N/A,#N/A,FALSE,"Equity";#N/A,#N/A,FALSE,"cash flow";#N/A,#N/A,FALSE,"bienes uso";#N/A,#N/A,FALSE,"intangibles";#N/A,#N/A,FALSE,"P&amp;L MD&amp;A";#N/A,#N/A,FALSE,"breakdown";#N/A,#N/A,FALSE,"stat ratios"}</definedName>
    <definedName name="esteban" hidden="1">{#N/A,#N/A,FALSE,"PERSONAL";#N/A,#N/A,FALSE,"explotación";#N/A,#N/A,FALSE,"generales"}</definedName>
    <definedName name="ET" hidden="1">{#N/A,#N/A,FALSE,"Aging Summary";#N/A,#N/A,FALSE,"Ratio Analysis";#N/A,#N/A,FALSE,"Test 120 Day Accts";#N/A,#N/A,FALSE,"Tickmarks"}</definedName>
    <definedName name="ETET" hidden="1">{#N/A,#N/A,FALSE,"Aging Summary";#N/A,#N/A,FALSE,"Ratio Analysis";#N/A,#N/A,FALSE,"Test 120 Day Accts";#N/A,#N/A,FALSE,"Tickmarks"}</definedName>
    <definedName name="ett" hidden="1">{#N/A,#N/A,FALSE,"Aging Summary";#N/A,#N/A,FALSE,"Ratio Analysis";#N/A,#N/A,FALSE,"Test 120 Day Accts";#N/A,#N/A,FALSE,"Tickmarks"}</definedName>
    <definedName name="ETYH" hidden="1">{#N/A,#N/A,FALSE,"Aging Summary";#N/A,#N/A,FALSE,"Ratio Analysis";#N/A,#N/A,FALSE,"Test 120 Day Accts";#N/A,#N/A,FALSE,"Tickmarks"}</definedName>
    <definedName name="euras" hidden="1">{#N/A,#N/A,FALSE,"Aging Summary";#N/A,#N/A,FALSE,"Ratio Analysis";#N/A,#N/A,FALSE,"Test 120 Day Accts";#N/A,#N/A,FALSE,"Tickmarks"}</definedName>
    <definedName name="eurt" hidden="1">{#N/A,#N/A,FALSE,"Aging Summary";#N/A,#N/A,FALSE,"Ratio Analysis";#N/A,#N/A,FALSE,"Test 120 Day Accts";#N/A,#N/A,FALSE,"Tickmarks"}</definedName>
    <definedName name="eurye" hidden="1">{#N/A,#N/A,FALSE,"Aging Summary";#N/A,#N/A,FALSE,"Ratio Analysis";#N/A,#N/A,FALSE,"Test 120 Day Accts";#N/A,#N/A,FALSE,"Tickmarks"}</definedName>
    <definedName name="EV__LASTREFTIME__" hidden="1">40304.5631018519</definedName>
    <definedName name="events" hidden="1">13</definedName>
    <definedName name="EW" hidden="1">{#N/A,#N/A,FALSE,"Aging Summary";#N/A,#N/A,FALSE,"Ratio Analysis";#N/A,#N/A,FALSE,"Test 120 Day Accts";#N/A,#N/A,FALSE,"Tickmarks"}</definedName>
    <definedName name="EWDAD" hidden="1">{#N/A,#N/A,FALSE,"Aging Summary";#N/A,#N/A,FALSE,"Ratio Analysis";#N/A,#N/A,FALSE,"Test 120 Day Accts";#N/A,#N/A,FALSE,"Tickmarks"}</definedName>
    <definedName name="ewdsdsf" hidden="1">{#N/A,#N/A,FALSE,"Aging Summary";#N/A,#N/A,FALSE,"Ratio Analysis";#N/A,#N/A,FALSE,"Test 120 Day Accts";#N/A,#N/A,FALSE,"Tickmarks"}</definedName>
    <definedName name="ewe" hidden="1">{#N/A,#N/A,FALSE,"Aging Summary";#N/A,#N/A,FALSE,"Ratio Analysis";#N/A,#N/A,FALSE,"Test 120 Day Accts";#N/A,#N/A,FALSE,"Tickmarks"}</definedName>
    <definedName name="EWEDD" hidden="1">{#N/A,#N/A,FALSE,"Aging Summary";#N/A,#N/A,FALSE,"Ratio Analysis";#N/A,#N/A,FALSE,"Test 120 Day Accts";#N/A,#N/A,FALSE,"Tickmarks"}</definedName>
    <definedName name="ewedw" hidden="1">{#N/A,#N/A,FALSE,"Aging Summary";#N/A,#N/A,FALSE,"Ratio Analysis";#N/A,#N/A,FALSE,"Test 120 Day Accts";#N/A,#N/A,FALSE,"Tickmarks"}</definedName>
    <definedName name="EWEDWSDS" hidden="1">{#N/A,#N/A,FALSE,"Aging Summary";#N/A,#N/A,FALSE,"Ratio Analysis";#N/A,#N/A,FALSE,"Test 120 Day Accts";#N/A,#N/A,FALSE,"Tickmarks"}</definedName>
    <definedName name="ewee" hidden="1">{#N/A,#N/A,FALSE,"Aging Summary";#N/A,#N/A,FALSE,"Ratio Analysis";#N/A,#N/A,FALSE,"Test 120 Day Accts";#N/A,#N/A,FALSE,"Tickmarks"}</definedName>
    <definedName name="EWEWR" hidden="1">{#N/A,#N/A,FALSE,"Aging Summary";#N/A,#N/A,FALSE,"Ratio Analysis";#N/A,#N/A,FALSE,"Test 120 Day Accts";#N/A,#N/A,FALSE,"Tickmarks"}</definedName>
    <definedName name="ewfkwofkw" hidden="1">{#N/A,#N/A,FALSE,"Aging Summary";#N/A,#N/A,FALSE,"Ratio Analysis";#N/A,#N/A,FALSE,"Test 120 Day Accts";#N/A,#N/A,FALSE,"Tickmarks"}</definedName>
    <definedName name="ewfwef" hidden="1">{"toptrial",#N/A,TRUE,"toptrial";"adjustment",#N/A,TRUE,"toptrial";"voucher",#N/A,TRUE,"toptrial"}</definedName>
    <definedName name="ewfwefwf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wifjwe232" hidden="1">#REF!</definedName>
    <definedName name="ewkdmw" hidden="1">{"'DIFPRE'!$A$2:$M$54"}</definedName>
    <definedName name="ewkfowef" hidden="1">{#N/A,#N/A,FALSE,"Aging Summary";#N/A,#N/A,FALSE,"Ratio Analysis";#N/A,#N/A,FALSE,"Test 120 Day Accts";#N/A,#N/A,FALSE,"Tickmarks"}</definedName>
    <definedName name="ewkfwokfw" hidden="1">{#N/A,#N/A,FALSE,"Aging Summary";#N/A,#N/A,FALSE,"Ratio Analysis";#N/A,#N/A,FALSE,"Test 120 Day Accts";#N/A,#N/A,FALSE,"Tickmarks"}</definedName>
    <definedName name="ewklwjldkjs" hidden="1">#REF!</definedName>
    <definedName name="ewkrw" hidden="1">#REF!</definedName>
    <definedName name="ewowwo" hidden="1">#REF!</definedName>
    <definedName name="EWQE" hidden="1">{#N/A,#N/A,FALSE,"Aging Summary";#N/A,#N/A,FALSE,"Ratio Analysis";#N/A,#N/A,FALSE,"Test 120 Day Accts";#N/A,#N/A,FALSE,"Tickmarks"}</definedName>
    <definedName name="ewqjfwje" hidden="1">#REF!</definedName>
    <definedName name="ewqodoqeodq" hidden="1">#REF!</definedName>
    <definedName name="ewqw" hidden="1">#REF!</definedName>
    <definedName name="EWRW" hidden="1">{#N/A,#N/A,FALSE,"Aging Summary";#N/A,#N/A,FALSE,"Ratio Analysis";#N/A,#N/A,FALSE,"Test 120 Day Accts";#N/A,#N/A,FALSE,"Tickmarks"}</definedName>
    <definedName name="EWRWER"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R" hidden="1">{#N/A,#N/A,FALSE,"Aging Summary";#N/A,#N/A,FALSE,"Ratio Analysis";#N/A,#N/A,FALSE,"Test 120 Day Accts";#N/A,#N/A,FALSE,"Tickmarks"}</definedName>
    <definedName name="EWT"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wewewe" hidden="1">#REF!</definedName>
    <definedName name="ewwrwe" hidden="1">#REF!</definedName>
    <definedName name="ewxewxw" hidden="1">#REF!</definedName>
    <definedName name="Expected_balance">#REF!</definedName>
    <definedName name="F" localSheetId="2">#REF!</definedName>
    <definedName name="F" localSheetId="3">#REF!</definedName>
    <definedName name="F">#REF!</definedName>
    <definedName name="f´wofkwe7" hidden="1">#REF!</definedName>
    <definedName name="f´wofw" hidden="1">#REF!</definedName>
    <definedName name="f4f4f4" hidden="1">#REF!</definedName>
    <definedName name="f4fff4" hidden="1">#REF!</definedName>
    <definedName name="f5f5f" hidden="1">{#N/A,#N/A,FALSE,"Aging Summary";#N/A,#N/A,FALSE,"Ratio Analysis";#N/A,#N/A,FALSE,"Test 120 Day Accts";#N/A,#N/A,FALSE,"Tickmarks"}</definedName>
    <definedName name="f5f5f5" hidden="1">{#N/A,#N/A,FALSE,"Aging Summary";#N/A,#N/A,FALSE,"Ratio Analysis";#N/A,#N/A,FALSE,"Test 120 Day Accts";#N/A,#N/A,FALSE,"Tickmarks"}</definedName>
    <definedName name="f9wjefwe" hidden="1">#REF!</definedName>
    <definedName name="fa" hidden="1">{#N/A,#N/A,FALSE,"Aging Summary";#N/A,#N/A,FALSE,"Ratio Analysis";#N/A,#N/A,FALSE,"Test 120 Day Accts";#N/A,#N/A,FALSE,"Tickmarks"}</definedName>
    <definedName name="fac" hidden="1">{#N/A,#N/A,FALSE,"invoice ucc";#N/A,#N/A,FALSE,"asiento"}</definedName>
    <definedName name="fadfdfd" hidden="1">{#N/A,#N/A,FALSE,"Aging Summary";#N/A,#N/A,FALSE,"Ratio Analysis";#N/A,#N/A,FALSE,"Test 120 Day Accts";#N/A,#N/A,FALSE,"Tickmarks"}</definedName>
    <definedName name="fafafaf" hidden="1">{#N/A,#N/A,FALSE,"Aging Summary";#N/A,#N/A,FALSE,"Ratio Analysis";#N/A,#N/A,FALSE,"Test 120 Day Accts";#N/A,#N/A,FALSE,"Tickmarks"}</definedName>
    <definedName name="FAKFKA" hidden="1">#REF!</definedName>
    <definedName name="FAKSOKSAF" hidden="1">#REF!</definedName>
    <definedName name="FALFALLF" hidden="1">#REF!</definedName>
    <definedName name="FALLA" hidden="1">#REF!</definedName>
    <definedName name="FALSFAL" hidden="1">#REF!</definedName>
    <definedName name="FALSFAOQ" hidden="1">#REF!</definedName>
    <definedName name="faltoel3" hidden="1">{#N/A,#N/A,FALSE,"Aging Summary";#N/A,#N/A,FALSE,"Ratio Analysis";#N/A,#N/A,FALSE,"Test 120 Day Accts";#N/A,#N/A,FALSE,"Tickmarks"}</definedName>
    <definedName name="FAOFASAP" hidden="1">#REF!</definedName>
    <definedName name="FAOFOAODS" hidden="1">#REF!</definedName>
    <definedName name="FAOSAOSFOAO" hidden="1">#REF!</definedName>
    <definedName name="FAOSKFAKF" hidden="1">#REF!</definedName>
    <definedName name="FAPFALSFL" hidden="1">#REF!</definedName>
    <definedName name="FAPSFPA" hidden="1">#REF!</definedName>
    <definedName name="FAPSLFSALFLSA" hidden="1">#REF!</definedName>
    <definedName name="faretwqe" hidden="1">{#N/A,#N/A,FALSE,"Aging Summary";#N/A,#N/A,FALSE,"Ratio Analysis";#N/A,#N/A,FALSE,"Test 120 Day Accts";#N/A,#N/A,FALSE,"Tickmarks"}</definedName>
    <definedName name="f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asset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WDAS" hidden="1">{#N/A,#N/A,FALSE,"Aging Summary";#N/A,#N/A,FALSE,"Ratio Analysis";#N/A,#N/A,FALSE,"Test 120 Day Accts";#N/A,#N/A,FALSE,"Tickmarks"}</definedName>
    <definedName name="fat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atima" hidden="1">{#N/A,#N/A,FALSE,"Aging Summary";#N/A,#N/A,FALSE,"Ratio Analysis";#N/A,#N/A,FALSE,"Test 120 Day Accts";#N/A,#N/A,FALSE,"Tickmarks"}</definedName>
    <definedName name="FÇFÇF" hidden="1">{#N/A,#N/A,FALSE,"Aging Summary";#N/A,#N/A,FALSE,"Ratio Analysis";#N/A,#N/A,FALSE,"Test 120 Day Accts";#N/A,#N/A,FALSE,"Tickmarks"}</definedName>
    <definedName name="fci" hidden="1">{#N/A,#N/A,FALSE,"Aging Summary";#N/A,#N/A,FALSE,"Ratio Analysis";#N/A,#N/A,FALSE,"Test 120 Day Accts";#N/A,#N/A,FALSE,"Tickmarks"}</definedName>
    <definedName name="FÇLÇ" hidden="1">{#N/A,#N/A,FALSE,"Aging Summary";#N/A,#N/A,FALSE,"Ratio Analysis";#N/A,#N/A,FALSE,"Test 120 Day Accts";#N/A,#N/A,FALSE,"Tickmarks"}</definedName>
    <definedName name="fd" hidden="1">#REF!</definedName>
    <definedName name="fdalfalf" hidden="1">#REF!</definedName>
    <definedName name="FDEFCF" hidden="1">{#N/A,#N/A,FALSE,"Aging Summary";#N/A,#N/A,FALSE,"Ratio Analysis";#N/A,#N/A,FALSE,"Test 120 Day Accts";#N/A,#N/A,FALSE,"Tickmarks"}</definedName>
    <definedName name="fdfdaaaaa" hidden="1">{#N/A,#N/A,FALSE,"Aging Summary";#N/A,#N/A,FALSE,"Ratio Analysis";#N/A,#N/A,FALSE,"Test 120 Day Accts";#N/A,#N/A,FALSE,"Tickmarks"}</definedName>
    <definedName name="fdfdfdf" hidden="1">#REF!</definedName>
    <definedName name="fdfdg" hidden="1">{#N/A,#N/A,FALSE,"Aging Summary";#N/A,#N/A,FALSE,"Ratio Analysis";#N/A,#N/A,FALSE,"Test 120 Day Accts";#N/A,#N/A,FALSE,"Tickmarks"}</definedName>
    <definedName name="FDFSDF" hidden="1">#REF!</definedName>
    <definedName name="fdfsfsda" hidden="1">{#N/A,#N/A,FALSE,"Aging Summary";#N/A,#N/A,FALSE,"Ratio Analysis";#N/A,#N/A,FALSE,"Test 120 Day Accts";#N/A,#N/A,FALSE,"Tickmarks"}</definedName>
    <definedName name="fdfskjfsks" hidden="1">#REF!</definedName>
    <definedName name="fdidjf" hidden="1">{#N/A,#N/A,FALSE,"Aging Summary";#N/A,#N/A,FALSE,"Ratio Analysis";#N/A,#N/A,FALSE,"Test 120 Day Accts";#N/A,#N/A,FALSE,"Tickmarks"}</definedName>
    <definedName name="fdjfd" hidden="1">{#N/A,#N/A,FALSE,"Aging Summary";#N/A,#N/A,FALSE,"Ratio Analysis";#N/A,#N/A,FALSE,"Test 120 Day Accts";#N/A,#N/A,FALSE,"Tickmarks"}</definedName>
    <definedName name="fdkdkf" hidden="1">#REF!</definedName>
    <definedName name="fdpokfd" hidden="1">#REF!</definedName>
    <definedName name="fdr" hidden="1">#REF!</definedName>
    <definedName name="fds" hidden="1">{#N/A,#N/A,FALSE,"Aging Summary";#N/A,#N/A,FALSE,"Ratio Analysis";#N/A,#N/A,FALSE,"Test 120 Day Accts";#N/A,#N/A,FALSE,"Tickmarks"}</definedName>
    <definedName name="fdsafdafadfa" hidden="1">#REF!</definedName>
    <definedName name="fdsafs" hidden="1">{#N/A,#N/A,FALSE,"Aging Summary";#N/A,#N/A,FALSE,"Ratio Analysis";#N/A,#N/A,FALSE,"Test 120 Day Accts";#N/A,#N/A,FALSE,"Tickmarks"}</definedName>
    <definedName name="FDSDDASA" hidden="1">{#N/A,#N/A,FALSE,"Aging Summary";#N/A,#N/A,FALSE,"Ratio Analysis";#N/A,#N/A,FALSE,"Test 120 Day Accts";#N/A,#N/A,FALSE,"Tickmarks"}</definedName>
    <definedName name="FDSFDS" hidden="1">{"RESULTADOS REAIS",#N/A,FALSE,"Dem.Res.R$";"RESULTADOS DOLARES",#N/A,FALSE,"Dem.Res.US$";"PERCENTUAIS REAIS",#N/A,FALSE,"Percentuais R$";"PERCENTUAIS DOLARES",#N/A,FALSE,"Percentuais US$"}</definedName>
    <definedName name="fdsfdsfdsf" hidden="1">{#N/A,#N/A,FALSE,"Aging Summary";#N/A,#N/A,FALSE,"Ratio Analysis";#N/A,#N/A,FALSE,"Test 120 Day Accts";#N/A,#N/A,FALSE,"Tickmarks"}</definedName>
    <definedName name="fdsf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DSSF" hidden="1">{#N/A,#N/A,FALSE,"Aging Summary";#N/A,#N/A,FALSE,"Ratio Analysis";#N/A,#N/A,FALSE,"Test 120 Day Accts";#N/A,#N/A,FALSE,"Tickmarks"}</definedName>
    <definedName name="fdwefwn" hidden="1">{#N/A,#N/A,FALSE,"Aging Summary";#N/A,#N/A,FALSE,"Ratio Analysis";#N/A,#N/A,FALSE,"Test 120 Day Accts";#N/A,#N/A,FALSE,"Tickmarks"}</definedName>
    <definedName name="F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cha">[2]Indice!$D$2</definedName>
    <definedName name="feds" hidden="1">{#N/A,#N/A,FALSE,"Aging Summary";#N/A,#N/A,FALSE,"Ratio Analysis";#N/A,#N/A,FALSE,"Test 120 Day Accts";#N/A,#N/A,FALSE,"Tickmarks"}</definedName>
    <definedName name="FEDSDX" hidden="1">{#N/A,#N/A,FALSE,"Aging Summary";#N/A,#N/A,FALSE,"Ratio Analysis";#N/A,#N/A,FALSE,"Test 120 Day Accts";#N/A,#N/A,FALSE,"Tickmarks"}</definedName>
    <definedName name="fee" hidden="1">{#N/A,#N/A,FALSE,"CAPEX";#N/A,#N/A,FALSE,"PLAN";#N/A,#N/A,FALSE,"REV";#N/A,#N/A,FALSE,"CALOP";#N/A,#N/A,FALSE,"RESOP";#N/A,#N/A,FALSE,"PRES"}</definedName>
    <definedName name="fefd" hidden="1">{#N/A,#N/A,FALSE,"Aging Summary";#N/A,#N/A,FALSE,"Ratio Analysis";#N/A,#N/A,FALSE,"Test 120 Day Accts";#N/A,#N/A,FALSE,"Tickmarks"}</definedName>
    <definedName name="fefdfs" hidden="1">{#N/A,#N/A,FALSE,"Aging Summary";#N/A,#N/A,FALSE,"Ratio Analysis";#N/A,#N/A,FALSE,"Test 120 Day Accts";#N/A,#N/A,FALSE,"Tickmarks"}</definedName>
    <definedName name="FEFEFEFEFEFEFEFEFE" hidden="1">{#N/A,#N/A,FALSE,"Aging Summary";#N/A,#N/A,FALSE,"Ratio Analysis";#N/A,#N/A,FALSE,"Test 120 Day Accts";#N/A,#N/A,FALSE,"Tickmarks"}</definedName>
    <definedName name="FEFEQOKF" hidden="1">{#N/A,#N/A,FALSE,"Aging Summary";#N/A,#N/A,FALSE,"Ratio Analysis";#N/A,#N/A,FALSE,"Test 120 Day Accts";#N/A,#N/A,FALSE,"Tickmarks"}</definedName>
    <definedName name="fefew" hidden="1">{#N/A,#N/A,FALSE,"Aging Summary";#N/A,#N/A,FALSE,"Ratio Analysis";#N/A,#N/A,FALSE,"Test 120 Day Accts";#N/A,#N/A,FALSE,"Tickmarks"}</definedName>
    <definedName name="FEFKEKF" hidden="1">{#N/A,#N/A,FALSE,"Aging Summary";#N/A,#N/A,FALSE,"Ratio Analysis";#N/A,#N/A,FALSE,"Test 120 Day Accts";#N/A,#N/A,FALSE,"Tickmarks"}</definedName>
    <definedName name="f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fwf" hidden="1">{#N/A,#N/A,FALSE,"Aging Summary";#N/A,#N/A,FALSE,"Ratio Analysis";#N/A,#N/A,FALSE,"Test 120 Day Accts";#N/A,#N/A,FALSE,"Tickmarks"}</definedName>
    <definedName name="feijiejf" hidden="1">#REF!</definedName>
    <definedName name="FEJFAS" hidden="1">{#N/A,#N/A,FALSE,"Aging Summary";#N/A,#N/A,FALSE,"Ratio Analysis";#N/A,#N/A,FALSE,"Test 120 Day Accts";#N/A,#N/A,FALSE,"Tickmarks"}</definedName>
    <definedName name="FEJFJSDDEF" hidden="1">{#N/A,#N/A,FALSE,"Aging Summary";#N/A,#N/A,FALSE,"Ratio Analysis";#N/A,#N/A,FALSE,"Test 120 Day Accts";#N/A,#N/A,FALSE,"Tickmarks"}</definedName>
    <definedName name="fejwfw" hidden="1">{#N/A,#N/A,FALSE,"Aging Summary";#N/A,#N/A,FALSE,"Ratio Analysis";#N/A,#N/A,FALSE,"Test 120 Day Accts";#N/A,#N/A,FALSE,"Tickmarks"}</definedName>
    <definedName name="fekofkwf" hidden="1">{#N/A,#N/A,FALSE,"Aging Summary";#N/A,#N/A,FALSE,"Ratio Analysis";#N/A,#N/A,FALSE,"Test 120 Day Accts";#N/A,#N/A,FALSE,"Tickmarks"}</definedName>
    <definedName name="fekokeofke" hidden="1">#REF!</definedName>
    <definedName name="fekwokw" hidden="1">#REF!</definedName>
    <definedName name="felfwf" hidden="1">#REF!</definedName>
    <definedName name="feokfe" hidden="1">{#N/A,#N/A,FALSE,"Aging Summary";#N/A,#N/A,FALSE,"Ratio Analysis";#N/A,#N/A,FALSE,"Test 120 Day Accts";#N/A,#N/A,FALSE,"Tickmarks"}</definedName>
    <definedName name="feowkfokwef" hidden="1">{#N/A,#N/A,FALSE,"Aging Summary";#N/A,#N/A,FALSE,"Ratio Analysis";#N/A,#N/A,FALSE,"Test 120 Day Accts";#N/A,#N/A,FALSE,"Tickmarks"}</definedName>
    <definedName name="feowkfw" hidden="1">#REF!</definedName>
    <definedName name="FEPFEFELF" hidden="1">#REF!</definedName>
    <definedName name="FEPFLEFEFEF" hidden="1">#REF!</definedName>
    <definedName name="fepflwfwef" hidden="1">{#N/A,#N/A,FALSE,"Aging Summary";#N/A,#N/A,FALSE,"Ratio Analysis";#N/A,#N/A,FALSE,"Test 120 Day Accts";#N/A,#N/A,FALSE,"Tickmarks"}</definedName>
    <definedName name="FEQFQEFPQFE" hidden="1">#REF!</definedName>
    <definedName name="FEQFQQQQ" hidden="1">{#N/A,#N/A,FALSE,"Aging Summary";#N/A,#N/A,FALSE,"Ratio Analysis";#N/A,#N/A,FALSE,"Test 120 Day Accts";#N/A,#N/A,FALSE,"Tickmarks"}</definedName>
    <definedName name="fe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RET" hidden="1">{#N/A,#N/A,FALSE,"Aging Summary";#N/A,#N/A,FALSE,"Ratio Analysis";#N/A,#N/A,FALSE,"Test 120 Day Accts";#N/A,#N/A,FALSE,"Tickmarks"}</definedName>
    <definedName name="ferfe" hidden="1">{#N/A,#N/A,FALSE,"Aging Summary";#N/A,#N/A,FALSE,"Ratio Analysis";#N/A,#N/A,FALSE,"Test 120 Day Accts";#N/A,#N/A,FALSE,"Tickmarks"}</definedName>
    <definedName name="FERFS" hidden="1">{#N/A,#N/A,FALSE,"Aging Summary";#N/A,#N/A,FALSE,"Ratio Analysis";#N/A,#N/A,FALSE,"Test 120 Day Accts";#N/A,#N/A,FALSE,"Tickmarks"}</definedName>
    <definedName name="fersas" hidden="1">{#N/A,#N/A,FALSE,"Aging Summary";#N/A,#N/A,FALSE,"Ratio Analysis";#N/A,#N/A,FALSE,"Test 120 Day Accts";#N/A,#N/A,FALSE,"Tickmarks"}</definedName>
    <definedName name="fewfewn3" hidden="1">#REF!</definedName>
    <definedName name="fewfiwf" hidden="1">{"'DIFPRE'!$A$2:$M$54"}</definedName>
    <definedName name="fewfiwjfiw" hidden="1">#REF!</definedName>
    <definedName name="fewfmwepf" hidden="1">{#N/A,#N/A,FALSE,"Aging Summary";#N/A,#N/A,FALSE,"Ratio Analysis";#N/A,#N/A,FALSE,"Test 120 Day Accts";#N/A,#N/A,FALSE,"Tickmarks"}</definedName>
    <definedName name="fewfow" hidden="1">#REF!</definedName>
    <definedName name="few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wfwelfp" hidden="1">{#N/A,#N/A,FALSE,"Aging Summary";#N/A,#N/A,FALSE,"Ratio Analysis";#N/A,#N/A,FALSE,"Test 120 Day Accts";#N/A,#N/A,FALSE,"Tickmarks"}</definedName>
    <definedName name="fewhwhef" hidden="1">#REF!</definedName>
    <definedName name="fewifwef" hidden="1">#REF!</definedName>
    <definedName name="fewjfw" hidden="1">#REF!</definedName>
    <definedName name="fewjwijfw" hidden="1">#REF!</definedName>
    <definedName name="fewkfewkf" hidden="1">{#N/A,#N/A,FALSE,"Aging Summary";#N/A,#N/A,FALSE,"Ratio Analysis";#N/A,#N/A,FALSE,"Test 120 Day Accts";#N/A,#N/A,FALSE,"Tickmarks"}</definedName>
    <definedName name="fewkfwf" hidden="1">#REF!</definedName>
    <definedName name="fewmfiwmfw" hidden="1">{#N/A,#N/A,FALSE,"Aging Summary";#N/A,#N/A,FALSE,"Ratio Analysis";#N/A,#N/A,FALSE,"Test 120 Day Accts";#N/A,#N/A,FALSE,"Tickmarks"}</definedName>
    <definedName name="fewokfwof" hidden="1">{#N/A,#N/A,FALSE,"Aging Summary";#N/A,#N/A,FALSE,"Ratio Analysis";#N/A,#N/A,FALSE,"Test 120 Day Accts";#N/A,#N/A,FALSE,"Tickmarks"}</definedName>
    <definedName name="ff" hidden="1">#REF!</definedName>
    <definedName name="ffadad" hidden="1">{#N/A,#N/A,FALSE,"Aging Summary";#N/A,#N/A,FALSE,"Ratio Analysis";#N/A,#N/A,FALSE,"Test 120 Day Accts";#N/A,#N/A,FALSE,"Tickmarks"}</definedName>
    <definedName name="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 hidden="1">{#N/A,#N/A,FALSE,"Aging Summary";#N/A,#N/A,FALSE,"Ratio Analysis";#N/A,#N/A,FALSE,"Test 120 Day Accts";#N/A,#N/A,FALSE,"Tickmarks"}</definedName>
    <definedName name="fffff" hidden="1">{"'DIFPRE'!$A$2:$M$54"}</definedName>
    <definedName name="ffffff" hidden="1">31</definedName>
    <definedName name="fffffff" hidden="1">#REF!</definedName>
    <definedName name="fffffffff" hidden="1">#REF!</definedName>
    <definedName name="fffffffffffff" hidden="1">{#N/A,#N/A,FALSE,"Aging Summary";#N/A,#N/A,FALSE,"Ratio Analysis";#N/A,#N/A,FALSE,"Test 120 Day Accts";#N/A,#N/A,FALSE,"Tickmarks"}</definedName>
    <definedName name="fffffffffffffff" hidden="1">{#N/A,#N/A,FALSE,"Aging Summary";#N/A,#N/A,FALSE,"Ratio Analysis";#N/A,#N/A,FALSE,"Test 120 Day Accts";#N/A,#N/A,FALSE,"Tickmarks"}</definedName>
    <definedName name="fffffffffffffffff" hidden="1">{#N/A,#N/A,FALSE,"Aging Summary";#N/A,#N/A,FALSE,"Ratio Analysis";#N/A,#N/A,FALSE,"Test 120 Day Accts";#N/A,#N/A,FALSE,"Tickmarks"}</definedName>
    <definedName name="fffffffffffffffffffffffffff" hidden="1">{#N/A,#N/A,FALSE,"Aging Summary";#N/A,#N/A,FALSE,"Ratio Analysis";#N/A,#N/A,FALSE,"Test 120 Day Accts";#N/A,#N/A,FALSE,"Tickmarks"}</definedName>
    <definedName name="FFFFFFFFP" hidden="1">#REF!</definedName>
    <definedName name="FFFFFL" hidden="1">#REF!</definedName>
    <definedName name="ffgf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 hidden="1">{#N/A,#N/A,FALSE,"Aging Summary";#N/A,#N/A,FALSE,"Ratio Analysis";#N/A,#N/A,FALSE,"Test 120 Day Accts";#N/A,#N/A,FALSE,"Tickmarks"}</definedName>
    <definedName name="ffmdsifs" hidden="1">{#N/A,#N/A,FALSE,"Aging Summary";#N/A,#N/A,FALSE,"Ratio Analysis";#N/A,#N/A,FALSE,"Test 120 Day Accts";#N/A,#N/A,FALSE,"Tickmarks"}</definedName>
    <definedName name="ffwnfwi" hidden="1">{#N/A,#N/A,FALSE,"Aging Summary";#N/A,#N/A,FALSE,"Ratio Analysis";#N/A,#N/A,FALSE,"Test 120 Day Accts";#N/A,#N/A,FALSE,"Tickmarks"}</definedName>
    <definedName name="fg" hidden="1">{"'DIFPRE'!$A$2:$M$54"}</definedName>
    <definedName name="FGFGFG" hidden="1">{#N/A,#N/A,FALSE,"Aging Summary";#N/A,#N/A,FALSE,"Ratio Analysis";#N/A,#N/A,FALSE,"Test 120 Day Accts";#N/A,#N/A,FALSE,"Tickmarks"}</definedName>
    <definedName name="FGFGG" hidden="1">{#N/A,#N/A,FALSE,"Aging Summary";#N/A,#N/A,FALSE,"Ratio Analysis";#N/A,#N/A,FALSE,"Test 120 Day Accts";#N/A,#N/A,FALSE,"Tickmarks"}</definedName>
    <definedName name="FGFGGD" hidden="1">{#N/A,#N/A,FALSE,"Aging Summary";#N/A,#N/A,FALSE,"Ratio Analysis";#N/A,#N/A,FALSE,"Test 120 Day Accts";#N/A,#N/A,FALSE,"Tickmarks"}</definedName>
    <definedName name="fggd" hidden="1">{#N/A,#N/A,FALSE,"Aging Summary";#N/A,#N/A,FALSE,"Ratio Analysis";#N/A,#N/A,FALSE,"Test 120 Day Accts";#N/A,#N/A,FALSE,"Tickmarks"}</definedName>
    <definedName name="FGGG" hidden="1">{#N/A,#N/A,FALSE,"Aging Summary";#N/A,#N/A,FALSE,"Ratio Analysis";#N/A,#N/A,FALSE,"Test 120 Day Accts";#N/A,#N/A,FALSE,"Tickmarks"}</definedName>
    <definedName name="FGGH" hidden="1">{#N/A,#N/A,FALSE,"Aging Summary";#N/A,#N/A,FALSE,"Ratio Analysis";#N/A,#N/A,FALSE,"Test 120 Day Accts";#N/A,#N/A,FALSE,"Tickmarks"}</definedName>
    <definedName name="fghfi" hidden="1">#REF!</definedName>
    <definedName name="FGHJ" hidden="1">#REF!</definedName>
    <definedName name="fglfglflg" hidden="1">{#N/A,#N/A,FALSE,"Aging Summary";#N/A,#N/A,FALSE,"Ratio Analysis";#N/A,#N/A,FALSE,"Test 120 Day Accts";#N/A,#N/A,FALSE,"Tickmarks"}</definedName>
    <definedName name="FGV" hidden="1">{#N/A,#N/A,FALSE,"Aging Summary";#N/A,#N/A,FALSE,"Ratio Analysis";#N/A,#N/A,FALSE,"Test 120 Day Accts";#N/A,#N/A,FALSE,"Tickmarks"}</definedName>
    <definedName name="fhesuewruwfehf" hidden="1">{#N/A,#N/A,FALSE,"balance";#N/A,#N/A,FALSE,"resultados";#N/A,#N/A,FALSE,"p.neto";#N/A,#N/A,FALSE,"bienes uso";#N/A,#N/A,FALSE,"art.64";#N/A,#N/A,FALSE,"intangibles"}</definedName>
    <definedName name="FHH" hidden="1">{#N/A,#N/A,FALSE,"Aging Summary";#N/A,#N/A,FALSE,"Ratio Analysis";#N/A,#N/A,FALSE,"Test 120 Day Accts";#N/A,#N/A,FALSE,"Tickmarks"}</definedName>
    <definedName name="fhhghgj" hidden="1">{#N/A,#N/A,FALSE,"EDO. RES. INT";#N/A,#N/A,FALSE,"EDO. RES. CNB";#N/A,#N/A,FALSE,"EDO. RES. CONT."}</definedName>
    <definedName name="fiandfiida" hidden="1">{#N/A,#N/A,FALSE,"Aging Summary";#N/A,#N/A,FALSE,"Ratio Analysis";#N/A,#N/A,FALSE,"Test 120 Day Accts";#N/A,#N/A,FALSE,"Tickmarks"}</definedName>
    <definedName name="fiejf4" hidden="1">#REF!</definedName>
    <definedName name="fiejfeif" hidden="1">#REF!</definedName>
    <definedName name="fiejfew" hidden="1">#REF!</definedName>
    <definedName name="fiejfie" hidden="1">#REF!</definedName>
    <definedName name="fiewfiw" hidden="1">{#N/A,#N/A,FALSE,"Aging Summary";#N/A,#N/A,FALSE,"Ratio Analysis";#N/A,#N/A,FALSE,"Test 120 Day Accts";#N/A,#N/A,FALSE,"Tickmarks"}</definedName>
    <definedName name="fiewifwifw" hidden="1">{#N/A,#N/A,FALSE,"Aging Summary";#N/A,#N/A,FALSE,"Ratio Analysis";#N/A,#N/A,FALSE,"Test 120 Day Accts";#N/A,#N/A,FALSE,"Tickmarks"}</definedName>
    <definedName name="fiewjf3" hidden="1">#REF!</definedName>
    <definedName name="fiewjfew" hidden="1">#REF!</definedName>
    <definedName name="fiewjfew9" hidden="1">#REF!</definedName>
    <definedName name="fiewjfiw" hidden="1">#REF!</definedName>
    <definedName name="fiewjfw" hidden="1">{#N/A,#N/A,FALSE,"Aging Summary";#N/A,#N/A,FALSE,"Ratio Analysis";#N/A,#N/A,FALSE,"Test 120 Day Accts";#N/A,#N/A,FALSE,"Tickmarks"}</definedName>
    <definedName name="fiewuhfwe" hidden="1">#REF!</definedName>
    <definedName name="fiiiiii" hidden="1">{#N/A,#N/A,FALSE,"Aging Summary";#N/A,#N/A,FALSE,"Ratio Analysis";#N/A,#N/A,FALSE,"Test 120 Day Accts";#N/A,#N/A,FALSE,"Tickmarks"}</definedName>
    <definedName name="fijwefjw" hidden="1">#REF!</definedName>
    <definedName name="fijwfjw" hidden="1">#REF!</definedName>
    <definedName name="fijwfw" hidden="1">#REF!</definedName>
    <definedName name="fijwjfw" hidden="1">#REF!</definedName>
    <definedName name="file" hidden="1">{#N/A,#N/A,FALSE,"04_36  Day rates";#N/A,#N/A,FALSE,"05_36  Day rates";#N/A,#N/A,FALSE,"Getuo  Day rates";#N/A,#N/A,FALSE,"Laopu  Day rates";#N/A,#N/A,FALSE,"27_11  Day rates";#N/A,#N/A,FALSE,"15_35 Day Rates"}</definedName>
    <definedName name="finanaz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inanz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inanzia" hidden="1">{#N/A,#N/A,FALSE,"SUBSIDIARIAS"}</definedName>
    <definedName name="finewif" hidden="1">#REF!</definedName>
    <definedName name="fiqjfq" hidden="1">#REF!</definedName>
    <definedName name="fiwe" hidden="1">#REF!</definedName>
    <definedName name="fiwej" hidden="1">#REF!</definedName>
    <definedName name="fiwejf" hidden="1">#REF!</definedName>
    <definedName name="fiwejfew3" hidden="1">#REF!</definedName>
    <definedName name="fiwejfw" hidden="1">#REF!</definedName>
    <definedName name="fiwejfw7" hidden="1">#REF!</definedName>
    <definedName name="fiwejfwe" hidden="1">#REF!</definedName>
    <definedName name="fiwejfwf" hidden="1">#REF!</definedName>
    <definedName name="fiwejfwif" hidden="1">#REF!</definedName>
    <definedName name="fiwejfwijf" hidden="1">#REF!</definedName>
    <definedName name="fiwf" hidden="1">#REF!</definedName>
    <definedName name="fiwfiwf" hidden="1">{#N/A,#N/A,FALSE,"Aging Summary";#N/A,#N/A,FALSE,"Ratio Analysis";#N/A,#N/A,FALSE,"Test 120 Day Accts";#N/A,#N/A,FALSE,"Tickmarks"}</definedName>
    <definedName name="fiwifw" hidden="1">#REF!</definedName>
    <definedName name="fiwirfw" hidden="1">{"'DIFPRE'!$A$2:$M$54"}</definedName>
    <definedName name="fiwje" hidden="1">#REF!</definedName>
    <definedName name="fiwjef" hidden="1">#REF!</definedName>
    <definedName name="fiwjef4" hidden="1">#REF!</definedName>
    <definedName name="fiwjefiwfw" hidden="1">{#N/A,#N/A,FALSE,"Aging Summary";#N/A,#N/A,FALSE,"Ratio Analysis";#N/A,#N/A,FALSE,"Test 120 Day Accts";#N/A,#N/A,FALSE,"Tickmarks"}</definedName>
    <definedName name="fiwjfiw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iwjfw" hidden="1">#REF!</definedName>
    <definedName name="fiwjfw8" hidden="1">#REF!</definedName>
    <definedName name="fiwjfwe0" hidden="1">#REF!</definedName>
    <definedName name="fiwjfwi" hidden="1">#REF!</definedName>
    <definedName name="fiwjif3" hidden="1">#REF!</definedName>
    <definedName name="fiwojf9" hidden="1">#REF!</definedName>
    <definedName name="fjdfijfd" hidden="1">{#N/A,#N/A,FALSE,"Aging Summary";#N/A,#N/A,FALSE,"Ratio Analysis";#N/A,#N/A,FALSE,"Test 120 Day Accts";#N/A,#N/A,FALSE,"Tickmarks"}</definedName>
    <definedName name="fjeijfe" hidden="1">{#N/A,#N/A,FALSE,"Aging Summary";#N/A,#N/A,FALSE,"Ratio Analysis";#N/A,#N/A,FALSE,"Test 120 Day Accts";#N/A,#N/A,FALSE,"Tickmarks"}</definedName>
    <definedName name="fjeofjwq" hidden="1">#REF!</definedName>
    <definedName name="fjewfw" hidden="1">#REF!</definedName>
    <definedName name="fjewifjwf" hidden="1">{#N/A,#N/A,FALSE,"Aging Summary";#N/A,#N/A,FALSE,"Ratio Analysis";#N/A,#N/A,FALSE,"Test 120 Day Accts";#N/A,#N/A,FALSE,"Tickmarks"}</definedName>
    <definedName name="fjewifw" hidden="1">{#N/A,#N/A,FALSE,"Aging Summary";#N/A,#N/A,FALSE,"Ratio Analysis";#N/A,#N/A,FALSE,"Test 120 Day Accts";#N/A,#N/A,FALSE,"Tickmarks"}</definedName>
    <definedName name="fjewofjew" hidden="1">#REF!</definedName>
    <definedName name="fjifjwr" hidden="1">{"'DIFPRE'!$A$2:$M$54"}</definedName>
    <definedName name="fjiwfjw" hidden="1">#REF!</definedName>
    <definedName name="fjiwjfw" hidden="1">{#N/A,#N/A,FALSE,"Aging Summary";#N/A,#N/A,FALSE,"Ratio Analysis";#N/A,#N/A,FALSE,"Test 120 Day Accts";#N/A,#N/A,FALSE,"Tickmarks"}</definedName>
    <definedName name="FJJ" hidden="1">{#N/A,#N/A,FALSE,"Aging Summary";#N/A,#N/A,FALSE,"Ratio Analysis";#N/A,#N/A,FALSE,"Test 120 Day Accts";#N/A,#N/A,FALSE,"Tickmarks"}</definedName>
    <definedName name="fjqpefq" hidden="1">#REF!</definedName>
    <definedName name="fjrijrir" hidden="1">{"Schedule_1C",#N/A,FALSE,"I-C"}</definedName>
    <definedName name="fjrwgew" hidden="1">#REF!</definedName>
    <definedName name="fjsdifsf" hidden="1">{"Schedule_1D",#N/A,FALSE,"I-D"}</definedName>
    <definedName name="fjwe" hidden="1">#REF!</definedName>
    <definedName name="fjwefw7" hidden="1">#REF!</definedName>
    <definedName name="fjwf" hidden="1">#REF!</definedName>
    <definedName name="fjwf5" hidden="1">#REF!</definedName>
    <definedName name="fjwf6" hidden="1">#REF!</definedName>
    <definedName name="fjwfw0" hidden="1">#REF!</definedName>
    <definedName name="fjwif09" hidden="1">#REF!</definedName>
    <definedName name="fjwifjw" hidden="1">#REF!</definedName>
    <definedName name="fjwifjwf" hidden="1">#REF!</definedName>
    <definedName name="fjwifw" hidden="1">{#N/A,#N/A,FALSE,"Aging Summary";#N/A,#N/A,FALSE,"Ratio Analysis";#N/A,#N/A,FALSE,"Test 120 Day Accts";#N/A,#N/A,FALSE,"Tickmarks"}</definedName>
    <definedName name="fjwoef" hidden="1">#REF!</definedName>
    <definedName name="FKAKFA" hidden="1">#REF!</definedName>
    <definedName name="FKAOFA" hidden="1">#REF!</definedName>
    <definedName name="FKEKFE" hidden="1">{#N/A,#N/A,FALSE,"Aging Summary";#N/A,#N/A,FALSE,"Ratio Analysis";#N/A,#N/A,FALSE,"Test 120 Day Accts";#N/A,#N/A,FALSE,"Tickmarks"}</definedName>
    <definedName name="FKEKFKE" hidden="1">{#N/A,#N/A,FALSE,"Aging Summary";#N/A,#N/A,FALSE,"Ratio Analysis";#N/A,#N/A,FALSE,"Test 120 Day Accts";#N/A,#N/A,FALSE,"Tickmarks"}</definedName>
    <definedName name="fkeofe" hidden="1">#REF!</definedName>
    <definedName name="fkeofkefe" hidden="1">{"Schedule_1B",#N/A,FALSE,"I-B"}</definedName>
    <definedName name="fkeokfe" hidden="1">{#N/A,#N/A,FALSE,"Aging Summary";#N/A,#N/A,FALSE,"Ratio Analysis";#N/A,#N/A,FALSE,"Test 120 Day Accts";#N/A,#N/A,FALSE,"Tickmarks"}</definedName>
    <definedName name="FKEOKFQ" hidden="1">#REF!</definedName>
    <definedName name="FKEQOKOP" hidden="1">#REF!</definedName>
    <definedName name="fkewfjw" hidden="1">#REF!</definedName>
    <definedName name="fkewfkw" hidden="1">#REF!</definedName>
    <definedName name="fkewofkwf" hidden="1">{#N/A,#N/A,FALSE,"Aging Summary";#N/A,#N/A,FALSE,"Ratio Analysis";#N/A,#N/A,FALSE,"Test 120 Day Accts";#N/A,#N/A,FALSE,"Tickmarks"}</definedName>
    <definedName name="fkewofw" hidden="1">{"'DIFPRE'!$A$2:$M$54"}</definedName>
    <definedName name="fkfkskfs" hidden="1">{#N/A,#N/A,FALSE,"Aging Summary";#N/A,#N/A,FALSE,"Ratio Analysis";#N/A,#N/A,FALSE,"Test 120 Day Accts";#N/A,#N/A,FALSE,"Tickmarks"}</definedName>
    <definedName name="fkfowkfew" hidden="1">{#N/A,#N/A,FALSE,"Aging Summary";#N/A,#N/A,FALSE,"Ratio Analysis";#N/A,#N/A,FALSE,"Test 120 Day Accts";#N/A,#N/A,FALSE,"Tickmarks"}</definedName>
    <definedName name="fkfwfw" hidden="1">{#N/A,#N/A,FALSE,"Aging Summary";#N/A,#N/A,FALSE,"Ratio Analysis";#N/A,#N/A,FALSE,"Test 120 Day Accts";#N/A,#N/A,FALSE,"Tickmarks"}</definedName>
    <definedName name="fkjeqjfq" hidden="1">#REF!</definedName>
    <definedName name="fkjsf4" hidden="1">#REF!</definedName>
    <definedName name="FKKF" hidden="1">#REF!</definedName>
    <definedName name="fkkfe" hidden="1">#REF!</definedName>
    <definedName name="fkmk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knwkf"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fkoekfe" hidden="1">#REF!</definedName>
    <definedName name="fkofkw" hidden="1">{#N/A,#N/A,FALSE,"Aging Summary";#N/A,#N/A,FALSE,"Ratio Analysis";#N/A,#N/A,FALSE,"Test 120 Day Accts";#N/A,#N/A,FALSE,"Tickmarks"}</definedName>
    <definedName name="fkokfw" hidden="1">{#N/A,#N/A,FALSE,"Aging Summary";#N/A,#N/A,FALSE,"Ratio Analysis";#N/A,#N/A,FALSE,"Test 120 Day Accts";#N/A,#N/A,FALSE,"Tickmarks"}</definedName>
    <definedName name="fkorekfef" hidden="1">{#N/A,#N/A,FALSE,"Aging Summary";#N/A,#N/A,FALSE,"Ratio Analysis";#N/A,#N/A,FALSE,"Test 120 Day Accts";#N/A,#N/A,FALSE,"Tickmarks"}</definedName>
    <definedName name="fkosfksf" hidden="1">{#N/A,#N/A,FALSE,"Aging Summary";#N/A,#N/A,FALSE,"Ratio Analysis";#N/A,#N/A,FALSE,"Test 120 Day Accts";#N/A,#N/A,FALSE,"Tickmarks"}</definedName>
    <definedName name="fkowef" hidden="1">#REF!</definedName>
    <definedName name="fkowk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kowofw" hidden="1">#REF!</definedName>
    <definedName name="FKQEKFQK" hidden="1">#REF!</definedName>
    <definedName name="fkqeofq" hidden="1">#REF!</definedName>
    <definedName name="FKQEOKFQ" hidden="1">#REF!</definedName>
    <definedName name="FKQOEKFQO" hidden="1">#REF!</definedName>
    <definedName name="FKQOEKFQOE" hidden="1">#REF!</definedName>
    <definedName name="FKQOEKFQOKQF" hidden="1">#REF!</definedName>
    <definedName name="fkrokf" hidden="1">{#N/A,#N/A,FALSE,"Aging Summary";#N/A,#N/A,FALSE,"Ratio Analysis";#N/A,#N/A,FALSE,"Test 120 Day Accts";#N/A,#N/A,FALSE,"Tickmarks"}</definedName>
    <definedName name="fkrokfr" hidden="1">{#N/A,#N/A,FALSE,"Aging Summary";#N/A,#N/A,FALSE,"Ratio Analysis";#N/A,#N/A,FALSE,"Test 120 Day Accts";#N/A,#N/A,FALSE,"Tickmarks"}</definedName>
    <definedName name="fkw" hidden="1">#REF!</definedName>
    <definedName name="fkwefw" hidden="1">{#N/A,#N/A,FALSE,"Aging Summary";#N/A,#N/A,FALSE,"Ratio Analysis";#N/A,#N/A,FALSE,"Test 120 Day Accts";#N/A,#N/A,FALSE,"Tickmarks"}</definedName>
    <definedName name="fkwefwf" hidden="1">#REF!</definedName>
    <definedName name="fkwefwk" hidden="1">#REF!</definedName>
    <definedName name="fkwejfw" hidden="1">#REF!</definedName>
    <definedName name="fkwekfwokf" hidden="1">{#N/A,#N/A,FALSE,"Aging Summary";#N/A,#N/A,FALSE,"Ratio Analysis";#N/A,#N/A,FALSE,"Test 120 Day Accts";#N/A,#N/A,FALSE,"Tickmarks"}</definedName>
    <definedName name="fkweofkw" hidden="1">{#N/A,#N/A,FALSE,"Aging Summary";#N/A,#N/A,FALSE,"Ratio Analysis";#N/A,#N/A,FALSE,"Test 120 Day Accts";#N/A,#N/A,FALSE,"Tickmarks"}</definedName>
    <definedName name="fkweofw" hidden="1">#REF!</definedName>
    <definedName name="fkwfokw" hidden="1">{#N/A,#N/A,FALSE,"Aging Summary";#N/A,#N/A,FALSE,"Ratio Analysis";#N/A,#N/A,FALSE,"Test 120 Day Accts";#N/A,#N/A,FALSE,"Tickmarks"}</definedName>
    <definedName name="fkwfpokwf" hidden="1">{#N/A,#N/A,FALSE,"Aging Summary";#N/A,#N/A,FALSE,"Ratio Analysis";#N/A,#N/A,FALSE,"Test 120 Day Accts";#N/A,#N/A,FALSE,"Tickmarks"}</definedName>
    <definedName name="fkwfw" hidden="1">{#N/A,#N/A,FALSE,"Aging Summary";#N/A,#N/A,FALSE,"Ratio Analysis";#N/A,#N/A,FALSE,"Test 120 Day Accts";#N/A,#N/A,FALSE,"Tickmarks"}</definedName>
    <definedName name="fkwkfw" hidden="1">#REF!</definedName>
    <definedName name="fkwkfwf" hidden="1">{#N/A,#N/A,FALSE,"Aging Summary";#N/A,#N/A,FALSE,"Ratio Analysis";#N/A,#N/A,FALSE,"Test 120 Day Accts";#N/A,#N/A,FALSE,"Tickmarks"}</definedName>
    <definedName name="fkwlfkw" hidden="1">{#N/A,#N/A,FALSE,"Aging Summary";#N/A,#N/A,FALSE,"Ratio Analysis";#N/A,#N/A,FALSE,"Test 120 Day Accts";#N/A,#N/A,FALSE,"Tickmarks"}</definedName>
    <definedName name="fkwo" hidden="1">#REF!</definedName>
    <definedName name="fkwoekfw" hidden="1">{#N/A,#N/A,FALSE,"Aging Summary";#N/A,#N/A,FALSE,"Ratio Analysis";#N/A,#N/A,FALSE,"Test 120 Day Accts";#N/A,#N/A,FALSE,"Tickmarks"}</definedName>
    <definedName name="fkwofew" hidden="1">#REF!</definedName>
    <definedName name="fkwofkw" hidden="1">{#N/A,#N/A,FALSE,"Aging Summary";#N/A,#N/A,FALSE,"Ratio Analysis";#N/A,#N/A,FALSE,"Test 120 Day Accts";#N/A,#N/A,FALSE,"Tickmarks"}</definedName>
    <definedName name="fkwofkwf" hidden="1">{#N/A,#N/A,FALSE,"Aging Summary";#N/A,#N/A,FALSE,"Ratio Analysis";#N/A,#N/A,FALSE,"Test 120 Day Accts";#N/A,#N/A,FALSE,"Tickmarks"}</definedName>
    <definedName name="fkwofw" hidden="1">{#N/A,#N/A,FALSE,"Aging Summary";#N/A,#N/A,FALSE,"Ratio Analysis";#N/A,#N/A,FALSE,"Test 120 Day Accts";#N/A,#N/A,FALSE,"Tickmarks"}</definedName>
    <definedName name="fkwokfw" hidden="1">{#N/A,#N/A,FALSE,"Aging Summary";#N/A,#N/A,FALSE,"Ratio Analysis";#N/A,#N/A,FALSE,"Test 120 Day Accts";#N/A,#N/A,FALSE,"Tickmarks"}</definedName>
    <definedName name="fkwow" hidden="1">#REF!</definedName>
    <definedName name="Fla" hidden="1">1</definedName>
    <definedName name="FLAALFSLA" hidden="1">#REF!</definedName>
    <definedName name="flalfal´" hidden="1">#REF!</definedName>
    <definedName name="FLALFALFA" hidden="1">#REF!</definedName>
    <definedName name="flalfalfla" hidden="1">#REF!</definedName>
    <definedName name="flapdlf" hidden="1">#REF!</definedName>
    <definedName name="FLAPDS" hidden="1">#REF!</definedName>
    <definedName name="flapfalp" hidden="1">#REF!</definedName>
    <definedName name="FLASLFALF" hidden="1">#REF!</definedName>
    <definedName name="FLASLFALFL" hidden="1">#REF!</definedName>
    <definedName name="flasplfafll" hidden="1">#REF!</definedName>
    <definedName name="FLAVIA" hidden="1">{#N/A,#N/A,FALSE,"Aging Summary";#N/A,#N/A,FALSE,"Ratio Analysis";#N/A,#N/A,FALSE,"Test 120 Day Accts";#N/A,#N/A,FALSE,"Tickmarks"}</definedName>
    <definedName name="FLEPLFE" hidden="1">{#N/A,#N/A,FALSE,"Aging Summary";#N/A,#N/A,FALSE,"Ratio Analysis";#N/A,#N/A,FALSE,"Test 120 Day Accts";#N/A,#N/A,FALSE,"Tickmarks"}</definedName>
    <definedName name="FLEQPLFQ" hidden="1">#REF!</definedName>
    <definedName name="FLEQPLFQLEL" hidden="1">#REF!</definedName>
    <definedName name="flewpflw" hidden="1">{#N/A,#N/A,FALSE,"Aging Summary";#N/A,#N/A,FALSE,"Ratio Analysis";#N/A,#N/A,FALSE,"Test 120 Day Accts";#N/A,#N/A,FALSE,"Tickmarks"}</definedName>
    <definedName name="flewpflwfw" hidden="1">{"maq y eq",#N/A,TRUE,"Maq y Eq";"rodados",#N/A,TRUE,"Rodados"}</definedName>
    <definedName name="FLFLFLLFLPPEPP" hidden="1">#REF!</definedName>
    <definedName name="flkwofkw" hidden="1">#REF!</definedName>
    <definedName name="fllfalfla" hidden="1">#REF!</definedName>
    <definedName name="FLLFLFLFFFFF" hidden="1">#REF!</definedName>
    <definedName name="flmwm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LPELFEQ" hidden="1">#REF!</definedName>
    <definedName name="FLPEQLFQ" hidden="1">#REF!</definedName>
    <definedName name="FLPEQLFQE" hidden="1">#REF!</definedName>
    <definedName name="FLPEQLFQLF" hidden="1">#REF!</definedName>
    <definedName name="FLPEQLFQLP" hidden="1">#REF!</definedName>
    <definedName name="flpewlfwpf" hidden="1">{"RESULTADOS REAIS",#N/A,FALSE,"Dem.Res.R$";"RESULTADOS DOLARES",#N/A,FALSE,"Dem.Res.US$";"PERCENTUAIS REAIS",#N/A,FALSE,"Percentuais R$";"PERCENTUAIS DOLARES",#N/A,FALSE,"Percentuais US$"}</definedName>
    <definedName name="flppflw" hidden="1">{#N/A,#N/A,FALSE,"Aging Summary";#N/A,#N/A,FALSE,"Ratio Analysis";#N/A,#N/A,FALSE,"Test 120 Day Accts";#N/A,#N/A,FALSE,"Tickmarks"}</definedName>
    <definedName name="flpreflef" hidden="1">{#N/A,#N/A,FALSE,"Aging Summary";#N/A,#N/A,FALSE,"Ratio Analysis";#N/A,#N/A,FALSE,"Test 120 Day Accts";#N/A,#N/A,FALSE,"Tickmarks"}</definedName>
    <definedName name="flprelfe" hidden="1">{#N/A,#N/A,FALSE,"Aging Summary";#N/A,#N/A,FALSE,"Ratio Analysis";#N/A,#N/A,FALSE,"Test 120 Day Accts";#N/A,#N/A,FALSE,"Tickmarks"}</definedName>
    <definedName name="flprwflwf" hidden="1">{#N/A,#N/A,FALSE,"Aging Summary";#N/A,#N/A,FALSE,"Ratio Analysis";#N/A,#N/A,FALSE,"Test 120 Day Accts";#N/A,#N/A,FALSE,"Tickmarks"}</definedName>
    <definedName name="flpwefw" hidden="1">{#N/A,#N/A,FALSE,"Aging Summary";#N/A,#N/A,FALSE,"Ratio Analysis";#N/A,#N/A,FALSE,"Test 120 Day Accts";#N/A,#N/A,FALSE,"Tickmarks"}</definedName>
    <definedName name="flpwelfwpflw" hidden="1">{#N/A,#N/A,FALSE,"CAPEX";#N/A,#N/A,FALSE,"PLAN";#N/A,#N/A,FALSE,"REV";#N/A,#N/A,FALSE,"CALOP";#N/A,#N/A,FALSE,"RESOP";#N/A,#N/A,FALSE,"PRES"}</definedName>
    <definedName name="flpwlefpwf" hidden="1">{"Schedule_I",#N/A,FALSE,"I"}</definedName>
    <definedName name="FLQEFPQLFE" hidden="1">#REF!</definedName>
    <definedName name="FLQELFLLLLL" hidden="1">#REF!</definedName>
    <definedName name="FLQELFLQ" hidden="1">#REF!</definedName>
    <definedName name="FLQELFQ" hidden="1">#REF!</definedName>
    <definedName name="FLQEPFLEQF" hidden="1">#REF!</definedName>
    <definedName name="FLQEPFLQ" hidden="1">#REF!</definedName>
    <definedName name="FLQEPFLQE" hidden="1">#REF!</definedName>
    <definedName name="FLQEPFQLE" hidden="1">#REF!</definedName>
    <definedName name="FLQEPFQLFQ" hidden="1">#REF!</definedName>
    <definedName name="FLQEPLFQ" hidden="1">#REF!</definedName>
    <definedName name="FLQEPLFQLEF" hidden="1">{#N/A,#N/A,FALSE,"Aging Summary";#N/A,#N/A,FALSE,"Ratio Analysis";#N/A,#N/A,FALSE,"Test 120 Day Accts";#N/A,#N/A,FALSE,"Tickmarks"}</definedName>
    <definedName name="FLQPEF" hidden="1">#REF!</definedName>
    <definedName name="FLQPEFQEF" hidden="1">#REF!</definedName>
    <definedName name="FLQPELF" hidden="1">{#N/A,#N/A,FALSE,"Aging Summary";#N/A,#N/A,FALSE,"Ratio Analysis";#N/A,#N/A,FALSE,"Test 120 Day Accts";#N/A,#N/A,FALSE,"Tickmarks"}</definedName>
    <definedName name="FLQPFLQ" hidden="1">#REF!</definedName>
    <definedName name="FLQPLFQ" hidden="1">#REF!</definedName>
    <definedName name="FLQPLQ" hidden="1">#REF!</definedName>
    <definedName name="flrfkw" hidden="1">{"'DIFPRE'!$A$2:$M$54"}</definedName>
    <definedName name="flrlfrf" hidden="1">{#N/A,#N/A,FALSE,"Aging Summary";#N/A,#N/A,FALSE,"Ratio Analysis";#N/A,#N/A,FALSE,"Test 120 Day Accts";#N/A,#N/A,FALSE,"Tickmarks"}</definedName>
    <definedName name="flskfds" hidden="1">#REF!</definedName>
    <definedName name="flslfs" hidden="1">#REF!</definedName>
    <definedName name="flslfsdf" hidden="1">#REF!</definedName>
    <definedName name="flwepf" hidden="1">{#N/A,#N/A,FALSE,"Aging Summary";#N/A,#N/A,FALSE,"Ratio Analysis";#N/A,#N/A,FALSE,"Test 120 Day Accts";#N/A,#N/A,FALSE,"Tickmarks"}</definedName>
    <definedName name="flwepflwf" hidden="1">{#N/A,#N/A,TRUE,"INDICE";#N/A,#N/A,TRUE,"Variables";#N/A,#N/A,TRUE,"Cdro_Rtado";#N/A,#N/A,TRUE,"Patrim";#N/A,#N/A,TRUE,"Cash Flow";#N/A,#N/A,TRUE,"Vtas. U_Fís";#N/A,#N/A,TRUE,"Vtas. $";#N/A,#N/A,TRUE,"Cobranza";#N/A,#N/A,TRUE,"Resumen Gs.";#N/A,#N/A,TRUE,"Gs Comerc";#N/A,#N/A,TRUE,"Gs Administ";#N/A,#N/A,TRUE,"Gs Explot";#N/A,#N/A,TRUE,"Gs Personal";#N/A,#N/A,TRUE,"Inver."}</definedName>
    <definedName name="flwepflwlf" hidden="1">{#N/A,#N/A,FALSE,"Aging Summary";#N/A,#N/A,FALSE,"Ratio Analysis";#N/A,#N/A,FALSE,"Test 120 Day Accts";#N/A,#N/A,FALSE,"Tickmarks"}</definedName>
    <definedName name="flweplfwf" hidden="1">{#N/A,#N/A,TRUE,"ComparativoII"}</definedName>
    <definedName name="flwfwf" hidden="1">{#N/A,#N/A,FALSE,"Aging Summary";#N/A,#N/A,FALSE,"Ratio Analysis";#N/A,#N/A,FALSE,"Test 120 Day Accts";#N/A,#N/A,FALSE,"Tickmarks"}</definedName>
    <definedName name="flwpelfw" hidden="1">{#N/A,#N/A,FALSE,"Aging Summary";#N/A,#N/A,FALSE,"Ratio Analysis";#N/A,#N/A,FALSE,"Test 120 Day Accts";#N/A,#N/A,FALSE,"Tickmarks"}</definedName>
    <definedName name="flwpelfwef" hidden="1">{#N/A,#N/A,FALSE,"Aging Summary";#N/A,#N/A,FALSE,"Ratio Analysis";#N/A,#N/A,FALSE,"Test 120 Day Accts";#N/A,#N/A,FALSE,"Tickmarks"}</definedName>
    <definedName name="flwpf" hidden="1">{#N/A,#N/A,FALSE,"Aging Summary";#N/A,#N/A,FALSE,"Ratio Analysis";#N/A,#N/A,FALSE,"Test 120 Day Accts";#N/A,#N/A,FALSE,"Tickmarks"}</definedName>
    <definedName name="flwpflw" hidden="1">{#N/A,#N/A,FALSE,"Aging Summary";#N/A,#N/A,FALSE,"Ratio Analysis";#N/A,#N/A,FALSE,"Test 120 Day Accts";#N/A,#N/A,FALSE,"Tickmarks"}</definedName>
    <definedName name="flwpflwlfw" hidden="1">{"AUT ANALISE DESP",#N/A,TRUE,"AN.DESP. MR$"}</definedName>
    <definedName name="flwplfw" hidden="1">{#N/A,#N/A,FALSE,"Aging Summary";#N/A,#N/A,FALSE,"Ratio Analysis";#N/A,#N/A,FALSE,"Test 120 Day Accts";#N/A,#N/A,FALSE,"Tickmarks"}</definedName>
    <definedName name="flwplfwf" hidden="1">{#N/A,#N/A,FALSE,"Individual";#N/A,#N/A,FALSE,"Colectivo";#N/A,#N/A,FALSE,"Accidentes";#N/A,#N/A,FALSE,"Previsional";#N/A,#N/A,FALSE,"Total"}</definedName>
    <definedName name="fmaruia" hidden="1">{#N/A,#N/A,FALSE,"Aging Summary";#N/A,#N/A,FALSE,"Ratio Analysis";#N/A,#N/A,FALSE,"Test 120 Day Accts";#N/A,#N/A,FALSE,"Tickmarks"}</definedName>
    <definedName name="FMEQFMQ" hidden="1">{#N/A,#N/A,FALSE,"Aging Summary";#N/A,#N/A,FALSE,"Ratio Analysis";#N/A,#N/A,FALSE,"Test 120 Day Accts";#N/A,#N/A,FALSE,"Tickmarks"}</definedName>
    <definedName name="fmewifw" hidden="1">#REF!</definedName>
    <definedName name="fmewowmef" hidden="1">{#N/A,#N/A,FALSE,"Aging Summary";#N/A,#N/A,FALSE,"Ratio Analysis";#N/A,#N/A,FALSE,"Test 120 Day Accts";#N/A,#N/A,FALSE,"Tickmarks"}</definedName>
    <definedName name="fmewpfmwf" hidden="1">{#N/A,#N/A,FALSE,"Aging Summary";#N/A,#N/A,FALSE,"Ratio Analysis";#N/A,#N/A,FALSE,"Test 120 Day Accts";#N/A,#N/A,FALSE,"Tickmarks"}</definedName>
    <definedName name="fmiewimf" hidden="1">#REF!</definedName>
    <definedName name="fmlefm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mmfwofw" hidden="1">{#N/A,#N/A,FALSE,"Aging Summary";#N/A,#N/A,FALSE,"Ratio Analysis";#N/A,#N/A,FALSE,"Test 120 Day Accts";#N/A,#N/A,FALSE,"Tickmarks"}</definedName>
    <definedName name="fmoewmfw" hidden="1">{#N/A,#N/A,FALSE,"Aging Summary";#N/A,#N/A,FALSE,"Ratio Analysis";#N/A,#N/A,FALSE,"Test 120 Day Accts";#N/A,#N/A,FALSE,"Tickmarks"}</definedName>
    <definedName name="fmowfew9" hidden="1">#REF!</definedName>
    <definedName name="FMQEFMQM" hidden="1">{#N/A,#N/A,FALSE,"Aging Summary";#N/A,#N/A,FALSE,"Ratio Analysis";#N/A,#N/A,FALSE,"Test 120 Day Accts";#N/A,#N/A,FALSE,"Tickmarks"}</definedName>
    <definedName name="FMQEMF" hidden="1">{#N/A,#N/A,FALSE,"Aging Summary";#N/A,#N/A,FALSE,"Ratio Analysis";#N/A,#N/A,FALSE,"Test 120 Day Accts";#N/A,#N/A,FALSE,"Tickmarks"}</definedName>
    <definedName name="FMQEMFQ" hidden="1">{#N/A,#N/A,FALSE,"Aging Summary";#N/A,#N/A,FALSE,"Ratio Analysis";#N/A,#N/A,FALSE,"Test 120 Day Accts";#N/A,#N/A,FALSE,"Tickmarks"}</definedName>
    <definedName name="FMQEOFMQ" hidden="1">{#N/A,#N/A,FALSE,"Aging Summary";#N/A,#N/A,FALSE,"Ratio Analysis";#N/A,#N/A,FALSE,"Test 120 Day Accts";#N/A,#N/A,FALSE,"Tickmarks"}</definedName>
    <definedName name="FMQEOMFQM" hidden="1">{#N/A,#N/A,FALSE,"Aging Summary";#N/A,#N/A,FALSE,"Ratio Analysis";#N/A,#N/A,FALSE,"Test 120 Day Accts";#N/A,#N/A,FALSE,"Tickmarks"}</definedName>
    <definedName name="fmrifmw" hidden="1">{#N/A,#N/A,FALSE,"Aging Summary";#N/A,#N/A,FALSE,"Ratio Analysis";#N/A,#N/A,FALSE,"Test 120 Day Accts";#N/A,#N/A,FALSE,"Tickmarks"}</definedName>
    <definedName name="fmromw" hidden="1">{#N/A,#N/A,FALSE,"Aging Summary";#N/A,#N/A,FALSE,"Ratio Analysis";#N/A,#N/A,FALSE,"Test 120 Day Accts";#N/A,#N/A,FALSE,"Tickmarks"}</definedName>
    <definedName name="fmwefw" hidden="1">{#N/A,#N/A,FALSE,"Aging Summary";#N/A,#N/A,FALSE,"Ratio Analysis";#N/A,#N/A,FALSE,"Test 120 Day Accts";#N/A,#N/A,FALSE,"Tickmarks"}</definedName>
    <definedName name="fmwfw" hidden="1">{#N/A,#N/A,FALSE,"Aging Summary";#N/A,#N/A,FALSE,"Ratio Analysis";#N/A,#N/A,FALSE,"Test 120 Day Accts";#N/A,#N/A,FALSE,"Tickmarks"}</definedName>
    <definedName name="fmwiefwfiw" hidden="1">{#N/A,#N/A,FALSE,"Aging Summary";#N/A,#N/A,FALSE,"Ratio Analysis";#N/A,#N/A,FALSE,"Test 120 Day Accts";#N/A,#N/A,FALSE,"Tickmarks"}</definedName>
    <definedName name="fmwoemw" hidden="1">{#N/A,#N/A,FALSE,"Aging Summary";#N/A,#N/A,FALSE,"Ratio Analysis";#N/A,#N/A,FALSE,"Test 120 Day Accts";#N/A,#N/A,FALSE,"Tickmarks"}</definedName>
    <definedName name="fnnfn" hidden="1">{#N/A,#N/A,FALSE,"Aging Summary";#N/A,#N/A,FALSE,"Ratio Analysis";#N/A,#N/A,FALSE,"Test 120 Day Accts";#N/A,#N/A,FALSE,"Tickmarks"}</definedName>
    <definedName name="fnr"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nsfs" hidden="1">{#N/A,#N/A,FALSE,"Aging Summary";#N/A,#N/A,FALSE,"Ratio Analysis";#N/A,#N/A,FALSE,"Test 120 Day Accts";#N/A,#N/A,FALSE,"Tickmarks"}</definedName>
    <definedName name="fñ" hidden="1">{#N/A,#N/A,FALSE,"Aging Summary";#N/A,#N/A,FALSE,"Ratio Analysis";#N/A,#N/A,FALSE,"Test 120 Day Accts";#N/A,#N/A,FALSE,"Tickmarks"}</definedName>
    <definedName name="fñgñfñ" hidden="1">{#N/A,#N/A,FALSE,"Aging Summary";#N/A,#N/A,FALSE,"Ratio Analysis";#N/A,#N/A,FALSE,"Test 120 Day Accts";#N/A,#N/A,FALSE,"Tickmarks"}</definedName>
    <definedName name="fñoewkjw2" hidden="1">#REF!</definedName>
    <definedName name="fñwkjw3" hidden="1">#REF!</definedName>
    <definedName name="fñwofw9" hidden="1">#REF!</definedName>
    <definedName name="FOA" hidden="1">#REF!</definedName>
    <definedName name="FOAFKAKFK" hidden="1">#REF!</definedName>
    <definedName name="FOAFOKA" hidden="1">#REF!</definedName>
    <definedName name="FOAKFAKF" hidden="1">#REF!</definedName>
    <definedName name="FOAKFK" hidden="1">#REF!</definedName>
    <definedName name="FOAKFKAFKKKK" hidden="1">#REF!</definedName>
    <definedName name="FOAKFOAK" hidden="1">#REF!</definedName>
    <definedName name="FOAKFOK" hidden="1">#REF!</definedName>
    <definedName name="FOAKFOKA" hidden="1">#REF!</definedName>
    <definedName name="FOAKSF" hidden="1">#REF!</definedName>
    <definedName name="FOAKSFKAKKK" hidden="1">#REF!</definedName>
    <definedName name="FOAPFQQ" hidden="1">#REF!</definedName>
    <definedName name="FOAQQQ" hidden="1">#REF!</definedName>
    <definedName name="FOASKFA" hidden="1">#REF!</definedName>
    <definedName name="FOASKFAKK" hidden="1">#REF!</definedName>
    <definedName name="FOASKOFA" hidden="1">#REF!</definedName>
    <definedName name="FOASOFOAFOAO" hidden="1">#REF!</definedName>
    <definedName name="fodewfowef" hidden="1">{#N/A,#N/A,FALSE,"Aging Summary";#N/A,#N/A,FALSE,"Ratio Analysis";#N/A,#N/A,FALSE,"Test 120 Day Accts";#N/A,#N/A,FALSE,"Tickmarks"}</definedName>
    <definedName name="foefkw" hidden="1">{#N/A,#N/A,FALSE,"Aging Summary";#N/A,#N/A,FALSE,"Ratio Analysis";#N/A,#N/A,FALSE,"Test 120 Day Accts";#N/A,#N/A,FALSE,"Tickmarks"}</definedName>
    <definedName name="foejwfw" hidden="1">#REF!</definedName>
    <definedName name="foekfe" hidden="1">{#N/A,#N/A,FALSE,"Aging Summary";#N/A,#N/A,FALSE,"Ratio Analysis";#N/A,#N/A,FALSE,"Test 120 Day Accts";#N/A,#N/A,FALSE,"Tickmarks"}</definedName>
    <definedName name="foekofe" hidden="1">{"Schedule_IA",#N/A,FALSE,"I-A"}</definedName>
    <definedName name="foekofek" hidden="1">#REF!</definedName>
    <definedName name="foekofw" hidden="1">{#N/A,#N/A,FALSE,"Aging Summary";#N/A,#N/A,FALSE,"Ratio Analysis";#N/A,#N/A,FALSE,"Test 120 Day Accts";#N/A,#N/A,FALSE,"Tickmarks"}</definedName>
    <definedName name="foekw98" hidden="1">#REF!</definedName>
    <definedName name="foekwfowkf" hidden="1">{#N/A,#N/A,FALSE,"Aging Summary";#N/A,#N/A,FALSE,"Ratio Analysis";#N/A,#N/A,FALSE,"Test 120 Day Accts";#N/A,#N/A,FALSE,"Tickmarks"}</definedName>
    <definedName name="foekwofwek" hidden="1">#REF!</definedName>
    <definedName name="foeqfq" hidden="1">#REF!</definedName>
    <definedName name="FOEQKFQ" hidden="1">{#N/A,#N/A,FALSE,"Aging Summary";#N/A,#N/A,FALSE,"Ratio Analysis";#N/A,#N/A,FALSE,"Test 120 Day Accts";#N/A,#N/A,FALSE,"Tickmarks"}</definedName>
    <definedName name="foerfkef" hidden="1">{#N/A,#N/A,FALSE,"Aging Summary";#N/A,#N/A,FALSE,"Ratio Analysis";#N/A,#N/A,FALSE,"Test 120 Day Accts";#N/A,#N/A,FALSE,"Tickmarks"}</definedName>
    <definedName name="foeuwofew" hidden="1">#REF!</definedName>
    <definedName name="foew" hidden="1">#REF!</definedName>
    <definedName name="foewf9" hidden="1">#REF!</definedName>
    <definedName name="foewfw" hidden="1">{#N/A,#N/A,FALSE,"Aging Summary";#N/A,#N/A,FALSE,"Ratio Analysis";#N/A,#N/A,FALSE,"Test 120 Day Accts";#N/A,#N/A,FALSE,"Tickmarks"}</definedName>
    <definedName name="foewfwf" hidden="1">{"'DIFPRE'!$A$2:$M$54"}</definedName>
    <definedName name="foewfwp" hidden="1">#REF!</definedName>
    <definedName name="foewjfw" hidden="1">#REF!</definedName>
    <definedName name="foewjfw6" hidden="1">#REF!</definedName>
    <definedName name="foewjfw8" hidden="1">#REF!</definedName>
    <definedName name="foewkf" hidden="1">#REF!</definedName>
    <definedName name="foewkfowfk" hidden="1">{#N/A,#N/A,FALSE,"Aging Summary";#N/A,#N/A,FALSE,"Ratio Analysis";#N/A,#N/A,FALSE,"Test 120 Day Accts";#N/A,#N/A,FALSE,"Tickmarks"}</definedName>
    <definedName name="fóewkfw" hidden="1">#REF!</definedName>
    <definedName name="foewkfwef" hidden="1">#REF!</definedName>
    <definedName name="foewkfwkf" hidden="1">{#N/A,#N/A,FALSE,"Aging Summary";#N/A,#N/A,FALSE,"Ratio Analysis";#N/A,#N/A,FALSE,"Test 120 Day Accts";#N/A,#N/A,FALSE,"Tickmarks"}</definedName>
    <definedName name="foewkfwof" hidden="1">{#N/A,#N/A,FALSE,"Aging Summary";#N/A,#N/A,FALSE,"Ratio Analysis";#N/A,#N/A,FALSE,"Test 120 Day Accts";#N/A,#N/A,FALSE,"Tickmarks"}</definedName>
    <definedName name="foewkwf9" hidden="1">#REF!</definedName>
    <definedName name="foewmofw" hidden="1">{#N/A,#N/A,FALSE,"Aging Summary";#N/A,#N/A,FALSE,"Ratio Analysis";#N/A,#N/A,FALSE,"Test 120 Day Accts";#N/A,#N/A,FALSE,"Tickmarks"}</definedName>
    <definedName name="foewnfwe" hidden="1">#REF!</definedName>
    <definedName name="foewo3" hidden="1">#REF!</definedName>
    <definedName name="foewofj" hidden="1">#REF!</definedName>
    <definedName name="fofkwof" hidden="1">{#N/A,#N/A,FALSE,"Aging Summary";#N/A,#N/A,FALSE,"Ratio Analysis";#N/A,#N/A,FALSE,"Test 120 Day Accts";#N/A,#N/A,FALSE,"Tickmarks"}</definedName>
    <definedName name="fofkwofwe" hidden="1">{#N/A,#N/A,FALSE,"Aging Summary";#N/A,#N/A,FALSE,"Ratio Analysis";#N/A,#N/A,FALSE,"Test 120 Day Accts";#N/A,#N/A,FALSE,"Tickmarks"}</definedName>
    <definedName name="fofokfe" hidden="1">{#N/A,#N/A,FALSE,"Aging Summary";#N/A,#N/A,FALSE,"Ratio Analysis";#N/A,#N/A,FALSE,"Test 120 Day Accts";#N/A,#N/A,FALSE,"Tickmarks"}</definedName>
    <definedName name="foiewfw" hidden="1">#REF!</definedName>
    <definedName name="foiewjf4" hidden="1">#REF!</definedName>
    <definedName name="foiewjkfw" hidden="1">#REF!</definedName>
    <definedName name="foijewfw87" hidden="1">#REF!</definedName>
    <definedName name="foiw" hidden="1">#REF!</definedName>
    <definedName name="foiwejfw" hidden="1">#REF!</definedName>
    <definedName name="foiwjf" hidden="1">#REF!</definedName>
    <definedName name="foiwjfw" hidden="1">#REF!</definedName>
    <definedName name="fojew" hidden="1">#REF!</definedName>
    <definedName name="fojewf" hidden="1">#REF!</definedName>
    <definedName name="fojewfew" hidden="1">#REF!</definedName>
    <definedName name="fojwojfw" hidden="1">#REF!</definedName>
    <definedName name="FOKAKFA" hidden="1">#REF!</definedName>
    <definedName name="FOKAKFM" hidden="1">#REF!</definedName>
    <definedName name="FOKAOKFA" hidden="1">#REF!</definedName>
    <definedName name="FOKEQFKQEF" hidden="1">#REF!</definedName>
    <definedName name="FOKEQFOKQE" hidden="1">#REF!</definedName>
    <definedName name="fokewfkw" hidden="1">#REF!</definedName>
    <definedName name="fokewfokwf" hidden="1">{#N/A,#N/A,FALSE,"Aging Summary";#N/A,#N/A,FALSE,"Ratio Analysis";#N/A,#N/A,FALSE,"Test 120 Day Accts";#N/A,#N/A,FALSE,"Tickmarks"}</definedName>
    <definedName name="fokewfw" hidden="1">{#N/A,#N/A,FALSE,"Aging Summary";#N/A,#N/A,FALSE,"Ratio Analysis";#N/A,#N/A,FALSE,"Test 120 Day Accts";#N/A,#N/A,FALSE,"Tickmarks"}</definedName>
    <definedName name="fokewofkw" hidden="1">{#N/A,#N/A,FALSE,"Aging Summary";#N/A,#N/A,FALSE,"Ratio Analysis";#N/A,#N/A,FALSE,"Test 120 Day Accts";#N/A,#N/A,FALSE,"Tickmarks"}</definedName>
    <definedName name="fokewofw" hidden="1">{#N/A,#N/A,FALSE,"Aging Summary";#N/A,#N/A,FALSE,"Ratio Analysis";#N/A,#N/A,FALSE,"Test 120 Day Accts";#N/A,#N/A,FALSE,"Tickmarks"}</definedName>
    <definedName name="fokfekf" hidden="1">{#N/A,#N/A,FALSE,"Aging Summary";#N/A,#N/A,FALSE,"Ratio Analysis";#N/A,#N/A,FALSE,"Test 120 Day Accts";#N/A,#N/A,FALSE,"Tickmarks"}</definedName>
    <definedName name="fokforf" hidden="1">{#N/A,#N/A,FALSE,"Aging Summary";#N/A,#N/A,FALSE,"Ratio Analysis";#N/A,#N/A,FALSE,"Test 120 Day Accts";#N/A,#N/A,FALSE,"Tickmarks"}</definedName>
    <definedName name="fokjewofe" hidden="1">#REF!</definedName>
    <definedName name="fokjwokfw" hidden="1">#REF!</definedName>
    <definedName name="FOKQEFK" hidden="1">{#N/A,#N/A,FALSE,"Aging Summary";#N/A,#N/A,FALSE,"Ratio Analysis";#N/A,#N/A,FALSE,"Test 120 Day Accts";#N/A,#N/A,FALSE,"Tickmarks"}</definedName>
    <definedName name="FOKQEOFKQ" hidden="1">#REF!</definedName>
    <definedName name="fokrofkr" hidden="1">{#N/A,#N/A,FALSE,"Aging Summary";#N/A,#N/A,FALSE,"Ratio Analysis";#N/A,#N/A,FALSE,"Test 120 Day Accts";#N/A,#N/A,FALSE,"Tickmarks"}</definedName>
    <definedName name="FOKSAOKFA" hidden="1">#REF!</definedName>
    <definedName name="fokw" hidden="1">#REF!</definedName>
    <definedName name="fokwekfwkef" hidden="1">{#N/A,#N/A,FALSE,"Aging Summary";#N/A,#N/A,FALSE,"Ratio Analysis";#N/A,#N/A,FALSE,"Test 120 Day Accts";#N/A,#N/A,FALSE,"Tickmarks"}</definedName>
    <definedName name="fokweofkw" hidden="1">{#N/A,#N/A,FALSE,"Aging Summary";#N/A,#N/A,FALSE,"Ratio Analysis";#N/A,#N/A,FALSE,"Test 120 Day Accts";#N/A,#N/A,FALSE,"Tickmarks"}</definedName>
    <definedName name="fokweofkwef" hidden="1">#REF!</definedName>
    <definedName name="fokweofw" hidden="1">#REF!</definedName>
    <definedName name="fokweokfw" hidden="1">#REF!</definedName>
    <definedName name="fokwfe" hidden="1">#REF!</definedName>
    <definedName name="fokwfowef" hidden="1">{#N/A,#N/A,FALSE,"Aging Summary";#N/A,#N/A,FALSE,"Ratio Analysis";#N/A,#N/A,FALSE,"Test 120 Day Accts";#N/A,#N/A,FALSE,"Tickmarks"}</definedName>
    <definedName name="fokwkf" hidden="1">{#N/A,#N/A,FALSE,"Aging Summary";#N/A,#N/A,FALSE,"Ratio Analysis";#N/A,#N/A,FALSE,"Test 120 Day Accts";#N/A,#N/A,FALSE,"Tickmarks"}</definedName>
    <definedName name="fokwoekf" hidden="1">{#N/A,#N/A,FALSE,"Aging Summary";#N/A,#N/A,FALSE,"Ratio Analysis";#N/A,#N/A,FALSE,"Test 120 Day Accts";#N/A,#N/A,FALSE,"Tickmarks"}</definedName>
    <definedName name="fokwoewf" hidden="1">#REF!</definedName>
    <definedName name="fokwofw" hidden="1">#REF!</definedName>
    <definedName name="fokwokf" hidden="1">#REF!</definedName>
    <definedName name="fokwokfw" hidden="1">#REF!</definedName>
    <definedName name="fokwokfwe" hidden="1">#REF!</definedName>
    <definedName name="fokwow" hidden="1">#REF!</definedName>
    <definedName name="fomewofw" hidden="1">{#N/A,#N/A,FALSE,"Aging Summary";#N/A,#N/A,FALSE,"Ratio Analysis";#N/A,#N/A,FALSE,"Test 120 Day Accts";#N/A,#N/A,FALSE,"Tickmarks"}</definedName>
    <definedName name="fomwofmwf" hidden="1">{#N/A,#N/A,FALSE,"Aging Summary";#N/A,#N/A,FALSE,"Ratio Analysis";#N/A,#N/A,FALSE,"Test 120 Day Accts";#N/A,#N/A,FALSE,"Tickmarks"}</definedName>
    <definedName name="FOOF" hidden="1">#REF!</definedName>
    <definedName name="foogfkdgd" hidden="1">{#N/A,#N/A,FALSE,"Aging Summary";#N/A,#N/A,FALSE,"Ratio Analysis";#N/A,#N/A,FALSE,"Test 120 Day Accts";#N/A,#N/A,FALSE,"Tickmarks"}</definedName>
    <definedName name="foq" hidden="1">#REF!</definedName>
    <definedName name="FOQEFKQ" hidden="1">#REF!</definedName>
    <definedName name="foqejfq" hidden="1">#REF!</definedName>
    <definedName name="FOQEKFOQ" hidden="1">#REF!</definedName>
    <definedName name="FOQEKFQ" hidden="1">{#N/A,#N/A,FALSE,"Aging Summary";#N/A,#N/A,FALSE,"Ratio Analysis";#N/A,#N/A,FALSE,"Test 120 Day Accts";#N/A,#N/A,FALSE,"Tickmarks"}</definedName>
    <definedName name="FOQEKFQK" hidden="1">{#N/A,#N/A,FALSE,"Aging Summary";#N/A,#N/A,FALSE,"Ratio Analysis";#N/A,#N/A,FALSE,"Test 120 Day Accts";#N/A,#N/A,FALSE,"Tickmarks"}</definedName>
    <definedName name="FOQEKFQKKK" hidden="1">{#N/A,#N/A,FALSE,"Aging Summary";#N/A,#N/A,FALSE,"Ratio Analysis";#N/A,#N/A,FALSE,"Test 120 Day Accts";#N/A,#N/A,FALSE,"Tickmarks"}</definedName>
    <definedName name="FOQEOFKQKKK" hidden="1">{#N/A,#N/A,FALSE,"Aging Summary";#N/A,#N/A,FALSE,"Ratio Analysis";#N/A,#N/A,FALSE,"Test 120 Day Accts";#N/A,#N/A,FALSE,"Tickmarks"}</definedName>
    <definedName name="foqjf" hidden="1">#REF!</definedName>
    <definedName name="FOQKEF" hidden="1">#REF!</definedName>
    <definedName name="FOQKEFKQ" hidden="1">{#N/A,#N/A,FALSE,"Aging Summary";#N/A,#N/A,FALSE,"Ratio Analysis";#N/A,#N/A,FALSE,"Test 120 Day Accts";#N/A,#N/A,FALSE,"Tickmarks"}</definedName>
    <definedName name="FOQKEFOKQ" hidden="1">#REF!</definedName>
    <definedName name="FOQKEFOQ" hidden="1">#REF!</definedName>
    <definedName name="FOQKEFOQEFK" hidden="1">#REF!</definedName>
    <definedName name="FOQKEFOQKEF" hidden="1">#REF!</definedName>
    <definedName name="FOQKEFQK" hidden="1">{#N/A,#N/A,FALSE,"Aging Summary";#N/A,#N/A,FALSE,"Ratio Analysis";#N/A,#N/A,FALSE,"Test 120 Day Accts";#N/A,#N/A,FALSE,"Tickmarks"}</definedName>
    <definedName name="FOQKEOFKQEF" hidden="1">#REF!</definedName>
    <definedName name="foqkfq" hidden="1">#REF!</definedName>
    <definedName name="forefrefe" hidden="1">{#N/A,#N/A,FALSE,"Aging Summary";#N/A,#N/A,FALSE,"Ratio Analysis";#N/A,#N/A,FALSE,"Test 120 Day Accts";#N/A,#N/A,FALSE,"Tickmarks"}</definedName>
    <definedName name="forkfef" hidden="1">{"'DIFPRE'!$A$2:$M$54"}</definedName>
    <definedName name="formfw" hidden="1">{#N/A,#N/A,FALSE,"Aging Summary";#N/A,#N/A,FALSE,"Ratio Analysis";#N/A,#N/A,FALSE,"Test 120 Day Accts";#N/A,#N/A,FALSE,"Tickmarks"}</definedName>
    <definedName name="fowefkwf" hidden="1">{#N/A,#N/A,FALSE,"Aging Summary";#N/A,#N/A,FALSE,"Ratio Analysis";#N/A,#N/A,FALSE,"Test 120 Day Accts";#N/A,#N/A,FALSE,"Tickmarks"}</definedName>
    <definedName name="fowefwe" hidden="1">#REF!</definedName>
    <definedName name="fowefwfo" hidden="1">#REF!</definedName>
    <definedName name="fowefwifw" hidden="1">#REF!</definedName>
    <definedName name="fowefwo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owejfwf" hidden="1">#REF!</definedName>
    <definedName name="fowekf" hidden="1">{"'DIFPRE'!$A$2:$M$54"}</definedName>
    <definedName name="fowekfowkf" hidden="1">{#N/A,#N/A,FALSE,"Aging Summary";#N/A,#N/A,FALSE,"Ratio Analysis";#N/A,#N/A,FALSE,"Test 120 Day Accts";#N/A,#N/A,FALSE,"Tickmarks"}</definedName>
    <definedName name="fowekfw" hidden="1">{#N/A,#N/A,FALSE,"Aging Summary";#N/A,#N/A,FALSE,"Ratio Analysis";#N/A,#N/A,FALSE,"Test 120 Day Accts";#N/A,#N/A,FALSE,"Tickmarks"}</definedName>
    <definedName name="fowekfwe8" hidden="1">#REF!</definedName>
    <definedName name="fowekofwn" hidden="1">#REF!</definedName>
    <definedName name="fowemfowmf" hidden="1">{#N/A,#N/A,FALSE,"Aging Summary";#N/A,#N/A,FALSE,"Ratio Analysis";#N/A,#N/A,FALSE,"Test 120 Day Accts";#N/A,#N/A,FALSE,"Tickmarks"}</definedName>
    <definedName name="fówf" hidden="1">#REF!</definedName>
    <definedName name="fowfkwfw" hidden="1">{#N/A,#N/A,FALSE,"Aging Summary";#N/A,#N/A,FALSE,"Ratio Analysis";#N/A,#N/A,FALSE,"Test 120 Day Accts";#N/A,#N/A,FALSE,"Tickmarks"}</definedName>
    <definedName name="fowfokw" hidden="1">#REF!</definedName>
    <definedName name="fowfokwf" hidden="1">#REF!</definedName>
    <definedName name="fowfowkfw" hidden="1">{#N/A,#N/A,FALSE,"Aging Summary";#N/A,#N/A,FALSE,"Ratio Analysis";#N/A,#N/A,FALSE,"Test 120 Day Accts";#N/A,#N/A,FALSE,"Tickmarks"}</definedName>
    <definedName name="fowfw" hidden="1">{#N/A,#N/A,FALSE,"Aging Summary";#N/A,#N/A,FALSE,"Ratio Analysis";#N/A,#N/A,FALSE,"Test 120 Day Accts";#N/A,#N/A,FALSE,"Tickmarks"}</definedName>
    <definedName name="fowfwoef" hidden="1">{#N/A,#N/A,FALSE,"Aging Summary";#N/A,#N/A,FALSE,"Ratio Analysis";#N/A,#N/A,FALSE,"Test 120 Day Accts";#N/A,#N/A,FALSE,"Tickmarks"}</definedName>
    <definedName name="fowief" hidden="1">#REF!</definedName>
    <definedName name="fowiejfw" hidden="1">#REF!</definedName>
    <definedName name="fowjofwjfw" hidden="1">{#N/A,#N/A,FALSE,"Aging Summary";#N/A,#N/A,FALSE,"Ratio Analysis";#N/A,#N/A,FALSE,"Test 120 Day Accts";#N/A,#N/A,FALSE,"Tickmarks"}</definedName>
    <definedName name="fowjw" hidden="1">#REF!</definedName>
    <definedName name="fowk3" hidden="1">#REF!</definedName>
    <definedName name="fowk4" hidden="1">#REF!</definedName>
    <definedName name="fowke34" hidden="1">#REF!</definedName>
    <definedName name="fowkef" hidden="1">#REF!</definedName>
    <definedName name="fowkef234" hidden="1">#REF!</definedName>
    <definedName name="fowkefow" hidden="1">#REF!</definedName>
    <definedName name="fowkefw" hidden="1">{#N/A,#N/A,FALSE,"Aging Summary";#N/A,#N/A,FALSE,"Ratio Analysis";#N/A,#N/A,FALSE,"Test 120 Day Accts";#N/A,#N/A,FALSE,"Tickmarks"}</definedName>
    <definedName name="fowkekfw" hidden="1">{#N/A,#N/A,FALSE,"Aging Summary";#N/A,#N/A,FALSE,"Ratio Analysis";#N/A,#N/A,FALSE,"Test 120 Day Accts";#N/A,#N/A,FALSE,"Tickmarks"}</definedName>
    <definedName name="fowkeofw" hidden="1">{#N/A,#N/A,FALSE,"Aging Summary";#N/A,#N/A,FALSE,"Ratio Analysis";#N/A,#N/A,FALSE,"Test 120 Day Accts";#N/A,#N/A,FALSE,"Tickmarks"}</definedName>
    <definedName name="fowkfowk" hidden="1">{#N/A,#N/A,FALSE,"Aging Summary";#N/A,#N/A,FALSE,"Ratio Analysis";#N/A,#N/A,FALSE,"Test 120 Day Accts";#N/A,#N/A,FALSE,"Tickmarks"}</definedName>
    <definedName name="fowkfowkf" hidden="1">{#N/A,#N/A,FALSE,"Aging Summary";#N/A,#N/A,FALSE,"Ratio Analysis";#N/A,#N/A,FALSE,"Test 120 Day Accts";#N/A,#N/A,FALSE,"Tickmarks"}</definedName>
    <definedName name="fowkfw" hidden="1">{#N/A,#N/A,FALSE,"Aging Summary";#N/A,#N/A,FALSE,"Ratio Analysis";#N/A,#N/A,FALSE,"Test 120 Day Accts";#N/A,#N/A,FALSE,"Tickmarks"}</definedName>
    <definedName name="fowkfw6" hidden="1">#REF!</definedName>
    <definedName name="fowkfwe" hidden="1">#REF!</definedName>
    <definedName name="fowkfwe8" hidden="1">#REF!</definedName>
    <definedName name="fowkfwkfw" hidden="1">{#N/A,#N/A,FALSE,"Aging Summary";#N/A,#N/A,FALSE,"Ratio Analysis";#N/A,#N/A,FALSE,"Test 120 Day Accts";#N/A,#N/A,FALSE,"Tickmarks"}</definedName>
    <definedName name="fowkkf" hidden="1">#REF!</definedName>
    <definedName name="fowkofw" hidden="1">{"AUT ANALISE DESP",#N/A,TRUE,"AN.DESP. MR$"}</definedName>
    <definedName name="fowkwfk" hidden="1">#REF!</definedName>
    <definedName name="fowoefwf" hidden="1">{#N/A,#N/A,FALSE,"Aging Summary";#N/A,#N/A,FALSE,"Ratio Analysis";#N/A,#N/A,FALSE,"Test 120 Day Accts";#N/A,#N/A,FALSE,"Tickmarks"}</definedName>
    <definedName name="fowofkw" hidden="1">{#N/A,#N/A,FALSE,"Total";#N/A,#N/A,FALSE,"Accid.";#N/A,#N/A,FALSE,"Previsional";#N/A,#N/A,FALSE,"Vida ind.";#N/A,#N/A,FALSE,"Colectivo"}</definedName>
    <definedName name="fowofw" hidden="1">{#N/A,#N/A,FALSE,"Aging Summary";#N/A,#N/A,FALSE,"Ratio Analysis";#N/A,#N/A,FALSE,"Test 120 Day Accts";#N/A,#N/A,FALSE,"Tickmarks"}</definedName>
    <definedName name="fowofwo" hidden="1">{#N/A,#N/A,FALSE,"Aging Summary";#N/A,#N/A,FALSE,"Ratio Analysis";#N/A,#N/A,FALSE,"Test 120 Day Accts";#N/A,#N/A,FALSE,"Tickmarks"}</definedName>
    <definedName name="fpadlfpa" hidden="1">#REF!</definedName>
    <definedName name="FPALFA" hidden="1">#REF!</definedName>
    <definedName name="FPALFLASF" hidden="1">#REF!</definedName>
    <definedName name="FPALPFALS" hidden="1">#REF!</definedName>
    <definedName name="FPALSFA" hidden="1">#REF!</definedName>
    <definedName name="FPALSFLA" hidden="1">#REF!</definedName>
    <definedName name="FPALSFLASLFALFLA" hidden="1">#REF!</definedName>
    <definedName name="fpapaf" hidden="1">{#N/A,#N/A,FALSE,"Aging Summary";#N/A,#N/A,FALSE,"Ratio Analysis";#N/A,#N/A,FALSE,"Test 120 Day Accts";#N/A,#N/A,FALSE,"Tickmarks"}</definedName>
    <definedName name="fpapfa" hidden="1">{#N/A,#N/A,FALSE,"Aging Summary";#N/A,#N/A,FALSE,"Ratio Analysis";#N/A,#N/A,FALSE,"Test 120 Day Accts";#N/A,#N/A,FALSE,"Tickmarks"}</definedName>
    <definedName name="fpapfap" hidden="1">{#N/A,#N/A,FALSE,"Aging Summary";#N/A,#N/A,FALSE,"Ratio Analysis";#N/A,#N/A,FALSE,"Test 120 Day Accts";#N/A,#N/A,FALSE,"Tickmarks"}</definedName>
    <definedName name="fpapfapppp" hidden="1">#REF!</definedName>
    <definedName name="FPAPFLA" hidden="1">#REF!</definedName>
    <definedName name="FPASLFA" hidden="1">#REF!</definedName>
    <definedName name="FPASLFAFLL" hidden="1">#REF!</definedName>
    <definedName name="FPASLFLASFLA" hidden="1">#REF!</definedName>
    <definedName name="fpaslfpsalfal" hidden="1">#REF!</definedName>
    <definedName name="fpaspfa" hidden="1">{#N/A,#N/A,FALSE,"Aging Summary";#N/A,#N/A,FALSE,"Ratio Analysis";#N/A,#N/A,FALSE,"Test 120 Day Accts";#N/A,#N/A,FALSE,"Tickmarks"}</definedName>
    <definedName name="fpdalfpsad" hidden="1">{#N/A,#N/A,FALSE,"Aging Summary";#N/A,#N/A,FALSE,"Ratio Analysis";#N/A,#N/A,FALSE,"Test 120 Day Accts";#N/A,#N/A,FALSE,"Tickmarks"}</definedName>
    <definedName name="fpdlafap" hidden="1">{#N/A,#N/A,FALSE,"Aging Summary";#N/A,#N/A,FALSE,"Ratio Analysis";#N/A,#N/A,FALSE,"Test 120 Day Accts";#N/A,#N/A,FALSE,"Tickmarks"}</definedName>
    <definedName name="fpdlf" hidden="1">#REF!</definedName>
    <definedName name="fpdsalfsa" hidden="1">#REF!</definedName>
    <definedName name="FPEFPELPFELPFE" hidden="1">#REF!</definedName>
    <definedName name="FPELFELLL" hidden="1">{#N/A,#N/A,FALSE,"Aging Summary";#N/A,#N/A,FALSE,"Ratio Analysis";#N/A,#N/A,FALSE,"Test 120 Day Accts";#N/A,#N/A,FALSE,"Tickmarks"}</definedName>
    <definedName name="FPELFELQL" hidden="1">#REF!</definedName>
    <definedName name="FPELFEQ" hidden="1">#REF!</definedName>
    <definedName name="FPELFPEL" hidden="1">{#N/A,#N/A,FALSE,"Aging Summary";#N/A,#N/A,FALSE,"Ratio Analysis";#N/A,#N/A,FALSE,"Test 120 Day Accts";#N/A,#N/A,FALSE,"Tickmarks"}</definedName>
    <definedName name="FPELQFLQEFQ" hidden="1">#REF!</definedName>
    <definedName name="fpeowfow" hidden="1">{#N/A,#N/A,FALSE,"Aging Summary";#N/A,#N/A,FALSE,"Ratio Analysis";#N/A,#N/A,FALSE,"Test 120 Day Accts";#N/A,#N/A,FALSE,"Tickmarks"}</definedName>
    <definedName name="FPEPPEPEPPPP" hidden="1">#REF!</definedName>
    <definedName name="FPEQFLQ" hidden="1">{#N/A,#N/A,FALSE,"Aging Summary";#N/A,#N/A,FALSE,"Ratio Analysis";#N/A,#N/A,FALSE,"Test 120 Day Accts";#N/A,#N/A,FALSE,"Tickmarks"}</definedName>
    <definedName name="FPEQFLQLFEQE" hidden="1">#REF!</definedName>
    <definedName name="FPEQLFLQ" hidden="1">#REF!</definedName>
    <definedName name="FPEQLFQ" hidden="1">#REF!</definedName>
    <definedName name="FPEQLFQEFL" hidden="1">#REF!</definedName>
    <definedName name="FPEQLFQLFLQLLLL" hidden="1">#REF!</definedName>
    <definedName name="FPEQLFQPEL" hidden="1">#REF!</definedName>
    <definedName name="FPEQLPFQL" hidden="1">#REF!</definedName>
    <definedName name="FPEQPFQFPQLEF" hidden="1">#REF!</definedName>
    <definedName name="fpewlf" hidden="1">{#N/A,#N/A,FALSE,"Aging Summary";#N/A,#N/A,FALSE,"Ratio Analysis";#N/A,#N/A,FALSE,"Test 120 Day Accts";#N/A,#N/A,FALSE,"Tickmarks"}</definedName>
    <definedName name="fpewlfpewf" hidden="1">#REF!,#REF!,#REF!,#REF!</definedName>
    <definedName name="fpewlfpewfw" hidden="1">{#N/A,#N/A,FALSE,"Aging Summary";#N/A,#N/A,FALSE,"Ratio Analysis";#N/A,#N/A,FALSE,"Test 120 Day Accts";#N/A,#N/A,FALSE,"Tickmarks"}</definedName>
    <definedName name="fpewlfpw" hidden="1">#REF!</definedName>
    <definedName name="fpewlfpwlef" hidden="1">{#N/A,#N/A,FALSE,"Aging Summary";#N/A,#N/A,FALSE,"Ratio Analysis";#N/A,#N/A,FALSE,"Test 120 Day Accts";#N/A,#N/A,FALSE,"Tickmarks"}</definedName>
    <definedName name="FPFLQEFL" hidden="1">#REF!</definedName>
    <definedName name="fpfppfpf" hidden="1">{#N/A,#N/A,FALSE,"Aging Summary";#N/A,#N/A,FALSE,"Ratio Analysis";#N/A,#N/A,FALSE,"Test 120 Day Accts";#N/A,#N/A,FALSE,"Tickmarks"}</definedName>
    <definedName name="fp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piwjfw9" hidden="1">#REF!</definedName>
    <definedName name="fpkw" hidden="1">#REF!</definedName>
    <definedName name="fpkwekfw" hidden="1">#REF!</definedName>
    <definedName name="fpkwf" hidden="1">#REF!</definedName>
    <definedName name="fpkwp" hidden="1">#REF!</definedName>
    <definedName name="fpkwpwf" hidden="1">#REF!</definedName>
    <definedName name="FPLAFA" hidden="1">#REF!</definedName>
    <definedName name="FPLAFQLPE" hidden="1">#REF!</definedName>
    <definedName name="FPLEPLFQ" hidden="1">#REF!</definedName>
    <definedName name="FPLEQFLQE" hidden="1">#REF!</definedName>
    <definedName name="FPLEQFLQLF" hidden="1">#REF!</definedName>
    <definedName name="FPLEQFQE" hidden="1">#REF!</definedName>
    <definedName name="FPLEQLFQE" hidden="1">#REF!</definedName>
    <definedName name="FPLEQPFQLE" hidden="1">#REF!</definedName>
    <definedName name="FPLEQPLFQ" hidden="1">#REF!</definedName>
    <definedName name="fplewf" hidden="1">{#N/A,#N/A,FALSE,"Aging Summary";#N/A,#N/A,FALSE,"Ratio Analysis";#N/A,#N/A,FALSE,"Test 120 Day Accts";#N/A,#N/A,FALSE,"Tickmarks"}</definedName>
    <definedName name="fplewpfw" hidden="1">{#N/A,#N/A,FALSE,"Aging Summary";#N/A,#N/A,FALSE,"Ratio Analysis";#N/A,#N/A,FALSE,"Test 120 Day Accts";#N/A,#N/A,FALSE,"Tickmarks"}</definedName>
    <definedName name="fplewpfwl" hidden="1">{#N/A,#N/A,FALSE,"Aging Summary";#N/A,#N/A,FALSE,"Ratio Analysis";#N/A,#N/A,FALSE,"Test 120 Day Accts";#N/A,#N/A,FALSE,"Tickmarks"}</definedName>
    <definedName name="FPLFQEWFKEQ" hidden="1">#REF!</definedName>
    <definedName name="FPLQELFQE" hidden="1">#REF!</definedName>
    <definedName name="FPLQEPFLQ" hidden="1">#REF!</definedName>
    <definedName name="FPLQEPFQLF" hidden="1">#REF!</definedName>
    <definedName name="FPLQEPLFQ" hidden="1">#REF!</definedName>
    <definedName name="FPLQFLQE" hidden="1">#REF!</definedName>
    <definedName name="FPLQFQ" hidden="1">#REF!</definedName>
    <definedName name="FPLQPEQFKEQ" hidden="1">#REF!</definedName>
    <definedName name="FPLQPLE" hidden="1">#REF!</definedName>
    <definedName name="FPLQWFEKO" hidden="1">#REF!</definedName>
    <definedName name="fplwepflew" hidden="1">{#N/A,#N/A,FALSE,"Aging Summary";#N/A,#N/A,FALSE,"Ratio Analysis";#N/A,#N/A,FALSE,"Test 120 Day Accts";#N/A,#N/A,FALSE,"Tickmarks"}</definedName>
    <definedName name="fplwepflw" hidden="1">{"'DIFPRE'!$A$2:$M$54"}</definedName>
    <definedName name="fplwf" hidden="1">{#N/A,#N/A,FALSE,"Aging Summary";#N/A,#N/A,FALSE,"Ratio Analysis";#N/A,#N/A,FALSE,"Test 120 Day Accts";#N/A,#N/A,FALSE,"Tickmarks"}</definedName>
    <definedName name="fplwlf" hidden="1">{#N/A,#N/A,FALSE,"Aging Summary";#N/A,#N/A,FALSE,"Ratio Analysis";#N/A,#N/A,FALSE,"Test 120 Day Accts";#N/A,#N/A,FALSE,"Tickmarks"}</definedName>
    <definedName name="fplwlfw" hidden="1">{#N/A,#N/A,FALSE,"Aging Summary";#N/A,#N/A,FALSE,"Ratio Analysis";#N/A,#N/A,FALSE,"Test 120 Day Accts";#N/A,#N/A,FALSE,"Tickmarks"}</definedName>
    <definedName name="fpokwofw" hidden="1">{#N/A,#N/A,FALSE,"Aging Summary";#N/A,#N/A,FALSE,"Ratio Analysis";#N/A,#N/A,FALSE,"Test 120 Day Accts";#N/A,#N/A,FALSE,"Tickmarks"}</definedName>
    <definedName name="fpoqjfq" hidden="1">#REF!</definedName>
    <definedName name="fporeje" hidden="1">#REF!</definedName>
    <definedName name="fporwfwof" hidden="1">{#N/A,#N/A,FALSE,"Aging Summary";#N/A,#N/A,FALSE,"Ratio Analysis";#N/A,#N/A,FALSE,"Test 120 Day Accts";#N/A,#N/A,FALSE,"Tickmarks"}</definedName>
    <definedName name="fpowefew3" hidden="1">#REF!</definedName>
    <definedName name="fpowefw9" hidden="1">#REF!</definedName>
    <definedName name="fpowejfw" hidden="1">#REF!</definedName>
    <definedName name="fpowekfw" hidden="1">#REF!</definedName>
    <definedName name="fpowjef" hidden="1">#REF!</definedName>
    <definedName name="fpowkfw" hidden="1">{#N/A,#N/A,FALSE,"Aging Summary";#N/A,#N/A,FALSE,"Ratio Analysis";#N/A,#N/A,FALSE,"Test 120 Day Accts";#N/A,#N/A,FALSE,"Tickmarks"}</definedName>
    <definedName name="fpowmfwf" hidden="1">{#N/A,#N/A,FALSE,"Aging Summary";#N/A,#N/A,FALSE,"Ratio Analysis";#N/A,#N/A,FALSE,"Test 120 Day Accts";#N/A,#N/A,FALSE,"Tickmarks"}</definedName>
    <definedName name="FPPF" hidden="1">#REF!</definedName>
    <definedName name="fpqefjqf" hidden="1">#REF!</definedName>
    <definedName name="FPQEFLQE" hidden="1">#REF!</definedName>
    <definedName name="FPQEFLQEF" hidden="1">#REF!</definedName>
    <definedName name="FPQEFLQEFQL" hidden="1">#REF!</definedName>
    <definedName name="FPQEFQQQ" hidden="1">#REF!</definedName>
    <definedName name="fpqejfqe" hidden="1">#REF!</definedName>
    <definedName name="FPQEL" hidden="1">#REF!</definedName>
    <definedName name="FPQELF" hidden="1">#REF!</definedName>
    <definedName name="FPQELFLQ" hidden="1">#REF!</definedName>
    <definedName name="FPQELFLQLLL" hidden="1">#REF!</definedName>
    <definedName name="FPQELFPLEQ" hidden="1">#REF!</definedName>
    <definedName name="FPQELFQ" hidden="1">#REF!</definedName>
    <definedName name="FPQELFQ2" hidden="1">#REF!</definedName>
    <definedName name="FPQELFQEFLQ" hidden="1">#REF!</definedName>
    <definedName name="FPQELFQELF" hidden="1">#REF!</definedName>
    <definedName name="FPQELFQELFL" hidden="1">#REF!</definedName>
    <definedName name="FPQELFQEQQQQ" hidden="1">#REF!</definedName>
    <definedName name="FPQELFQF" hidden="1">#REF!</definedName>
    <definedName name="FPQELFQL" hidden="1">#REF!</definedName>
    <definedName name="FPQELFQLE" hidden="1">#REF!</definedName>
    <definedName name="FPQELFQLEF" hidden="1">#REF!</definedName>
    <definedName name="FPQELFQLEFL" hidden="1">#REF!</definedName>
    <definedName name="FPQELFQLEFLQ" hidden="1">#REF!</definedName>
    <definedName name="FPQELFQLEFLQFL" hidden="1">#REF!</definedName>
    <definedName name="FPQELFQLFQ" hidden="1">#REF!</definedName>
    <definedName name="FPQELFQQQ" hidden="1">#REF!</definedName>
    <definedName name="fpqeojfmeq" hidden="1">#REF!</definedName>
    <definedName name="FPQEOKFQOEK" hidden="1">#REF!</definedName>
    <definedName name="FPQEPFQELF" hidden="1">#REF!</definedName>
    <definedName name="FPQEPFQELFQ" hidden="1">#REF!</definedName>
    <definedName name="FPQEPFQL" hidden="1">#REF!</definedName>
    <definedName name="FPQFLQEFL" hidden="1">#REF!</definedName>
    <definedName name="FPQFPPQFLQ" hidden="1">#REF!</definedName>
    <definedName name="FPQLEF" hidden="1">#REF!</definedName>
    <definedName name="FPQLEF0" hidden="1">#REF!</definedName>
    <definedName name="FPQLEFLQ" hidden="1">#REF!</definedName>
    <definedName name="FPQLEFPQF" hidden="1">#REF!</definedName>
    <definedName name="FPQLEFPQL" hidden="1">{#N/A,#N/A,FALSE,"Aging Summary";#N/A,#N/A,FALSE,"Ratio Analysis";#N/A,#N/A,FALSE,"Test 120 Day Accts";#N/A,#N/A,FALSE,"Tickmarks"}</definedName>
    <definedName name="FPQLEFPQLF" hidden="1">#REF!</definedName>
    <definedName name="FPQLEFQ" hidden="1">#REF!</definedName>
    <definedName name="FPQLEPFQL" hidden="1">#REF!</definedName>
    <definedName name="FPQLFQ" hidden="1">#REF!</definedName>
    <definedName name="FPQLFQELF" hidden="1">#REF!</definedName>
    <definedName name="FPQLFQF" hidden="1">#REF!</definedName>
    <definedName name="FPQLFQL" hidden="1">#REF!</definedName>
    <definedName name="FPQLFQLEL" hidden="1">#REF!</definedName>
    <definedName name="FPQLWFLQ" hidden="1">#REF!</definedName>
    <definedName name="fprlfprf" hidden="1">{#N/A,#N/A,FALSE,"Aging Summary";#N/A,#N/A,FALSE,"Ratio Analysis";#N/A,#N/A,FALSE,"Test 120 Day Accts";#N/A,#N/A,FALSE,"Tickmarks"}</definedName>
    <definedName name="fpsdlfs" hidden="1">#REF!</definedName>
    <definedName name="fpwefwe" hidden="1">{#N/A,#N/A,FALSE,"Aging Summary";#N/A,#N/A,FALSE,"Ratio Analysis";#N/A,#N/A,FALSE,"Test 120 Day Accts";#N/A,#N/A,FALSE,"Tickmarks"}</definedName>
    <definedName name="fpwefwp" hidden="1">#REF!</definedName>
    <definedName name="fpwejfwe" hidden="1">#REF!</definedName>
    <definedName name="fpwelfw" hidden="1">{#N/A,#N/A,FALSE,"Aging Summary";#N/A,#N/A,FALSE,"Ratio Analysis";#N/A,#N/A,FALSE,"Test 120 Day Accts";#N/A,#N/A,FALSE,"Tickmarks"}</definedName>
    <definedName name="fpweorwo" hidden="1">#REF!</definedName>
    <definedName name="fpwepfwe" hidden="1">#REF!</definedName>
    <definedName name="fpwflpwf" hidden="1">{#N/A,#N/A,FALSE,"Aging Summary";#N/A,#N/A,FALSE,"Ratio Analysis";#N/A,#N/A,FALSE,"Test 120 Day Accts";#N/A,#N/A,FALSE,"Tickmarks"}</definedName>
    <definedName name="fpwflwpf" hidden="1">{#N/A,#N/A,FALSE,"Aging Summary";#N/A,#N/A,FALSE,"Ratio Analysis";#N/A,#N/A,FALSE,"Test 120 Day Accts";#N/A,#N/A,FALSE,"Tickmarks"}</definedName>
    <definedName name="fpwfw" hidden="1">{#N/A,#N/A,FALSE,"Aging Summary";#N/A,#N/A,FALSE,"Ratio Analysis";#N/A,#N/A,FALSE,"Test 120 Day Accts";#N/A,#N/A,FALSE,"Tickmarks"}</definedName>
    <definedName name="fpwfw´" hidden="1">#REF!</definedName>
    <definedName name="fpwfwefw" hidden="1">{#N/A,#N/A,FALSE,"Aging Summary";#N/A,#N/A,FALSE,"Ratio Analysis";#N/A,#N/A,FALSE,"Test 120 Day Accts";#N/A,#N/A,FALSE,"Tickmarks"}</definedName>
    <definedName name="fpwi" hidden="1">#REF!</definedName>
    <definedName name="fpwkf" hidden="1">#REF!</definedName>
    <definedName name="fpwlefpwlfpwf" hidden="1">{#N/A,#N/A,FALSE,"Aging Summary";#N/A,#N/A,FALSE,"Ratio Analysis";#N/A,#N/A,FALSE,"Test 120 Day Accts";#N/A,#N/A,FALSE,"Tickmarks"}</definedName>
    <definedName name="fpwlepfw" hidden="1">{#N/A,#N/A,FALSE,"Aging Summary";#N/A,#N/A,FALSE,"Ratio Analysis";#N/A,#N/A,FALSE,"Test 120 Day Accts";#N/A,#N/A,FALSE,"Tickmarks"}</definedName>
    <definedName name="fpwlepfwlf" hidden="1">{"Schedule_1D",#N/A,FALSE,"I-D"}</definedName>
    <definedName name="fpwlfp" hidden="1">{#N/A,#N/A,FALSE,"Aging Summary";#N/A,#N/A,FALSE,"Ratio Analysis";#N/A,#N/A,FALSE,"Test 120 Day Accts";#N/A,#N/A,FALSE,"Tickmarks"}</definedName>
    <definedName name="fpwlfplwfw"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fpwlfpw" hidden="1">{"Schedule_1B",#N/A,FALSE,"I-B"}</definedName>
    <definedName name="fpwlfpwe" hidden="1">{#N/A,#N/A,FALSE,"Aging Summary";#N/A,#N/A,FALSE,"Ratio Analysis";#N/A,#N/A,FALSE,"Test 120 Day Accts";#N/A,#N/A,FALSE,"Tickmarks"}</definedName>
    <definedName name="fpwlfw" hidden="1">{#N/A,#N/A,FALSE,"invoice ucc";#N/A,#N/A,FALSE,"asiento"}</definedName>
    <definedName name="fpwlfwe" hidden="1">{#N/A,#N/A,FALSE,"Aging Summary";#N/A,#N/A,FALSE,"Ratio Analysis";#N/A,#N/A,FALSE,"Test 120 Day Accts";#N/A,#N/A,FALSE,"Tickmarks"}</definedName>
    <definedName name="fpwlfwf" hidden="1">{#N/A,#N/A,FALSE,"Aging Summary";#N/A,#N/A,FALSE,"Ratio Analysis";#N/A,#N/A,FALSE,"Test 120 Day Accts";#N/A,#N/A,FALSE,"Tickmarks"}</definedName>
    <definedName name="fpwlfwpfl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pwoefw68" hidden="1">#REF!</definedName>
    <definedName name="fpwojef3" hidden="1">#REF!</definedName>
    <definedName name="fpwojf3" hidden="1">#REF!</definedName>
    <definedName name="fpwojfw4" hidden="1">#REF!</definedName>
    <definedName name="fpwpefpwf" hidden="1">{#N/A,#N/A,FALSE,"Aging Summary";#N/A,#N/A,FALSE,"Ratio Analysis";#N/A,#N/A,FALSE,"Test 120 Day Accts";#N/A,#N/A,FALSE,"Tickmarks"}</definedName>
    <definedName name="fpwpf" hidden="1">{#N/A,#N/A,FALSE,"Aging Summary";#N/A,#N/A,FALSE,"Ratio Analysis";#N/A,#N/A,FALSE,"Test 120 Day Accts";#N/A,#N/A,FALSE,"Tickmarks"}</definedName>
    <definedName name="fpwpfw" hidden="1">{#N/A,#N/A,FALSE,"Aging Summary";#N/A,#N/A,FALSE,"Ratio Analysis";#N/A,#N/A,FALSE,"Test 120 Day Accts";#N/A,#N/A,FALSE,"Tickmarks"}</definedName>
    <definedName name="fpwrlfpw" hidden="1">{#N/A,#N/A,FALSE,"Aging Summary";#N/A,#N/A,FALSE,"Ratio Analysis";#N/A,#N/A,FALSE,"Test 120 Day Accts";#N/A,#N/A,FALSE,"Tickmarks"}</definedName>
    <definedName name="FQEOFMQ" hidden="1">{#N/A,#N/A,FALSE,"Aging Summary";#N/A,#N/A,FALSE,"Ratio Analysis";#N/A,#N/A,FALSE,"Test 120 Day Accts";#N/A,#N/A,FALSE,"Tickmarks"}</definedName>
    <definedName name="FQEPFQ´" hidden="1">#REF!</definedName>
    <definedName name="FQFQP" hidden="1">{#N/A,#N/A,FALSE,"Aging Summary";#N/A,#N/A,FALSE,"Ratio Analysis";#N/A,#N/A,FALSE,"Test 120 Day Accts";#N/A,#N/A,FALSE,"Tickmarks"}</definedName>
    <definedName name="FQKEQKFQKF" hidden="1">{#N/A,#N/A,FALSE,"Aging Summary";#N/A,#N/A,FALSE,"Ratio Analysis";#N/A,#N/A,FALSE,"Test 120 Day Accts";#N/A,#N/A,FALSE,"Tickmarks"}</definedName>
    <definedName name="FQOFKQFQP" hidden="1">#REF!</definedName>
    <definedName name="FQOFQKFOQ" hidden="1">{#N/A,#N/A,FALSE,"Aging Summary";#N/A,#N/A,FALSE,"Ratio Analysis";#N/A,#N/A,FALSE,"Test 120 Day Accts";#N/A,#N/A,FALSE,"Tickmarks"}</definedName>
    <definedName name="FQQF" hidden="1">#REF!</definedName>
    <definedName name="FQQQQLP" hidden="1">#REF!</definedName>
    <definedName name="fr" hidden="1">{#N/A,#N/A,FALSE,"SUBSIDIARIAS"}</definedName>
    <definedName name="freferfe" hidden="1">{#N/A,#N/A,FALSE,"Aging Summary";#N/A,#N/A,FALSE,"Ratio Analysis";#N/A,#N/A,FALSE,"Test 120 Day Accts";#N/A,#N/A,FALSE,"Tickmarks"}</definedName>
    <definedName name="fresa" hidden="1">{#N/A,#N/A,FALSE,"Aging Summary";#N/A,#N/A,FALSE,"Ratio Analysis";#N/A,#N/A,FALSE,"Test 120 Day Accts";#N/A,#N/A,FALSE,"Tickmarks"}</definedName>
    <definedName name="frforef" hidden="1">{#N/A,#N/A,FALSE,"Aging Summary";#N/A,#N/A,FALSE,"Ratio Analysis";#N/A,#N/A,FALSE,"Test 120 Day Accts";#N/A,#N/A,FALSE,"Tickmarks"}</definedName>
    <definedName name="frf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rfrf" hidden="1">#REF!</definedName>
    <definedName name="frfrfrf" hidden="1">#REF!</definedName>
    <definedName name="FRFRG" hidden="1">{#N/A,#N/A,FALSE,"Aging Summary";#N/A,#N/A,FALSE,"Ratio Analysis";#N/A,#N/A,FALSE,"Test 120 Day Accts";#N/A,#N/A,FALSE,"Tickmarks"}</definedName>
    <definedName name="frfwflp" hidden="1">{#N/A,#N/A,FALSE,"Aging Summary";#N/A,#N/A,FALSE,"Ratio Analysis";#N/A,#N/A,FALSE,"Test 120 Day Accts";#N/A,#N/A,FALSE,"Tickmarks"}</definedName>
    <definedName name="frgyu" hidden="1">{#N/A,#N/A,FALSE,"Aging Summary";#N/A,#N/A,FALSE,"Ratio Analysis";#N/A,#N/A,FALSE,"Test 120 Day Accts";#N/A,#N/A,FALSE,"Tickmarks"}</definedName>
    <definedName name="frirefe" hidden="1">{#N/A,#N/A,FALSE,"Aging Summary";#N/A,#N/A,FALSE,"Ratio Analysis";#N/A,#N/A,FALSE,"Test 120 Day Accts";#N/A,#N/A,FALSE,"Tickmarks"}</definedName>
    <definedName name="frkrf" hidden="1">#REF!</definedName>
    <definedName name="frlfperf" hidden="1">{#N/A,#N/A,FALSE,"Aging Summary";#N/A,#N/A,FALSE,"Ratio Analysis";#N/A,#N/A,FALSE,"Test 120 Day Accts";#N/A,#N/A,FALSE,"Tickmarks"}</definedName>
    <definedName name="frokfrokfr" hidden="1">{#N/A,#N/A,FALSE,"Aging Summary";#N/A,#N/A,FALSE,"Ratio Analysis";#N/A,#N/A,FALSE,"Test 120 Day Accts";#N/A,#N/A,FALSE,"Tickmarks"}</definedName>
    <definedName name="Fron1" hidden="1">{#N/A,#N/A,FALSE,"Aging Summary";#N/A,#N/A,FALSE,"Ratio Analysis";#N/A,#N/A,FALSE,"Test 120 Day Accts";#N/A,#N/A,FALSE,"Tickmarks"}</definedName>
    <definedName name="Front" hidden="1">{#N/A,#N/A,FALSE,"Aging Summary";#N/A,#N/A,FALSE,"Ratio Analysis";#N/A,#N/A,FALSE,"Test 120 Day Accts";#N/A,#N/A,FALSE,"Tickmarks"}</definedName>
    <definedName name="FRRE" hidden="1">{#N/A,#N/A,FALSE,"Aging Summary";#N/A,#N/A,FALSE,"Ratio Analysis";#N/A,#N/A,FALSE,"Test 120 Day Accts";#N/A,#N/A,FALSE,"Tickmarks"}</definedName>
    <definedName name="FRSDS" hidden="1">{#N/A,#N/A,FALSE,"Aging Summary";#N/A,#N/A,FALSE,"Ratio Analysis";#N/A,#N/A,FALSE,"Test 120 Day Accts";#N/A,#N/A,FALSE,"Tickmarks"}</definedName>
    <definedName name="fsa" hidden="1">{#N/A,#N/A,FALSE,"STRAD";#N/A,#N/A,FALSE,"BELGLO"}</definedName>
    <definedName name="FSAKFA" hidden="1">#REF!</definedName>
    <definedName name="fs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sdasz" hidden="1">{#N/A,#N/A,FALSE,"Aging Summary";#N/A,#N/A,FALSE,"Ratio Analysis";#N/A,#N/A,FALSE,"Test 120 Day Accts";#N/A,#N/A,FALSE,"Tickmarks"}</definedName>
    <definedName name="fsdfdafdsaf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SDFDSF" hidden="1">{#N/A,#N/A,FALSE,"Aging Summary";#N/A,#N/A,FALSE,"Ratio Analysis";#N/A,#N/A,FALSE,"Test 120 Day Accts";#N/A,#N/A,FALSE,"Tickmarks"}</definedName>
    <definedName name="fsdflsdf" hidden="1">{#N/A,#N/A,FALSE,"Aging Summary";#N/A,#N/A,FALSE,"Ratio Analysis";#N/A,#N/A,FALSE,"Test 120 Day Accts";#N/A,#N/A,FALSE,"Tickmarks"}</definedName>
    <definedName name="fsdfs" hidden="1">#REF!</definedName>
    <definedName name="FSDFSCXC" hidden="1">{#N/A,#N/A,FALSE,"Aging Summary";#N/A,#N/A,FALSE,"Ratio Analysis";#N/A,#N/A,FALSE,"Test 120 Day Accts";#N/A,#N/A,FALSE,"Tickmarks"}</definedName>
    <definedName name="fsdfsdf" hidden="1">#REF!</definedName>
    <definedName name="fsfas" hidden="1">{#N/A,#N/A,FALSE,"Aging Summary";#N/A,#N/A,FALSE,"Ratio Analysis";#N/A,#N/A,FALSE,"Test 120 Day Accts";#N/A,#N/A,FALSE,"Tickmarks"}</definedName>
    <definedName name="fsfdf" hidden="1">{#N/A,#N/A,FALSE,"Aging Summary";#N/A,#N/A,FALSE,"Ratio Analysis";#N/A,#N/A,FALSE,"Test 120 Day Accts";#N/A,#N/A,FALSE,"Tickmarks"}</definedName>
    <definedName name="fsfdfdcv" hidden="1">{#N/A,#N/A,FALSE,"Aging Summary";#N/A,#N/A,FALSE,"Ratio Analysis";#N/A,#N/A,FALSE,"Test 120 Day Accts";#N/A,#N/A,FALSE,"Tickmarks"}</definedName>
    <definedName name="FSFDGADADSDSF" hidden="1">{#N/A,#N/A,FALSE,"Aging Summary";#N/A,#N/A,FALSE,"Ratio Analysis";#N/A,#N/A,FALSE,"Test 120 Day Accts";#N/A,#N/A,FALSE,"Tickmarks"}</definedName>
    <definedName name="FSFSF" hidden="1">{#N/A,#N/A,FALSE,"Aging Summary";#N/A,#N/A,FALSE,"Ratio Analysis";#N/A,#N/A,FALSE,"Test 120 Day Accts";#N/A,#N/A,FALSE,"Tickmarks"}</definedName>
    <definedName name="FSJDFSJD" hidden="1">{#N/A,#N/A,FALSE,"Aging Summary";#N/A,#N/A,FALSE,"Ratio Analysis";#N/A,#N/A,FALSE,"Test 120 Day Accts";#N/A,#N/A,FALSE,"Tickmarks"}</definedName>
    <definedName name="fslfspdf" hidden="1">{#N/A,#N/A,FALSE,"Aging Summary";#N/A,#N/A,FALSE,"Ratio Analysis";#N/A,#N/A,FALSE,"Test 120 Day Accts";#N/A,#N/A,FALSE,"Tickmarks"}</definedName>
    <definedName name="fsos" hidden="1">#REF!</definedName>
    <definedName name="ft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UND_STMT" localSheetId="2">#REF!</definedName>
    <definedName name="FUND_STMT" localSheetId="3">#REF!</definedName>
    <definedName name="FUND_STMT">#REF!</definedName>
    <definedName name="FVDSFDSFSD" hidden="1">{"car",#N/A,FALSE,"Cara";"memoria",#N/A,FALSE,"Memoria";"infoaudi",#N/A,FALSE,"INFOAUDI";"com",#N/A,FALSE,"COM";"bal",#N/A,FALSE,"BAL";"res",#N/A,FALSE,"RES";"evo",#N/A,FALSE,"EVO";"oaf",#N/A,FALSE,"OAF";"notas",#N/A,FALSE,"NOT";"0I",#N/A,FALSE,"OI";"II",#N/A,FALSE,"II";"III",#N/A,FALSE,"III";"infoaudi",#N/A,FALSE,"INFOAUDI"}</definedName>
    <definedName name="fvgf" hidden="1">{#N/A,#N/A,FALSE,"Aging Summary";#N/A,#N/A,FALSE,"Ratio Analysis";#N/A,#N/A,FALSE,"Test 120 Day Accts";#N/A,#N/A,FALSE,"Tickmarks"}</definedName>
    <definedName name="fwe" hidden="1">{#N/A,#N/A,FALSE,"Aging Summary";#N/A,#N/A,FALSE,"Ratio Analysis";#N/A,#N/A,FALSE,"Test 120 Day Accts";#N/A,#N/A,FALSE,"Tickmarks"}</definedName>
    <definedName name="fwef" hidden="1">{#N/A,#N/A,FALSE,"Aging Summary";#N/A,#N/A,FALSE,"Ratio Analysis";#N/A,#N/A,FALSE,"Test 120 Day Accts";#N/A,#N/A,FALSE,"Tickmarks"}</definedName>
    <definedName name="fwefkw" hidden="1">{#N/A,#N/A,FALSE,"Aging Summary";#N/A,#N/A,FALSE,"Ratio Analysis";#N/A,#N/A,FALSE,"Test 120 Day Accts";#N/A,#N/A,FALSE,"Tickmarks"}</definedName>
    <definedName name="fwefnw32" hidden="1">#REF!</definedName>
    <definedName name="fwefpwf" hidden="1">#REF!</definedName>
    <definedName name="fwefpwfw" hidden="1">{"'DIFPRE'!$A$2:$M$54"}</definedName>
    <definedName name="fwefw"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wefw´" hidden="1">#REF!</definedName>
    <definedName name="fwefwf" hidden="1">{#N/A,#N/A,FALSE,"Aging Summary";#N/A,#N/A,FALSE,"Ratio Analysis";#N/A,#N/A,FALSE,"Test 120 Day Accts";#N/A,#N/A,FALSE,"Tickmarks"}</definedName>
    <definedName name="fwefwfi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wefwfwf" hidden="1">{#N/A,#N/A,FALSE,"Aging Summary";#N/A,#N/A,FALSE,"Ratio Analysis";#N/A,#N/A,FALSE,"Test 120 Day Accts";#N/A,#N/A,FALSE,"Tickmarks"}</definedName>
    <definedName name="fwefwfwp" hidden="1">#REF!</definedName>
    <definedName name="fwefwofwp" hidden="1">#REF!</definedName>
    <definedName name="fwefwop" hidden="1">#REF!</definedName>
    <definedName name="fwefwp" hidden="1">#REF!</definedName>
    <definedName name="fwefwp´" hidden="1">{#N/A,#N/A,FALSE,"Aging Summary";#N/A,#N/A,FALSE,"Ratio Analysis";#N/A,#N/A,FALSE,"Test 120 Day Accts";#N/A,#N/A,FALSE,"Tickmarks"}</definedName>
    <definedName name="fwefwpf" hidden="1">{#N/A,#N/A,FALSE,"Aging Summary";#N/A,#N/A,FALSE,"Ratio Analysis";#N/A,#N/A,FALSE,"Test 120 Day Accts";#N/A,#N/A,FALSE,"Tickmarks"}</definedName>
    <definedName name="fwefwpo" hidden="1">#REF!</definedName>
    <definedName name="fwei4" hidden="1">#REF!</definedName>
    <definedName name="fweifjwe" hidden="1">#REF!</definedName>
    <definedName name="fweiuhfjwf" hidden="1">#REF!</definedName>
    <definedName name="fwejfw" hidden="1">#REF!</definedName>
    <definedName name="fwejfwef" hidden="1">#REF!</definedName>
    <definedName name="fwejfwi4" hidden="1">#REF!</definedName>
    <definedName name="fwelfwf" hidden="1">{#N/A,#N/A,FALSE,"Aging Summary";#N/A,#N/A,FALSE,"Ratio Analysis";#N/A,#N/A,FALSE,"Test 120 Day Accts";#N/A,#N/A,FALSE,"Tickmarks"}</definedName>
    <definedName name="fweofew8" hidden="1">#REF!</definedName>
    <definedName name="fweofw" hidden="1">{#N/A,#N/A,FALSE,"Aging Summary";#N/A,#N/A,FALSE,"Ratio Analysis";#N/A,#N/A,FALSE,"Test 120 Day Accts";#N/A,#N/A,FALSE,"Tickmarks"}</definedName>
    <definedName name="fweokfw" hidden="1">{#N/A,#N/A,FALSE,"Aging Summary";#N/A,#N/A,FALSE,"Ratio Analysis";#N/A,#N/A,FALSE,"Test 120 Day Accts";#N/A,#N/A,FALSE,"Tickmarks"}</definedName>
    <definedName name="fweokfwoefk" hidden="1">{#N/A,#N/A,FALSE,"Aging Summary";#N/A,#N/A,FALSE,"Ratio Analysis";#N/A,#N/A,FALSE,"Test 120 Day Accts";#N/A,#N/A,FALSE,"Tickmarks"}</definedName>
    <definedName name="fwepflwfw" hidden="1">{#N/A,#N/A,FALSE,"Aging Summary";#N/A,#N/A,FALSE,"Ratio Analysis";#N/A,#N/A,FALSE,"Test 120 Day Accts";#N/A,#N/A,FALSE,"Tickmarks"}</definedName>
    <definedName name="fwepfwk" hidden="1">{"'DIFPRE'!$A$2:$M$54"}</definedName>
    <definedName name="fwfeijwfw" hidden="1">#REF!</definedName>
    <definedName name="fwfewp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wfkwfow" hidden="1">{#N/A,#N/A,FALSE,"Aging Summary";#N/A,#N/A,FALSE,"Ratio Analysis";#N/A,#N/A,FALSE,"Test 120 Day Accts";#N/A,#N/A,FALSE,"Tickmarks"}</definedName>
    <definedName name="fwfkwofk" hidden="1">{"'DIFPRE'!$A$2:$M$54"}</definedName>
    <definedName name="fwfkwpf" hidden="1">{#N/A,#N/A,FALSE,"Aging Summary";#N/A,#N/A,FALSE,"Ratio Analysis";#N/A,#N/A,FALSE,"Test 120 Day Accts";#N/A,#N/A,FALSE,"Tickmarks"}</definedName>
    <definedName name="fwfmw" hidden="1">{#N/A,#N/A,FALSE,"Aging Summary";#N/A,#N/A,FALSE,"Ratio Analysis";#N/A,#N/A,FALSE,"Test 120 Day Accts";#N/A,#N/A,FALSE,"Tickmarks"}</definedName>
    <definedName name="fwfmw0" hidden="1">#REF!</definedName>
    <definedName name="fwfow" hidden="1">{#N/A,#N/A,FALSE,"Aging Summary";#N/A,#N/A,FALSE,"Ratio Analysis";#N/A,#N/A,FALSE,"Test 120 Day Accts";#N/A,#N/A,FALSE,"Tickmarks"}</definedName>
    <definedName name="fwfw" hidden="1">{#N/A,#N/A,FALSE,"Aging Summary";#N/A,#N/A,FALSE,"Ratio Analysis";#N/A,#N/A,FALSE,"Test 120 Day Accts";#N/A,#N/A,FALSE,"Tickmarks"}</definedName>
    <definedName name="fwfwe" hidden="1">#REF!</definedName>
    <definedName name="fwfwefp" hidden="1">{"'DIFPRE'!$A$2:$M$54"}</definedName>
    <definedName name="fwfwepf" hidden="1">{#N/A,#N/A,FALSE,"CAPEX";#N/A,#N/A,FALSE,"PLAN";#N/A,#N/A,FALSE,"REV";#N/A,#N/A,FALSE,"CALOP";#N/A,#N/A,FALSE,"RESOP";#N/A,#N/A,FALSE,"PRES"}</definedName>
    <definedName name="fwfwf´" hidden="1">{"'DIFPRE'!$A$2:$M$54"}</definedName>
    <definedName name="fwfww" hidden="1">#REF!</definedName>
    <definedName name="fwiejf" hidden="1">#REF!</definedName>
    <definedName name="fwifjiwfwf" hidden="1">{#N/A,#N/A,FALSE,"Aging Summary";#N/A,#N/A,FALSE,"Ratio Analysis";#N/A,#N/A,FALSE,"Test 120 Day Accts";#N/A,#N/A,FALSE,"Tickmarks"}</definedName>
    <definedName name="fwifjw32" hidden="1">#REF!</definedName>
    <definedName name="fwijfw" hidden="1">#REF!</definedName>
    <definedName name="fwijfwf" hidden="1">#REF!</definedName>
    <definedName name="fwinmfwinf" hidden="1">{"Schedule_IA",#N/A,FALSE,"I-A"}</definedName>
    <definedName name="fwjfiw" hidden="1">#REF!</definedName>
    <definedName name="fwjfmw" hidden="1">#REF!</definedName>
    <definedName name="fwjfw" hidden="1">#REF!</definedName>
    <definedName name="fwjfw76" hidden="1">#REF!</definedName>
    <definedName name="fwjfwj" hidden="1">#REF!</definedName>
    <definedName name="fwjwfw" hidden="1">#REF!</definedName>
    <definedName name="fwkefw" hidden="1">{#N/A,#N/A,FALSE,"Aging Summary";#N/A,#N/A,FALSE,"Ratio Analysis";#N/A,#N/A,FALSE,"Test 120 Day Accts";#N/A,#N/A,FALSE,"Tickmarks"}</definedName>
    <definedName name="fwkfw" hidden="1">{#N/A,#N/A,FALSE,"Aging Summary";#N/A,#N/A,FALSE,"Ratio Analysis";#N/A,#N/A,FALSE,"Test 120 Day Accts";#N/A,#N/A,FALSE,"Tickmarks"}</definedName>
    <definedName name="fwlfplwf" hidden="1">{#N/A,#N/A,FALSE,"Aging Summary";#N/A,#N/A,FALSE,"Ratio Analysis";#N/A,#N/A,FALSE,"Test 120 Day Accts";#N/A,#N/A,FALSE,"Tickmarks"}</definedName>
    <definedName name="fwnefwnfiwf" hidden="1">{#N/A,#N/A,FALSE,"Aging Summary";#N/A,#N/A,FALSE,"Ratio Analysis";#N/A,#N/A,FALSE,"Test 120 Day Accts";#N/A,#N/A,FALSE,"Tickmarks"}</definedName>
    <definedName name="fwo" hidden="1">#REF!</definedName>
    <definedName name="fwoefwkf" hidden="1">#REF!</definedName>
    <definedName name="fwoekfw" hidden="1">{#N/A,#N/A,FALSE,"Aging Summary";#N/A,#N/A,FALSE,"Ratio Analysis";#N/A,#N/A,FALSE,"Test 120 Day Accts";#N/A,#N/A,FALSE,"Tickmarks"}</definedName>
    <definedName name="fwofkwf" hidden="1">{#N/A,#N/A,FALSE,"Aging Summary";#N/A,#N/A,FALSE,"Ratio Analysis";#N/A,#N/A,FALSE,"Test 120 Day Accts";#N/A,#N/A,FALSE,"Tickmarks"}</definedName>
    <definedName name="fwofw" hidden="1">{#N/A,#N/A,FALSE,"Aging Summary";#N/A,#N/A,FALSE,"Ratio Analysis";#N/A,#N/A,FALSE,"Test 120 Day Accts";#N/A,#N/A,FALSE,"Tickmarks"}</definedName>
    <definedName name="fwofwf" hidden="1">{"'DIFPRE'!$A$2:$M$54"}</definedName>
    <definedName name="fwoiejf324" hidden="1">#REF!</definedName>
    <definedName name="fwoijfwif45" hidden="1">#REF!</definedName>
    <definedName name="fwokf45" hidden="1">#REF!</definedName>
    <definedName name="fwokfwoef" hidden="1">#REF!</definedName>
    <definedName name="fwokjgw0" hidden="1">#REF!</definedName>
    <definedName name="fwpefw" hidden="1">#REF!</definedName>
    <definedName name="fwpejfw8" hidden="1">#REF!</definedName>
    <definedName name="fwpelfwpf" hidden="1">{#N/A,#N/A,FALSE,"Aging Summary";#N/A,#N/A,FALSE,"Ratio Analysis";#N/A,#N/A,FALSE,"Test 120 Day Accts";#N/A,#N/A,FALSE,"Tickmarks"}</definedName>
    <definedName name="fwpflw" hidden="1">{#N/A,#N/A,FALSE,"Aging Summary";#N/A,#N/A,FALSE,"Ratio Analysis";#N/A,#N/A,FALSE,"Test 120 Day Accts";#N/A,#N/A,FALSE,"Tickmarks"}</definedName>
    <definedName name="fwpfwpef" hidden="1">#REF!</definedName>
    <definedName name="fwpfwpef´" hidden="1">{#N/A,#N/A,FALSE,"Aging Summary";#N/A,#N/A,FALSE,"Ratio Analysis";#N/A,#N/A,FALSE,"Test 120 Day Accts";#N/A,#N/A,FALSE,"Tickmarks"}</definedName>
    <definedName name="fwpfwpfw" hidden="1">{#N/A,#N/A,FALSE,"Aging Summary";#N/A,#N/A,FALSE,"Ratio Analysis";#N/A,#N/A,FALSE,"Test 120 Day Accts";#N/A,#N/A,FALSE,"Tickmarks"}</definedName>
    <definedName name="fwpleflwplfwp"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fwplfpw" hidden="1">#REF!</definedName>
    <definedName name="fwqejfoiw" hidden="1">{#N/A,#N/A,FALSE,"Aging Summary";#N/A,#N/A,FALSE,"Ratio Analysis";#N/A,#N/A,FALSE,"Test 120 Day Accts";#N/A,#N/A,FALSE,"Tickmarks"}</definedName>
    <definedName name="fwrofwrf" hidden="1">{#N/A,#N/A,FALSE,"Aging Summary";#N/A,#N/A,FALSE,"Ratio Analysis";#N/A,#N/A,FALSE,"Test 120 Day Accts";#N/A,#N/A,FALSE,"Tickmarks"}</definedName>
    <definedName name="fx" hidden="1">{#N/A,#N/A,FALSE,"ENERGIA";#N/A,#N/A,FALSE,"PERDIDAS";#N/A,#N/A,FALSE,"CLIENTES";#N/A,#N/A,FALSE,"ESTADO";#N/A,#N/A,FALSE,"TECNICA"}</definedName>
    <definedName name="fyg" hidden="1">{#N/A,#N/A,FALSE,"Aging Summary";#N/A,#N/A,FALSE,"Ratio Analysis";#N/A,#N/A,FALSE,"Test 120 Day Accts";#N/A,#N/A,FALSE,"Tickmarks"}</definedName>
    <definedName name="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rwogw9" hidden="1">#REF!</definedName>
    <definedName name="g´wojewojwe" hidden="1">#REF!</definedName>
    <definedName name="g´wokrw0" hidden="1">#REF!</definedName>
    <definedName name="g´wrgw0" hidden="1">#REF!</definedName>
    <definedName name="g55f5f5" hidden="1">{"'DIFPRE'!$A$2:$M$54"}</definedName>
    <definedName name="g5g5gg" hidden="1">{#N/A,#N/A,FALSE,"Aging Summary";#N/A,#N/A,FALSE,"Ratio Analysis";#N/A,#N/A,FALSE,"Test 120 Day Accts";#N/A,#N/A,FALSE,"Tickmarks"}</definedName>
    <definedName name="ga" hidden="1">{#N/A,#N/A,FALSE,"Aging Summary";#N/A,#N/A,FALSE,"Ratio Analysis";#N/A,#N/A,FALSE,"Test 120 Day Accts";#N/A,#N/A,FALSE,"Tickmarks"}</definedName>
    <definedName name="GABY" hidden="1">{"'DIFPRE'!$A$2:$M$54"}</definedName>
    <definedName name="GAN" hidden="1">{#N/A,#N/A,FALSE,"Aging Summary";#N/A,#N/A,FALSE,"Ratio Analysis";#N/A,#N/A,FALSE,"Test 120 Day Accts";#N/A,#N/A,FALSE,"Tickmarks"}</definedName>
    <definedName name="GANAN" hidden="1">{#N/A,#N/A,FALSE,"Aging Summary";#N/A,#N/A,FALSE,"Ratio Analysis";#N/A,#N/A,FALSE,"Test 120 Day Accts";#N/A,#N/A,FALSE,"Tickmarks"}</definedName>
    <definedName name="GANANA" hidden="1">{#N/A,#N/A,FALSE,"Aging Summary";#N/A,#N/A,FALSE,"Ratio Analysis";#N/A,#N/A,FALSE,"Test 120 Day Accts";#N/A,#N/A,FALSE,"Tickmarks"}</definedName>
    <definedName name="ganancia" hidden="1">{#N/A,#N/A,FALSE,"Aging Summary";#N/A,#N/A,FALSE,"Ratio Analysis";#N/A,#N/A,FALSE,"Test 120 Day Accts";#N/A,#N/A,FALSE,"Tickmarks"}</definedName>
    <definedName name="ganancia3" hidden="1">{#N/A,#N/A,FALSE,"Aging Summary";#N/A,#N/A,FALSE,"Ratio Analysis";#N/A,#N/A,FALSE,"Test 120 Day Accts";#N/A,#N/A,FALSE,"Tickmarks"}</definedName>
    <definedName name="GANJUNIO" hidden="1">{#N/A,#N/A,FALSE,"Aging Summary";#N/A,#N/A,FALSE,"Ratio Analysis";#N/A,#N/A,FALSE,"Test 120 Day Accts";#N/A,#N/A,FALSE,"Tickmarks"}</definedName>
    <definedName name="gannn" hidden="1">{#N/A,#N/A,TRUE,"ComparativoII"}</definedName>
    <definedName name="GANputa" hidden="1">#REF!</definedName>
    <definedName name="GANSSS" hidden="1">0</definedName>
    <definedName nam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N" hidden="1">{#N/A,#N/A,FALSE,"Aging Summary";#N/A,#N/A,FALSE,"Ratio Analysis";#N/A,#N/A,FALSE,"Test 120 Day Accts";#N/A,#N/A,FALSE,"Tickmarks"}</definedName>
    <definedName name="Gastosgescop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sgescop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to" hidden="1">{#N/A,#N/A,FALSE,"Aging Summary";#N/A,#N/A,FALSE,"Ratio Analysis";#N/A,#N/A,FALSE,"Test 120 Day Accts";#N/A,#N/A,FALSE,"Tickmarks"}</definedName>
    <definedName name="GBB" hidden="1">{#N/A,#N/A,FALSE,"Aging Summary";#N/A,#N/A,FALSE,"Ratio Analysis";#N/A,#N/A,FALSE,"Test 120 Day Accts";#N/A,#N/A,FALSE,"Tickmarks"}</definedName>
    <definedName name="gbbgbg" hidden="1">#REF!</definedName>
    <definedName name="GCCIA" hidden="1">{#N/A,#N/A,FALSE,"Aging Summary";#N/A,#N/A,FALSE,"Ratio Analysis";#N/A,#N/A,FALSE,"Test 120 Day Accts";#N/A,#N/A,FALSE,"Tickmarks"}</definedName>
    <definedName name="gçgçg" hidden="1">{#N/A,#N/A,FALSE,"Aging Summary";#N/A,#N/A,FALSE,"Ratio Analysis";#N/A,#N/A,FALSE,"Test 120 Day Accts";#N/A,#N/A,FALSE,"Tickmarks"}</definedName>
    <definedName name="gch" hidden="1">#REF!</definedName>
    <definedName name="GCIA" localSheetId="2" hidden="1">{#N/A,#N/A,FALSE,"Aging Summary";#N/A,#N/A,FALSE,"Ratio Analysis";#N/A,#N/A,FALSE,"Test 120 Day Accts";#N/A,#N/A,FALSE,"Tickmarks"}</definedName>
    <definedName name="GCIA" localSheetId="3" hidden="1">{#N/A,#N/A,FALSE,"Aging Summary";#N/A,#N/A,FALSE,"Ratio Analysis";#N/A,#N/A,FALSE,"Test 120 Day Accts";#N/A,#N/A,FALSE,"Tickmarks"}</definedName>
    <definedName name="GCIA" localSheetId="0" hidden="1">{#N/A,#N/A,FALSE,"Aging Summary";#N/A,#N/A,FALSE,"Ratio Analysis";#N/A,#N/A,FALSE,"Test 120 Day Accts";#N/A,#N/A,FALSE,"Tickmarks"}</definedName>
    <definedName name="GCIA" hidden="1">{#N/A,#N/A,FALSE,"Aging Summary";#N/A,#N/A,FALSE,"Ratio Analysis";#N/A,#N/A,FALSE,"Test 120 Day Accts";#N/A,#N/A,FALSE,"Tickmarks"}</definedName>
    <definedName name="GCIA2" hidden="1">{#N/A,#N/A,FALSE,"Aging Summary";#N/A,#N/A,FALSE,"Ratio Analysis";#N/A,#N/A,FALSE,"Test 120 Day Accts";#N/A,#N/A,FALSE,"Tickmarks"}</definedName>
    <definedName name="gd" hidden="1">{#N/A,#N/A,FALSE,"STRAD";#N/A,#N/A,FALSE,"BELGLO"}</definedName>
    <definedName name="GDFRD" hidden="1">{#N/A,#N/A,FALSE,"Aging Summary";#N/A,#N/A,FALSE,"Ratio Analysis";#N/A,#N/A,FALSE,"Test 120 Day Accts";#N/A,#N/A,FALSE,"Tickmarks"}</definedName>
    <definedName name="GDG" hidden="1">{#N/A,#N/A,FALSE,"Aging Summary";#N/A,#N/A,FALSE,"Ratio Analysis";#N/A,#N/A,FALSE,"Test 120 Day Accts";#N/A,#N/A,FALSE,"Tickmarks"}</definedName>
    <definedName name="gdgd" hidden="1">{#N/A,#N/A,FALSE,"STRAD";#N/A,#N/A,FALSE,"BELGLO"}</definedName>
    <definedName name="GDGGG" hidden="1">{#N/A,#N/A,FALSE,"Aging Summary";#N/A,#N/A,FALSE,"Ratio Analysis";#N/A,#N/A,FALSE,"Test 120 Day Accts";#N/A,#N/A,FALSE,"Tickmarks"}</definedName>
    <definedName name="gdhbg" hidden="1">#REF!</definedName>
    <definedName name="gdhyfgcv" hidden="1">#REF!</definedName>
    <definedName name="gds" hidden="1">{#N/A,#N/A,FALSE,"STRAD";#N/A,#N/A,FALSE,"BELGLO"}</definedName>
    <definedName name="GEE" hidden="1">#REF!</definedName>
    <definedName name="GEGE" hidden="1">#REF!</definedName>
    <definedName name="GEGEG" hidden="1">#REF!</definedName>
    <definedName name="GERMAN" hidden="1">{#N/A,#N/A,FALSE,"Aging Summary";#N/A,#N/A,FALSE,"Ratio Analysis";#N/A,#N/A,FALSE,"Test 120 Day Accts";#N/A,#N/A,FALSE,"Tickmarks"}</definedName>
    <definedName name="GERMAN1" hidden="1">{#N/A,#N/A,FALSE,"Aging Summary";#N/A,#N/A,FALSE,"Ratio Analysis";#N/A,#N/A,FALSE,"Test 120 Day Accts";#N/A,#N/A,FALSE,"Tickmarks"}</definedName>
    <definedName name="gerogje" hidden="1">#REF!</definedName>
    <definedName name="ges" hidden="1">{#N/A,#N/A,FALSE,"balance";#N/A,#N/A,FALSE,"resultados";#N/A,#N/A,FALSE,"patrimonio";#N/A,#N/A,FALSE,"bienes uso";#N/A,#N/A,FALSE,"art.64"}</definedName>
    <definedName name="g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fafdgra" hidden="1">{#N/A,#N/A,FALSE,"Aging Summary";#N/A,#N/A,FALSE,"Ratio Analysis";#N/A,#N/A,FALSE,"Test 120 Day Accts";#N/A,#N/A,FALSE,"Tickmarks"}</definedName>
    <definedName name="gfd" hidden="1">#REF!</definedName>
    <definedName name="gfddd" hidden="1">#REF!</definedName>
    <definedName name="gffd" hidden="1">#REF!</definedName>
    <definedName name="GFG" hidden="1">{#N/A,#N/A,FALSE,"Aging Summary";#N/A,#N/A,FALSE,"Ratio Analysis";#N/A,#N/A,FALSE,"Test 120 Day Accts";#N/A,#N/A,FALSE,"Tickmarks"}</definedName>
    <definedName name="gfgfg" hidden="1">{#N/A,#N/A,FALSE,"Aging Summary";#N/A,#N/A,FALSE,"Ratio Analysis";#N/A,#N/A,FALSE,"Test 120 Day Accts";#N/A,#N/A,FALSE,"Tickmarks"}</definedName>
    <definedName name="GFGG" hidden="1">{#N/A,#N/A,FALSE,"Aging Summary";#N/A,#N/A,FALSE,"Ratio Analysis";#N/A,#N/A,FALSE,"Test 120 Day Accts";#N/A,#N/A,FALSE,"Tickmarks"}</definedName>
    <definedName name="gfiwjt4" hidden="1">#REF!</definedName>
    <definedName name="gfpwijgw4" hidden="1">#REF!</definedName>
    <definedName name="gfworkt4" hidden="1">#REF!</definedName>
    <definedName name="GG" hidden="1">{#N/A,#N/A,FALSE,"Aging Summary";#N/A,#N/A,FALSE,"Ratio Analysis";#N/A,#N/A,FALSE,"Test 120 Day Accts";#N/A,#N/A,FALSE,"Tickmarks"}</definedName>
    <definedName name="GGAN" hidden="1">{#N/A,#N/A,FALSE,"Aging Summary";#N/A,#N/A,FALSE,"Ratio Analysis";#N/A,#N/A,FALSE,"Test 120 Day Accts";#N/A,#N/A,FALSE,"Tickmarks"}</definedName>
    <definedName name="GGFG" hidden="1">{#N/A,#N/A,FALSE,"Aging Summary";#N/A,#N/A,FALSE,"Ratio Analysis";#N/A,#N/A,FALSE,"Test 120 Day Accts";#N/A,#N/A,FALSE,"Tickmarks"}</definedName>
    <definedName name="ggg" hidden="1">{"'DIFPRE'!$A$2:$M$54"}</definedName>
    <definedName name="GGGAN" hidden="1">{#N/A,#N/A,FALSE,"Aging Summary";#N/A,#N/A,FALSE,"Ratio Analysis";#N/A,#N/A,FALSE,"Test 120 Day Accts";#N/A,#N/A,FALSE,"Tickmarks"}</definedName>
    <definedName name="gggg" hidden="1">{#N/A,#N/A,FALSE,"Aging Summary";#N/A,#N/A,FALSE,"Ratio Analysis";#N/A,#N/A,FALSE,"Test 120 Day Accts";#N/A,#N/A,FALSE,"Tickmarks"}</definedName>
    <definedName name="GGGGAN" hidden="1">{#N/A,#N/A,FALSE,"Aging Summary";#N/A,#N/A,FALSE,"Ratio Analysis";#N/A,#N/A,FALSE,"Test 120 Day Accts";#N/A,#N/A,FALSE,"Tickmarks"}</definedName>
    <definedName name="GGGGG" hidden="1">{#N/A,#N/A,FALSE,"Aging Summary";#N/A,#N/A,FALSE,"Ratio Analysis";#N/A,#N/A,FALSE,"Test 120 Day Accts";#N/A,#N/A,FALSE,"Tickmarks"}</definedName>
    <definedName name="GGGGGG" hidden="1">{#N/A,#N/A,FALSE,"Aging Summary";#N/A,#N/A,FALSE,"Ratio Analysis";#N/A,#N/A,FALSE,"Test 120 Day Accts";#N/A,#N/A,FALSE,"Tickmarks"}</definedName>
    <definedName name="GGGGGGG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GGGGGGGGG" hidden="1">{#N/A,#N/A,FALSE,"Aging Summary";#N/A,#N/A,FALSE,"Ratio Analysis";#N/A,#N/A,FALSE,"Test 120 Day Accts";#N/A,#N/A,FALSE,"Tickmarks"}</definedName>
    <definedName name="GGGGGGGGGGG" hidden="1">{#N/A,#N/A,FALSE,"Aging Summary";#N/A,#N/A,FALSE,"Ratio Analysis";#N/A,#N/A,FALSE,"Test 120 Day Accts";#N/A,#N/A,FALSE,"Tickmarks"}</definedName>
    <definedName name="ggggggggggggg" hidden="1">{#N/A,#N/A,FALSE,"Aging Summary";#N/A,#N/A,FALSE,"Ratio Analysis";#N/A,#N/A,FALSE,"Test 120 Day Accts";#N/A,#N/A,FALSE,"Tickmarks"}</definedName>
    <definedName name="gggggggggggggg" hidden="1">{#N/A,#N/A,FALSE,"Aging Summary";#N/A,#N/A,FALSE,"Ratio Analysis";#N/A,#N/A,FALSE,"Test 120 Day Accts";#N/A,#N/A,FALSE,"Tickmarks"}</definedName>
    <definedName name="ggggggggggggggggggggg" hidden="1">{#N/A,#N/A,FALSE,"Aging Summary";#N/A,#N/A,FALSE,"Ratio Analysis";#N/A,#N/A,FALSE,"Test 120 Day Accts";#N/A,#N/A,FALSE,"Tickmarks"}</definedName>
    <definedName name="gghgh" hidden="1">{#N/A,#N/A,FALSE,"Aging Summary";#N/A,#N/A,FALSE,"Ratio Analysis";#N/A,#N/A,FALSE,"Test 120 Day Accts";#N/A,#N/A,FALSE,"Tickmarks"}</definedName>
    <definedName name="GGHJK" hidden="1">{#N/A,#N/A,FALSE,"Aging Summary";#N/A,#N/A,FALSE,"Ratio Analysis";#N/A,#N/A,FALSE,"Test 120 Day Accts";#N/A,#N/A,FALSE,"Tickmarks"}</definedName>
    <definedName name="gh" hidden="1">{"'DIFPRE'!$A$2:$M$54"}</definedName>
    <definedName name="ghfgghuh" hidden="1">#REF!</definedName>
    <definedName name="GHG" hidden="1">{#N/A,#N/A,FALSE,"Aging Summary";#N/A,#N/A,FALSE,"Ratio Analysis";#N/A,#N/A,FALSE,"Test 120 Day Accts";#N/A,#N/A,FALSE,"Tickmarks"}</definedName>
    <definedName name="ghgh" hidden="1">{#N/A,#N/A,FALSE,"Aging Summary";#N/A,#N/A,FALSE,"Ratio Analysis";#N/A,#N/A,FALSE,"Test 120 Day Accts";#N/A,#N/A,FALSE,"Tickmarks"}</definedName>
    <definedName name="ghghghgh" hidden="1">{#N/A,#N/A,FALSE,"Aging Summary";#N/A,#N/A,FALSE,"Ratio Analysis";#N/A,#N/A,FALSE,"Test 120 Day Accts";#N/A,#N/A,FALSE,"Tickmarks"}</definedName>
    <definedName name="GHH" hidden="1">{#N/A,#N/A,FALSE,"Aging Summary";#N/A,#N/A,FALSE,"Ratio Analysis";#N/A,#N/A,FALSE,"Test 120 Day Accts";#N/A,#N/A,FALSE,"Tickmarks"}</definedName>
    <definedName name="GHHG" hidden="1">{#N/A,#N/A,FALSE,"Aging Summary";#N/A,#N/A,FALSE,"Ratio Analysis";#N/A,#N/A,FALSE,"Test 120 Day Accts";#N/A,#N/A,FALSE,"Tickmarks"}</definedName>
    <definedName name="ghhgh" hidden="1">{#N/A,#N/A,FALSE,"Aging Summary";#N/A,#N/A,FALSE,"Ratio Analysis";#N/A,#N/A,FALSE,"Test 120 Day Accts";#N/A,#N/A,FALSE,"Tickmarks"}</definedName>
    <definedName name="GHJ" hidden="1">{#N/A,#N/A,FALSE,"Aging Summary";#N/A,#N/A,FALSE,"Ratio Analysis";#N/A,#N/A,FALSE,"Test 120 Day Accts";#N/A,#N/A,FALSE,"Tickmarks"}</definedName>
    <definedName name="ghjgk" hidden="1">#REF!</definedName>
    <definedName name="ghjk" hidden="1">{#N/A,#N/A,FALSE,"EDO. RES. CNB";#N/A,#N/A,FALSE,"TRIMESTRAL"}</definedName>
    <definedName name="ghmg" hidden="1">#REF!</definedName>
    <definedName name="gilmo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wjgw" hidden="1">#REF!</definedName>
    <definedName name="gjgwrgw2" hidden="1">#REF!</definedName>
    <definedName name="gjkh" hidden="1">{#N/A,#N/A,FALSE,"Aging Summary";#N/A,#N/A,FALSE,"Ratio Analysis";#N/A,#N/A,FALSE,"Test 120 Day Accts";#N/A,#N/A,FALSE,"Tickmarks"}</definedName>
    <definedName name="gjreg" hidden="1">#REF!</definedName>
    <definedName name="gjwg" hidden="1">#REF!</definedName>
    <definedName name="gkei" hidden="1">#REF!</definedName>
    <definedName name="gkeorkge" hidden="1">{#N/A,#N/A,FALSE,"Aging Summary";#N/A,#N/A,FALSE,"Ratio Analysis";#N/A,#N/A,FALSE,"Test 120 Day Accts";#N/A,#N/A,FALSE,"Tickmarks"}</definedName>
    <definedName name="gkjhgjgh" hidden="1">{#N/A,#N/A,FALSE,"STRAD";#N/A,#N/A,FALSE,"BELGLO"}</definedName>
    <definedName name="gkorkgr" hidden="1">{#N/A,#N/A,FALSE,"Variables";#N/A,#N/A,FALSE,"Patrim"}</definedName>
    <definedName name="gkrokg" hidden="1">{"Schedule_1D",#N/A,FALSE,"I-D"}</definedName>
    <definedName name="gme" hidden="1">#REF!</definedName>
    <definedName name="gmp" hidden="1">{#N/A,#N/A,FALSE,"Aging Summary";#N/A,#N/A,FALSE,"Ratio Analysis";#N/A,#N/A,FALSE,"Test 120 Day Accts";#N/A,#N/A,FALSE,"Tickmarks"}</definedName>
    <definedName name="gmpwrmgow" hidden="1">{#N/A,#N/A,FALSE,"Aging Summary";#N/A,#N/A,FALSE,"Ratio Analysis";#N/A,#N/A,FALSE,"Test 120 Day Accts";#N/A,#N/A,FALSE,"Tickmarks"}</definedName>
    <definedName name="goerkg" hidden="1">{#N/A,#N/A,FALSE,"Aging Summary";#N/A,#N/A,FALSE,"Ratio Analysis";#N/A,#N/A,FALSE,"Test 120 Day Accts";#N/A,#N/A,FALSE,"Tickmarks"}</definedName>
    <definedName name="goewgwk" hidden="1">#REF!</definedName>
    <definedName name="gokerkg" hidden="1">{#N/A,#N/A,FALSE,"Aging Summary";#N/A,#N/A,FALSE,"Ratio Analysis";#N/A,#N/A,FALSE,"Test 120 Day Accts";#N/A,#N/A,FALSE,"Tickmarks"}</definedName>
    <definedName name="gokgw3" hidden="1">#REF!</definedName>
    <definedName name="gokjgwj2" hidden="1">#REF!</definedName>
    <definedName name="gokreg" hidden="1">{#N/A,#N/A,FALSE,"Aging Summary";#N/A,#N/A,FALSE,"Ratio Analysis";#N/A,#N/A,FALSE,"Test 120 Day Accts";#N/A,#N/A,FALSE,"Tickmarks"}</definedName>
    <definedName name="gokrokgr" hidden="1">{#N/A,#N/A,FALSE,"Aging Summary";#N/A,#N/A,FALSE,"Ratio Analysis";#N/A,#N/A,FALSE,"Test 120 Day Accts";#N/A,#N/A,FALSE,"Tickmarks"}</definedName>
    <definedName name="goktg" hidden="1">{#N/A,#N/A,FALSE,"Aging Summary";#N/A,#N/A,FALSE,"Ratio Analysis";#N/A,#N/A,FALSE,"Test 120 Day Accts";#N/A,#N/A,FALSE,"Tickmarks"}</definedName>
    <definedName name="GOMA" hidden="1">{#N/A,#N/A,FALSE,"Aging Summary";#N/A,#N/A,FALSE,"Ratio Analysis";#N/A,#N/A,FALSE,"Test 120 Day Accts";#N/A,#N/A,FALSE,"Tickmarks"}</definedName>
    <definedName name="gooo" hidden="1">{#N/A,#N/A,FALSE,"Aging Summary";#N/A,#N/A,FALSE,"Ratio Analysis";#N/A,#N/A,FALSE,"Test 120 Day Accts";#N/A,#N/A,FALSE,"Tickmarks"}</definedName>
    <definedName name="gorekg" hidden="1">{#N/A,#N/A,FALSE,"Aging Summary";#N/A,#N/A,FALSE,"Ratio Analysis";#N/A,#N/A,FALSE,"Test 120 Day Accts";#N/A,#N/A,FALSE,"Tickmarks"}</definedName>
    <definedName name="gorgkr" hidden="1">#REF!</definedName>
    <definedName name="gorwkgw43" hidden="1">#REF!</definedName>
    <definedName name="gowjw" hidden="1">#REF!</definedName>
    <definedName name="gówkg4" hidden="1">#REF!</definedName>
    <definedName name="gowkgw0" hidden="1">#REF!</definedName>
    <definedName name="gpiwjgw" hidden="1">#REF!</definedName>
    <definedName name="gplreg" hidden="1">{#N/A,#N/A,FALSE,"Aging Summary";#N/A,#N/A,FALSE,"Ratio Analysis";#N/A,#N/A,FALSE,"Test 120 Day Accts";#N/A,#N/A,FALSE,"Tickmarks"}</definedName>
    <definedName name="gpltgp" hidden="1">{#N/A,#N/A,FALSE,"Aging Summary";#N/A,#N/A,FALSE,"Ratio Analysis";#N/A,#N/A,FALSE,"Test 120 Day Accts";#N/A,#N/A,FALSE,"Tickmarks"}</definedName>
    <definedName name="gpltpg" hidden="1">{#N/A,#N/A,FALSE,"Aging Summary";#N/A,#N/A,FALSE,"Ratio Analysis";#N/A,#N/A,FALSE,"Test 120 Day Accts";#N/A,#N/A,FALSE,"Tickmarks"}</definedName>
    <definedName name="Gpo_gstos" hidden="1">{#N/A,#N/A,FALSE,"SUBSIDIARIAS"}</definedName>
    <definedName name="gpoiwjgw3" hidden="1">#REF!</definedName>
    <definedName name="gpowjw" hidden="1">#REF!</definedName>
    <definedName name="gpowkgw3" hidden="1">#REF!</definedName>
    <definedName name="gpowrg0" hidden="1">#REF!</definedName>
    <definedName name="gpwj" hidden="1">#REF!</definedName>
    <definedName name="gpwjgw" hidden="1">#REF!</definedName>
    <definedName name="gpwjgw3" hidden="1">#REF!</definedName>
    <definedName name="gpwojw" hidden="1">#REF!</definedName>
    <definedName name="gr" hidden="1">{#N/A,#N/A,FALSE,"Aging Summary";#N/A,#N/A,FALSE,"Ratio Analysis";#N/A,#N/A,FALSE,"Test 120 Day Accts";#N/A,#N/A,FALSE,"Tickmarks"}</definedName>
    <definedName name="gran" hidden="1">{#N/A,#N/A,FALSE,"Aging Summary";#N/A,#N/A,FALSE,"Ratio Analysis";#N/A,#N/A,FALSE,"Test 120 Day Accts";#N/A,#N/A,FALSE,"Tickmarks"}</definedName>
    <definedName name="GRAPH1" localSheetId="2">#REF!</definedName>
    <definedName name="GRAPH1" localSheetId="3">#REF!</definedName>
    <definedName name="GRAPH1">#REF!</definedName>
    <definedName name="GRAPH2" localSheetId="2">#REF!</definedName>
    <definedName name="GRAPH2" localSheetId="3">#REF!</definedName>
    <definedName name="GRAPH2">#REF!</definedName>
    <definedName name="GRAPH3" localSheetId="2">#REF!</definedName>
    <definedName name="GRAPH3" localSheetId="3">#REF!</definedName>
    <definedName name="GRAPH3">#REF!</definedName>
    <definedName name="GRAPH4" localSheetId="2">#REF!</definedName>
    <definedName name="GRAPH4" localSheetId="3">#REF!</definedName>
    <definedName name="GRAPH4">#REF!</definedName>
    <definedName name="GRAPH5" localSheetId="2">#REF!</definedName>
    <definedName name="GRAPH5" localSheetId="3">#REF!</definedName>
    <definedName name="GRAPH5">#REF!</definedName>
    <definedName name="GRAPH6" localSheetId="2">#REF!</definedName>
    <definedName name="GRAPH6" localSheetId="3">#REF!</definedName>
    <definedName name="GRAPH6">#REF!</definedName>
    <definedName name="GRAPH7" localSheetId="2">#REF!</definedName>
    <definedName name="GRAPH7" localSheetId="3">#REF!</definedName>
    <definedName name="GRAPH7">#REF!</definedName>
    <definedName name="Grfive" localSheetId="2">#REF!</definedName>
    <definedName name="Grfive" localSheetId="3">#REF!</definedName>
    <definedName name="Grfive">#REF!</definedName>
    <definedName name="Grfour" localSheetId="2">#REF!</definedName>
    <definedName name="Grfour" localSheetId="3">#REF!</definedName>
    <definedName name="Grfour">#REF!</definedName>
    <definedName name="grgr" hidden="1">{"maq y eq",#N/A,TRUE,"Maq y Eq";"rodados",#N/A,TRUE,"Rodados"}</definedName>
    <definedName name="grgrgr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rone" localSheetId="2">#REF!</definedName>
    <definedName name="Grone" localSheetId="3">#REF!</definedName>
    <definedName name="Grone">#REF!</definedName>
    <definedName name="Grsix" localSheetId="2">#REF!</definedName>
    <definedName name="Grsix" localSheetId="3">#REF!</definedName>
    <definedName name="Grsix">#REF!</definedName>
    <definedName name="Grthree">'[3]Cycle Time Graph'!$A$7:$U$59</definedName>
    <definedName name="Grtwo">[3]Utilization!$A$1:$L$45</definedName>
    <definedName name="gsdgdsdgsd" hidden="1">{#N/A,#N/A,FALSE,"STRAD";#N/A,#N/A,FALSE,"BELGLO"}</definedName>
    <definedName name="gsdgsdsg" hidden="1">{#N/A,#N/A,FALSE,"STRAD";#N/A,#N/A,FALSE,"BELGLO"}</definedName>
    <definedName name="gsdsdsgsgsdfg" hidden="1">{#N/A,#N/A,FALSE,"STRAD";#N/A,#N/A,FALSE,"BELGLO"}</definedName>
    <definedName name="gsgg" hidden="1">{#N/A,#N/A,FALSE,"STRAD";#N/A,#N/A,FALSE,"BELGLO"}</definedName>
    <definedName name="gt" hidden="1">{#N/A,#N/A,FALSE,"SUBSIDIARIAS"}</definedName>
    <definedName name="gtgtgt" hidden="1">{"'DIFPRE'!$A$2:$M$54"}</definedName>
    <definedName name="gtr" hidden="1">{#N/A,#N/A,FALSE,"EDO. RES. INT";#N/A,#N/A,FALSE,"EDO. RES. CNB";#N/A,#N/A,FALSE,"EDO. RES. CONT."}</definedName>
    <definedName name="gtree" hidden="1">{#N/A,#N/A,FALSE,"Aging Summary";#N/A,#N/A,FALSE,"Ratio Analysis";#N/A,#N/A,FALSE,"Test 120 Day Accts";#N/A,#N/A,FALSE,"Tickmarks"}</definedName>
    <definedName name="GTRTG" hidden="1">{#N/A,#N/A,FALSE,"Aging Summary";#N/A,#N/A,FALSE,"Ratio Analysis";#N/A,#N/A,FALSE,"Test 120 Day Accts";#N/A,#N/A,FALSE,"Tickmarks"}</definedName>
    <definedName name="gttgg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ttgt" hidden="1">{#N/A,#N/A,FALSE,"Aging Summary";#N/A,#N/A,FALSE,"Ratio Analysis";#N/A,#N/A,FALSE,"Test 120 Day Accts";#N/A,#N/A,FALSE,"Tickmarks"}</definedName>
    <definedName name="GUA" hidden="1">{#N/A,#N/A,FALSE,"Aging Summary";#N/A,#N/A,FALSE,"Ratio Analysis";#N/A,#N/A,FALSE,"Test 120 Day Accts";#N/A,#N/A,FALSE,"Tickmarks"}</definedName>
    <definedName name="gui" hidden="1">{#N/A,#N/A,FALSE,"Aging Summary";#N/A,#N/A,FALSE,"Ratio Analysis";#N/A,#N/A,FALSE,"Test 120 Day Accts";#N/A,#N/A,FALSE,"Tickmarks"}</definedName>
    <definedName name="GVBF" hidden="1">{#N/A,#N/A,FALSE,"Aging Summary";#N/A,#N/A,FALSE,"Ratio Analysis";#N/A,#N/A,FALSE,"Test 120 Day Accts";#N/A,#N/A,FALSE,"Tickmarks"}</definedName>
    <definedName name="gw" hidden="1">{#N/A,#N/A,FALSE,"STRAD";#N/A,#N/A,FALSE,"BELGLO"}</definedName>
    <definedName name="gwigjwgw" hidden="1">#REF!</definedName>
    <definedName name="gwijgw4" hidden="1">#REF!</definedName>
    <definedName name="gwjw" hidden="1">#REF!</definedName>
    <definedName name="gwókgw" hidden="1">#REF!</definedName>
    <definedName name="gworgkwg" hidden="1">{#N/A,#N/A,FALSE,"Aging Summary";#N/A,#N/A,FALSE,"Ratio Analysis";#N/A,#N/A,FALSE,"Test 120 Day Accts";#N/A,#N/A,FALSE,"Tickmarks"}</definedName>
    <definedName name="gwpiwjg" hidden="1">#REF!</definedName>
    <definedName name="gwrot435" hidden="1">#REF!</definedName>
    <definedName name="gwwg" hidden="1">{#N/A,#N/A,FALSE,"STRAD";#N/A,#N/A,FALSE,"BELGLO"}</definedName>
    <definedName name="H" localSheetId="2">#REF!</definedName>
    <definedName name="H" localSheetId="3">#REF!</definedName>
    <definedName name="H">#REF!</definedName>
    <definedName name="h6h6" hidden="1">{#N/A,#N/A,FALSE,"Aging Summary";#N/A,#N/A,FALSE,"Ratio Analysis";#N/A,#N/A,FALSE,"Test 120 Day Accts";#N/A,#N/A,FALSE,"Tickmarks"}</definedName>
    <definedName name="h6h6h6h" hidden="1">{#N/A,#N/A,FALSE,"Aging Summary";#N/A,#N/A,FALSE,"Ratio Analysis";#N/A,#N/A,FALSE,"Test 120 Day Accts";#N/A,#N/A,FALSE,"Tickmarks"}</definedName>
    <definedName name="habia" hidden="1">{#N/A,#N/A,FALSE,"Aging Summary";#N/A,#N/A,FALSE,"Ratio Analysis";#N/A,#N/A,FALSE,"Test 120 Day Accts";#N/A,#N/A,FALSE,"Tickmarks"}</definedName>
    <definedName name="hd" hidden="1">{"'DIFPRE'!$A$2:$M$54"}</definedName>
    <definedName name="hdsd" hidden="1">{#N/A,#N/A,FALSE,"Aging Summary";#N/A,#N/A,FALSE,"Ratio Analysis";#N/A,#N/A,FALSE,"Test 120 Day Accts";#N/A,#N/A,FALSE,"Tickmarks"}</definedName>
    <definedName name="her" hidden="1">#REF!</definedName>
    <definedName name="hermanpo" hidden="1">{#N/A,#N/A,FALSE,"Aging Summary";#N/A,#N/A,FALSE,"Ratio Analysis";#N/A,#N/A,FALSE,"Test 120 Day Accts";#N/A,#N/A,FALSE,"Tickmarks"}</definedName>
    <definedName name="hfhfhf" hidden="1">{#N/A,#N/A,FALSE,"Aging Summary";#N/A,#N/A,FALSE,"Ratio Analysis";#N/A,#N/A,FALSE,"Test 120 Day Accts";#N/A,#N/A,FALSE,"Tickmarks"}</definedName>
    <definedName name="hfkh" hidden="1">{#N/A,#N/A,FALSE,"Aging Summary";#N/A,#N/A,FALSE,"Ratio Analysis";#N/A,#N/A,FALSE,"Test 120 Day Accts";#N/A,#N/A,FALSE,"Tickmarks"}</definedName>
    <definedName name="hfkh1" hidden="1">{#N/A,#N/A,FALSE,"Aging Summary";#N/A,#N/A,FALSE,"Ratio Analysis";#N/A,#N/A,FALSE,"Test 120 Day Accts";#N/A,#N/A,FALSE,"Tickmarks"}</definedName>
    <definedName name="hftex" hidden="1">{#N/A,#N/A,FALSE,"Aging Summary";#N/A,#N/A,FALSE,"Ratio Analysis";#N/A,#N/A,FALSE,"Test 120 Day Accts";#N/A,#N/A,FALSE,"Tickmarks"}</definedName>
    <definedName name="hg" hidden="1">{"'DIFPRE'!$A$2:$M$54"}</definedName>
    <definedName name="hggg" hidden="1">{#N/A,#N/A,FALSE,"Aging Summary";#N/A,#N/A,FALSE,"Ratio Analysis";#N/A,#N/A,FALSE,"Test 120 Day Accts";#N/A,#N/A,FALSE,"Tickmarks"}</definedName>
    <definedName name="hgh" hidden="1">{#N/A,#N/A,FALSE,"Aging Summary";#N/A,#N/A,FALSE,"Ratio Analysis";#N/A,#N/A,FALSE,"Test 120 Day Accts";#N/A,#N/A,FALSE,"Tickmarks"}</definedName>
    <definedName name="hghgh" hidden="1">{#N/A,#N/A,FALSE,"Aging Summary";#N/A,#N/A,FALSE,"Ratio Analysis";#N/A,#N/A,FALSE,"Test 120 Day Accts";#N/A,#N/A,FALSE,"Tickmarks"}</definedName>
    <definedName name="HGHYH" hidden="1">{#N/A,#N/A,FALSE,"Aging Summary";#N/A,#N/A,FALSE,"Ratio Analysis";#N/A,#N/A,FALSE,"Test 120 Day Accts";#N/A,#N/A,FALSE,"Tickmarks"}</definedName>
    <definedName name="hgjghj" hidden="1">{#N/A,#N/A,FALSE,"STRAD";#N/A,#N/A,FALSE,"BELGLO"}</definedName>
    <definedName name="hgv" hidden="1">{#N/A,#N/A,FALSE,"Aging Summary";#N/A,#N/A,FALSE,"Ratio Analysis";#N/A,#N/A,FALSE,"Test 120 Day Accts";#N/A,#N/A,FALSE,"Tickmarks"}</definedName>
    <definedName name="hh" hidden="1">#REF!</definedName>
    <definedName name="hhfpeutwpor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hhgg" hidden="1">{#N/A,#N/A,FALSE,"Aging Summary";#N/A,#N/A,FALSE,"Ratio Analysis";#N/A,#N/A,FALSE,"Test 120 Day Accts";#N/A,#N/A,FALSE,"Tickmarks"}</definedName>
    <definedName name="hhh" hidden="1">{"'DIFPRE'!$A$2:$M$54"}</definedName>
    <definedName name="hhhh" hidden="1">{"'DIFPRE'!$A$2:$M$54"}</definedName>
    <definedName name="hhhhh" hidden="1">{"'DIFPRE'!$A$2:$M$54"}</definedName>
    <definedName name="hhhhhh" hidden="1">#REF!</definedName>
    <definedName name="HHHHHHHHHHH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hhhhhhhhhhhh" hidden="1">{#N/A,#N/A,FALSE,"Aging Summary";#N/A,#N/A,FALSE,"Ratio Analysis";#N/A,#N/A,FALSE,"Test 120 Day Accts";#N/A,#N/A,FALSE,"Tickmarks"}</definedName>
    <definedName name="HHHHHHHHHHHHHH" hidden="1">{#N/A,#N/A,FALSE,"Aging Summary";#N/A,#N/A,FALSE,"Ratio Analysis";#N/A,#N/A,FALSE,"Test 120 Day Accts";#N/A,#N/A,FALSE,"Tickmarks"}</definedName>
    <definedName name="hhhhhhhhhhhhhhhhhhhh" hidden="1">{#N/A,#N/A,FALSE,"Aging Summary";#N/A,#N/A,FALSE,"Ratio Analysis";#N/A,#N/A,FALSE,"Test 120 Day Accts";#N/A,#N/A,FALSE,"Tickmarks"}</definedName>
    <definedName name="hhhhhhhhhhhhhhhhhhhhhhhhhhhhh" hidden="1">{#N/A,#N/A,FALSE,"Aging Summary";#N/A,#N/A,FALSE,"Ratio Analysis";#N/A,#N/A,FALSE,"Test 120 Day Accts";#N/A,#N/A,FALSE,"Tickmarks"}</definedName>
    <definedName name="hhhjjjkk" hidden="1">{#N/A,#N/A,FALSE,"Aging Summary";#N/A,#N/A,FALSE,"Ratio Analysis";#N/A,#N/A,FALSE,"Test 120 Day Accts";#N/A,#N/A,FALSE,"Tickmarks"}</definedName>
    <definedName name="HHJJ" hidden="1">{#N/A,#N/A,FALSE,"Aging Summary";#N/A,#N/A,FALSE,"Ratio Analysis";#N/A,#N/A,FALSE,"Test 120 Day Accts";#N/A,#N/A,FALSE,"Tickmarks"}</definedName>
    <definedName name="hhy" hidden="1">{"'DIFPRE'!$A$2:$M$54"}</definedName>
    <definedName name="hi" hidden="1">#REF!</definedName>
    <definedName name="hide" hidden="1">{"IT",#N/A,FALSE,"GRAPHS";"Services",#N/A,FALSE,"GRAPHS";"Subsurface",#N/A,FALSE,"GRAPHS";"Production",#N/A,FALSE,"GRAPHS";"Facilities",#N/A,FALSE,"GRAPHS";"Pipeline &amp; Terminal",#N/A,FALSE,"GRAPHS";"Safety",#N/A,FALSE,"GRAPHS";"Commercial",#N/A,FALSE,"GRAPHS"}</definedName>
    <definedName name="hide1" hidden="1">#REF!</definedName>
    <definedName name="hide2" hidden="1">#REF!</definedName>
    <definedName name="hide3" hidden="1">#REF!</definedName>
    <definedName name="hide4" hidden="1">#REF!</definedName>
    <definedName name="hide5" hidden="1">#REF!</definedName>
    <definedName name="hiii" hidden="1">{#N/A,#N/A,FALSE,"Aging Summary";#N/A,#N/A,FALSE,"Ratio Analysis";#N/A,#N/A,FALSE,"Test 120 Day Accts";#N/A,#N/A,FALSE,"Tickmarks"}</definedName>
    <definedName name="hija" hidden="1">{#N/A,#N/A,FALSE,"Aging Summary";#N/A,#N/A,FALSE,"Ratio Analysis";#N/A,#N/A,FALSE,"Test 120 Day Accts";#N/A,#N/A,FALSE,"Tickmarks"}</definedName>
    <definedName name="hijo" hidden="1">{#N/A,#N/A,FALSE,"Aging Summary";#N/A,#N/A,FALSE,"Ratio Analysis";#N/A,#N/A,FALSE,"Test 120 Day Accts";#N/A,#N/A,FALSE,"Tickmarks"}</definedName>
    <definedName name="hiuhih"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r" hidden="1">{#N/A,#N/A,FALSE,"Aging Summary";#N/A,#N/A,FALSE,"Ratio Analysis";#N/A,#N/A,FALSE,"Test 120 Day Accts";#N/A,#N/A,FALSE,"Tickmarks"}</definedName>
    <definedName name="hjeijdq" hidden="1">{#N/A,#N/A,FALSE,"Aging Summary";#N/A,#N/A,FALSE,"Ratio Analysis";#N/A,#N/A,FALSE,"Test 120 Day Accts";#N/A,#N/A,FALSE,"Tickmarks"}</definedName>
    <definedName name="hjhg" hidden="1">{#N/A,#N/A,FALSE,"STRAD";#N/A,#N/A,FALSE,"BELGLO"}</definedName>
    <definedName name="HJHJ" hidden="1">"6AR8ET1AAIC7ANZ8VWUPS445Y"</definedName>
    <definedName name="HJKH" hidden="1">{#N/A,#N/A,FALSE,"Aging Summary";#N/A,#N/A,FALSE,"Ratio Analysis";#N/A,#N/A,FALSE,"Test 120 Day Accts";#N/A,#N/A,FALSE,"Tickmarks"}</definedName>
    <definedName name="hjkhsd" hidden="1">#REF!</definedName>
    <definedName name="HJY" hidden="1">{"'DIFPRE'!$A$2:$M$54"}</definedName>
    <definedName name="HKD" hidden="1">{#N/A,#N/A,FALSE,"Aging Summary";#N/A,#N/A,FALSE,"Ratio Analysis";#N/A,#N/A,FALSE,"Test 120 Day Accts";#N/A,#N/A,FALSE,"Tickmarks"}</definedName>
    <definedName name="hkh" hidden="1">{#N/A,#N/A,FALSE,"Aging Summary";#N/A,#N/A,FALSE,"Ratio Analysis";#N/A,#N/A,FALSE,"Test 120 Day Accts";#N/A,#N/A,FALSE,"Tickmarks"}</definedName>
    <definedName name="hkhh" hidden="1">{#N/A,#N/A,FALSE,"Aging Summary";#N/A,#N/A,FALSE,"Ratio Analysis";#N/A,#N/A,FALSE,"Test 120 Day Accts";#N/A,#N/A,FALSE,"Tickmarks"}</definedName>
    <definedName name="hkjhk" hidden="1">{#N/A,#N/A,FALSE,"Aging Summary";#N/A,#N/A,FALSE,"Ratio Analysis";#N/A,#N/A,FALSE,"Test 120 Day Accts";#N/A,#N/A,FALSE,"Tickmarks"}</definedName>
    <definedName name="hlhlkjh" hidden="1">#REF!</definedName>
    <definedName name="hnhnhn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al" hidden="1">#REF!</definedName>
    <definedName name="hoal2" hidden="1">#REF!</definedName>
    <definedName name="hoja" hidden="1">{#N/A,#N/A,FALSE,"Aging Summary";#N/A,#N/A,FALSE,"Ratio Analysis";#N/A,#N/A,FALSE,"Test 120 Day Accts";#N/A,#N/A,FALSE,"Tickmarks"}</definedName>
    <definedName name="hol"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ola" hidden="1">{#N/A,#N/A,FALSE,"Aging Summary";#N/A,#N/A,FALSE,"Ratio Analysis";#N/A,#N/A,FALSE,"Test 120 Day Accts";#N/A,#N/A,FALSE,"Tickmarks"}</definedName>
    <definedName name="hola1" hidden="1">{#N/A,#N/A,FALSE,"invoice ucc";#N/A,#N/A,FALSE,"asiento"}</definedName>
    <definedName name="hola2" hidden="1">#REF!</definedName>
    <definedName name="hola3" hidden="1">#REF!</definedName>
    <definedName name="hola4" hidden="1">{#N/A,#N/A,FALSE,"Aging Summary";#N/A,#N/A,FALSE,"Ratio Analysis";#N/A,#N/A,FALSE,"Test 120 Day Accts";#N/A,#N/A,FALSE,"Tickmarks"}</definedName>
    <definedName name="holaa0" hidden="1">#REF!</definedName>
    <definedName name="holaa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2"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aaaaaaaaa" hidden="1">{#N/A,#N/A,FALSE,"Aging Summary";#N/A,#N/A,FALSE,"Ratio Analysis";#N/A,#N/A,FALSE,"Test 120 Day Accts";#N/A,#N/A,FALSE,"Tickmarks"}</definedName>
    <definedName name="holach" hidden="1">{#N/A,#N/A,FALSE,"Aging Summary";#N/A,#N/A,FALSE,"Ratio Analysis";#N/A,#N/A,FALSE,"Test 120 Day Accts";#N/A,#N/A,FALSE,"Tickmarks"}</definedName>
    <definedName name="holachau" hidden="1">{#N/A,#N/A,FALSE,"Aging Summary";#N/A,#N/A,FALSE,"Ratio Analysis";#N/A,#N/A,FALSE,"Test 120 Day Accts";#N/A,#N/A,FALSE,"Tickmarks"}</definedName>
    <definedName name="holachau1" hidden="1">{#N/A,#N/A,FALSE,"Aging Summary";#N/A,#N/A,FALSE,"Ratio Analysis";#N/A,#N/A,FALSE,"Test 120 Day Accts";#N/A,#N/A,FALSE,"Tickmarks"}</definedName>
    <definedName name="holachau2" hidden="1">{#N/A,#N/A,FALSE,"Aging Summary";#N/A,#N/A,FALSE,"Ratio Analysis";#N/A,#N/A,FALSE,"Test 120 Day Accts";#N/A,#N/A,FALSE,"Tickmarks"}</definedName>
    <definedName name="holachau3" hidden="1">{#N/A,#N/A,FALSE,"Aging Summary";#N/A,#N/A,FALSE,"Ratio Analysis";#N/A,#N/A,FALSE,"Test 120 Day Accts";#N/A,#N/A,FALSE,"Tickmarks"}</definedName>
    <definedName name="holachau4" hidden="1">{#N/A,#N/A,FALSE,"Aging Summary";#N/A,#N/A,FALSE,"Ratio Analysis";#N/A,#N/A,FALSE,"Test 120 Day Accts";#N/A,#N/A,FALSE,"Tickmarks"}</definedName>
    <definedName name="holaho" hidden="1">{"'DIFPRE'!$A$2:$M$54"}</definedName>
    <definedName name="holahol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2"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3" hidden="1">{#N/A,#N/A,FALSE,"Aging Summary";#N/A,#N/A,FALSE,"Ratio Analysis";#N/A,#N/A,FALSE,"Test 120 Day Accts";#N/A,#N/A,FALSE,"Tickmarks"}</definedName>
    <definedName name="holahola5" hidden="1">{"'DIFPRE'!$A$2:$M$54"}</definedName>
    <definedName name="holahola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ho" hidden="1">{"'DIFPRE'!$A$2:$M$54"}</definedName>
    <definedName name="holaholahola" hidden="1">#REF!</definedName>
    <definedName name="holaholahola1" hidden="1">{#N/A,#N/A,FALSE,"Aging Summary";#N/A,#N/A,FALSE,"Ratio Analysis";#N/A,#N/A,FALSE,"Test 120 Day Accts";#N/A,#N/A,FALSE,"Tickmarks"}</definedName>
    <definedName name="holaholaholahola" hidden="1">{#N/A,#N/A,FALSE,"Aging Summary";#N/A,#N/A,FALSE,"Ratio Analysis";#N/A,#N/A,FALSE,"Test 120 Day Accts";#N/A,#N/A,FALSE,"Tickmarks"}</definedName>
    <definedName name="holaholas" hidden="1">{#N/A,#N/A,FALSE,"CAPEX";#N/A,#N/A,FALSE,"PLAN";#N/A,#N/A,FALSE,"REV";#N/A,#N/A,FALSE,"CALOP";#N/A,#N/A,FALSE,"RESOP";#N/A,#N/A,FALSE,"PRES"}</definedName>
    <definedName name="holas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ihola" hidden="1">#REF!</definedName>
    <definedName name="HOLLA" hidden="1">#REF!</definedName>
    <definedName name="holss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me" localSheetId="2">#REF!</definedName>
    <definedName name="home" localSheetId="3">#REF!</definedName>
    <definedName name="home">#REF!</definedName>
    <definedName name="homee" hidden="1">{#N/A,#N/A,FALSE,"Aging Summary";#N/A,#N/A,FALSE,"Ratio Analysis";#N/A,#N/A,FALSE,"Test 120 Day Accts";#N/A,#N/A,FALSE,"Tickmarks"}</definedName>
    <definedName name="honor" hidden="1">{#N/A,#N/A,FALSE,"Aging Summary";#N/A,#N/A,FALSE,"Ratio Analysis";#N/A,#N/A,FALSE,"Test 120 Day Accts";#N/A,#N/A,FALSE,"Tickmarks"}</definedName>
    <definedName name="honorarios" hidden="1">{#N/A,#N/A,FALSE,"Aging Summary";#N/A,#N/A,FALSE,"Ratio Analysis";#N/A,#N/A,FALSE,"Test 120 Day Accts";#N/A,#N/A,FALSE,"Tickmarks"}</definedName>
    <definedName name="hqwushq" hidden="1">{#N/A,#N/A,FALSE,"Aging Summary";#N/A,#N/A,FALSE,"Ratio Analysis";#N/A,#N/A,FALSE,"Test 120 Day Accts";#N/A,#N/A,FALSE,"Tickmarks"}</definedName>
    <definedName name="hrrt" hidden="1">{#N/A,#N/A,FALSE,"STRAD";#N/A,#N/A,FALSE,"BELGLO"}</definedName>
    <definedName name="hryhry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SUIAP" hidden="1">{#N/A,#N/A,FALSE,"Aging Summary";#N/A,#N/A,FALSE,"Ratio Analysis";#N/A,#N/A,FALSE,"Test 120 Day Accts";#N/A,#N/A,FALSE,"Tickmarks"}</definedName>
    <definedName name="HTML_CodePage" hidden="1">1252</definedName>
    <definedName name="HTML_Control" hidden="1">{"'DIFPRE'!$A$2:$M$54"}</definedName>
    <definedName name="HTML_Description" hidden="1">""</definedName>
    <definedName name="HTML_Email" hidden="1">""</definedName>
    <definedName name="HTML_Header" hidden="1">"mayo 1999"</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"P:\freddo\ventas\presupuesto\ven0599.htm"</definedName>
    <definedName name="HTML_Title" hidden="1">"Mayo 1999"</definedName>
    <definedName name="HTML1_1" hidden="1">"'[ES_97_03.xls]Comparativo R-P Abr-96'!$A$1:$J$32"</definedName>
    <definedName name="HTML1_10" hidden="1">""</definedName>
    <definedName name="HTML1_11" hidden="1">1</definedName>
    <definedName name="HTML1_12" hidden="1">"C:\Mis documentos\Archivos Excel\Estadisticas Mensuales\EST_MENS\MyHTML.htm"</definedName>
    <definedName name="HTML1_2" hidden="1">1</definedName>
    <definedName name="HTML1_3" hidden="1">"Estadìstica Mensual"</definedName>
    <definedName name="HTML1_4" hidden="1">"Comparativo Real Vs Presupuesto"</definedName>
    <definedName name="HTML1_5" hidden="1">""</definedName>
    <definedName name="HTML1_6" hidden="1">-4146</definedName>
    <definedName name="HTML1_7" hidden="1">1</definedName>
    <definedName name="HTML1_8" hidden="1">"10/04/1997"</definedName>
    <definedName name="HTML1_9" hidden="1">"Gerencia de Planeamiento"</definedName>
    <definedName name="HTMLCount" hidden="1">1</definedName>
    <definedName name="hui" hidden="1">{#N/A,#N/A,FALSE,"Aging Summary";#N/A,#N/A,FALSE,"Ratio Analysis";#N/A,#N/A,FALSE,"Test 120 Day Accts";#N/A,#N/A,FALSE,"Tickmarks"}</definedName>
    <definedName name="h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YHHY" hidden="1">{#N/A,#N/A,FALSE,"Aging Summary";#N/A,#N/A,FALSE,"Ratio Analysis";#N/A,#N/A,FALSE,"Test 120 Day Accts";#N/A,#N/A,FALSE,"Tickmarks"}</definedName>
    <definedName name="hyi" hidden="1">{#N/A,#N/A,FALSE,"EDO. RES. CNB";#N/A,#N/A,FALSE,"TRIMESTRAL"}</definedName>
    <definedName name="I" hidden="1">#REF!</definedName>
    <definedName name="i88i8i" hidden="1">{#N/A,#N/A,FALSE,"Aging Summary";#N/A,#N/A,FALSE,"Ratio Analysis";#N/A,#N/A,FALSE,"Test 120 Day Accts";#N/A,#N/A,FALSE,"Tickmarks"}</definedName>
    <definedName name="i8i8" hidden="1">{#N/A,#N/A,FALSE,"Aging Summary";#N/A,#N/A,FALSE,"Ratio Analysis";#N/A,#N/A,FALSE,"Test 120 Day Accts";#N/A,#N/A,FALSE,"Tickmarks"}</definedName>
    <definedName name="iadiaida" hidden="1">{#N/A,#N/A,FALSE,"Aging Summary";#N/A,#N/A,FALSE,"Ratio Analysis";#N/A,#N/A,FALSE,"Test 120 Day Accts";#N/A,#N/A,FALSE,"Tickmarks"}</definedName>
    <definedName name="iajdad" hidden="1">{#N/A,#N/A,FALSE,"Aging Summary";#N/A,#N/A,FALSE,"Ratio Analysis";#N/A,#N/A,FALSE,"Test 120 Day Accts";#N/A,#N/A,FALSE,"Tickmarks"}</definedName>
    <definedName name="IAJDSAID9" hidden="1">{#N/A,#N/A,FALSE,"Aging Summary";#N/A,#N/A,FALSE,"Ratio Analysis";#N/A,#N/A,FALSE,"Test 120 Day Accts";#N/A,#N/A,FALSE,"Tickmarks"}</definedName>
    <definedName name="iajsdiad" hidden="1">{#N/A,#N/A,FALSE,"Aging Summary";#N/A,#N/A,FALSE,"Ratio Analysis";#N/A,#N/A,FALSE,"Test 120 Day Accts";#N/A,#N/A,FALSE,"Tickmarks"}</definedName>
    <definedName name="IASDI" hidden="1">{#N/A,#N/A,FALSE,"Aging Summary";#N/A,#N/A,FALSE,"Ratio Analysis";#N/A,#N/A,FALSE,"Test 120 Day Accts";#N/A,#N/A,FALSE,"Tickmarks"}</definedName>
    <definedName name="icicic" hidden="1">{#N/A,#N/A,FALSE,"CAPEX";#N/A,#N/A,FALSE,"PLAN";#N/A,#N/A,FALSE,"REV";#N/A,#N/A,FALSE,"CALOP";#N/A,#N/A,FALSE,"RESOP";#N/A,#N/A,FALSE,"PRES"}</definedName>
    <definedName name="icwcw" hidden="1">#REF!</definedName>
    <definedName name="icwjecw" hidden="1">#REF!</definedName>
    <definedName name="idaisnda" hidden="1">{#N/A,#N/A,FALSE,"Aging Summary";#N/A,#N/A,FALSE,"Ratio Analysis";#N/A,#N/A,FALSE,"Test 120 Day Accts";#N/A,#N/A,FALSE,"Tickmarks"}</definedName>
    <definedName name="IDAMSIDAMD9" hidden="1">{#N/A,#N/A,FALSE,"Aging Summary";#N/A,#N/A,FALSE,"Ratio Analysis";#N/A,#N/A,FALSE,"Test 120 Day Accts";#N/A,#N/A,FALSE,"Tickmarks"}</definedName>
    <definedName name="idejide" hidden="1">#REF!</definedName>
    <definedName name="idewqjf3" hidden="1">#REF!</definedName>
    <definedName name="ididid" hidden="1">{#N/A,#N/A,FALSE,"Aging Summary";#N/A,#N/A,FALSE,"Ratio Analysis";#N/A,#N/A,FALSE,"Test 120 Day Accts";#N/A,#N/A,FALSE,"Tickmarks"}</definedName>
    <definedName name="idididi" hidden="1">{#N/A,#N/A,FALSE,"Aging Summary";#N/A,#N/A,FALSE,"Ratio Analysis";#N/A,#N/A,FALSE,"Test 120 Day Accts";#N/A,#N/A,FALSE,"Tickmarks"}</definedName>
    <definedName name="idijede" hidden="1">#REF!</definedName>
    <definedName name="idinasidnaidna" hidden="1">{#N/A,#N/A,FALSE,"Aging Summary";#N/A,#N/A,FALSE,"Ratio Analysis";#N/A,#N/A,FALSE,"Test 120 Day Accts";#N/A,#N/A,FALSE,"Tickmarks"}</definedName>
    <definedName name="IDJAIS" hidden="1">{#N/A,#N/A,FALSE,"Aging Summary";#N/A,#N/A,FALSE,"Ratio Analysis";#N/A,#N/A,FALSE,"Test 120 Day Accts";#N/A,#N/A,FALSE,"Tickmarks"}</definedName>
    <definedName name="idjewidjw" hidden="1">{#N/A,#N/A,FALSE,"Aging Summary";#N/A,#N/A,FALSE,"Ratio Analysis";#N/A,#N/A,FALSE,"Test 120 Day Accts";#N/A,#N/A,FALSE,"Tickmarks"}</definedName>
    <definedName name="idjiadsja09" hidden="1">{#N/A,#N/A,FALSE,"Aging Summary";#N/A,#N/A,FALSE,"Ratio Analysis";#N/A,#N/A,FALSE,"Test 120 Day Accts";#N/A,#N/A,FALSE,"Tickmarks"}</definedName>
    <definedName name="idjiasjda" hidden="1">{#N/A,#N/A,FALSE,"Aging Summary";#N/A,#N/A,FALSE,"Ratio Analysis";#N/A,#N/A,FALSE,"Test 120 Day Accts";#N/A,#N/A,FALSE,"Tickmarks"}</definedName>
    <definedName name="idjqijdwq" hidden="1">{#N/A,#N/A,FALSE,"Aging Summary";#N/A,#N/A,FALSE,"Ratio Analysis";#N/A,#N/A,FALSE,"Test 120 Day Accts";#N/A,#N/A,FALSE,"Tickmarks"}</definedName>
    <definedName name="idqdinqd" hidden="1">{#N/A,#N/A,FALSE,"Aging Summary";#N/A,#N/A,FALSE,"Ratio Analysis";#N/A,#N/A,FALSE,"Test 120 Day Accts";#N/A,#N/A,FALSE,"Tickmarks"}</definedName>
    <definedName name="iefhjwqf" hidden="1">#REF!</definedName>
    <definedName name="ieieie" hidden="1">{#N/A,#N/A,FALSE,"Aging Summary";#N/A,#N/A,FALSE,"Ratio Analysis";#N/A,#N/A,FALSE,"Test 120 Day Accts";#N/A,#N/A,FALSE,"Tickmarks"}</definedName>
    <definedName name="iejciew" hidden="1">#REF!</definedName>
    <definedName name="iejie" hidden="1">#REF!</definedName>
    <definedName name="IEJQEW" hidden="1">{#N/A,#N/A,FALSE,"Aging Summary";#N/A,#N/A,FALSE,"Ratio Analysis";#N/A,#N/A,FALSE,"Test 120 Day Accts";#N/A,#N/A,FALSE,"Tickmarks"}</definedName>
    <definedName name="iejwerj" hidden="1">#REF!</definedName>
    <definedName name="iewcwicwc" hidden="1">{#N/A,#N/A,FALSE,"Aging Summary";#N/A,#N/A,FALSE,"Ratio Analysis";#N/A,#N/A,FALSE,"Test 120 Day Accts";#N/A,#N/A,FALSE,"Tickmarks"}</definedName>
    <definedName name="iewicw" hidden="1">#REF!</definedName>
    <definedName name="iewjfeijf" hidden="1">#REF!</definedName>
    <definedName name="iewjfiw" hidden="1">{#N/A,#N/A,FALSE,"Aging Summary";#N/A,#N/A,FALSE,"Ratio Analysis";#N/A,#N/A,FALSE,"Test 120 Day Accts";#N/A,#N/A,FALSE,"Tickmarks"}</definedName>
    <definedName name="iewjfw" hidden="1">#REF!</definedName>
    <definedName name="iewjfw3" hidden="1">#REF!</definedName>
    <definedName name="iewjrw" hidden="1">#REF!</definedName>
    <definedName name="iewqjdfwq" hidden="1">#REF!</definedName>
    <definedName name="iewtjwt4" hidden="1">#REF!</definedName>
    <definedName name="ifeijef" hidden="1">#REF!</definedName>
    <definedName name="ifejfw" hidden="1">#REF!</definedName>
    <definedName name="ifewifwj" hidden="1">#REF!</definedName>
    <definedName name="ifewjfew" hidden="1">#REF!</definedName>
    <definedName name="ifewjfiwf" hidden="1">{#N/A,#N/A,FALSE,"Aging Summary";#N/A,#N/A,FALSE,"Ratio Analysis";#N/A,#N/A,FALSE,"Test 120 Day Accts";#N/A,#N/A,FALSE,"Tickmarks"}</definedName>
    <definedName name="ifewjfiwfw" hidden="1">{#N/A,#N/A,FALSE,"Aging Summary";#N/A,#N/A,FALSE,"Ratio Analysis";#N/A,#N/A,FALSE,"Test 120 Day Accts";#N/A,#N/A,FALSE,"Tickmarks"}</definedName>
    <definedName name="ifewjfw" hidden="1">#REF!</definedName>
    <definedName name="ifewjfw3" hidden="1">#REF!</definedName>
    <definedName name="ifewjfwe" hidden="1">#REF!</definedName>
    <definedName name="ifewjifwjf" hidden="1">#REF!</definedName>
    <definedName name="ifijejfe" hidden="1">#REF!</definedName>
    <definedName name="ifiwfiw" hidden="1">{#N/A,#N/A,FALSE,"Aging Summary";#N/A,#N/A,FALSE,"Ratio Analysis";#N/A,#N/A,FALSE,"Test 120 Day Accts";#N/A,#N/A,FALSE,"Tickmarks"}</definedName>
    <definedName name="ifiwfw" hidden="1">{#N/A,#N/A,FALSE,"Aging Summary";#N/A,#N/A,FALSE,"Ratio Analysis";#N/A,#N/A,FALSE,"Test 120 Day Accts";#N/A,#N/A,FALSE,"Tickmarks"}</definedName>
    <definedName name="ifjewfiw2" hidden="1">#REF!</definedName>
    <definedName name="ifjewfw" hidden="1">#REF!</definedName>
    <definedName name="ifjfiwje" hidden="1">#REF!</definedName>
    <definedName name="ifjfjf" hidden="1">{#N/A,#N/A,FALSE,"Aging Summary";#N/A,#N/A,FALSE,"Ratio Analysis";#N/A,#N/A,FALSE,"Test 120 Day Accts";#N/A,#N/A,FALSE,"Tickmarks"}</definedName>
    <definedName name="ifjidfjs" hidden="1">{#N/A,#N/A,FALSE,"Aging Summary";#N/A,#N/A,FALSE,"Ratio Analysis";#N/A,#N/A,FALSE,"Test 120 Day Accts";#N/A,#N/A,FALSE,"Tickmarks"}</definedName>
    <definedName name="ifjifwf" hidden="1">{#N/A,#N/A,FALSE,"Aging Summary";#N/A,#N/A,FALSE,"Ratio Analysis";#N/A,#N/A,FALSE,"Test 120 Day Accts";#N/A,#N/A,FALSE,"Tickmarks"}</definedName>
    <definedName name="ifjirjfr" hidden="1">#REF!</definedName>
    <definedName name="ifjiwfew" hidden="1">#REF!</definedName>
    <definedName name="ifjwef" hidden="1">#REF!</definedName>
    <definedName name="ifjwefw76f" hidden="1">#REF!</definedName>
    <definedName name="ifjwejfwf" hidden="1">{#N/A,#N/A,FALSE,"Aging Summary";#N/A,#N/A,FALSE,"Ratio Analysis";#N/A,#N/A,FALSE,"Test 120 Day Accts";#N/A,#N/A,FALSE,"Tickmarks"}</definedName>
    <definedName name="ifjwf" hidden="1">#REF!</definedName>
    <definedName name="ifjwfwif" hidden="1">{#N/A,#N/A,FALSE,"Aging Summary";#N/A,#N/A,FALSE,"Ratio Analysis";#N/A,#N/A,FALSE,"Test 120 Day Accts";#N/A,#N/A,FALSE,"Tickmarks"}</definedName>
    <definedName name="ifjwijfw" hidden="1">#REF!</definedName>
    <definedName name="ifmewimfw" hidden="1">#REF!</definedName>
    <definedName name="ifmwief" hidden="1">#REF!</definedName>
    <definedName name="ifowuf8" hidden="1">#REF!</definedName>
    <definedName name="ifrfefre" hidden="1">{#N/A,#N/A,FALSE,"Aging Summary";#N/A,#N/A,FALSE,"Ratio Analysis";#N/A,#N/A,FALSE,"Test 120 Day Accts";#N/A,#N/A,FALSE,"Tickmarks"}</definedName>
    <definedName name="ifsdifds" hidden="1">{#N/A,#N/A,FALSE,"Aging Summary";#N/A,#N/A,FALSE,"Ratio Analysis";#N/A,#N/A,FALSE,"Test 120 Day Accts";#N/A,#N/A,FALSE,"Tickmarks"}</definedName>
    <definedName name="ifsifis" hidden="1">{#N/A,#N/A,FALSE,"Aging Summary";#N/A,#N/A,FALSE,"Ratio Analysis";#N/A,#N/A,FALSE,"Test 120 Day Accts";#N/A,#N/A,FALSE,"Tickmarks"}</definedName>
    <definedName name="ifweijf" hidden="1">#REF!</definedName>
    <definedName name="ifwejfew" hidden="1">#REF!</definedName>
    <definedName name="ifwejfew89" hidden="1">#REF!</definedName>
    <definedName name="ifwejfiwfw" hidden="1">{"balanço dolares",#N/A,FALSE,"SIGADR$";"AUT BAL REAIS",#N/A,FALSE,"SIGADR$";"QUOCIENTES REAIS",#N/A,FALSE,"QUOCIENTES";"JUNH QUOCI DOLARES",#N/A,FALSE,"QUOCIENTES"}</definedName>
    <definedName name="ifwejfw" hidden="1">#REF!</definedName>
    <definedName name="ifwejfw9" hidden="1">#REF!</definedName>
    <definedName name="ifwejfwe3" hidden="1">#REF!</definedName>
    <definedName name="ifwejfwijfwij" hidden="1">#REF!</definedName>
    <definedName name="ifwejfwjfw" hidden="1">#REF!</definedName>
    <definedName name="ifwemfiwf" hidden="1">{#N/A,#N/A,FALSE,"Aging Summary";#N/A,#N/A,FALSE,"Ratio Analysis";#N/A,#N/A,FALSE,"Test 120 Day Accts";#N/A,#N/A,FALSE,"Tickmarks"}</definedName>
    <definedName name="ifwemfw" hidden="1">{#N/A,#N/A,FALSE,"Aging Summary";#N/A,#N/A,FALSE,"Ratio Analysis";#N/A,#N/A,FALSE,"Test 120 Day Accts";#N/A,#N/A,FALSE,"Tickmarks"}</definedName>
    <definedName name="ifwhfw" hidden="1">#REF!</definedName>
    <definedName name="ifwifw" hidden="1">#REF!</definedName>
    <definedName name="ifwijfw" hidden="1">#REF!</definedName>
    <definedName name="ifwirf0" hidden="1">#REF!</definedName>
    <definedName name="ifwje" hidden="1">#REF!</definedName>
    <definedName name="ifwjefw" hidden="1">#REF!</definedName>
    <definedName name="ifwjfw" hidden="1">#REF!</definedName>
    <definedName name="ifwjifw" hidden="1">#REF!</definedName>
    <definedName name="ifwjifw9" hidden="1">#REF!</definedName>
    <definedName name="IG" hidden="1">{#N/A,#N/A,FALSE,"Aging Summary";#N/A,#N/A,FALSE,"Ratio Analysis";#N/A,#N/A,FALSE,"Test 120 Day Accts";#N/A,#N/A,FALSE,"Tickmarks"}</definedName>
    <definedName name="igfiref" hidden="1">#REF!</definedName>
    <definedName name="igfrijgr"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igjreg" hidden="1">#REF!</definedName>
    <definedName name="IGMP" hidden="1">{#N/A,#N/A,FALSE,"Aging Summary";#N/A,#N/A,FALSE,"Ratio Analysis";#N/A,#N/A,FALSE,"Test 120 Day Accts";#N/A,#N/A,FALSE,"Tickmarks"}</definedName>
    <definedName name="igrjgre" hidden="1">#REF!</definedName>
    <definedName name="igrwge7" hidden="1">#REF!</definedName>
    <definedName name="II" hidden="1">{#N/A,#N/A,FALSE,"Aging Summary";#N/A,#N/A,FALSE,"Ratio Analysis";#N/A,#N/A,FALSE,"Test 120 Day Accts";#N/A,#N/A,FALSE,"Tickmarks"}</definedName>
    <definedName name="IIBB" hidden="1">{#N/A,#N/A,FALSE,"Aging Summary";#N/A,#N/A,FALSE,"Ratio Analysis";#N/A,#N/A,FALSE,"Test 120 Day Accts";#N/A,#N/A,FALSE,"Tickmarks"}</definedName>
    <definedName name="IIBBS" hidden="1">#REF!</definedName>
    <definedName name="IIÇÇ" hidden="1">{#N/A,#N/A,FALSE,"Aging Summary";#N/A,#N/A,FALSE,"Ratio Analysis";#N/A,#N/A,FALSE,"Test 120 Day Accts";#N/A,#N/A,FALSE,"Tickmarks"}</definedName>
    <definedName name="iifwif" hidden="1">{#N/A,#N/A,FALSE,"Aging Summary";#N/A,#N/A,FALSE,"Ratio Analysis";#N/A,#N/A,FALSE,"Test 120 Day Accts";#N/A,#N/A,FALSE,"Tickmarks"}</definedName>
    <definedName name="III"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iiii" hidden="1">{#N/A,#N/A,FALSE,"Aging Summary";#N/A,#N/A,FALSE,"Ratio Analysis";#N/A,#N/A,FALSE,"Test 120 Day Accts";#N/A,#N/A,FALSE,"Tickmarks"}</definedName>
    <definedName name="iiiii" hidden="1">5</definedName>
    <definedName name="IIIIIIIII" hidden="1">{#N/A,#N/A,FALSE,"Aging Summary";#N/A,#N/A,FALSE,"Ratio Analysis";#N/A,#N/A,FALSE,"Test 120 Day Accts";#N/A,#N/A,FALSE,"Tickmarks"}</definedName>
    <definedName name="IIIIIIIIIIIII" hidden="1">{#N/A,#N/A,FALSE,"Aging Summary";#N/A,#N/A,FALSE,"Ratio Analysis";#N/A,#N/A,FALSE,"Test 120 Day Accts";#N/A,#N/A,FALSE,"Tickmarks"}</definedName>
    <definedName name="IIIIIIIIIIIIII" hidden="1">{#N/A,#N/A,FALSE,"Aging Summary";#N/A,#N/A,FALSE,"Ratio Analysis";#N/A,#N/A,FALSE,"Test 120 Day Accts";#N/A,#N/A,FALSE,"Tickmarks"}</definedName>
    <definedName name="iiiiiiiiiiiiiiiiiiiiiiiiiiiiiiiiiiiiii" hidden="1">{#N/A,#N/A,FALSE,"Aging Summary";#N/A,#N/A,FALSE,"Ratio Analysis";#N/A,#N/A,FALSE,"Test 120 Day Accts";#N/A,#N/A,FALSE,"Tickmarks"}</definedName>
    <definedName name="IIIOOL" hidden="1">{#N/A,#N/A,FALSE,"Aging Summary";#N/A,#N/A,FALSE,"Ratio Analysis";#N/A,#N/A,FALSE,"Test 120 Day Accts";#N/A,#N/A,FALSE,"Tickmarks"}</definedName>
    <definedName name="iiki" hidden="1">{#N/A,#N/A,FALSE,"Aging Summary";#N/A,#N/A,FALSE,"Ratio Analysis";#N/A,#N/A,FALSE,"Test 120 Day Accts";#N/A,#N/A,FALSE,"Tickmarks"}</definedName>
    <definedName name="IIKK" hidden="1">{#N/A,#N/A,FALSE,"Aging Summary";#N/A,#N/A,FALSE,"Ratio Analysis";#N/A,#N/A,FALSE,"Test 120 Day Accts";#N/A,#N/A,FALSE,"Tickmarks"}</definedName>
    <definedName name="IIKKI" hidden="1">{#N/A,#N/A,FALSE,"Aging Summary";#N/A,#N/A,FALSE,"Ratio Analysis";#N/A,#N/A,FALSE,"Test 120 Day Accts";#N/A,#N/A,FALSE,"Tickmarks"}</definedName>
    <definedName name="IIOLL" hidden="1">{#N/A,#N/A,FALSE,"Aging Summary";#N/A,#N/A,FALSE,"Ratio Analysis";#N/A,#N/A,FALSE,"Test 120 Day Accts";#N/A,#N/A,FALSE,"Tickmarks"}</definedName>
    <definedName name="IIOP" hidden="1">{#N/A,#N/A,FALSE,"Aging Summary";#N/A,#N/A,FALSE,"Ratio Analysis";#N/A,#N/A,FALSE,"Test 120 Day Accts";#N/A,#N/A,FALSE,"Tickmarks"}</definedName>
    <definedName name="IIU" hidden="1">{#N/A,#N/A,FALSE,"Aging Summary";#N/A,#N/A,FALSE,"Ratio Analysis";#N/A,#N/A,FALSE,"Test 120 Day Accts";#N/A,#N/A,FALSE,"Tickmarks"}</definedName>
    <definedName name="iiuk" hidden="1">{#N/A,#N/A,FALSE,"Aging Summary";#N/A,#N/A,FALSE,"Ratio Analysis";#N/A,#N/A,FALSE,"Test 120 Day Accts";#N/A,#N/A,FALSE,"Tickmarks"}</definedName>
    <definedName name="iiwqjdqijd" hidden="1">{#N/A,#N/A,FALSE,"Aging Summary";#N/A,#N/A,FALSE,"Ratio Analysis";#N/A,#N/A,FALSE,"Test 120 Day Accts";#N/A,#N/A,FALSE,"Tickmarks"}</definedName>
    <definedName name="ijdie" hidden="1">#REF!</definedName>
    <definedName name="ijfewgw" hidden="1">#REF!</definedName>
    <definedName name="ijfqq" hidden="1">#REF!</definedName>
    <definedName name="ijfwef" hidden="1">#REF!</definedName>
    <definedName name="ijfwer8" hidden="1">#REF!</definedName>
    <definedName name="ijgreg" hidden="1">#REF!</definedName>
    <definedName name="IJHJH" hidden="1">{#N/A,#N/A,FALSE,"Aging Summary";#N/A,#N/A,FALSE,"Ratio Analysis";#N/A,#N/A,FALSE,"Test 120 Day Accts";#N/A,#N/A,FALSE,"Tickmarks"}</definedName>
    <definedName name="ijiejfe" hidden="1">#REF!</definedName>
    <definedName name="ijirfjirf" hidden="1">#REF!</definedName>
    <definedName name="ijow" hidden="1">{#N/A,#N/A,FALSE,"Aging Summary";#N/A,#N/A,FALSE,"Ratio Analysis";#N/A,#N/A,FALSE,"Test 120 Day Accts";#N/A,#N/A,FALSE,"Tickmarks"}</definedName>
    <definedName name="ijrg" hidden="1">#REF!</definedName>
    <definedName name="ijwg" hidden="1">#REF!</definedName>
    <definedName name="ijwifw" hidden="1">{#N/A,#N/A,FALSE,"Aging Summary";#N/A,#N/A,FALSE,"Ratio Analysis";#N/A,#N/A,FALSE,"Test 120 Day Accts";#N/A,#N/A,FALSE,"Tickmarks"}</definedName>
    <definedName name="ijwiqejqw" hidden="1">{#N/A,#N/A,FALSE,"Aging Summary";#N/A,#N/A,FALSE,"Ratio Analysis";#N/A,#N/A,FALSE,"Test 120 Day Accts";#N/A,#N/A,FALSE,"Tickmarks"}</definedName>
    <definedName name="ijwjfw" hidden="1">#REF!</definedName>
    <definedName name="IKJ" hidden="1">{#N/A,#N/A,FALSE,"Aging Summary";#N/A,#N/A,FALSE,"Ratio Analysis";#N/A,#N/A,FALSE,"Test 120 Day Accts";#N/A,#N/A,FALSE,"Tickmarks"}</definedName>
    <definedName name="ikkk" hidden="1">{#N/A,#N/A,FALSE,"Aging Summary";#N/A,#N/A,FALSE,"Ratio Analysis";#N/A,#N/A,FALSE,"Test 120 Day Accts";#N/A,#N/A,FALSE,"Tickmarks"}</definedName>
    <definedName name="ilkk" hidden="1">{#N/A,#N/A,FALSE,"Aging Summary";#N/A,#N/A,FALSE,"Ratio Analysis";#N/A,#N/A,FALSE,"Test 120 Day Accts";#N/A,#N/A,FALSE,"Tickmarks"}</definedName>
    <definedName name="im" hidden="1">{#N/A,#N/A,FALSE,"ENERGIA";#N/A,#N/A,FALSE,"PERDIDAS";#N/A,#N/A,FALSE,"CLIENTES";#N/A,#N/A,FALSE,"ESTADO";#N/A,#N/A,FALSE,"TECNICA"}</definedName>
    <definedName name="imddwdw" hidden="1">{#N/A,#N/A,FALSE,"Aging Summary";#N/A,#N/A,FALSE,"Ratio Analysis";#N/A,#N/A,FALSE,"Test 120 Day Accts";#N/A,#N/A,FALSE,"Tickmarks"}</definedName>
    <definedName name="ime" hidden="1">{#N/A,#N/A,FALSE,"LLAVE";#N/A,#N/A,FALSE,"EERR";#N/A,#N/A,FALSE,"ESP";#N/A,#N/A,FALSE,"EOAF";#N/A,#N/A,FALSE,"CASH";#N/A,#N/A,FALSE,"FINANZAS";#N/A,#N/A,FALSE,"DEUDA";#N/A,#N/A,FALSE,"INVERSION";#N/A,#N/A,FALSE,"PERSONAL"}</definedName>
    <definedName name="incomestat." localSheetId="2">#REF!</definedName>
    <definedName name="incomestat." localSheetId="3">#REF!</definedName>
    <definedName name="incomestat.">#REF!</definedName>
    <definedName name="inde" hidden="1">{#N/A,#N/A,FALSE,"Aging Summary";#N/A,#N/A,FALSE,"Ratio Analysis";#N/A,#N/A,FALSE,"Test 120 Day Accts";#N/A,#N/A,FALSE,"Tickmarks"}</definedName>
    <definedName name="indwqindw" hidden="1">{#N/A,#N/A,FALSE,"Aging Summary";#N/A,#N/A,FALSE,"Ratio Analysis";#N/A,#N/A,FALSE,"Test 120 Day Accts";#N/A,#N/A,FALSE,"Tickmarks"}</definedName>
    <definedName name="inesss" hidden="1">#REF!</definedName>
    <definedName name="informe" hidden="1">{"'DIFPRE'!$A$2:$M$54"}</definedName>
    <definedName name="informe3" hidden="1">{"'DIFPRE'!$A$2:$M$54"}</definedName>
    <definedName name="Ingresos_Operativos" hidden="1">#REF!</definedName>
    <definedName name="INSUA">#REF!</definedName>
    <definedName name="inter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INTERES">[1]EMBARQUES!#REF!</definedName>
    <definedName name="intereses" hidden="1">#REF!</definedName>
    <definedName name="Inventario" hidden="1">{"depositos1",#N/A,FALSE,"CONSOLID";"depositos2-cantidades",#N/A,FALSE,"CONSOLID";"planes sueldos3",#N/A,FALSE,"CONSOLID";"JUBILADOS4",#N/A,FALSE,"CONSOLID";"consolidado banca de consumo 5",#N/A,FALSE,"CONSOLID";"PMOS CONSUMO -SALDOS 6",#N/A,FALSE,"CONSOLID";"prod transaccionales cantidades",#N/A,FALSE,"CONSOLID";"prod transaccionales continuacion",#N/A,FALSE,"CONSOLID";"consolidado de banca empresa",#N/A,FALSE,"CONSOLID";"pmos banca empresa- saldos",#N/A,FALSE,"CONSOLID";"datos adicionales tarjetas",#N/A,FALSE,"CONSOLID";"tarjetas continuacion",#N/A,FALSE,"CONSOLID"}</definedName>
    <definedName name="IO" hidden="1">{#N/A,#N/A,FALSE,"Aging Summary";#N/A,#N/A,FALSE,"Ratio Analysis";#N/A,#N/A,FALSE,"Test 120 Day Accts";#N/A,#N/A,FALSE,"Tickmarks"}</definedName>
    <definedName name="ioio" hidden="1">{#N/A,#N/A,FALSE,"Aging Summary";#N/A,#N/A,FALSE,"Ratio Analysis";#N/A,#N/A,FALSE,"Test 120 Day Accts";#N/A,#N/A,FALSE,"Tickmarks"}</definedName>
    <definedName name="ioioi" hidden="1">#REF!</definedName>
    <definedName name="iol" hidden="1">{#N/A,#N/A,FALSE,"Aging Summary";#N/A,#N/A,FALSE,"Ratio Analysis";#N/A,#N/A,FALSE,"Test 120 Day Accts";#N/A,#N/A,FALSE,"Tickmarks"}</definedName>
    <definedName name="IOLL" hidden="1">{#N/A,#N/A,FALSE,"Aging Summary";#N/A,#N/A,FALSE,"Ratio Analysis";#N/A,#N/A,FALSE,"Test 120 Day Accts";#N/A,#N/A,FALSE,"Tickmarks"}</definedName>
    <definedName name="IOLO" hidden="1">{#N/A,#N/A,FALSE,"Aging Summary";#N/A,#N/A,FALSE,"Ratio Analysis";#N/A,#N/A,FALSE,"Test 120 Day Accts";#N/A,#N/A,FALSE,"Tickmarks"}</definedName>
    <definedName name="IOLOI" hidden="1">{#N/A,#N/A,FALSE,"Aging Summary";#N/A,#N/A,FALSE,"Ratio Analysis";#N/A,#N/A,FALSE,"Test 120 Day Accts";#N/A,#N/A,FALSE,"Tickmarks"}</definedName>
    <definedName name="IOO" hidden="1">{#N/A,#N/A,FALSE,"Aging Summary";#N/A,#N/A,FALSE,"Ratio Analysis";#N/A,#N/A,FALSE,"Test 120 Day Accts";#N/A,#N/A,FALSE,"Tickmarks"}</definedName>
    <definedName name="iooii" hidden="1">{#N/A,#N/A,FALSE,"Aging Summary";#N/A,#N/A,FALSE,"Ratio Analysis";#N/A,#N/A,FALSE,"Test 120 Day Accts";#N/A,#N/A,FALSE,"Tickmarks"}</definedName>
    <definedName name="iooio" hidden="1">{#N/A,#N/A,FALSE,"Aging Summary";#N/A,#N/A,FALSE,"Ratio Analysis";#N/A,#N/A,FALSE,"Test 120 Day Accts";#N/A,#N/A,FALSE,"Tickmarks"}</definedName>
    <definedName name="IOOOI" hidden="1">{#N/A,#N/A,FALSE,"Aging Summary";#N/A,#N/A,FALSE,"Ratio Analysis";#N/A,#N/A,FALSE,"Test 120 Day Accts";#N/A,#N/A,FALSE,"Tickmarks"}</definedName>
    <definedName name="IOOOJ" hidden="1">{#N/A,#N/A,FALSE,"Aging Summary";#N/A,#N/A,FALSE,"Ratio Analysis";#N/A,#N/A,FALSE,"Test 120 Day Accts";#N/A,#N/A,FALSE,"Tickmarks"}</definedName>
    <definedName name="IOOOO" hidden="1">{#N/A,#N/A,FALSE,"Aging Summary";#N/A,#N/A,FALSE,"Ratio Analysis";#N/A,#N/A,FALSE,"Test 120 Day Accts";#N/A,#N/A,FALSE,"Tickmarks"}</definedName>
    <definedName name="iopiu" hidden="1">{#N/A,#N/A,FALSE,"Aging Summary";#N/A,#N/A,FALSE,"Ratio Analysis";#N/A,#N/A,FALSE,"Test 120 Day Accts";#N/A,#N/A,FALSE,"Tickmarks"}</definedName>
    <definedName name="iosufdiwf" hidden="1">#REF!</definedName>
    <definedName name="iouu" hidden="1">#REF!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40073.6574189815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38968.4204166667</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iqjewiqe" hidden="1">{#N/A,#N/A,FALSE,"Aging Summary";#N/A,#N/A,FALSE,"Ratio Analysis";#N/A,#N/A,FALSE,"Test 120 Day Accts";#N/A,#N/A,FALSE,"Tickmarks"}</definedName>
    <definedName name="IQJWEIQ" hidden="1">{#N/A,#N/A,FALSE,"Aging Summary";#N/A,#N/A,FALSE,"Ratio Analysis";#N/A,#N/A,FALSE,"Test 120 Day Accts";#N/A,#N/A,FALSE,"Tickmarks"}</definedName>
    <definedName name="irfjrf" hidden="1">#REF!</definedName>
    <definedName name="irjfire" hidden="1">#REF!</definedName>
    <definedName name="irrrrrrr" hidden="1">{#N/A,#N/A,FALSE,"Aging Summary";#N/A,#N/A,FALSE,"Ratio Analysis";#N/A,#N/A,FALSE,"Test 120 Day Accts";#N/A,#N/A,FALSE,"Tickmarks"}</definedName>
    <definedName name="irwruw" hidden="1">#REF!</definedName>
    <definedName name="irwurw8" hidden="1">#REF!</definedName>
    <definedName name="is" hidden="1">{#N/A,#N/A,FALSE,"Aging Summary";#N/A,#N/A,FALSE,"Ratio Analysis";#N/A,#N/A,FALSE,"Test 120 Day Accts";#N/A,#N/A,FALSE,"Tickmarks"}</definedName>
    <definedName name="isdifsif" hidden="1">{#N/A,#N/A,FALSE,"Aging Summary";#N/A,#N/A,FALSE,"Ratio Analysis";#N/A,#N/A,FALSE,"Test 120 Day Accts";#N/A,#N/A,FALSE,"Tickmarks"}</definedName>
    <definedName name="isdjfisf" hidden="1">{#N/A,#N/A,FALSE,"Aging Summary";#N/A,#N/A,FALSE,"Ratio Analysis";#N/A,#N/A,FALSE,"Test 120 Day Accts";#N/A,#N/A,FALSE,"Tickmarks"}</definedName>
    <definedName name="isdjsdif" hidden="1">#REF!</definedName>
    <definedName name="isifis" hidden="1">{#N/A,#N/A,FALSE,"Aging Summary";#N/A,#N/A,FALSE,"Ratio Analysis";#N/A,#N/A,FALSE,"Test 120 Day Accts";#N/A,#N/A,FALSE,"Tickmarks"}</definedName>
    <definedName name="isifs" hidden="1">{#N/A,#N/A,FALSE,"Aging Summary";#N/A,#N/A,FALSE,"Ratio Analysis";#N/A,#N/A,FALSE,"Test 120 Day Accts";#N/A,#N/A,FALSE,"Tickmarks"}</definedName>
    <definedName name="isifsif" hidden="1">{#N/A,#N/A,FALSE,"Aging Summary";#N/A,#N/A,FALSE,"Ratio Analysis";#N/A,#N/A,FALSE,"Test 120 Day Accts";#N/A,#N/A,FALSE,"Tickmarks"}</definedName>
    <definedName name="isjqijsq" hidden="1">{#N/A,#N/A,FALSE,"Aging Summary";#N/A,#N/A,FALSE,"Ratio Analysis";#N/A,#N/A,FALSE,"Test 120 Day Accts";#N/A,#N/A,FALSE,"Tickmarks"}</definedName>
    <definedName name="ISU" hidden="1">{#N/A,#N/A,FALSE,"Exp_perf_BU"}</definedName>
    <definedName name="itgijtg" hidden="1">#REF!</definedName>
    <definedName name="itititit" hidden="1">{#N/A,#N/A,FALSE,"Aging Summary";#N/A,#N/A,FALSE,"Ratio Analysis";#N/A,#N/A,FALSE,"Test 120 Day Accts";#N/A,#N/A,FALSE,"Tickmarks"}</definedName>
    <definedName name="iuadua7" hidden="1">{#N/A,#N/A,FALSE,"Aging Summary";#N/A,#N/A,FALSE,"Ratio Analysis";#N/A,#N/A,FALSE,"Test 120 Day Accts";#N/A,#N/A,FALSE,"Tickmarks"}</definedName>
    <definedName name="iue" hidden="1">{#N/A,#N/A,FALSE,"Aging Summary";#N/A,#N/A,FALSE,"Ratio Analysis";#N/A,#N/A,FALSE,"Test 120 Day Accts";#N/A,#N/A,FALSE,"Tickmarks"}</definedName>
    <definedName name="iuerj" hidden="1">{#N/A,#N/A,FALSE,"Aging Summary";#N/A,#N/A,FALSE,"Ratio Analysis";#N/A,#N/A,FALSE,"Test 120 Day Accts";#N/A,#N/A,FALSE,"Tickmarks"}</definedName>
    <definedName name="iuhh" hidden="1">{#N/A,#N/A,TRUE,"proy96 long dist";#N/A,#N/A,TRUE,"warehouse"}</definedName>
    <definedName name="IUII" hidden="1">{#N/A,#N/A,FALSE,"Aging Summary";#N/A,#N/A,FALSE,"Ratio Analysis";#N/A,#N/A,FALSE,"Test 120 Day Accts";#N/A,#N/A,FALSE,"Tickmarks"}</definedName>
    <definedName name="IUJJK" hidden="1">{#N/A,#N/A,FALSE,"Aging Summary";#N/A,#N/A,FALSE,"Ratio Analysis";#N/A,#N/A,FALSE,"Test 120 Day Accts";#N/A,#N/A,FALSE,"Tickmarks"}</definedName>
    <definedName name="iuo" hidden="1">{#N/A,#N/A,FALSE,"Aging Summary";#N/A,#N/A,FALSE,"Ratio Analysis";#N/A,#N/A,FALSE,"Test 120 Day Accts";#N/A,#N/A,FALSE,"Tickmarks"}</definedName>
    <definedName name="IUUI" hidden="1">{#N/A,#N/A,FALSE,"Aging Summary";#N/A,#N/A,FALSE,"Ratio Analysis";#N/A,#N/A,FALSE,"Test 120 Day Accts";#N/A,#N/A,FALSE,"Tickmarks"}</definedName>
    <definedName name="iuwegiwuery" hidden="1">{#N/A,#N/A,FALSE,"Aging Summary";#N/A,#N/A,FALSE,"Ratio Analysis";#N/A,#N/A,FALSE,"Test 120 Day Accts";#N/A,#N/A,FALSE,"Tickmarks"}</definedName>
    <definedName name="iuyiuyi" hidden="1">{#N/A,#N/A,FALSE,"Aging Summary";#N/A,#N/A,FALSE,"Ratio Analysis";#N/A,#N/A,FALSE,"Test 120 Day Accts";#N/A,#N/A,FALSE,"Tickmarks"}</definedName>
    <definedName name="iva" hidden="1">{#N/A,#N/A,FALSE,"Aging Summary";#N/A,#N/A,FALSE,"Ratio Analysis";#N/A,#N/A,FALSE,"Test 120 Day Accts";#N/A,#N/A,FALSE,"Tickmarks"}</definedName>
    <definedName name="IVAVENTAS" hidden="1">#REF!</definedName>
    <definedName name="ivrwvre" hidden="1">#REF!</definedName>
    <definedName name="iwdjidw" hidden="1">{#N/A,#N/A,FALSE,"Aging Summary";#N/A,#N/A,FALSE,"Ratio Analysis";#N/A,#N/A,FALSE,"Test 120 Day Accts";#N/A,#N/A,FALSE,"Tickmarks"}</definedName>
    <definedName name="iwejfw" hidden="1">#REF!</definedName>
    <definedName name="iwejfwe" hidden="1">#REF!</definedName>
    <definedName name="iwejfwef" hidden="1">#REF!</definedName>
    <definedName name="iwejfwjf" hidden="1">#REF!</definedName>
    <definedName name="iwer8wk" hidden="1">#REF!</definedName>
    <definedName name="iwfjwef" hidden="1">#REF!</definedName>
    <definedName name="iwifiwf" hidden="1">{#N/A,#N/A,FALSE,"Aging Summary";#N/A,#N/A,FALSE,"Ratio Analysis";#N/A,#N/A,FALSE,"Test 120 Day Accts";#N/A,#N/A,FALSE,"Tickmarks"}</definedName>
    <definedName name="iwifw9" hidden="1">#REF!</definedName>
    <definedName name="iwjcwi" hidden="1">#REF!</definedName>
    <definedName name="iwjdiqjd" hidden="1">{#N/A,#N/A,FALSE,"Aging Summary";#N/A,#N/A,FALSE,"Ratio Analysis";#N/A,#N/A,FALSE,"Test 120 Day Accts";#N/A,#N/A,FALSE,"Tickmarks"}</definedName>
    <definedName name="iwjfw" hidden="1">#REF!</definedName>
    <definedName name="iwjfwe" hidden="1">#REF!</definedName>
    <definedName name="iwjg" hidden="1">#REF!</definedName>
    <definedName name="iwjw8" hidden="1">#REF!</definedName>
    <definedName name="iwoj4" hidden="1">#REF!</definedName>
    <definedName name="iwowf" hidden="1">#REF!</definedName>
    <definedName name="IY" hidden="1">{#N/A,#N/A,FALSE,"Aging Summary";#N/A,#N/A,FALSE,"Ratio Analysis";#N/A,#N/A,FALSE,"Test 120 Day Accts";#N/A,#N/A,FALSE,"Tickmarks"}</definedName>
    <definedName name="iyiyi" hidden="1">{#N/A,#N/A,FALSE,"Aging Summary";#N/A,#N/A,FALSE,"Ratio Analysis";#N/A,#N/A,FALSE,"Test 120 Day Accts";#N/A,#N/A,FALSE,"Tickmarks"}</definedName>
    <definedName name="IYOIO" hidden="1">{#N/A,#N/A,FALSE,"Aging Summary";#N/A,#N/A,FALSE,"Ratio Analysis";#N/A,#N/A,FALSE,"Test 120 Day Accts";#N/A,#N/A,FALSE,"Tickmarks"}</definedName>
    <definedName name="iyuyuyt" hidden="1">{#N/A,#N/A,FALSE,"Aging Summary";#N/A,#N/A,FALSE,"Ratio Analysis";#N/A,#N/A,FALSE,"Test 120 Day Accts";#N/A,#N/A,FALSE,"Tickmarks"}</definedName>
    <definedName name="ja" hidden="1">#REF!</definedName>
    <definedName name="jadas6" hidden="1">{#N/A,#N/A,FALSE,"Aging Summary";#N/A,#N/A,FALSE,"Ratio Analysis";#N/A,#N/A,FALSE,"Test 120 Day Accts";#N/A,#N/A,FALSE,"Tickmarks"}</definedName>
    <definedName name="jadeje" hidden="1">{#N/A,#N/A,FALSE,"Aging Summary";#N/A,#N/A,FALSE,"Ratio Analysis";#N/A,#N/A,FALSE,"Test 120 Day Accts";#N/A,#N/A,FALSE,"Tickmarks"}</definedName>
    <definedName name="jadj"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ADJAID" hidden="1">{#N/A,#N/A,FALSE,"Aging Summary";#N/A,#N/A,FALSE,"Ratio Analysis";#N/A,#N/A,FALSE,"Test 120 Day Accts";#N/A,#N/A,FALSE,"Tickmarks"}</definedName>
    <definedName name="jadkajd" hidden="1">{"custodia",#N/A,FALSE,"Encaje";"encajeprint",#N/A,FALSE,"Encaje"}</definedName>
    <definedName name="jadkjajd" hidden="1">{#N/A,#N/A,FALSE,"Aging Summary";#N/A,#N/A,FALSE,"Ratio Analysis";#N/A,#N/A,FALSE,"Test 120 Day Accts";#N/A,#N/A,FALSE,"Tickmarks"}</definedName>
    <definedName name="jadokjaow" hidden="1">{#N/A,#N/A,FALSE,"Aging Summary";#N/A,#N/A,FALSE,"Ratio Analysis";#N/A,#N/A,FALSE,"Test 120 Day Accts";#N/A,#N/A,FALSE,"Tickmarks"}</definedName>
    <definedName name="jajajajja" hidden="1">{#N/A,#N/A,FALSE,"Aging Summary";#N/A,#N/A,FALSE,"Ratio Analysis";#N/A,#N/A,FALSE,"Test 120 Day Accts";#N/A,#N/A,FALSE,"Tickmarks"}</definedName>
    <definedName name="jajdjadjasd" hidden="1">{#N/A,#N/A,FALSE,"Aging Summary";#N/A,#N/A,FALSE,"Ratio Analysis";#N/A,#N/A,FALSE,"Test 120 Day Accts";#N/A,#N/A,FALSE,"Tickmarks"}</definedName>
    <definedName name="jaje" hidden="1">{#N/A,#N/A,FALSE,"Aging Summary";#N/A,#N/A,FALSE,"Ratio Analysis";#N/A,#N/A,FALSE,"Test 120 Day Accts";#N/A,#N/A,FALSE,"Tickmarks"}</definedName>
    <definedName name="jajei" hidden="1">{#N/A,#N/A,FALSE,"Aging Summary";#N/A,#N/A,FALSE,"Ratio Analysis";#N/A,#N/A,FALSE,"Test 120 Day Accts";#N/A,#N/A,FALSE,"Tickmarks"}</definedName>
    <definedName name="jajejijo" hidden="1">{#N/A,#N/A,FALSE,"Aging Summary";#N/A,#N/A,FALSE,"Ratio Analysis";#N/A,#N/A,FALSE,"Test 120 Day Accts";#N/A,#N/A,FALSE,"Tickmarks"}</definedName>
    <definedName name="jakdja" hidden="1">{"custodia",#N/A,FALSE,"Encaje";"encajeprint",#N/A,FALSE,"Encaje"}</definedName>
    <definedName name="jakdjakjd" hidden="1">{#N/A,#N/A,FALSE,"Aging Summary";#N/A,#N/A,FALSE,"Ratio Analysis";#N/A,#N/A,FALSE,"Test 120 Day Accts";#N/A,#N/A,FALSE,"Tickmarks"}</definedName>
    <definedName name="jakj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akjdjad" hidden="1">{#N/A,#N/A,FALSE,"Aging Summary";#N/A,#N/A,FALSE,"Ratio Analysis";#N/A,#N/A,FALSE,"Test 120 Day Accts";#N/A,#N/A,FALSE,"Tickmarks"}</definedName>
    <definedName name="jandajda" hidden="1">#REF!</definedName>
    <definedName name="jar" hidden="1">{#N/A,#N/A,FALSE,"BHA"}</definedName>
    <definedName name="jare" hidden="1">{#N/A,#N/A,FALSE,"BHA"}</definedName>
    <definedName name="JASD9" hidden="1">{#N/A,#N/A,FALSE,"Aging Summary";#N/A,#N/A,FALSE,"Ratio Analysis";#N/A,#N/A,FALSE,"Test 120 Day Accts";#N/A,#N/A,FALSE,"Tickmarks"}</definedName>
    <definedName name="JASDIA2" hidden="1">{#N/A,#N/A,FALSE,"Aging Summary";#N/A,#N/A,FALSE,"Ratio Analysis";#N/A,#N/A,FALSE,"Test 120 Day Accts";#N/A,#N/A,FALSE,"Tickmarks"}</definedName>
    <definedName name="JASDJ2" hidden="1">{#N/A,#N/A,FALSE,"Aging Summary";#N/A,#N/A,FALSE,"Ratio Analysis";#N/A,#N/A,FALSE,"Test 120 Day Accts";#N/A,#N/A,FALSE,"Tickmarks"}</definedName>
    <definedName name="jasdkjakdja" hidden="1">{#N/A,#N/A,FALSE,"Aging Summary";#N/A,#N/A,FALSE,"Ratio Analysis";#N/A,#N/A,FALSE,"Test 120 Day Accts";#N/A,#N/A,FALSE,"Tickmarks"}</definedName>
    <definedName name="jashda" hidden="1">{#N/A,#N/A,FALSE,"Aging Summary";#N/A,#N/A,FALSE,"Ratio Analysis";#N/A,#N/A,FALSE,"Test 120 Day Accts";#N/A,#N/A,FALSE,"Tickmarks"}</definedName>
    <definedName name="JASID" hidden="1">{#N/A,#N/A,FALSE,"Aging Summary";#N/A,#N/A,FALSE,"Ratio Analysis";#N/A,#N/A,FALSE,"Test 120 Day Accts";#N/A,#N/A,FALSE,"Tickmarks"}</definedName>
    <definedName name="JASIDASJD9" hidden="1">{#N/A,#N/A,FALSE,"Aging Summary";#N/A,#N/A,FALSE,"Ratio Analysis";#N/A,#N/A,FALSE,"Test 120 Day Accts";#N/A,#N/A,FALSE,"Tickmarks"}</definedName>
    <definedName name="jaskjda" hidden="1">{#N/A,#N/A,FALSE,"Aging Summary";#N/A,#N/A,FALSE,"Ratio Analysis";#N/A,#N/A,FALSE,"Test 120 Day Accts";#N/A,#N/A,FALSE,"Tickmarks"}</definedName>
    <definedName name="jasr" hidden="1">#REF!</definedName>
    <definedName name="jceijceice" hidden="1">#REF!</definedName>
    <definedName name="jcewocjew" hidden="1">#REF!</definedName>
    <definedName name="jcjcjc" hidden="1">{#N/A,#N/A,FALSE,"Aging Summary";#N/A,#N/A,FALSE,"Ratio Analysis";#N/A,#N/A,FALSE,"Test 120 Day Accts";#N/A,#N/A,FALSE,"Tickmarks"}</definedName>
    <definedName name="jd3d3" hidden="1">{#N/A,#N/A,FALSE,"Aging Summary";#N/A,#N/A,FALSE,"Ratio Analysis";#N/A,#N/A,FALSE,"Test 120 Day Accts";#N/A,#N/A,FALSE,"Tickmarks"}</definedName>
    <definedName name="jd3dj38" hidden="1">{#N/A,#N/A,FALSE,"Aging Summary";#N/A,#N/A,FALSE,"Ratio Analysis";#N/A,#N/A,FALSE,"Test 120 Day Accts";#N/A,#N/A,FALSE,"Tickmarks"}</definedName>
    <definedName name="jd9djd98" hidden="1">{#N/A,#N/A,FALSE,"Aging Summary";#N/A,#N/A,FALSE,"Ratio Analysis";#N/A,#N/A,FALSE,"Test 120 Day Accts";#N/A,#N/A,FALSE,"Tickmarks"}</definedName>
    <definedName name="jdad" hidden="1">{#N/A,#N/A,FALSE,"Aging Summary";#N/A,#N/A,FALSE,"Ratio Analysis";#N/A,#N/A,FALSE,"Test 120 Day Accts";#N/A,#N/A,FALSE,"Tickmarks"}</definedName>
    <definedName name="JDAD8" hidden="1">{#N/A,#N/A,FALSE,"Aging Summary";#N/A,#N/A,FALSE,"Ratio Analysis";#N/A,#N/A,FALSE,"Test 120 Day Accts";#N/A,#N/A,FALSE,"Tickmarks"}</definedName>
    <definedName name="JDAID" hidden="1">{#N/A,#N/A,FALSE,"Aging Summary";#N/A,#N/A,FALSE,"Ratio Analysis";#N/A,#N/A,FALSE,"Test 120 Day Accts";#N/A,#N/A,FALSE,"Tickmarks"}</definedName>
    <definedName name="jdaidaj9d" hidden="1">{#N/A,#N/A,FALSE,"Aging Summary";#N/A,#N/A,FALSE,"Ratio Analysis";#N/A,#N/A,FALSE,"Test 120 Day Accts";#N/A,#N/A,FALSE,"Tickmarks"}</definedName>
    <definedName name="jdaijdsa" hidden="1">{#N/A,#N/A,FALSE,"Aging Summary";#N/A,#N/A,FALSE,"Ratio Analysis";#N/A,#N/A,FALSE,"Test 120 Day Accts";#N/A,#N/A,FALSE,"Tickmarks"}</definedName>
    <definedName name="JDAIJSD" hidden="1">{#N/A,#N/A,FALSE,"Aging Summary";#N/A,#N/A,FALSE,"Ratio Analysis";#N/A,#N/A,FALSE,"Test 120 Day Accts";#N/A,#N/A,FALSE,"Tickmarks"}</definedName>
    <definedName name="JDAIS" hidden="1">{#N/A,#N/A,FALSE,"Aging Summary";#N/A,#N/A,FALSE,"Ratio Analysis";#N/A,#N/A,FALSE,"Test 120 Day Accts";#N/A,#N/A,FALSE,"Tickmarks"}</definedName>
    <definedName name="JDAIS0" hidden="1">{#N/A,#N/A,FALSE,"Aging Summary";#N/A,#N/A,FALSE,"Ratio Analysis";#N/A,#N/A,FALSE,"Test 120 Day Accts";#N/A,#N/A,FALSE,"Tickmarks"}</definedName>
    <definedName name="JDAISD" hidden="1">{#N/A,#N/A,FALSE,"Aging Summary";#N/A,#N/A,FALSE,"Ratio Analysis";#N/A,#N/A,FALSE,"Test 120 Day Accts";#N/A,#N/A,FALSE,"Tickmarks"}</definedName>
    <definedName name="jdaisdjai" hidden="1">{#N/A,#N/A,FALSE,"Aging Summary";#N/A,#N/A,FALSE,"Ratio Analysis";#N/A,#N/A,FALSE,"Test 120 Day Accts";#N/A,#N/A,FALSE,"Tickmarks"}</definedName>
    <definedName name="JDAISJD" hidden="1">{#N/A,#N/A,FALSE,"Aging Summary";#N/A,#N/A,FALSE,"Ratio Analysis";#N/A,#N/A,FALSE,"Test 120 Day Accts";#N/A,#N/A,FALSE,"Tickmarks"}</definedName>
    <definedName name="JDAJ9S" hidden="1">{#N/A,#N/A,FALSE,"Aging Summary";#N/A,#N/A,FALSE,"Ratio Analysis";#N/A,#N/A,FALSE,"Test 120 Day Accts";#N/A,#N/A,FALSE,"Tickmarks"}</definedName>
    <definedName name="jdajhdjad" hidden="1">{#N/A,#N/A,FALSE,"Aging Summary";#N/A,#N/A,FALSE,"Ratio Analysis";#N/A,#N/A,FALSE,"Test 120 Day Accts";#N/A,#N/A,FALSE,"Tickmarks"}</definedName>
    <definedName name="JDAJIS9" hidden="1">{#N/A,#N/A,FALSE,"Aging Summary";#N/A,#N/A,FALSE,"Ratio Analysis";#N/A,#N/A,FALSE,"Test 120 Day Accts";#N/A,#N/A,FALSE,"Tickmarks"}</definedName>
    <definedName name="JDAJS" hidden="1">{#N/A,#N/A,FALSE,"Aging Summary";#N/A,#N/A,FALSE,"Ratio Analysis";#N/A,#N/A,FALSE,"Test 120 Day Accts";#N/A,#N/A,FALSE,"Tickmarks"}</definedName>
    <definedName name="JDAJS9D" hidden="1">{#N/A,#N/A,FALSE,"Aging Summary";#N/A,#N/A,FALSE,"Ratio Analysis";#N/A,#N/A,FALSE,"Test 120 Day Accts";#N/A,#N/A,FALSE,"Tickmarks"}</definedName>
    <definedName name="JDAJSD" hidden="1">{#N/A,#N/A,FALSE,"Aging Summary";#N/A,#N/A,FALSE,"Ratio Analysis";#N/A,#N/A,FALSE,"Test 120 Day Accts";#N/A,#N/A,FALSE,"Tickmarks"}</definedName>
    <definedName name="JDAJSD00" hidden="1">{#N/A,#N/A,FALSE,"Aging Summary";#N/A,#N/A,FALSE,"Ratio Analysis";#N/A,#N/A,FALSE,"Test 120 Day Accts";#N/A,#N/A,FALSE,"Tickmarks"}</definedName>
    <definedName name="jdakjdka" hidden="1">{#N/A,#N/A,FALSE,"Aging Summary";#N/A,#N/A,FALSE,"Ratio Analysis";#N/A,#N/A,FALSE,"Test 120 Day Accts";#N/A,#N/A,FALSE,"Tickmarks"}</definedName>
    <definedName name="jdaosmdoasd" hidden="1">{#N/A,#N/A,FALSE,"Aging Summary";#N/A,#N/A,FALSE,"Ratio Analysis";#N/A,#N/A,FALSE,"Test 120 Day Accts";#N/A,#N/A,FALSE,"Tickmarks"}</definedName>
    <definedName name="JDAS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DASD9" hidden="1">{#N/A,#N/A,FALSE,"Aging Summary";#N/A,#N/A,FALSE,"Ratio Analysis";#N/A,#N/A,FALSE,"Test 120 Day Accts";#N/A,#N/A,FALSE,"Tickmarks"}</definedName>
    <definedName name="jdasda" hidden="1">{#N/A,#N/A,FALSE,"Aging Summary";#N/A,#N/A,FALSE,"Ratio Analysis";#N/A,#N/A,FALSE,"Test 120 Day Accts";#N/A,#N/A,FALSE,"Tickmarks"}</definedName>
    <definedName name="jdeied" hidden="1">#REF!</definedName>
    <definedName name="jdeojd" hidden="1">{#N/A,#N/A,FALSE,"Aging Summary";#N/A,#N/A,FALSE,"Ratio Analysis";#N/A,#N/A,FALSE,"Test 120 Day Accts";#N/A,#N/A,FALSE,"Tickmarks"}</definedName>
    <definedName name="jdfjs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diad9" hidden="1">{#N/A,#N/A,FALSE,"Aging Summary";#N/A,#N/A,FALSE,"Ratio Analysis";#N/A,#N/A,FALSE,"Test 120 Day Accts";#N/A,#N/A,FALSE,"Tickmarks"}</definedName>
    <definedName name="JDIAJD9" hidden="1">{#N/A,#N/A,FALSE,"Aging Summary";#N/A,#N/A,FALSE,"Ratio Analysis";#N/A,#N/A,FALSE,"Test 120 Day Accts";#N/A,#N/A,FALSE,"Tickmarks"}</definedName>
    <definedName name="JDIAS9" hidden="1">{#N/A,#N/A,FALSE,"Aging Summary";#N/A,#N/A,FALSE,"Ratio Analysis";#N/A,#N/A,FALSE,"Test 120 Day Accts";#N/A,#N/A,FALSE,"Tickmarks"}</definedName>
    <definedName name="JDIASJDA" hidden="1">{#N/A,#N/A,FALSE,"Aging Summary";#N/A,#N/A,FALSE,"Ratio Analysis";#N/A,#N/A,FALSE,"Test 120 Day Accts";#N/A,#N/A,FALSE,"Tickmarks"}</definedName>
    <definedName name="jdie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diqd" hidden="1">{#N/A,#N/A,FALSE,"Aging Summary";#N/A,#N/A,FALSE,"Ratio Analysis";#N/A,#N/A,FALSE,"Test 120 Day Accts";#N/A,#N/A,FALSE,"Tickmarks"}</definedName>
    <definedName name="jdiqjwdq" hidden="1">{#N/A,#N/A,FALSE,"Aging Summary";#N/A,#N/A,FALSE,"Ratio Analysis";#N/A,#N/A,FALSE,"Test 120 Day Accts";#N/A,#N/A,FALSE,"Tickmarks"}</definedName>
    <definedName name="jdjad9a09" hidden="1">{#N/A,#N/A,FALSE,"Aging Summary";#N/A,#N/A,FALSE,"Ratio Analysis";#N/A,#N/A,FALSE,"Test 120 Day Accts";#N/A,#N/A,FALSE,"Tickmarks"}</definedName>
    <definedName name="jdjadja" hidden="1">{#N/A,#N/A,FALSE,"Aging Summary";#N/A,#N/A,FALSE,"Ratio Analysis";#N/A,#N/A,FALSE,"Test 120 Day Accts";#N/A,#N/A,FALSE,"Tickmarks"}</definedName>
    <definedName name="JDJADS9" hidden="1">{#N/A,#N/A,FALSE,"Aging Summary";#N/A,#N/A,FALSE,"Ratio Analysis";#N/A,#N/A,FALSE,"Test 120 Day Accts";#N/A,#N/A,FALSE,"Tickmarks"}</definedName>
    <definedName name="JDJAS" hidden="1">{#N/A,#N/A,FALSE,"Aging Summary";#N/A,#N/A,FALSE,"Ratio Analysis";#N/A,#N/A,FALSE,"Test 120 Day Accts";#N/A,#N/A,FALSE,"Tickmarks"}</definedName>
    <definedName name="jdjasd90" hidden="1">{#N/A,#N/A,FALSE,"Aging Summary";#N/A,#N/A,FALSE,"Ratio Analysis";#N/A,#N/A,FALSE,"Test 120 Day Accts";#N/A,#N/A,FALSE,"Tickmarks"}</definedName>
    <definedName name="jdjdjjdjd" hidden="1">{#N/A,#N/A,FALSE,"Aging Summary";#N/A,#N/A,FALSE,"Ratio Analysis";#N/A,#N/A,FALSE,"Test 120 Day Accts";#N/A,#N/A,FALSE,"Tickmarks"}</definedName>
    <definedName name="jdjdss" hidden="1">{#N/A,#N/A,FALSE,"Aging Summary";#N/A,#N/A,FALSE,"Ratio Analysis";#N/A,#N/A,FALSE,"Test 120 Day Accts";#N/A,#N/A,FALSE,"Tickmarks"}</definedName>
    <definedName name="JDJQND" hidden="1">{#N/A,#N/A,FALSE,"Aging Summary";#N/A,#N/A,FALSE,"Ratio Analysis";#N/A,#N/A,FALSE,"Test 120 Day Accts";#N/A,#N/A,FALSE,"Tickmarks"}</definedName>
    <definedName name="jdkyeeeee" hidden="1">{#N/A,#N/A,FALSE,"Aging Summary";#N/A,#N/A,FALSE,"Ratio Analysis";#N/A,#N/A,FALSE,"Test 120 Day Accts";#N/A,#N/A,FALSE,"Tickmarks"}</definedName>
    <definedName name="jdoasjdoasd" hidden="1">{#N/A,#N/A,FALSE,"Aging Summary";#N/A,#N/A,FALSE,"Ratio Analysis";#N/A,#N/A,FALSE,"Test 120 Day Accts";#N/A,#N/A,FALSE,"Tickmarks"}</definedName>
    <definedName name="jdodokd" hidden="1">{#N/A,#N/A,FALSE,"Aging Summary";#N/A,#N/A,FALSE,"Ratio Analysis";#N/A,#N/A,FALSE,"Test 120 Day Accts";#N/A,#N/A,FALSE,"Tickmarks"}</definedName>
    <definedName name="jdoqdj" hidden="1">{#N/A,#N/A,FALSE,"Aging Summary";#N/A,#N/A,FALSE,"Ratio Analysis";#N/A,#N/A,FALSE,"Test 120 Day Accts";#N/A,#N/A,FALSE,"Tickmarks"}</definedName>
    <definedName name="jdoqjdq" hidden="1">{#N/A,#N/A,FALSE,"Aging Summary";#N/A,#N/A,FALSE,"Ratio Analysis";#N/A,#N/A,FALSE,"Test 120 Day Accts";#N/A,#N/A,FALSE,"Tickmarks"}</definedName>
    <definedName name="jdqijdq" hidden="1">{#N/A,#N/A,FALSE,"Aging Summary";#N/A,#N/A,FALSE,"Ratio Analysis";#N/A,#N/A,FALSE,"Test 120 Day Accts";#N/A,#N/A,FALSE,"Tickmarks"}</definedName>
    <definedName name="jdsajjdsa" hidden="1">{#N/A,#N/A,FALSE,"Aging Summary";#N/A,#N/A,FALSE,"Ratio Analysis";#N/A,#N/A,FALSE,"Test 120 Day Accts";#N/A,#N/A,FALSE,"Tickmarks"}</definedName>
    <definedName name="jdsasajdsaids" hidden="1">{#N/A,#N/A,FALSE,"Aging Summary";#N/A,#N/A,FALSE,"Ratio Analysis";#N/A,#N/A,FALSE,"Test 120 Day Accts";#N/A,#N/A,FALSE,"Tickmarks"}</definedName>
    <definedName name="jdsdc" hidden="1">{#N/A,#N/A,FALSE,"Aging Summary";#N/A,#N/A,FALSE,"Ratio Analysis";#N/A,#N/A,FALSE,"Test 120 Day Accts";#N/A,#N/A,FALSE,"Tickmarks"}</definedName>
    <definedName name="jdsiAIa0" hidden="1">#REF!</definedName>
    <definedName name="jdslkjdslkjdsa" hidden="1">{#N/A,#N/A,FALSE,"Aging Summary";#N/A,#N/A,FALSE,"Ratio Analysis";#N/A,#N/A,FALSE,"Test 120 Day Accts";#N/A,#N/A,FALSE,"Tickmarks"}</definedName>
    <definedName name="jeasd" hidden="1">{#N/A,#N/A,FALSE,"Aging Summary";#N/A,#N/A,FALSE,"Ratio Analysis";#N/A,#N/A,FALSE,"Test 120 Day Accts";#N/A,#N/A,FALSE,"Tickmarks"}</definedName>
    <definedName name="jede" hidden="1">#REF!</definedName>
    <definedName name="jeje" hidden="1">{#N/A,#N/A,FALSE,"Aging Summary";#N/A,#N/A,FALSE,"Ratio Analysis";#N/A,#N/A,FALSE,"Test 120 Day Accts";#N/A,#N/A,FALSE,"Tickmarks"}</definedName>
    <definedName name="jejejeje" hidden="1">{#N/A,#N/A,FALSE,"Aging Summary";#N/A,#N/A,FALSE,"Ratio Analysis";#N/A,#N/A,FALSE,"Test 120 Day Accts";#N/A,#N/A,FALSE,"Tickmarks"}</definedName>
    <definedName name="jeodejdwd" hidden="1">{#N/A,#N/A,FALSE,"Aging Summary";#N/A,#N/A,FALSE,"Ratio Analysis";#N/A,#N/A,FALSE,"Test 120 Day Accts";#N/A,#N/A,FALSE,"Tickmarks"}</definedName>
    <definedName name="jeud" hidden="1">{#N/A,#N/A,FALSE,"Aging Summary";#N/A,#N/A,FALSE,"Ratio Analysis";#N/A,#N/A,FALSE,"Test 120 Day Accts";#N/A,#N/A,FALSE,"Tickmarks"}</definedName>
    <definedName name="jewidw" hidden="1">#REF!</definedName>
    <definedName name="jewifjwjfw" hidden="1">{#N/A,#N/A,FALSE,"Aging Summary";#N/A,#N/A,FALSE,"Ratio Analysis";#N/A,#N/A,FALSE,"Test 120 Day Accts";#N/A,#N/A,FALSE,"Tickmarks"}</definedName>
    <definedName name="jewkfjwefw" hidden="1">{#N/A,#N/A,FALSE,"Aging Summary";#N/A,#N/A,FALSE,"Ratio Analysis";#N/A,#N/A,FALSE,"Test 120 Day Accts";#N/A,#N/A,FALSE,"Tickmarks"}</definedName>
    <definedName name="jewof" hidden="1">#REF!</definedName>
    <definedName name="jfdfd" hidden="1">{#N/A,#N/A,FALSE,"Aging Summary";#N/A,#N/A,FALSE,"Ratio Analysis";#N/A,#N/A,FALSE,"Test 120 Day Accts";#N/A,#N/A,FALSE,"Tickmarks"}</definedName>
    <definedName name="jfdjfd" hidden="1">{#N/A,#N/A,FALSE,"Aging Summary";#N/A,#N/A,FALSE,"Ratio Analysis";#N/A,#N/A,FALSE,"Test 120 Day Accts";#N/A,#N/A,FALSE,"Tickmarks"}</definedName>
    <definedName name="jfewf8" hidden="1">#REF!</definedName>
    <definedName name="jfewojfew" hidden="1">#REF!</definedName>
    <definedName name="jffu" hidden="1">{#N/A,#N/A,FALSE,"Aging Summary";#N/A,#N/A,FALSE,"Ratio Analysis";#N/A,#N/A,FALSE,"Test 120 Day Accts";#N/A,#N/A,FALSE,"Tickmarks"}</definedName>
    <definedName name="jfiewjf" hidden="1">{#N/A,#N/A,FALSE,"Aging Summary";#N/A,#N/A,FALSE,"Ratio Analysis";#N/A,#N/A,FALSE,"Test 120 Day Accts";#N/A,#N/A,FALSE,"Tickmarks"}</definedName>
    <definedName name="jfirefje" hidden="1">{"'DIFPRE'!$A$2:$M$54"}</definedName>
    <definedName name="jfiwe3" hidden="1">#REF!</definedName>
    <definedName name="jfjfjf" hidden="1">{#N/A,#N/A,FALSE,"Aging Summary";#N/A,#N/A,FALSE,"Ratio Analysis";#N/A,#N/A,FALSE,"Test 120 Day Accts";#N/A,#N/A,FALSE,"Tickmarks"}</definedName>
    <definedName name="jfjsdjfs" hidden="1">{#N/A,#N/A,FALSE,"Aging Summary";#N/A,#N/A,FALSE,"Ratio Analysis";#N/A,#N/A,FALSE,"Test 120 Day Accts";#N/A,#N/A,FALSE,"Tickmarks"}</definedName>
    <definedName name="jfnsdfs" hidden="1">{#N/A,#N/A,FALSE,"Aging Summary";#N/A,#N/A,FALSE,"Ratio Analysis";#N/A,#N/A,FALSE,"Test 120 Day Accts";#N/A,#N/A,FALSE,"Tickmarks"}</definedName>
    <definedName name="jfoeqfjwq" hidden="1">#REF!</definedName>
    <definedName name="jfowe" hidden="1">#REF!</definedName>
    <definedName name="jfowejf" hidden="1">#REF!</definedName>
    <definedName name="jfowejfw" hidden="1">#REF!</definedName>
    <definedName name="jfowjfow" hidden="1">{#N/A,#N/A,FALSE,"Aging Summary";#N/A,#N/A,FALSE,"Ratio Analysis";#N/A,#N/A,FALSE,"Test 120 Day Accts";#N/A,#N/A,FALSE,"Tickmarks"}</definedName>
    <definedName name="jfowjofjwjfw" hidden="1">{#N/A,#N/A,FALSE,"Aging Summary";#N/A,#N/A,FALSE,"Ratio Analysis";#N/A,#N/A,FALSE,"Test 120 Day Accts";#N/A,#N/A,FALSE,"Tickmarks"}</definedName>
    <definedName name="jfqojfq" hidden="1">#REF!</definedName>
    <definedName name="jfsdifjdsf" hidden="1">{#N/A,#N/A,FALSE,"Aging Summary";#N/A,#N/A,FALSE,"Ratio Analysis";#N/A,#N/A,FALSE,"Test 120 Day Accts";#N/A,#N/A,FALSE,"Tickmarks"}</definedName>
    <definedName name="jfweijfwef" hidden="1">#REF!</definedName>
    <definedName name="jfwjifw" hidden="1">#REF!</definedName>
    <definedName name="jfwoejfwofj" hidden="1">{#N/A,#N/A,FALSE,"Aging Summary";#N/A,#N/A,FALSE,"Ratio Analysis";#N/A,#N/A,FALSE,"Test 120 Day Accts";#N/A,#N/A,FALSE,"Tickmarks"}</definedName>
    <definedName name="jfwojfw" hidden="1">{#N/A,#N/A,FALSE,"Aging Summary";#N/A,#N/A,FALSE,"Ratio Analysis";#N/A,#N/A,FALSE,"Test 120 Day Accts";#N/A,#N/A,FALSE,"Tickmarks"}</definedName>
    <definedName name="jghfy" hidden="1">{#N/A,#N/A,FALSE,"Aging Summary";#N/A,#N/A,FALSE,"Ratio Analysis";#N/A,#N/A,FALSE,"Test 120 Day Accts";#N/A,#N/A,FALSE,"Tickmarks"}</definedName>
    <definedName name="jgierge" hidden="1">#REF!</definedName>
    <definedName name="jgk" hidden="1">{#N/A,#N/A,FALSE,"Aging Summary";#N/A,#N/A,FALSE,"Ratio Analysis";#N/A,#N/A,FALSE,"Test 120 Day Accts";#N/A,#N/A,FALSE,"Tickmarks"}</definedName>
    <definedName name="jgw" hidden="1">#REF!</definedName>
    <definedName name="JGY" hidden="1">{#N/A,#N/A,FALSE,"Aging Summary";#N/A,#N/A,FALSE,"Ratio Analysis";#N/A,#N/A,FALSE,"Test 120 Day Accts";#N/A,#N/A,FALSE,"Tickmarks"}</definedName>
    <definedName name="JH" hidden="1">{#N/A,#N/A,FALSE,"Aging Summary";#N/A,#N/A,FALSE,"Ratio Analysis";#N/A,#N/A,FALSE,"Test 120 Day Accts";#N/A,#N/A,FALSE,"Tickmarks"}</definedName>
    <definedName name="jhd" hidden="1">{#N/A,#N/A,FALSE,"Aging Summary";#N/A,#N/A,FALSE,"Ratio Analysis";#N/A,#N/A,FALSE,"Test 120 Day Accts";#N/A,#N/A,FALSE,"Tickmarks"}</definedName>
    <definedName name="jhfsyfoeiryeiuyfqekjfk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jhhgjghj" hidden="1">{#N/A,#N/A,FALSE,"STRAD";#N/A,#N/A,FALSE,"BELGLO"}</definedName>
    <definedName name="JHHHHHHHHHHHHHH" hidden="1">{#N/A,#N/A,FALSE,"Aging Summary";#N/A,#N/A,FALSE,"Ratio Analysis";#N/A,#N/A,FALSE,"Test 120 Day Accts";#N/A,#N/A,FALSE,"Tickmarks"}</definedName>
    <definedName name="JHJ" hidden="1">{#N/A,#N/A,FALSE,"Aging Summary";#N/A,#N/A,FALSE,"Ratio Analysis";#N/A,#N/A,FALSE,"Test 120 Day Accts";#N/A,#N/A,FALSE,"Tickmarks"}</definedName>
    <definedName name="jhjh" hidden="1">#REF!</definedName>
    <definedName name="jhjhg" hidden="1">{#N/A,#N/A,FALSE,"STRAD";#N/A,#N/A,FALSE,"BELGLO"}</definedName>
    <definedName name="JHJHHJ" hidden="1">{#N/A,#N/A,FALSE,"Aging Summary";#N/A,#N/A,FALSE,"Ratio Analysis";#N/A,#N/A,FALSE,"Test 120 Day Accts";#N/A,#N/A,FALSE,"Tickmarks"}</definedName>
    <definedName name="JHJJ" hidden="1">{#N/A,#N/A,FALSE,"Aging Summary";#N/A,#N/A,FALSE,"Ratio Analysis";#N/A,#N/A,FALSE,"Test 120 Day Accts";#N/A,#N/A,FALSE,"Tickmarks"}</definedName>
    <definedName name="jhjk" hidden="1">{#N/A,#N/A,FALSE,"Aging Summary";#N/A,#N/A,FALSE,"Ratio Analysis";#N/A,#N/A,FALSE,"Test 120 Day Accts";#N/A,#N/A,FALSE,"Tickmarks"}</definedName>
    <definedName name="jhjyi" hidden="1">{#N/A,#N/A,FALSE,"Aging Summary";#N/A,#N/A,FALSE,"Ratio Analysis";#N/A,#N/A,FALSE,"Test 120 Day Accts";#N/A,#N/A,FALSE,"Tickmarks"}</definedName>
    <definedName name="jhyjhgh" hidden="1">{#N/A,#N/A,FALSE,"4102";#N/A,#N/A,FALSE,"4800";#N/A,#N/A,FALSE,"4803";#N/A,#N/A,FALSE,"4801";#N/A,#N/A,FALSE,"4805";#N/A,#N/A,FALSE,"4808";#N/A,#N/A,FALSE,"4813";#N/A,#N/A,FALSE,"4816";#N/A,#N/A,FALSE,"4301"}</definedName>
    <definedName name="jiejij" hidden="1">{#N/A,#N/A,FALSE,"Aging Summary";#N/A,#N/A,FALSE,"Ratio Analysis";#N/A,#N/A,FALSE,"Test 120 Day Accts";#N/A,#N/A,FALSE,"Tickmarks"}</definedName>
    <definedName name="JIJDSOIV" hidden="1">#REF!</definedName>
    <definedName name="jijij" hidden="1">{#N/A,#N/A,FALSE,"Aging Summary";#N/A,#N/A,FALSE,"Ratio Analysis";#N/A,#N/A,FALSE,"Test 120 Day Accts";#N/A,#N/A,FALSE,"Tickmarks"}</definedName>
    <definedName name="jijijijij" hidden="1">{#N/A,#N/A,FALSE,"Aging Summary";#N/A,#N/A,FALSE,"Ratio Analysis";#N/A,#N/A,FALSE,"Test 120 Day Accts";#N/A,#N/A,FALSE,"Tickmarks"}</definedName>
    <definedName name="jiuyut" hidden="1">{#N/A,#N/A,FALSE,"Aging Summary";#N/A,#N/A,FALSE,"Ratio Analysis";#N/A,#N/A,FALSE,"Test 120 Day Accts";#N/A,#N/A,FALSE,"Tickmarks"}</definedName>
    <definedName name="jiwejf" hidden="1">#REF!</definedName>
    <definedName name="JJ" hidden="1">{#N/A,#N/A,FALSE,"Aging Summary";#N/A,#N/A,FALSE,"Ratio Analysis";#N/A,#N/A,FALSE,"Test 120 Day Accts";#N/A,#N/A,FALSE,"Tickmarks"}</definedName>
    <definedName name="jjdjajda" hidden="1">{#N/A,#N/A,FALSE,"Aging Summary";#N/A,#N/A,FALSE,"Ratio Analysis";#N/A,#N/A,FALSE,"Test 120 Day Accts";#N/A,#N/A,FALSE,"Tickmarks"}</definedName>
    <definedName name="jjffdds" hidden="1">{#N/A,#N/A,FALSE,"Aging Summary";#N/A,#N/A,FALSE,"Ratio Analysis";#N/A,#N/A,FALSE,"Test 120 Day Accts";#N/A,#N/A,FALSE,"Tickmarks"}</definedName>
    <definedName name="jjgty" hidden="1">{#N/A,#N/A,FALSE,"Aging Summary";#N/A,#N/A,FALSE,"Ratio Analysis";#N/A,#N/A,FALSE,"Test 120 Day Accts";#N/A,#N/A,FALSE,"Tickmarks"}</definedName>
    <definedName name="JJJ" hidden="1">{#N/A,#N/A,FALSE,"Aging Summary";#N/A,#N/A,FALSE,"Ratio Analysis";#N/A,#N/A,FALSE,"Test 120 Day Accts";#N/A,#N/A,FALSE,"Tickmarks"}</definedName>
    <definedName name="jjjj" hidden="1">{"'DIFPRE'!$A$2:$M$54"}</definedName>
    <definedName name="jjjjj" hidden="1">{#N/A,#N/A,FALSE,"Aging Summary";#N/A,#N/A,FALSE,"Ratio Analysis";#N/A,#N/A,FALSE,"Test 120 Day Accts";#N/A,#N/A,FALSE,"Tickmarks"}</definedName>
    <definedName name="jjjjjjjjj" hidden="1">{#N/A,#N/A,FALSE,"Aging Summary";#N/A,#N/A,FALSE,"Ratio Analysis";#N/A,#N/A,FALSE,"Test 120 Day Accts";#N/A,#N/A,FALSE,"Tickmarks"}</definedName>
    <definedName name="jjjjjjjjjjjjj" hidden="1">#REF!</definedName>
    <definedName name="JJJJJJJJJJJJJJ" hidden="1">{#N/A,#N/A,FALSE,"Aging Summary";#N/A,#N/A,FALSE,"Ratio Analysis";#N/A,#N/A,FALSE,"Test 120 Day Accts";#N/A,#N/A,FALSE,"Tickmarks"}</definedName>
    <definedName name="jjjjjjjjjjjjjjjjjjjj" hidden="1">{#N/A,#N/A,FALSE,"Aging Summary";#N/A,#N/A,FALSE,"Ratio Analysis";#N/A,#N/A,FALSE,"Test 120 Day Accts";#N/A,#N/A,FALSE,"Tickmarks"}</definedName>
    <definedName name="jjjjjjjjjjjjjjjjjjjjjj" hidden="1">{"Schedule_1C",#N/A,FALSE,"I-C"}</definedName>
    <definedName name="jjjjjjjjjjjjjjjjjjjjjjjjjjjjjjjjjjjjjjjjjjj" hidden="1">{#N/A,#N/A,FALSE,"Aging Summary";#N/A,#N/A,FALSE,"Ratio Analysis";#N/A,#N/A,FALSE,"Test 120 Day Accts";#N/A,#N/A,FALSE,"Tickmarks"}</definedName>
    <definedName name="JJJJLJ" hidden="1">{#N/A,#N/A,FALSE,"Aging Summary";#N/A,#N/A,FALSE,"Ratio Analysis";#N/A,#N/A,FALSE,"Test 120 Day Accts";#N/A,#N/A,FALSE,"Tickmarks"}</definedName>
    <definedName name="JJJK"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jjkj" hidden="1">{#N/A,#N/A,FALSE,"Aging Summary";#N/A,#N/A,FALSE,"Ratio Analysis";#N/A,#N/A,FALSE,"Test 120 Day Accts";#N/A,#N/A,FALSE,"Tickmarks"}</definedName>
    <definedName name="jjm" hidden="1">{#N/A,#N/A,FALSE,"Aging Summary";#N/A,#N/A,FALSE,"Ratio Analysis";#N/A,#N/A,FALSE,"Test 120 Day Accts";#N/A,#N/A,FALSE,"Tickmarks"}</definedName>
    <definedName name="jjoo" hidden="1">{#N/A,#N/A,FALSE,"Aging Summary";#N/A,#N/A,FALSE,"Ratio Analysis";#N/A,#N/A,FALSE,"Test 120 Day Accts";#N/A,#N/A,FALSE,"Tickmarks"}</definedName>
    <definedName name="JK" hidden="1">#REF!</definedName>
    <definedName name="jkajfdkajf" hidden="1">{#N/A,#N/A,FALSE,"Aging Summary";#N/A,#N/A,FALSE,"Ratio Analysis";#N/A,#N/A,FALSE,"Test 120 Day Accts";#N/A,#N/A,FALSE,"Tickmarks"}</definedName>
    <definedName name="jkgfg" hidden="1">{#N/A,#N/A,FALSE,"Aging Summary";#N/A,#N/A,FALSE,"Ratio Analysis";#N/A,#N/A,FALSE,"Test 120 Day Accts";#N/A,#N/A,FALSE,"Tickmarks"}</definedName>
    <definedName name="JKH" hidden="1">{#N/A,#N/A,FALSE,"Aging Summary";#N/A,#N/A,FALSE,"Ratio Analysis";#N/A,#N/A,FALSE,"Test 120 Day Accts";#N/A,#N/A,FALSE,"Tickmarks"}</definedName>
    <definedName name="JKHH" hidden="1">{#N/A,#N/A,FALSE,"Aging Summary";#N/A,#N/A,FALSE,"Ratio Analysis";#N/A,#N/A,FALSE,"Test 120 Day Accts";#N/A,#N/A,FALSE,"Tickmarks"}</definedName>
    <definedName name="jkjk" hidden="1">{#N/A,#N/A,FALSE,"Aging Summary";#N/A,#N/A,FALSE,"Ratio Analysis";#N/A,#N/A,FALSE,"Test 120 Day Accts";#N/A,#N/A,FALSE,"Tickmarks"}</definedName>
    <definedName name="jkjkjkj"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k" hidden="1">{#N/A,#N/A,FALSE,"Aging Summary";#N/A,#N/A,FALSE,"Ratio Analysis";#N/A,#N/A,FALSE,"Test 120 Day Accts";#N/A,#N/A,FALSE,"Tickmarks"}</definedName>
    <definedName name="jkkh" hidden="1">{#N/A,#N/A,FALSE,"Aging Summary";#N/A,#N/A,FALSE,"Ratio Analysis";#N/A,#N/A,FALSE,"Test 120 Day Accts";#N/A,#N/A,FALSE,"Tickmarks"}</definedName>
    <definedName name="JKL" hidden="1">{#N/A,#N/A,FALSE,"Aging Summary";#N/A,#N/A,FALSE,"Ratio Analysis";#N/A,#N/A,FALSE,"Test 120 Day Accts";#N/A,#N/A,FALSE,"Tickmarks"}</definedName>
    <definedName name="jklhlh" hidden="1">#REF!</definedName>
    <definedName name="jkljikj" hidden="1">#REF!</definedName>
    <definedName name="jkljlkñj" hidden="1">{#N/A,#N/A,FALSE,"PERSONAL";#N/A,#N/A,FALSE,"explotación";#N/A,#N/A,FALSE,"generales"}</definedName>
    <definedName name="JKMKJ" hidden="1">{#N/A,#N/A,FALSE,"Aging Summary";#N/A,#N/A,FALSE,"Ratio Analysis";#N/A,#N/A,FALSE,"Test 120 Day Accts";#N/A,#N/A,FALSE,"Tickmarks"}</definedName>
    <definedName name="JKSDHIDHWAIOFLKSC" hidden="1">#REF!</definedName>
    <definedName name="jkut" hidden="1">{#N/A,#N/A,FALSE,"Aging Summary";#N/A,#N/A,FALSE,"Ratio Analysis";#N/A,#N/A,FALSE,"Test 120 Day Accts";#N/A,#N/A,FALSE,"Tickmarks"}</definedName>
    <definedName name="jkwd" hidden="1">{#N/A,#N/A,FALSE,"Aging Summary";#N/A,#N/A,FALSE,"Ratio Analysis";#N/A,#N/A,FALSE,"Test 120 Day Accts";#N/A,#N/A,FALSE,"Tickmarks"}</definedName>
    <definedName name="jlkj" hidden="1">{#N/A,#N/A,FALSE,"voz corporativa";#N/A,#N/A,FALSE,"Transmisión de datos";#N/A,#N/A,FALSE,"Videoconferencia";#N/A,#N/A,FALSE,"Correo electrónico";#N/A,#N/A,FALSE,"Correo de voz";#N/A,#N/A,FALSE,"Megafax";#N/A,#N/A,FALSE,"Edi";#N/A,#N/A,FALSE,"Internet";#N/A,#N/A,FALSE,"VSAT";#N/A,#N/A,FALSE,"ing ult. milla"}</definedName>
    <definedName name="jnhj" hidden="1">#REF!</definedName>
    <definedName name="jo" hidden="1">{#N/A,#N/A,FALSE,"Aging Summary";#N/A,#N/A,FALSE,"Ratio Analysis";#N/A,#N/A,FALSE,"Test 120 Day Accts";#N/A,#N/A,FALSE,"Tickmarks"}</definedName>
    <definedName name="jogiejge8" hidden="1">#REF!</definedName>
    <definedName name="joha" hidden="1">{#N/A,#N/A,FALSE,"Aging Summary";#N/A,#N/A,FALSE,"Ratio Analysis";#N/A,#N/A,FALSE,"Test 120 Day Accts";#N/A,#N/A,FALSE,"Tickmarks"}</definedName>
    <definedName name="jojoj" hidden="1">{#N/A,#N/A,FALSE,"Aging Summary";#N/A,#N/A,FALSE,"Ratio Analysis";#N/A,#N/A,FALSE,"Test 120 Day Accts";#N/A,#N/A,FALSE,"Tickmarks"}</definedName>
    <definedName name="jojojojo" hidden="1">{#N/A,#N/A,FALSE,"Aging Summary";#N/A,#N/A,FALSE,"Ratio Analysis";#N/A,#N/A,FALSE,"Test 120 Day Accts";#N/A,#N/A,FALSE,"Tickmarks"}</definedName>
    <definedName name="jola1" hidden="1">{"'DIFPRE'!$A$2:$M$54"}</definedName>
    <definedName name="jola2" hidden="1">{"'DIFPRE'!$A$2:$M$54"}</definedName>
    <definedName name="jola3"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ola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onito"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jose" hidden="1">{#N/A,#N/A,FALSE,"CAPEX";#N/A,#N/A,FALSE,"PLAN";#N/A,#N/A,FALSE,"REV";#N/A,#N/A,FALSE,"CALOP";#N/A,#N/A,FALSE,"RESOP";#N/A,#N/A,FALSE,"PRES"}</definedName>
    <definedName name="JOSENOVE" hidden="1">#REF!</definedName>
    <definedName name="jpgw" hidden="1">#REF!</definedName>
    <definedName name="jqjeqe" hidden="1">{#N/A,#N/A,FALSE,"Aging Summary";#N/A,#N/A,FALSE,"Ratio Analysis";#N/A,#N/A,FALSE,"Test 120 Day Accts";#N/A,#N/A,FALSE,"Tickmarks"}</definedName>
    <definedName name="jrer" hidden="1">{#N/A,#N/A,FALSE,"Aging Summary";#N/A,#N/A,FALSE,"Ratio Analysis";#N/A,#N/A,FALSE,"Test 120 Day Accts";#N/A,#N/A,FALSE,"Tickmarks"}</definedName>
    <definedName name="jrigr" hidden="1">#REF!</definedName>
    <definedName name="jrwe" hidden="1">#REF!</definedName>
    <definedName name="jrwe8" hidden="1">#REF!</definedName>
    <definedName name="jsadiajsd" hidden="1">{#N/A,#N/A,FALSE,"Aging Summary";#N/A,#N/A,FALSE,"Ratio Analysis";#N/A,#N/A,FALSE,"Test 120 Day Accts";#N/A,#N/A,FALSE,"Tickmarks"}</definedName>
    <definedName name="jsadijasdisajd" hidden="1">{#N/A,#N/A,FALSE,"Aging Summary";#N/A,#N/A,FALSE,"Ratio Analysis";#N/A,#N/A,FALSE,"Test 120 Day Accts";#N/A,#N/A,FALSE,"Tickmarks"}</definedName>
    <definedName name="JSAIDJASD" hidden="1">{#N/A,#N/A,FALSE,"Aging Summary";#N/A,#N/A,FALSE,"Ratio Analysis";#N/A,#N/A,FALSE,"Test 120 Day Accts";#N/A,#N/A,FALSE,"Tickmarks"}</definedName>
    <definedName name="jsdkajdska" hidden="1">{"Schedule_1D",#N/A,FALSE,"I-D"}</definedName>
    <definedName name="jsfjwifj"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jsqiwjs" hidden="1">#REF!</definedName>
    <definedName name="ju" hidden="1">{#N/A,#N/A,TRUE,"INDICE";#N/A,#N/A,TRUE,"Variables";#N/A,#N/A,TRUE,"Cdro_Rtado";#N/A,#N/A,TRUE,"Patrim";#N/A,#N/A,TRUE,"Cash Flow";#N/A,#N/A,TRUE,"Cobranza";#N/A,#N/A,TRUE,"Resumen Gs.";#N/A,#N/A,TRUE,"Gs Comerc";#N/A,#N/A,TRUE,"Gs Administ";#N/A,#N/A,TRUE,"Gs Explot";#N/A,#N/A,TRUE,"Gs Personal";#N/A,#N/A,TRUE,"Inver."}</definedName>
    <definedName name="juanj" hidden="1">{#N/A,#N/A,FALSE,"OBLIG.S-CAPITAL"}</definedName>
    <definedName name="juezz" hidden="1">{#N/A,#N/A,FALSE,"Aging Summary";#N/A,#N/A,FALSE,"Ratio Analysis";#N/A,#N/A,FALSE,"Test 120 Day Accts";#N/A,#N/A,FALSE,"Tickmarks"}</definedName>
    <definedName name="juiy" hidden="1">{#N/A,#N/A,FALSE,"Aging Summary";#N/A,#N/A,FALSE,"Ratio Analysis";#N/A,#N/A,FALSE,"Test 120 Day Accts";#N/A,#N/A,FALSE,"Tickmarks"}</definedName>
    <definedName name="jujuj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uliusBarUSD" hidden="1">#REF!</definedName>
    <definedName name="jumanro" hidden="1">{#N/A,#N/A,FALSE,"Aging Summary";#N/A,#N/A,FALSE,"Ratio Analysis";#N/A,#N/A,FALSE,"Test 120 Day Accts";#N/A,#N/A,FALSE,"Tickmarks"}</definedName>
    <definedName name="juujuu" hidden="1">#REF!</definedName>
    <definedName name="jweicw3" hidden="1">#REF!</definedName>
    <definedName name="jwfeefw8" hidden="1">#REF!</definedName>
    <definedName name="jwidjwd" hidden="1">{#N/A,#N/A,FALSE,"Aging Summary";#N/A,#N/A,FALSE,"Ratio Analysis";#N/A,#N/A,FALSE,"Test 120 Day Accts";#N/A,#N/A,FALSE,"Tickmarks"}</definedName>
    <definedName name="jwije" hidden="1">{#N/A,#N/A,FALSE,"Aging Summary";#N/A,#N/A,FALSE,"Ratio Analysis";#N/A,#N/A,FALSE,"Test 120 Day Accts";#N/A,#N/A,FALSE,"Tickmarks"}</definedName>
    <definedName name="jwnfwnfw" hidden="1">{#N/A,#N/A,FALSE,"Aging Summary";#N/A,#N/A,FALSE,"Ratio Analysis";#N/A,#N/A,FALSE,"Test 120 Day Accts";#N/A,#N/A,FALSE,"Tickmarks"}</definedName>
    <definedName name="jwwwwwwwedsds" hidden="1">{#N/A,#N/A,FALSE,"Aging Summary";#N/A,#N/A,FALSE,"Ratio Analysis";#N/A,#N/A,FALSE,"Test 120 Day Accts";#N/A,#N/A,FALSE,"Tickmarks"}</definedName>
    <definedName name="jyrt" hidden="1">{#N/A,#N/A,FALSE,"Aging Summary";#N/A,#N/A,FALSE,"Ratio Analysis";#N/A,#N/A,FALSE,"Test 120 Day Accts";#N/A,#N/A,FALSE,"Tickmarks"}</definedName>
    <definedName name="jyrtr" hidden="1">{#N/A,#N/A,FALSE,"Aging Summary";#N/A,#N/A,FALSE,"Ratio Analysis";#N/A,#N/A,FALSE,"Test 120 Day Accts";#N/A,#N/A,FALSE,"Tickmarks"}</definedName>
    <definedName name="jyterb" hidden="1">{#N/A,#N/A,FALSE,"Aging Summary";#N/A,#N/A,FALSE,"Ratio Analysis";#N/A,#N/A,FALSE,"Test 120 Day Accts";#N/A,#N/A,FALSE,"Tickmarks"}</definedName>
    <definedName name="jyuo" hidden="1">{#N/A,#N/A,FALSE,"Aging Summary";#N/A,#N/A,FALSE,"Ratio Analysis";#N/A,#N/A,FALSE,"Test 120 Day Accts";#N/A,#N/A,FALSE,"Tickmarks"}</definedName>
    <definedName name="jyuut" hidden="1">{#N/A,#N/A,FALSE,"Aging Summary";#N/A,#N/A,FALSE,"Ratio Analysis";#N/A,#N/A,FALSE,"Test 120 Day Accts";#N/A,#N/A,FALSE,"Tickmarks"}</definedName>
    <definedName name="jyyree" hidden="1">{#N/A,#N/A,FALSE,"Aging Summary";#N/A,#N/A,FALSE,"Ratio Analysis";#N/A,#N/A,FALSE,"Test 120 Day Accts";#N/A,#N/A,FALSE,"Tickmarks"}</definedName>
    <definedName name="k" hidden="1">7</definedName>
    <definedName name="k.2.7" hidden="1">{#N/A,#N/A,TRUE,"proy96 long dist";#N/A,#N/A,TRUE,"warehouse"}</definedName>
    <definedName name="kaaaaa" hidden="1">{#N/A,#N/A,FALSE,"Aging Summary";#N/A,#N/A,FALSE,"Ratio Analysis";#N/A,#N/A,FALSE,"Test 120 Day Accts";#N/A,#N/A,FALSE,"Tickmarks"}</definedName>
    <definedName name="kaaaaaaaaa" hidden="1">{#N/A,#N/A,FALSE,"Aging Summary";#N/A,#N/A,FALSE,"Ratio Analysis";#N/A,#N/A,FALSE,"Test 120 Day Accts";#N/A,#N/A,FALSE,"Tickmarks"}</definedName>
    <definedName name="kaaaaaaaaaaaaaaaaaaaaaaaaaaaaaaaaaaa" hidden="1">{#N/A,#N/A,FALSE,"Aging Summary";#N/A,#N/A,FALSE,"Ratio Analysis";#N/A,#N/A,FALSE,"Test 120 Day Accts";#N/A,#N/A,FALSE,"Tickmarks"}</definedName>
    <definedName name="kajfkajfa" hidden="1">{#N/A,#N/A,FALSE,"Aging Summary";#N/A,#N/A,FALSE,"Ratio Analysis";#N/A,#N/A,FALSE,"Test 120 Day Accts";#N/A,#N/A,FALSE,"Tickmarks"}</definedName>
    <definedName name="kajsdkajd" hidden="1">{#N/A,#N/A,FALSE,"Aging Summary";#N/A,#N/A,FALSE,"Ratio Analysis";#N/A,#N/A,FALSE,"Test 120 Day Accts";#N/A,#N/A,FALSE,"Tickmarks"}</definedName>
    <definedName name="kajskdja" hidden="1">{#N/A,#N/A,FALSE,"Aging Summary";#N/A,#N/A,FALSE,"Ratio Analysis";#N/A,#N/A,FALSE,"Test 120 Day Accts";#N/A,#N/A,FALSE,"Tickmarks"}</definedName>
    <definedName name="kakakak" hidden="1">{#N/A,#N/A,FALSE,"Aging Summary";#N/A,#N/A,FALSE,"Ratio Analysis";#N/A,#N/A,FALSE,"Test 120 Day Accts";#N/A,#N/A,FALSE,"Tickmarks"}</definedName>
    <definedName name="kaodkq" hidden="1">{#N/A,#N/A,FALSE,"Aging Summary";#N/A,#N/A,FALSE,"Ratio Analysis";#N/A,#N/A,FALSE,"Test 120 Day Accts";#N/A,#N/A,FALSE,"Tickmarks"}</definedName>
    <definedName name="kapoepo" hidden="1">{#N/A,#N/A,FALSE,"invoice ucc";#N/A,#N/A,FALSE,"asiento"}</definedName>
    <definedName name="KARI" hidden="1">#REF!</definedName>
    <definedName name="kasdka" hidden="1">{#N/A,#N/A,FALSE,"Aging Summary";#N/A,#N/A,FALSE,"Ratio Analysis";#N/A,#N/A,FALSE,"Test 120 Day Accts";#N/A,#N/A,FALSE,"Tickmarks"}</definedName>
    <definedName name="KASJDASDJA" hidden="1">{#N/A,#N/A,FALSE,"Aging Summary";#N/A,#N/A,FALSE,"Ratio Analysis";#N/A,#N/A,FALSE,"Test 120 Day Accts";#N/A,#N/A,FALSE,"Tickmarks"}</definedName>
    <definedName name="kbertsadaaaaaaaaaa" hidden="1">{#N/A,#N/A,FALSE,"Aging Summary";#N/A,#N/A,FALSE,"Ratio Analysis";#N/A,#N/A,FALSE,"Test 120 Day Accts";#N/A,#N/A,FALSE,"Tickmarks"}</definedName>
    <definedName name="kceoew" hidden="1">#REF!</definedName>
    <definedName name="kcoew" hidden="1">#REF!</definedName>
    <definedName name="kcowe" hidden="1">#REF!</definedName>
    <definedName name="kcowkew" hidden="1">#REF!</definedName>
    <definedName name="kcwow" hidden="1">#REF!</definedName>
    <definedName name="KDAODOKAS" hidden="1">#REF!</definedName>
    <definedName name="kdedkoewd" hidden="1">{#N/A,#N/A,FALSE,"Aging Summary";#N/A,#N/A,FALSE,"Ratio Analysis";#N/A,#N/A,FALSE,"Test 120 Day Accts";#N/A,#N/A,FALSE,"Tickmarks"}</definedName>
    <definedName name="kdekwd" hidden="1">{#N/A,#N/A,FALSE,"Aging Summary";#N/A,#N/A,FALSE,"Ratio Analysis";#N/A,#N/A,FALSE,"Test 120 Day Accts";#N/A,#N/A,FALSE,"Tickmarks"}</definedName>
    <definedName name="kdeokde" hidden="1">{#N/A,#N/A,FALSE,"Aging Summary";#N/A,#N/A,FALSE,"Ratio Analysis";#N/A,#N/A,FALSE,"Test 120 Day Accts";#N/A,#N/A,FALSE,"Tickmarks"}</definedName>
    <definedName name="kdfkdf" hidden="1">#REF!</definedName>
    <definedName name="kdfñdf" hidden="1">{#N/A,#N/A,FALSE,"Aging Summary";#N/A,#N/A,FALSE,"Ratio Analysis";#N/A,#N/A,FALSE,"Test 120 Day Accts";#N/A,#N/A,FALSE,"Tickmarks"}</definedName>
    <definedName name="KDHKFHAKFHLA" hidden="1">{#N/A,#N/A,FALSE,"Aging Summary";#N/A,#N/A,FALSE,"Ratio Analysis";#N/A,#N/A,FALSE,"Test 120 Day Accts";#N/A,#N/A,FALSE,"Tickmarks"}</definedName>
    <definedName name="kdjaksdj" hidden="1">{#N/A,#N/A,FALSE,"Aging Summary";#N/A,#N/A,FALSE,"Ratio Analysis";#N/A,#N/A,FALSE,"Test 120 Day Accts";#N/A,#N/A,FALSE,"Tickmarks"}</definedName>
    <definedName name="KDNMAKD" hidden="1">{#N/A,#N/A,FALSE,"Aging Summary";#N/A,#N/A,FALSE,"Ratio Analysis";#N/A,#N/A,FALSE,"Test 120 Day Accts";#N/A,#N/A,FALSE,"Tickmarks"}</definedName>
    <definedName name="kdoasd" hidden="1">{#N/A,#N/A,FALSE,"Aging Summary";#N/A,#N/A,FALSE,"Ratio Analysis";#N/A,#N/A,FALSE,"Test 120 Day Accts";#N/A,#N/A,FALSE,"Tickmarks"}</definedName>
    <definedName name="kdod" hidden="1">{#N/A,#N/A,FALSE,"Aging Summary";#N/A,#N/A,FALSE,"Ratio Analysis";#N/A,#N/A,FALSE,"Test 120 Day Accts";#N/A,#N/A,FALSE,"Tickmarks"}</definedName>
    <definedName name="kdoedkq" hidden="1">{#N/A,#N/A,FALSE,"Aging Summary";#N/A,#N/A,FALSE,"Ratio Analysis";#N/A,#N/A,FALSE,"Test 120 Day Accts";#N/A,#N/A,FALSE,"Tickmarks"}</definedName>
    <definedName name="kdoekdew" hidden="1">{#N/A,#N/A,FALSE,"Aging Summary";#N/A,#N/A,FALSE,"Ratio Analysis";#N/A,#N/A,FALSE,"Test 120 Day Accts";#N/A,#N/A,FALSE,"Tickmarks"}</definedName>
    <definedName name="kdoekode" hidden="1">{#N/A,#N/A,FALSE,"Aging Summary";#N/A,#N/A,FALSE,"Ratio Analysis";#N/A,#N/A,FALSE,"Test 120 Day Accts";#N/A,#N/A,FALSE,"Tickmarks"}</definedName>
    <definedName name="kdokde" hidden="1">{#N/A,#N/A,FALSE,"Aging Summary";#N/A,#N/A,FALSE,"Ratio Analysis";#N/A,#N/A,FALSE,"Test 120 Day Accts";#N/A,#N/A,FALSE,"Tickmarks"}</definedName>
    <definedName name="kdokdew" hidden="1">{#N/A,#N/A,FALSE,"Aging Summary";#N/A,#N/A,FALSE,"Ratio Analysis";#N/A,#N/A,FALSE,"Test 120 Day Accts";#N/A,#N/A,FALSE,"Tickmarks"}</definedName>
    <definedName name="kdoqkd" hidden="1">{#N/A,#N/A,FALSE,"Aging Summary";#N/A,#N/A,FALSE,"Ratio Analysis";#N/A,#N/A,FALSE,"Test 120 Day Accts";#N/A,#N/A,FALSE,"Tickmarks"}</definedName>
    <definedName name="kdoqkdqd" hidden="1">{#N/A,#N/A,FALSE,"Aging Summary";#N/A,#N/A,FALSE,"Ratio Analysis";#N/A,#N/A,FALSE,"Test 120 Day Accts";#N/A,#N/A,FALSE,"Tickmarks"}</definedName>
    <definedName name="kdoqwd" hidden="1">{#N/A,#N/A,FALSE,"Aging Summary";#N/A,#N/A,FALSE,"Ratio Analysis";#N/A,#N/A,FALSE,"Test 120 Day Accts";#N/A,#N/A,FALSE,"Tickmarks"}</definedName>
    <definedName name="kdowqd" hidden="1">{#N/A,#N/A,FALSE,"Aging Summary";#N/A,#N/A,FALSE,"Ratio Analysis";#N/A,#N/A,FALSE,"Test 120 Day Accts";#N/A,#N/A,FALSE,"Tickmarks"}</definedName>
    <definedName name="kdowqkdq" hidden="1">{#N/A,#N/A,FALSE,"Aging Summary";#N/A,#N/A,FALSE,"Ratio Analysis";#N/A,#N/A,FALSE,"Test 120 Day Accts";#N/A,#N/A,FALSE,"Tickmarks"}</definedName>
    <definedName name="kdpqpkd" hidden="1">{#N/A,#N/A,FALSE,"Aging Summary";#N/A,#N/A,FALSE,"Ratio Analysis";#N/A,#N/A,FALSE,"Test 120 Day Accts";#N/A,#N/A,FALSE,"Tickmarks"}</definedName>
    <definedName name="kdqeodkqkwd" hidden="1">{#N/A,#N/A,FALSE,"Aging Summary";#N/A,#N/A,FALSE,"Ratio Analysis";#N/A,#N/A,FALSE,"Test 120 Day Accts";#N/A,#N/A,FALSE,"Tickmarks"}</definedName>
    <definedName name="kdqkdq" hidden="1">{#N/A,#N/A,FALSE,"Aging Summary";#N/A,#N/A,FALSE,"Ratio Analysis";#N/A,#N/A,FALSE,"Test 120 Day Accts";#N/A,#N/A,FALSE,"Tickmarks"}</definedName>
    <definedName name="kdqod" hidden="1">{#N/A,#N/A,FALSE,"Aging Summary";#N/A,#N/A,FALSE,"Ratio Analysis";#N/A,#N/A,FALSE,"Test 120 Day Accts";#N/A,#N/A,FALSE,"Tickmarks"}</definedName>
    <definedName name="kdqodkqd" hidden="1">{#N/A,#N/A,FALSE,"Aging Summary";#N/A,#N/A,FALSE,"Ratio Analysis";#N/A,#N/A,FALSE,"Test 120 Day Accts";#N/A,#N/A,FALSE,"Tickmarks"}</definedName>
    <definedName name="kdqowdk" hidden="1">{#N/A,#N/A,FALSE,"invoice ucc";#N/A,#N/A,FALSE,"asiento"}</definedName>
    <definedName name="kdqowkdqokdq" hidden="1">{#N/A,#N/A,FALSE,"Aging Summary";#N/A,#N/A,FALSE,"Ratio Analysis";#N/A,#N/A,FALSE,"Test 120 Day Accts";#N/A,#N/A,FALSE,"Tickmarks"}</definedName>
    <definedName name="kdqwodq"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kdsjliaoii1nkdss4" hidden="1">{#N/A,#N/A,FALSE,"Aging Summary";#N/A,#N/A,FALSE,"Ratio Analysis";#N/A,#N/A,FALSE,"Test 120 Day Accts";#N/A,#N/A,FALSE,"Tickmarks"}</definedName>
    <definedName name="kdwqokdq" hidden="1">{#N/A,#N/A,FALSE,"Aging Summary";#N/A,#N/A,FALSE,"Ratio Analysis";#N/A,#N/A,FALSE,"Test 120 Day Accts";#N/A,#N/A,FALSE,"Tickmarks"}</definedName>
    <definedName name="kedoeokde" hidden="1">#REF!</definedName>
    <definedName name="kedokde" hidden="1">{"'DIFPRE'!$A$2:$M$54"}</definedName>
    <definedName name="kedoke" hidden="1">#REF!</definedName>
    <definedName name="kefoekfe" hidden="1">{#N/A,#N/A,FALSE,"Aging Summary";#N/A,#N/A,FALSE,"Ratio Analysis";#N/A,#N/A,FALSE,"Test 120 Day Accts";#N/A,#N/A,FALSE,"Tickmarks"}</definedName>
    <definedName name="keorkge" hidden="1">{#N/A,#N/A,FALSE,"balance";#N/A,#N/A,FALSE,"resultados";#N/A,#N/A,FALSE,"p.neto";#N/A,#N/A,FALSE,"bienes uso";#N/A,#N/A,FALSE,"art.64";#N/A,#N/A,FALSE,"intangibles"}</definedName>
    <definedName name="keorw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ewdkwnd" hidden="1">{#N/A,#N/A,FALSE,"Aging Summary";#N/A,#N/A,FALSE,"Ratio Analysis";#N/A,#N/A,FALSE,"Test 120 Day Accts";#N/A,#N/A,FALSE,"Tickmarks"}</definedName>
    <definedName name="kewnfwkf" hidden="1">#REF!</definedName>
    <definedName name="kewokfwokf" hidden="1">{#N/A,#N/A,FALSE,"Aging Summary";#N/A,#N/A,FALSE,"Ratio Analysis";#N/A,#N/A,FALSE,"Test 120 Day Accts";#N/A,#N/A,FALSE,"Tickmarks"}</definedName>
    <definedName name="kewow" hidden="1">#REF!</definedName>
    <definedName name="KFAODKFA" hidden="1">#REF!</definedName>
    <definedName name="KFAOFAS" hidden="1">#REF!</definedName>
    <definedName name="KFAOSKFA" hidden="1">#REF!</definedName>
    <definedName name="KFASKKFAK" hidden="1">#REF!</definedName>
    <definedName name="kfdoekfew" hidden="1">{#N/A,#N/A,FALSE,"Aging Summary";#N/A,#N/A,FALSE,"Ratio Analysis";#N/A,#N/A,FALSE,"Test 120 Day Accts";#N/A,#N/A,FALSE,"Tickmarks"}</definedName>
    <definedName name="kfdokfkd" hidden="1">#REF!</definedName>
    <definedName name="kfdslkfkls" hidden="1">{#N/A,#N/A,FALSE,"Aging Summary";#N/A,#N/A,FALSE,"Ratio Analysis";#N/A,#N/A,FALSE,"Test 120 Day Accts";#N/A,#N/A,FALSE,"Tickmarks"}</definedName>
    <definedName name="kfejfew" hidden="1">#REF!</definedName>
    <definedName name="KFEKF" hidden="1">{#N/A,#N/A,FALSE,"Aging Summary";#N/A,#N/A,FALSE,"Ratio Analysis";#N/A,#N/A,FALSE,"Test 120 Day Accts";#N/A,#N/A,FALSE,"Tickmarks"}</definedName>
    <definedName name="KFEKFE" hidden="1">{#N/A,#N/A,FALSE,"Aging Summary";#N/A,#N/A,FALSE,"Ratio Analysis";#N/A,#N/A,FALSE,"Test 120 Day Accts";#N/A,#N/A,FALSE,"Tickmarks"}</definedName>
    <definedName name="KFEKFK" hidden="1">{#N/A,#N/A,FALSE,"Aging Summary";#N/A,#N/A,FALSE,"Ratio Analysis";#N/A,#N/A,FALSE,"Test 120 Day Accts";#N/A,#N/A,FALSE,"Tickmarks"}</definedName>
    <definedName name="kfekifef" hidden="1">#REF!</definedName>
    <definedName name="KFEKK" hidden="1">{#N/A,#N/A,FALSE,"Aging Summary";#N/A,#N/A,FALSE,"Ratio Analysis";#N/A,#N/A,FALSE,"Test 120 Day Accts";#N/A,#N/A,FALSE,"Tickmarks"}</definedName>
    <definedName name="kfeokfe" hidden="1">#REF!</definedName>
    <definedName name="kfeoqfeq" hidden="1">#REF!</definedName>
    <definedName name="kfew" hidden="1">#REF!</definedName>
    <definedName name="kfewofw3" hidden="1">#REF!</definedName>
    <definedName name="kfewokfw" hidden="1">{#N/A,#N/A,FALSE,"Aging Summary";#N/A,#N/A,FALSE,"Ratio Analysis";#N/A,#N/A,FALSE,"Test 120 Day Accts";#N/A,#N/A,FALSE,"Tickmarks"}</definedName>
    <definedName name="kfewokfwokf" hidden="1">{#N/A,#N/A,FALSE,"Aging Summary";#N/A,#N/A,FALSE,"Ratio Analysis";#N/A,#N/A,FALSE,"Test 120 Day Accts";#N/A,#N/A,FALSE,"Tickmarks"}</definedName>
    <definedName name="KFGKGFIJO" hidden="1">{#N/A,#N/A,FALSE,"Aging Summary";#N/A,#N/A,FALSE,"Ratio Analysis";#N/A,#N/A,FALSE,"Test 120 Day Accts";#N/A,#N/A,FALSE,"Tickmarks"}</definedName>
    <definedName name="kfh" hidden="1">{"'DIFPRE'!$A$2:$M$54"}</definedName>
    <definedName name="kfjwjfw" hidden="1">{#N/A,#N/A,FALSE,"Aging Summary";#N/A,#N/A,FALSE,"Ratio Analysis";#N/A,#N/A,FALSE,"Test 120 Day Accts";#N/A,#N/A,FALSE,"Tickmarks"}</definedName>
    <definedName name="kfk" hidden="1">{#N/A,#N/A,FALSE,"Aging Summary";#N/A,#N/A,FALSE,"Ratio Analysis";#N/A,#N/A,FALSE,"Test 120 Day Accts";#N/A,#N/A,FALSE,"Tickmarks"}</definedName>
    <definedName name="KFKF" hidden="1">{#N/A,#N/A,FALSE,"Aging Summary";#N/A,#N/A,FALSE,"Ratio Analysis";#N/A,#N/A,FALSE,"Test 120 Day Accts";#N/A,#N/A,FALSE,"Tickmarks"}</definedName>
    <definedName name="KFKFKF" hidden="1">#REF!</definedName>
    <definedName name="KFKKK" hidden="1">{#N/A,#N/A,FALSE,"Aging Summary";#N/A,#N/A,FALSE,"Ratio Analysis";#N/A,#N/A,FALSE,"Test 120 Day Accts";#N/A,#N/A,FALSE,"Tickmarks"}</definedName>
    <definedName name="kfmekwm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kfw" hidden="1">{#N/A,#N/A,FALSE,"Aging Summary";#N/A,#N/A,FALSE,"Ratio Analysis";#N/A,#N/A,FALSE,"Test 120 Day Accts";#N/A,#N/A,FALSE,"Tickmarks"}</definedName>
    <definedName name="kfmm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wkfe" hidden="1">{#N/A,#N/A,FALSE,"Aging Summary";#N/A,#N/A,FALSE,"Ratio Analysis";#N/A,#N/A,FALSE,"Test 120 Day Accts";#N/A,#N/A,FALSE,"Tickmarks"}</definedName>
    <definedName name="KFOAFK" hidden="1">#REF!</definedName>
    <definedName name="kfodskfsdf" hidden="1">{#N/A,#N/A,FALSE,"Aging Summary";#N/A,#N/A,FALSE,"Ratio Analysis";#N/A,#N/A,FALSE,"Test 120 Day Accts";#N/A,#N/A,FALSE,"Tickmarks"}</definedName>
    <definedName name="kfoejf" hidden="1">{#N/A,#N/A,FALSE,"Aging Summary";#N/A,#N/A,FALSE,"Ratio Analysis";#N/A,#N/A,FALSE,"Test 120 Day Accts";#N/A,#N/A,FALSE,"Tickmarks"}</definedName>
    <definedName name="kfoekw" hidden="1">{#N/A,#N/A,FALSE,"Aging Summary";#N/A,#N/A,FALSE,"Ratio Analysis";#N/A,#N/A,FALSE,"Test 120 Day Accts";#N/A,#N/A,FALSE,"Tickmarks"}</definedName>
    <definedName name="KFOEQFKQK" hidden="1">{#N/A,#N/A,FALSE,"Aging Summary";#N/A,#N/A,FALSE,"Ratio Analysis";#N/A,#N/A,FALSE,"Test 120 Day Accts";#N/A,#N/A,FALSE,"Tickmarks"}</definedName>
    <definedName name="kfoerkfe" hidden="1">#REF!</definedName>
    <definedName name="kfofwkfowekf" hidden="1">{#N/A,#N/A,FALSE,"Aging Summary";#N/A,#N/A,FALSE,"Ratio Analysis";#N/A,#N/A,FALSE,"Test 120 Day Accts";#N/A,#N/A,FALSE,"Tickmarks"}</definedName>
    <definedName name="kfokewfw" hidden="1">{#N/A,#N/A,FALSE,"Aging Summary";#N/A,#N/A,FALSE,"Ratio Analysis";#N/A,#N/A,FALSE,"Test 120 Day Accts";#N/A,#N/A,FALSE,"Tickmarks"}</definedName>
    <definedName name="kfowekfowk" hidden="1">{#N/A,#N/A,FALSE,"Aging Summary";#N/A,#N/A,FALSE,"Ratio Analysis";#N/A,#N/A,FALSE,"Test 120 Day Accts";#N/A,#N/A,FALSE,"Tickmarks"}</definedName>
    <definedName name="kfowekfw" hidden="1">#REF!</definedName>
    <definedName name="kfowfkwf" hidden="1">{#N/A,#N/A,FALSE,"Aging Summary";#N/A,#N/A,FALSE,"Ratio Analysis";#N/A,#N/A,FALSE,"Test 120 Day Accts";#N/A,#N/A,FALSE,"Tickmarks"}</definedName>
    <definedName name="kfowkf" hidden="1">#REF!</definedName>
    <definedName name="kfowkfkw" hidden="1">#REF!</definedName>
    <definedName name="kfowkfw" hidden="1">{#N/A,#N/A,FALSE,"Aging Summary";#N/A,#N/A,FALSE,"Ratio Analysis";#N/A,#N/A,FALSE,"Test 120 Day Accts";#N/A,#N/A,FALSE,"Tickmarks"}</definedName>
    <definedName name="kfpwekfw" hidden="1">{#N/A,#N/A,FALSE,"Aging Summary";#N/A,#N/A,FALSE,"Ratio Analysis";#N/A,#N/A,FALSE,"Test 120 Day Accts";#N/A,#N/A,FALSE,"Tickmarks"}</definedName>
    <definedName name="KFQEOFKQ" hidden="1">#REF!</definedName>
    <definedName name="kfrofk" hidden="1">{#N/A,#N/A,FALSE,"Aging Summary";#N/A,#N/A,FALSE,"Ratio Analysis";#N/A,#N/A,FALSE,"Test 120 Day Accts";#N/A,#N/A,FALSE,"Tickmarks"}</definedName>
    <definedName name="kfrofr" hidden="1">{#N/A,#N/A,FALSE,"Aging Summary";#N/A,#N/A,FALSE,"Ratio Analysis";#N/A,#N/A,FALSE,"Test 120 Day Accts";#N/A,#N/A,FALSE,"Tickmarks"}</definedName>
    <definedName name="kfw" hidden="1">#REF!</definedName>
    <definedName name="kfwejfwjf" hidden="1">#REF!</definedName>
    <definedName name="kfwekf" hidden="1">#REF!</definedName>
    <definedName name="kfweof" hidden="1">#REF!</definedName>
    <definedName name="kfweokfw" hidden="1">{#N/A,#N/A,FALSE,"Aging Summary";#N/A,#N/A,FALSE,"Ratio Analysis";#N/A,#N/A,FALSE,"Test 120 Day Accts";#N/A,#N/A,FALSE,"Tickmarks"}</definedName>
    <definedName name="kfweokfwkf" hidden="1">{#N/A,#N/A,FALSE,"Aging Summary";#N/A,#N/A,FALSE,"Ratio Analysis";#N/A,#N/A,FALSE,"Test 120 Day Accts";#N/A,#N/A,FALSE,"Tickmarks"}</definedName>
    <definedName name="kfwfw" hidden="1">{#N/A,#N/A,FALSE,"Aging Summary";#N/A,#N/A,FALSE,"Ratio Analysis";#N/A,#N/A,FALSE,"Test 120 Day Accts";#N/A,#N/A,FALSE,"Tickmarks"}</definedName>
    <definedName name="kfwjef" hidden="1">#REF!</definedName>
    <definedName name="kfwjfw" hidden="1">#REF!</definedName>
    <definedName name="kfwkefw" hidden="1">#REF!</definedName>
    <definedName name="kfwo" hidden="1">#REF!</definedName>
    <definedName name="kfwoe" hidden="1">{"balanço dolares",#N/A,FALSE,"SIGADR$";"AUT BAL REAIS",#N/A,FALSE,"SIGADR$";"QUOCIENTES REAIS",#N/A,FALSE,"QUOCIENTES";"JUNH QUOCI DOLARES",#N/A,FALSE,"QUOCIENTES"}</definedName>
    <definedName name="kfwofw" hidden="1">#REF!</definedName>
    <definedName name="kfwpf" hidden="1">#REF!</definedName>
    <definedName name="kfwpfokw" hidden="1">{#N/A,#N/A,FALSE,"Aging Summary";#N/A,#N/A,FALSE,"Ratio Analysis";#N/A,#N/A,FALSE,"Test 120 Day Accts";#N/A,#N/A,FALSE,"Tickmarks"}</definedName>
    <definedName name="kg" hidden="1">{#N/A,#N/A,FALSE,"EDO. DE RESULTADOS";#N/A,#N/A,FALSE,"CAMBIOS";#N/A,#N/A,FALSE,"COM - VTA";#N/A,#N/A,FALSE,"DIVIDENDOS";#N/A,#N/A,FALSE,"OTROS ING. DE OP.";#N/A,#N/A,FALSE,"GASTOS DE PERSONAL";#N/A,#N/A,FALSE,"RENTAS";#N/A,#N/A,FALSE,"OTROS GASTOS";#N/A,#N/A,FALSE,"DEP. Y AMO.";#N/A,#N/A,FALSE,"OTROS PROD."}</definedName>
    <definedName name="kgoekge" hidden="1">{#N/A,#N/A,FALSE,"Aging Summary";#N/A,#N/A,FALSE,"Ratio Analysis";#N/A,#N/A,FALSE,"Test 120 Day Accts";#N/A,#N/A,FALSE,"Tickmarks"}</definedName>
    <definedName name="kgorkgr" hidden="1">{"Index",#N/A,FALSE,"Index"}</definedName>
    <definedName name="kgorrg" hidden="1">{"Planilla",#N/A,FALSE,"MOV HAC"}</definedName>
    <definedName name="kgrepkge" hidden="1">{#N/A,#N/A,FALSE,"Aging Summary";#N/A,#N/A,FALSE,"Ratio Analysis";#N/A,#N/A,FALSE,"Test 120 Day Accts";#N/A,#N/A,FALSE,"Tickmarks"}</definedName>
    <definedName name="kgrokgr"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khjkjl" hidden="1">#REF!</definedName>
    <definedName name="KHK" hidden="1">{#N/A,#N/A,FALSE,"Aging Summary";#N/A,#N/A,FALSE,"Ratio Analysis";#N/A,#N/A,FALSE,"Test 120 Day Accts";#N/A,#N/A,FALSE,"Tickmarks"}</definedName>
    <definedName name="khkhkhkhkh" hidden="1">{#N/A,#N/A,FALSE,"Aging Summary";#N/A,#N/A,FALSE,"Ratio Analysis";#N/A,#N/A,FALSE,"Test 120 Day Accts";#N/A,#N/A,FALSE,"Tickmarks"}</definedName>
    <definedName name="KHNHH" hidden="1">{#N/A,#N/A,FALSE,"Aging Summary";#N/A,#N/A,FALSE,"Ratio Analysis";#N/A,#N/A,FALSE,"Test 120 Day Accts";#N/A,#N/A,FALSE,"Tickmarks"}</definedName>
    <definedName name="kia" hidden="1">{#N/A,#N/A,FALSE,"Aging Summary";#N/A,#N/A,FALSE,"Ratio Analysis";#N/A,#N/A,FALSE,"Test 120 Day Accts";#N/A,#N/A,FALSE,"Tickmarks"}</definedName>
    <definedName name="kikiki" hidden="1">{#N/A,#N/A,FALSE,"Aging Summary";#N/A,#N/A,FALSE,"Ratio Analysis";#N/A,#N/A,FALSE,"Test 120 Day Accts";#N/A,#N/A,FALSE,"Tickmarks"}</definedName>
    <definedName name="kio" hidden="1">{#N/A,#N/A,FALSE,"Aging Summary";#N/A,#N/A,FALSE,"Ratio Analysis";#N/A,#N/A,FALSE,"Test 120 Day Accts";#N/A,#N/A,FALSE,"Tickmarks"}</definedName>
    <definedName name="KIOO" hidden="1">{#N/A,#N/A,FALSE,"Aging Summary";#N/A,#N/A,FALSE,"Ratio Analysis";#N/A,#N/A,FALSE,"Test 120 Day Accts";#N/A,#N/A,FALSE,"Tickmarks"}</definedName>
    <definedName name="kj" hidden="1">{#N/A,#N/A,FALSE,"voz corporativa";#N/A,#N/A,FALSE,"Transmisión de datos";#N/A,#N/A,FALSE,"Videoconferencia";#N/A,#N/A,FALSE,"Correo electrónico";#N/A,#N/A,FALSE,"Correo de voz";#N/A,#N/A,FALSE,"Megafax";#N/A,#N/A,FALSE,"Edi";#N/A,#N/A,FALSE,"Internet";#N/A,#N/A,FALSE,"VSAT";#N/A,#N/A,FALSE,"ing ult. milla"}</definedName>
    <definedName name="KJADA0" hidden="1">{#N/A,#N/A,FALSE,"Aging Summary";#N/A,#N/A,FALSE,"Ratio Analysis";#N/A,#N/A,FALSE,"Test 120 Day Accts";#N/A,#N/A,FALSE,"Tickmarks"}</definedName>
    <definedName name="kjakdjakdja" hidden="1">{#N/A,#N/A,FALSE,"Aging Summary";#N/A,#N/A,FALSE,"Ratio Analysis";#N/A,#N/A,FALSE,"Test 120 Day Accts";#N/A,#N/A,FALSE,"Tickmarks"}</definedName>
    <definedName name="kjakjdafkjdafb" hidden="1">{#N/A,#N/A,FALSE,"Aging Summary";#N/A,#N/A,FALSE,"Ratio Analysis";#N/A,#N/A,FALSE,"Test 120 Day Accts";#N/A,#N/A,FALSE,"Tickmarks"}</definedName>
    <definedName name="kjasdkjad" hidden="1">{#N/A,#N/A,FALSE,"Aging Summary";#N/A,#N/A,FALSE,"Ratio Analysis";#N/A,#N/A,FALSE,"Test 120 Day Accts";#N/A,#N/A,FALSE,"Tickmarks"}</definedName>
    <definedName name="kjdakjda" hidden="1">{#N/A,#N/A,FALSE,"Aging Summary";#N/A,#N/A,FALSE,"Ratio Analysis";#N/A,#N/A,FALSE,"Test 120 Day Accts";#N/A,#N/A,FALSE,"Tickmarks"}</definedName>
    <definedName name="kjfjf" hidden="1">{#N/A,#N/A,FALSE,"Aging Summary";#N/A,#N/A,FALSE,"Ratio Analysis";#N/A,#N/A,FALSE,"Test 120 Day Accts";#N/A,#N/A,FALSE,"Tickmarks"}</definedName>
    <definedName name="kjfwkjfe" hidden="1">{#N/A,#N/A,FALSE,"Aging Summary";#N/A,#N/A,FALSE,"Ratio Analysis";#N/A,#N/A,FALSE,"Test 120 Day Accts";#N/A,#N/A,FALSE,"Tickmarks"}</definedName>
    <definedName name="kjgyre" hidden="1">{#N/A,#N/A,FALSE,"Aging Summary";#N/A,#N/A,FALSE,"Ratio Analysis";#N/A,#N/A,FALSE,"Test 120 Day Accts";#N/A,#N/A,FALSE,"Tickmarks"}</definedName>
    <definedName name="KJH" hidden="1">{#N/A,#N/A,FALSE,"Aging Summary";#N/A,#N/A,FALSE,"Ratio Analysis";#N/A,#N/A,FALSE,"Test 120 Day Accts";#N/A,#N/A,FALSE,"Tickmarks"}</definedName>
    <definedName name="kjjj" hidden="1">{#N/A,#N/A,FALSE,"Aging Summary";#N/A,#N/A,FALSE,"Ratio Analysis";#N/A,#N/A,FALSE,"Test 120 Day Accts";#N/A,#N/A,FALSE,"Tickmarks"}</definedName>
    <definedName name="KJJKK" hidden="1">{#N/A,#N/A,FALSE,"Aging Summary";#N/A,#N/A,FALSE,"Ratio Analysis";#N/A,#N/A,FALSE,"Test 120 Day Accts";#N/A,#N/A,FALSE,"Tickmarks"}</definedName>
    <definedName name="KJK" hidden="1">{#N/A,#N/A,FALSE,"Aging Summary";#N/A,#N/A,FALSE,"Ratio Analysis";#N/A,#N/A,FALSE,"Test 120 Day Accts";#N/A,#N/A,FALSE,"Tickmarks"}</definedName>
    <definedName name="KJKJKJK" hidden="1">{#N/A,#N/A,FALSE,"Aging Summary";#N/A,#N/A,FALSE,"Ratio Analysis";#N/A,#N/A,FALSE,"Test 120 Day Accts";#N/A,#N/A,FALSE,"Tickmarks"}</definedName>
    <definedName name="KJKKJ" hidden="1">{#N/A,#N/A,FALSE,"Aging Summary";#N/A,#N/A,FALSE,"Ratio Analysis";#N/A,#N/A,FALSE,"Test 120 Day Accts";#N/A,#N/A,FALSE,"Tickmarks"}</definedName>
    <definedName name="kjklj"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kjl" hidden="1">{#N/A,#N/A,FALSE,"Aging Summary";#N/A,#N/A,FALSE,"Ratio Analysis";#N/A,#N/A,FALSE,"Test 120 Day Accts";#N/A,#N/A,FALSE,"Tickmarks"}</definedName>
    <definedName name="kjsos" hidden="1">{#N/A,#N/A,FALSE,"Aging Summary";#N/A,#N/A,FALSE,"Ratio Analysis";#N/A,#N/A,FALSE,"Test 120 Day Accts";#N/A,#N/A,FALSE,"Tickmarks"}</definedName>
    <definedName name="kjsqwjsq" hidden="1">{#N/A,#N/A,FALSE,"Aging Summary";#N/A,#N/A,FALSE,"Ratio Analysis";#N/A,#N/A,FALSE,"Test 120 Day Accts";#N/A,#N/A,FALSE,"Tickmarks"}</definedName>
    <definedName name="kjxfñf" hidden="1">{#N/A,#N/A,FALSE,"Aging Summary";#N/A,#N/A,FALSE,"Ratio Analysis";#N/A,#N/A,FALSE,"Test 120 Day Accts";#N/A,#N/A,FALSE,"Tickmarks"}</definedName>
    <definedName name="kk" hidden="1">{"Schedule_1C",#N/A,FALSE,"I-C"}</definedName>
    <definedName name="kkf" hidden="1">{#N/A,#N/A,FALSE,"Aging Summary";#N/A,#N/A,FALSE,"Ratio Analysis";#N/A,#N/A,FALSE,"Test 120 Day Accts";#N/A,#N/A,FALSE,"Tickmarks"}</definedName>
    <definedName name="KKIKI" hidden="1">{#N/A,#N/A,FALSE,"Aging Summary";#N/A,#N/A,FALSE,"Ratio Analysis";#N/A,#N/A,FALSE,"Test 120 Day Accts";#N/A,#N/A,FALSE,"Tickmarks"}</definedName>
    <definedName name="KKJ" hidden="1">{#N/A,#N/A,FALSE,"Aging Summary";#N/A,#N/A,FALSE,"Ratio Analysis";#N/A,#N/A,FALSE,"Test 120 Day Accts";#N/A,#N/A,FALSE,"Tickmarks"}</definedName>
    <definedName name="KKJJ" hidden="1">{#N/A,#N/A,FALSE,"Aging Summary";#N/A,#N/A,FALSE,"Ratio Analysis";#N/A,#N/A,FALSE,"Test 120 Day Accts";#N/A,#N/A,FALSE,"Tickmarks"}</definedName>
    <definedName name="KKJKJ" hidden="1">{#N/A,#N/A,FALSE,"Aging Summary";#N/A,#N/A,FALSE,"Ratio Analysis";#N/A,#N/A,FALSE,"Test 120 Day Accts";#N/A,#N/A,FALSE,"Tickmarks"}</definedName>
    <definedName name="KKK" hidden="1">{#N/A,#N/A,FALSE,"Aging Summary";#N/A,#N/A,FALSE,"Ratio Analysis";#N/A,#N/A,FALSE,"Test 120 Day Accts";#N/A,#N/A,FALSE,"Tickmarks"}</definedName>
    <definedName name="KKKJ" hidden="1">{#N/A,#N/A,FALSE,"Aging Summary";#N/A,#N/A,FALSE,"Ratio Analysis";#N/A,#N/A,FALSE,"Test 120 Day Accts";#N/A,#N/A,FALSE,"Tickmarks"}</definedName>
    <definedName name="KKKK" hidden="1">{#N/A,#N/A,FALSE,"Aging Summary";#N/A,#N/A,FALSE,"Ratio Analysis";#N/A,#N/A,FALSE,"Test 120 Day Accts";#N/A,#N/A,FALSE,"Tickmarks"}</definedName>
    <definedName name="kkkkdddd" hidden="1">{#N/A,#N/A,FALSE,"Aging Summary";#N/A,#N/A,FALSE,"Ratio Analysis";#N/A,#N/A,FALSE,"Test 120 Day Accts";#N/A,#N/A,FALSE,"Tickmarks"}</definedName>
    <definedName name="kkkkkk" hidden="1">{"'DIFPRE'!$A$2:$M$54"}</definedName>
    <definedName name="kkkkkkkk" hidden="1">{#N/A,#N/A,FALSE,"Aging Summary";#N/A,#N/A,FALSE,"Ratio Analysis";#N/A,#N/A,FALSE,"Test 120 Day Accts";#N/A,#N/A,FALSE,"Tickmarks"}</definedName>
    <definedName name="KKKKKKKKKKK" hidden="1">{#N/A,#N/A,FALSE,"Aging Summary";#N/A,#N/A,FALSE,"Ratio Analysis";#N/A,#N/A,FALSE,"Test 120 Day Accts";#N/A,#N/A,FALSE,"Tickmarks"}</definedName>
    <definedName name="kkkkkkkkkkkk"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K" hidden="1">{#N/A,#N/A,FALSE,"Aging Summary";#N/A,#N/A,FALSE,"Ratio Analysis";#N/A,#N/A,FALSE,"Test 120 Day Accts";#N/A,#N/A,FALSE,"Tickmarks"}</definedName>
    <definedName name="KKKKKKKKKKKKKKK" hidden="1">{#N/A,#N/A,FALSE,"Aging Summary";#N/A,#N/A,FALSE,"Ratio Analysis";#N/A,#N/A,FALSE,"Test 120 Day Accts";#N/A,#N/A,FALSE,"Tickmarks"}</definedName>
    <definedName name="KKKKKKKKKKKKKKKK" hidden="1">{#N/A,#N/A,FALSE,"Aging Summary";#N/A,#N/A,FALSE,"Ratio Analysis";#N/A,#N/A,FALSE,"Test 120 Day Accts";#N/A,#N/A,FALSE,"Tickmarks"}</definedName>
    <definedName name="kkkkkkkkkkkkkkkkkkkkkkkkk" hidden="1">{#N/A,#N/A,FALSE,"Aging Summary";#N/A,#N/A,FALSE,"Ratio Analysis";#N/A,#N/A,FALSE,"Test 120 Day Accts";#N/A,#N/A,FALSE,"Tickmarks"}</definedName>
    <definedName name="kkkkkkkkkkkkkkkkkkkkkkoig" hidden="1">{#N/A,#N/A,FALSE,"Aging Summary";#N/A,#N/A,FALSE,"Ratio Analysis";#N/A,#N/A,FALSE,"Test 120 Day Accts";#N/A,#N/A,FALSE,"Tickmarks"}</definedName>
    <definedName name="kko" hidden="1">{#N/A,#N/A,FALSE,"Aging Summary";#N/A,#N/A,FALSE,"Ratio Analysis";#N/A,#N/A,FALSE,"Test 120 Day Accts";#N/A,#N/A,FALSE,"Tickmarks"}</definedName>
    <definedName name="kktpk" hidden="1">{#N/A,#N/A,FALSE,"Aging Summary";#N/A,#N/A,FALSE,"Ratio Analysis";#N/A,#N/A,FALSE,"Test 120 Day Accts";#N/A,#N/A,FALSE,"Tickmarks"}</definedName>
    <definedName name="Klabin" hidden="1">#REF!</definedName>
    <definedName name="klhoiuph" hidden="1">#REF!</definedName>
    <definedName name="klj" hidden="1">{#N/A,#N/A,FALSE,"voz corporativa";#N/A,#N/A,FALSE,"Transmisión de datos";#N/A,#N/A,FALSE,"Videoconferencia";#N/A,#N/A,FALSE,"Correo electrónico";#N/A,#N/A,FALSE,"Correo de voz";#N/A,#N/A,FALSE,"Megafax";#N/A,#N/A,FALSE,"Edi";#N/A,#N/A,FALSE,"Internet";#N/A,#N/A,FALSE,"VSAT";#N/A,#N/A,FALSE,"ing ult. milla"}</definedName>
    <definedName name="kljhk" hidden="1">{#N/A,#N/A,FALSE,"Aging Summary";#N/A,#N/A,FALSE,"Ratio Analysis";#N/A,#N/A,FALSE,"Test 120 Day Accts";#N/A,#N/A,FALSE,"Tickmarks"}</definedName>
    <definedName name="kljlkjñ" hidden="1">#REF!</definedName>
    <definedName name="klli" hidden="1">{"maq y eq",#N/A,TRUE,"Maq y Eq";"rodados",#N/A,TRUE,"Rodados"}</definedName>
    <definedName name="KLLL" hidden="1">{#N/A,#N/A,FALSE,"Aging Summary";#N/A,#N/A,FALSE,"Ratio Analysis";#N/A,#N/A,FALSE,"Test 120 Day Accts";#N/A,#N/A,FALSE,"Tickmarks"}</definedName>
    <definedName name="kmfkewf" hidden="1">{#N/A,#N/A,FALSE,"Aging Summary";#N/A,#N/A,FALSE,"Ratio Analysis";#N/A,#N/A,FALSE,"Test 120 Day Accts";#N/A,#N/A,FALSE,"Tickmarks"}</definedName>
    <definedName name="kmfwkfmw" hidden="1">{#N/A,#N/A,FALSE,"Aging Summary";#N/A,#N/A,FALSE,"Ratio Analysis";#N/A,#N/A,FALSE,"Test 120 Day Accts";#N/A,#N/A,FALSE,"Tickmarks"}</definedName>
    <definedName name="kmvkdvmsv" hidden="1">{#N/A,#N/A,FALSE,"Aging Summary";#N/A,#N/A,FALSE,"Ratio Analysis";#N/A,#N/A,FALSE,"Test 120 Day Accts";#N/A,#N/A,FALSE,"Tickmarks"}</definedName>
    <definedName name="knasdiad" hidden="1">{#N/A,#N/A,FALSE,"Aging Summary";#N/A,#N/A,FALSE,"Ratio Analysis";#N/A,#N/A,FALSE,"Test 120 Day Accts";#N/A,#N/A,FALSE,"Tickmarks"}</definedName>
    <definedName name="KNK" hidden="1">{#N/A,#N/A,FALSE,"Aging Summary";#N/A,#N/A,FALSE,"Ratio Analysis";#N/A,#N/A,FALSE,"Test 120 Day Accts";#N/A,#N/A,FALSE,"Tickmarks"}</definedName>
    <definedName name="kodedwqdm" hidden="1">{#N/A,#N/A,FALSE,"Aging Summary";#N/A,#N/A,FALSE,"Ratio Analysis";#N/A,#N/A,FALSE,"Test 120 Day Accts";#N/A,#N/A,FALSE,"Tickmarks"}</definedName>
    <definedName name="kodkaod" hidden="1">{#N/A,#N/A,FALSE,"Aging Summary";#N/A,#N/A,FALSE,"Ratio Analysis";#N/A,#N/A,FALSE,"Test 120 Day Accts";#N/A,#N/A,FALSE,"Tickmarks"}</definedName>
    <definedName name="kodkwedw" hidden="1">{#N/A,#N/A,FALSE,"Aging Summary";#N/A,#N/A,FALSE,"Ratio Analysis";#N/A,#N/A,FALSE,"Test 120 Day Accts";#N/A,#N/A,FALSE,"Tickmarks"}</definedName>
    <definedName name="koewkfw" hidden="1">{#N/A,#N/A,FALSE,"Aging Summary";#N/A,#N/A,FALSE,"Ratio Analysis";#N/A,#N/A,FALSE,"Test 120 Day Accts";#N/A,#N/A,FALSE,"Tickmarks"}</definedName>
    <definedName name="kofdkod" hidden="1">{#N/A,#N/A,FALSE,"Aging Summary";#N/A,#N/A,FALSE,"Ratio Analysis";#N/A,#N/A,FALSE,"Test 120 Day Accts";#N/A,#N/A,FALSE,"Tickmarks"}</definedName>
    <definedName name="kofekofe" hidden="1">{#N/A,#N/A,FALSE,"Aging Summary";#N/A,#N/A,FALSE,"Ratio Analysis";#N/A,#N/A,FALSE,"Test 120 Day Accts";#N/A,#N/A,FALSE,"Tickmarks"}</definedName>
    <definedName name="kofewf" hidden="1">{#N/A,#N/A,FALSE,"Aging Summary";#N/A,#N/A,FALSE,"Ratio Analysis";#N/A,#N/A,FALSE,"Test 120 Day Accts";#N/A,#N/A,FALSE,"Tickmarks"}</definedName>
    <definedName name="kofewokwefwf" hidden="1">{#N/A,#N/A,FALSE,"Aging Summary";#N/A,#N/A,FALSE,"Ratio Analysis";#N/A,#N/A,FALSE,"Test 120 Day Accts";#N/A,#N/A,FALSE,"Tickmarks"}</definedName>
    <definedName name="kokd" hidden="1">{#N/A,#N/A,FALSE,"Aging Summary";#N/A,#N/A,FALSE,"Ratio Analysis";#N/A,#N/A,FALSE,"Test 120 Day Accts";#N/A,#N/A,FALSE,"Tickmarks"}</definedName>
    <definedName name="KOKODAF" hidden="1">#REF!</definedName>
    <definedName name="koqwkdqdq" hidden="1">{#N/A,#N/A,FALSE,"Aging Summary";#N/A,#N/A,FALSE,"Ratio Analysis";#N/A,#N/A,FALSE,"Test 120 Day Accts";#N/A,#N/A,FALSE,"Tickmarks"}</definedName>
    <definedName name="korekfre" hidden="1">{#N/A,#N/A,FALSE,"Aging Summary";#N/A,#N/A,FALSE,"Ratio Analysis";#N/A,#N/A,FALSE,"Test 120 Day Accts";#N/A,#N/A,FALSE,"Tickmarks"}</definedName>
    <definedName name="korkk" hidden="1">{#N/A,#N/A,FALSE,"Aging Summary";#N/A,#N/A,FALSE,"Ratio Analysis";#N/A,#N/A,FALSE,"Test 120 Day Accts";#N/A,#N/A,FALSE,"Tickmarks"}</definedName>
    <definedName name="kowdkw" hidden="1">{#N/A,#N/A,FALSE,"Aging Summary";#N/A,#N/A,FALSE,"Ratio Analysis";#N/A,#N/A,FALSE,"Test 120 Day Accts";#N/A,#N/A,FALSE,"Tickmarks"}</definedName>
    <definedName name="kowkfwkf" hidden="1">{#N/A,#N/A,FALSE,"Aging Summary";#N/A,#N/A,FALSE,"Ratio Analysis";#N/A,#N/A,FALSE,"Test 120 Day Accts";#N/A,#N/A,FALSE,"Tickmarks"}</definedName>
    <definedName name="kqdkqd" hidden="1">{#N/A,#N/A,FALSE,"Aging Summary";#N/A,#N/A,FALSE,"Ratio Analysis";#N/A,#N/A,FALSE,"Test 120 Day Accts";#N/A,#N/A,FALSE,"Tickmarks"}</definedName>
    <definedName name="kqkdqd" hidden="1">{#N/A,#N/A,FALSE,"Aging Summary";#N/A,#N/A,FALSE,"Ratio Analysis";#N/A,#N/A,FALSE,"Test 120 Day Accts";#N/A,#N/A,FALSE,"Tickmarks"}</definedName>
    <definedName name="kqodkq" hidden="1">{#N/A,#N/A,FALSE,"Aging Summary";#N/A,#N/A,FALSE,"Ratio Analysis";#N/A,#N/A,FALSE,"Test 120 Day Accts";#N/A,#N/A,FALSE,"Tickmarks"}</definedName>
    <definedName name="kqodkqd" hidden="1">{#N/A,#N/A,FALSE,"Aging Summary";#N/A,#N/A,FALSE,"Ratio Analysis";#N/A,#N/A,FALSE,"Test 120 Day Accts";#N/A,#N/A,FALSE,"Tickmarks"}</definedName>
    <definedName name="kqokd" hidden="1">{#N/A,#N/A,FALSE,"Aging Summary";#N/A,#N/A,FALSE,"Ratio Analysis";#N/A,#N/A,FALSE,"Test 120 Day Accts";#N/A,#N/A,FALSE,"Tickmarks"}</definedName>
    <definedName name="kqowkdoqkd" hidden="1">{#N/A,#N/A,FALSE,"Aging Summary";#N/A,#N/A,FALSE,"Ratio Analysis";#N/A,#N/A,FALSE,"Test 120 Day Accts";#N/A,#N/A,FALSE,"Tickmarks"}</definedName>
    <definedName name="kqwdoqkd" hidden="1">{#N/A,#N/A,FALSE,"Aging Summary";#N/A,#N/A,FALSE,"Ratio Analysis";#N/A,#N/A,FALSE,"Test 120 Day Accts";#N/A,#N/A,FALSE,"Tickmarks"}</definedName>
    <definedName name="krfjrjfr" hidden="1">#REF!</definedName>
    <definedName name="krkrkr" hidden="1">{#N/A,#N/A,FALSE,"Aging Summary";#N/A,#N/A,FALSE,"Ratio Analysis";#N/A,#N/A,FALSE,"Test 120 Day Accts";#N/A,#N/A,FALSE,"Tickmarks"}</definedName>
    <definedName name="krokfof" hidden="1">{#N/A,#N/A,FALSE,"Aging Summary";#N/A,#N/A,FALSE,"Ratio Analysis";#N/A,#N/A,FALSE,"Test 120 Day Accts";#N/A,#N/A,FALSE,"Tickmarks"}</definedName>
    <definedName name="krowi" hidden="1">#REF!</definedName>
    <definedName name="krr" hidden="1">{#N/A,#N/A,FALSE,"Aging Summary";#N/A,#N/A,FALSE,"Ratio Analysis";#N/A,#N/A,FALSE,"Test 120 Day Accts";#N/A,#N/A,FALSE,"Tickmarks"}</definedName>
    <definedName name="krwe" hidden="1">#REF!</definedName>
    <definedName name="krweruw" hidden="1">#REF!</definedName>
    <definedName name="krwke" hidden="1">#REF!</definedName>
    <definedName name="krwoe" hidden="1">#REF!</definedName>
    <definedName name="krwoi" hidden="1">#REF!</definedName>
    <definedName name="KSAFKAKFSKA" hidden="1">#REF!</definedName>
    <definedName name="ksfskfs" hidden="1">{#N/A,#N/A,FALSE,"Aging Summary";#N/A,#N/A,FALSE,"Ratio Analysis";#N/A,#N/A,FALSE,"Test 120 Day Accts";#N/A,#N/A,FALSE,"Tickmarks"}</definedName>
    <definedName name="KSOIASDOFHASFHOPDSA" hidden="1">{#N/A,#N/A,FALSE,"Aging Summary";#N/A,#N/A,FALSE,"Ratio Analysis";#N/A,#N/A,FALSE,"Test 120 Day Accts";#N/A,#N/A,FALSE,"Tickmarks"}</definedName>
    <definedName name="ksoqkosq"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soqks" hidden="1">{#N/A,#N/A,FALSE,"Aging Summary";#N/A,#N/A,FALSE,"Ratio Analysis";#N/A,#N/A,FALSE,"Test 120 Day Accts";#N/A,#N/A,FALSE,"Tickmarks"}</definedName>
    <definedName name="ksoqksq" hidden="1">{#N/A,#N/A,FALSE,"Aging Summary";#N/A,#N/A,FALSE,"Ratio Analysis";#N/A,#N/A,FALSE,"Test 120 Day Accts";#N/A,#N/A,FALSE,"Tickmarks"}</definedName>
    <definedName name="ksqoksqos" hidden="1">{#N/A,#N/A,FALSE,"Aging Summary";#N/A,#N/A,FALSE,"Ratio Analysis";#N/A,#N/A,FALSE,"Test 120 Day Accts";#N/A,#N/A,FALSE,"Tickmarks"}</definedName>
    <definedName name="KUHHH" hidden="1">{#N/A,#N/A,FALSE,"Aging Summary";#N/A,#N/A,FALSE,"Ratio Analysis";#N/A,#N/A,FALSE,"Test 120 Day Accts";#N/A,#N/A,FALSE,"Tickmarks"}</definedName>
    <definedName name="kvfkvmfvf" hidden="1">{#N/A,#N/A,FALSE,"Aging Summary";#N/A,#N/A,FALSE,"Ratio Analysis";#N/A,#N/A,FALSE,"Test 120 Day Accts";#N/A,#N/A,FALSE,"Tickmarks"}</definedName>
    <definedName name="kvork" hidden="1">#REF!</definedName>
    <definedName name="kvpekv" hidden="1">{#N/A,#N/A,FALSE,"Aging Summary";#N/A,#N/A,FALSE,"Ratio Analysis";#N/A,#N/A,FALSE,"Test 120 Day Accts";#N/A,#N/A,FALSE,"Tickmarks"}</definedName>
    <definedName name="kwdoqkd" hidden="1">{#N/A,#N/A,FALSE,"Aging Summary";#N/A,#N/A,FALSE,"Ratio Analysis";#N/A,#N/A,FALSE,"Test 120 Day Accts";#N/A,#N/A,FALSE,"Tickmarks"}</definedName>
    <definedName name="kwdpqkd" hidden="1">{#N/A,#N/A,FALSE,"Aging Summary";#N/A,#N/A,FALSE,"Ratio Analysis";#N/A,#N/A,FALSE,"Test 120 Day Accts";#N/A,#N/A,FALSE,"Tickmarks"}</definedName>
    <definedName name="kwf´pfw" hidden="1">#REF!</definedName>
    <definedName name="kwfmw" hidden="1">{#N/A,#N/A,FALSE,"Total";#N/A,#N/A,FALSE,"Accid.";#N/A,#N/A,FALSE,"Previsional";#N/A,#N/A,FALSE,"Vida ind.";#N/A,#N/A,FALSE,"Colectivo"}</definedName>
    <definedName name="kwkfwf" hidden="1">{#N/A,#N/A,FALSE,"Aging Summary";#N/A,#N/A,FALSE,"Ratio Analysis";#N/A,#N/A,FALSE,"Test 120 Day Accts";#N/A,#N/A,FALSE,"Tickmarks"}</definedName>
    <definedName name="kwofkwf" hidden="1">{#N/A,#N/A,FALSE,"Aging Summary";#N/A,#N/A,FALSE,"Ratio Analysis";#N/A,#N/A,FALSE,"Test 120 Day Accts";#N/A,#N/A,FALSE,"Tickmarks"}</definedName>
    <definedName name="kwpfkwf" hidden="1">{#N/A,#N/A,FALSE,"Aging Summary";#N/A,#N/A,FALSE,"Ratio Analysis";#N/A,#N/A,FALSE,"Test 120 Day Accts";#N/A,#N/A,FALSE,"Tickmarks"}</definedName>
    <definedName name="kwrkw" hidden="1">#REF!</definedName>
    <definedName name="kwrtwe87" hidden="1">#REF!</definedName>
    <definedName name="L_Adjust">[4]Links!$H:$H</definedName>
    <definedName name="L_AJE_Tot">[4]Links!$G:$G</definedName>
    <definedName name="L_CY_Beg">[5]Links!$F:$F</definedName>
    <definedName name="L_CY_End">[4]Links!$J:$J</definedName>
    <definedName name="L_PY_End">[4]Links!$K:$K</definedName>
    <definedName name="L_RJE_Tot">[4]Links!$I:$I</definedName>
    <definedName name="l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laaaap" hidden="1">{#N/A,#N/A,FALSE,"Aging Summary";#N/A,#N/A,FALSE,"Ratio Analysis";#N/A,#N/A,FALSE,"Test 120 Day Accts";#N/A,#N/A,FALSE,"Tickmarks"}</definedName>
    <definedName name="laalsdk" hidden="1">#REF!</definedName>
    <definedName name="LADE">#REF!</definedName>
    <definedName name="lakjroiwqjr" hidden="1">{#N/A,#N/A,FALSE,"Aging Summary";#N/A,#N/A,FALSE,"Ratio Analysis";#N/A,#N/A,FALSE,"Test 120 Day Accts";#N/A,#N/A,FALSE,"Tickmarks"}</definedName>
    <definedName name="lalalalalalala" hidden="1">#REF!</definedName>
    <definedName name="lar" hidden="1">{#N/A,#N/A,FALSE,"Aging Summary";#N/A,#N/A,FALSE,"Ratio Analysis";#N/A,#N/A,FALSE,"Test 120 Day Accts";#N/A,#N/A,FALSE,"Tickmarks"}</definedName>
    <definedName name="la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DASPDSAL" hidden="1">#REF!</definedName>
    <definedName name="ldelewldw" hidden="1">#REF!</definedName>
    <definedName name="ldewpdlwed" hidden="1">{#N/A,#N/A,FALSE,"Aging Summary";#N/A,#N/A,FALSE,"Ratio Analysis";#N/A,#N/A,FALSE,"Test 120 Day Accts";#N/A,#N/A,FALSE,"Tickmarks"}</definedName>
    <definedName name="ldld" hidden="1">{#N/A,#N/A,FALSE,"Aging Summary";#N/A,#N/A,FALSE,"Ratio Analysis";#N/A,#N/A,FALSE,"Test 120 Day Accts";#N/A,#N/A,FALSE,"Tickmarks"}</definedName>
    <definedName name="ldpeldpe" hidden="1">{#N/A,#N/A,FALSE,"Aging Summary";#N/A,#N/A,FALSE,"Ratio Analysis";#N/A,#N/A,FALSE,"Test 120 Day Accts";#N/A,#N/A,FALSE,"Tickmarks"}</definedName>
    <definedName name="ldpew" hidden="1">#REF!</definedName>
    <definedName name="ldpewdw" hidden="1">#REF!</definedName>
    <definedName name="ldpewldw" hidden="1">{#N/A,#N/A,FALSE,"Aging Summary";#N/A,#N/A,FALSE,"Ratio Analysis";#N/A,#N/A,FALSE,"Test 120 Day Accts";#N/A,#N/A,FALSE,"Tickmarks"}</definedName>
    <definedName name="LDPOEK" hidden="1">{#N/A,#N/A,FALSE,"Aging Summary";#N/A,#N/A,FALSE,"Ratio Analysis";#N/A,#N/A,FALSE,"Test 120 Day Accts";#N/A,#N/A,FALSE,"Tickmarks"}</definedName>
    <definedName name="ldpqldpql" hidden="1">#REF!</definedName>
    <definedName name="ldpqlwdq" hidden="1">{#N/A,#N/A,FALSE,"Aging Summary";#N/A,#N/A,FALSE,"Ratio Analysis";#N/A,#N/A,FALSE,"Test 120 Day Accts";#N/A,#N/A,FALSE,"Tickmarks"}</definedName>
    <definedName name="ldpwqldqpwd" hidden="1">#REF!</definedName>
    <definedName name="ldqpdlq" hidden="1">#REF!</definedName>
    <definedName name="ldqwpdlqpw" hidden="1">#REF!</definedName>
    <definedName name="ldwqpldqp" hidden="1">#REF!</definedName>
    <definedName name="leadeeesjk" hidden="1">#REF!</definedName>
    <definedName name="leadeeesss" hidden="1">"AS2DocumentBrowse"</definedName>
    <definedName name="leadees1" hidden="1">#REF!</definedName>
    <definedName name="leades" hidden="1">#REF!</definedName>
    <definedName name="leandro" hidden="1">{#N/A,#N/A,FALSE,"03070001";#N/A,#N/A,FALSE,"03070002";#N/A,#N/A,FALSE,"03090003";#N/A,#N/A,FALSE,"23190001";#N/A,#N/A,FALSE,"24470001"}</definedName>
    <definedName name="lede" hidden="1">{#N/A,#N/A,FALSE,"Aging Summary";#N/A,#N/A,FALSE,"Ratio Analysis";#N/A,#N/A,FALSE,"Test 120 Day Accts";#N/A,#N/A,FALSE,"Tickmarks"}</definedName>
    <definedName name="leee" hidden="1">{#N/A,#N/A,FALSE,"Aging Summary";#N/A,#N/A,FALSE,"Ratio Analysis";#N/A,#N/A,FALSE,"Test 120 Day Accts";#N/A,#N/A,FALSE,"Tickmarks"}</definedName>
    <definedName name="leeeeeeeeeeeeee" hidden="1">{#N/A,#N/A,FALSE,"Aging Summary";#N/A,#N/A,FALSE,"Ratio Analysis";#N/A,#N/A,FALSE,"Test 120 Day Accts";#N/A,#N/A,FALSE,"Tickmarks"}</definedName>
    <definedName name="leeeeeeeeeeeeeeeeee" hidden="1">{#N/A,#N/A,FALSE,"Aging Summary";#N/A,#N/A,FALSE,"Ratio Analysis";#N/A,#N/A,FALSE,"Test 120 Day Accts";#N/A,#N/A,FALSE,"Tickmarks"}</definedName>
    <definedName name="LEFLEFLEL" hidden="1">{#N/A,#N/A,FALSE,"Aging Summary";#N/A,#N/A,FALSE,"Ratio Analysis";#N/A,#N/A,FALSE,"Test 120 Day Accts";#N/A,#N/A,FALSE,"Tickmarks"}</definedName>
    <definedName name="leo" hidden="1">{#N/A,#N/A,FALSE,"CAPEX";#N/A,#N/A,FALSE,"PLAN";#N/A,#N/A,FALSE,"REV";#N/A,#N/A,FALSE,"CALOP";#N/A,#N/A,FALSE,"RESOP";#N/A,#N/A,FALSE,"PRES"}</definedName>
    <definedName name="leon" hidden="1">{#N/A,#N/A,FALSE,"Aging Summary";#N/A,#N/A,FALSE,"Ratio Analysis";#N/A,#N/A,FALSE,"Test 120 Day Accts";#N/A,#N/A,FALSE,"Tickmarks"}</definedName>
    <definedName name="lepldwpd" hidden="1">{#N/A,#N/A,FALSE,"Aging Summary";#N/A,#N/A,FALSE,"Ratio Analysis";#N/A,#N/A,FALSE,"Test 120 Day Accts";#N/A,#N/A,FALSE,"Tickmarks"}</definedName>
    <definedName name="LFADSPFLAF" hidden="1">#REF!</definedName>
    <definedName name="lfalfall" hidden="1">#REF!</definedName>
    <definedName name="lfalfallll" hidden="1">#REF!</definedName>
    <definedName name="lfalflall" hidden="1">#REF!</definedName>
    <definedName name="lfalflalll" hidden="1">#REF!</definedName>
    <definedName name="lfalfll" hidden="1">#REF!</definedName>
    <definedName name="LFAPLA" hidden="1">#REF!</definedName>
    <definedName name="lfaplfa" hidden="1">#REF!</definedName>
    <definedName name="lfaplfla" hidden="1">#REF!</definedName>
    <definedName name="LFAPSLFA" hidden="1">#REF!</definedName>
    <definedName name="lfdelfeplfe" hidden="1">{#N/A,#N/A,FALSE,"Aging Summary";#N/A,#N/A,FALSE,"Ratio Analysis";#N/A,#N/A,FALSE,"Test 120 Day Accts";#N/A,#N/A,FALSE,"Tickmarks"}</definedName>
    <definedName name="lfdslfs" hidden="1">#REF!</definedName>
    <definedName name="LFEFELFLELFL" hidden="1">{#N/A,#N/A,FALSE,"Aging Summary";#N/A,#N/A,FALSE,"Ratio Analysis";#N/A,#N/A,FALSE,"Test 120 Day Accts";#N/A,#N/A,FALSE,"Tickmarks"}</definedName>
    <definedName name="LFELFLELLL" hidden="1">{#N/A,#N/A,FALSE,"Aging Summary";#N/A,#N/A,FALSE,"Ratio Analysis";#N/A,#N/A,FALSE,"Test 120 Day Accts";#N/A,#N/A,FALSE,"Tickmarks"}</definedName>
    <definedName name="lfewkfwf" hidden="1">{#N/A,#N/A,FALSE,"Aging Summary";#N/A,#N/A,FALSE,"Ratio Analysis";#N/A,#N/A,FALSE,"Test 120 Day Accts";#N/A,#N/A,FALSE,"Tickmarks"}</definedName>
    <definedName name="LFFF" hidden="1">{#N/A,#N/A,FALSE,"Aging Summary";#N/A,#N/A,FALSE,"Ratio Analysis";#N/A,#N/A,FALSE,"Test 120 Day Accts";#N/A,#N/A,FALSE,"Tickmarks"}</definedName>
    <definedName name="lfkewfw" hidden="1">{#N/A,#N/A,FALSE,"Aging Summary";#N/A,#N/A,FALSE,"Ratio Analysis";#N/A,#N/A,FALSE,"Test 120 Day Accts";#N/A,#N/A,FALSE,"Tickmarks"}</definedName>
    <definedName name="lflflflñ" hidden="1">#REF!</definedName>
    <definedName name="lflllflf" hidden="1">#REF!</definedName>
    <definedName name="lflwlflwf" hidden="1">{#N/A,#N/A,FALSE,"Aging Summary";#N/A,#N/A,FALSE,"Ratio Analysis";#N/A,#N/A,FALSE,"Test 120 Day Accts";#N/A,#N/A,FALSE,"Tickmarks"}</definedName>
    <definedName name="LFPASLA" hidden="1">#REF!</definedName>
    <definedName name="LFPEQLFQLL" hidden="1">#REF!</definedName>
    <definedName name="lfpewflewf" hidden="1">{#N/A,#N/A,FALSE,"Aging Summary";#N/A,#N/A,FALSE,"Ratio Analysis";#N/A,#N/A,FALSE,"Test 120 Day Accts";#N/A,#N/A,FALSE,"Tickmarks"}</definedName>
    <definedName name="lfpewlfpwlfpwlf" hidden="1">{#N/A,#N/A,FALSE,"Aging Summary";#N/A,#N/A,FALSE,"Ratio Analysis";#N/A,#N/A,FALSE,"Test 120 Day Accts";#N/A,#N/A,FALSE,"Tickmarks"}</definedName>
    <definedName name="lfpewlfw" hidden="1">{#N/A,#N/A,FALSE,"Variables";#N/A,#N/A,FALSE,"Patrim"}</definedName>
    <definedName name="lfpewlfwpfl" hidden="1">{"custodia",#N/A,FALSE,"Encaje";"encajeprint",#N/A,FALSE,"Encaje"}</definedName>
    <definedName name="lfpfwof" hidden="1">#REF!</definedName>
    <definedName name="lfplrwf" hidden="1">{#N/A,#N/A,FALSE,"Aging Summary";#N/A,#N/A,FALSE,"Ratio Analysis";#N/A,#N/A,FALSE,"Test 120 Day Accts";#N/A,#N/A,FALSE,"Tickmarks"}</definedName>
    <definedName name="lfprflkw" hidden="1">{#N/A,#N/A,FALSE,"Aging Summary";#N/A,#N/A,FALSE,"Ratio Analysis";#N/A,#N/A,FALSE,"Test 120 Day Accts";#N/A,#N/A,FALSE,"Tickmarks"}</definedName>
    <definedName name="lfpwelf" hidden="1">{"Schedule_IA",#N/A,FALSE,"I-A"}</definedName>
    <definedName name="lfpwelfw" hidden="1">{#N/A,#N/A,FALSE,"Aging Summary";#N/A,#N/A,FALSE,"Ratio Analysis";#N/A,#N/A,FALSE,"Test 120 Day Accts";#N/A,#N/A,FALSE,"Tickmarks"}</definedName>
    <definedName name="lfpwflw" hidden="1">{"Schedule_1C",#N/A,FALSE,"I-C"}</definedName>
    <definedName name="lfpwlefpw" hidden="1">{#N/A,#N/A,FALSE,"invoice ucc";#N/A,#N/A,FALSE,"asiento"}</definedName>
    <definedName name="lfpwlfpw" hidden="1">{#N/A,#N/A,FALSE,"Aging Summary";#N/A,#N/A,FALSE,"Ratio Analysis";#N/A,#N/A,FALSE,"Test 120 Day Accts";#N/A,#N/A,FALSE,"Tickmarks"}</definedName>
    <definedName name="lfpwlfw" hidden="1">{#N/A,#N/A,FALSE,"Aging Summary";#N/A,#N/A,FALSE,"Ratio Analysis";#N/A,#N/A,FALSE,"Test 120 Day Accts";#N/A,#N/A,FALSE,"Tickmarks"}</definedName>
    <definedName name="lfpwlkfw" hidden="1">{#N/A,#N/A,FALSE,"Aging Summary";#N/A,#N/A,FALSE,"Ratio Analysis";#N/A,#N/A,FALSE,"Test 120 Day Accts";#N/A,#N/A,FALSE,"Tickmarks"}</definedName>
    <definedName name="LFQELFQL" hidden="1">#REF!</definedName>
    <definedName name="LFQLEFLQLL" hidden="1">#REF!</definedName>
    <definedName name="LFQPELFQP" hidden="1">#REF!</definedName>
    <definedName name="LFSALALSFL" hidden="1">#REF!</definedName>
    <definedName name="lfsalfallll" hidden="1">#REF!</definedName>
    <definedName name="lfwefw" hidden="1">{#N/A,#N/A,FALSE,"Aging Summary";#N/A,#N/A,FALSE,"Ratio Analysis";#N/A,#N/A,FALSE,"Test 120 Day Accts";#N/A,#N/A,FALSE,"Tickmarks"}</definedName>
    <definedName name="lfwepflw"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lfweplfw" hidden="1">{#N/A,#N/A,FALSE,"Aging Summary";#N/A,#N/A,FALSE,"Ratio Analysis";#N/A,#N/A,FALSE,"Test 120 Day Accts";#N/A,#N/A,FALSE,"Tickmarks"}</definedName>
    <definedName name="l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fwkekfw" hidden="1">{#N/A,#N/A,FALSE,"Aging Summary";#N/A,#N/A,FALSE,"Ratio Analysis";#N/A,#N/A,FALSE,"Test 120 Day Accts";#N/A,#N/A,FALSE,"Tickmarks"}</definedName>
    <definedName name="lfwlefwf" hidden="1">{"balanço dolares",#N/A,FALSE,"SIGADR$";"AUT BAL REAIS",#N/A,FALSE,"SIGADR$";"QUOCIENTES REAIS",#N/A,FALSE,"QUOCIENTES";"JUNH QUOCI DOLARES",#N/A,FALSE,"QUOCIENTES"}</definedName>
    <definedName name="lfwpefw" hidden="1">#REF!</definedName>
    <definedName name="lfwplf" hidden="1">{#N/A,#N/A,FALSE,"Aging Summary";#N/A,#N/A,FALSE,"Ratio Analysis";#N/A,#N/A,FALSE,"Test 120 Day Accts";#N/A,#N/A,FALSE,"Tickmarks"}</definedName>
    <definedName name="lfwplfewplf" hidden="1">{#N/A,#N/A,FALSE,"Aging Summary";#N/A,#N/A,FALSE,"Ratio Analysis";#N/A,#N/A,FALSE,"Test 120 Day Accts";#N/A,#N/A,FALSE,"Tickmarks"}</definedName>
    <definedName name="lfwplfpw" hidden="1">{"Schedule_IA",#N/A,FALSE,"I-A"}</definedName>
    <definedName name="lfwplfw" hidden="1">{#N/A,#N/A,FALSE,"Aging Summary";#N/A,#N/A,FALSE,"Ratio Analysis";#N/A,#N/A,FALSE,"Test 120 Day Accts";#N/A,#N/A,FALSE,"Tickmarks"}</definedName>
    <definedName name="lfwplfwpfl" hidden="1">{#N/A,#N/A,FALSE,"balance";#N/A,#N/A,FALSE,"resultados";#N/A,#N/A,FALSE,"p.neto";#N/A,#N/A,FALSE,"bienes uso";#N/A,#N/A,FALSE,"art.64";#N/A,#N/A,FALSE,"intangibles"}</definedName>
    <definedName name="LFWQPFQLWF" hidden="1">#REF!</definedName>
    <definedName name="lgltgltg" hidden="1">{#N/A,#N/A,FALSE,"Aging Summary";#N/A,#N/A,FALSE,"Ratio Analysis";#N/A,#N/A,FALSE,"Test 120 Day Accts";#N/A,#N/A,FALSE,"Tickmarks"}</definedName>
    <definedName name="lgplrg" hidden="1">{#N/A,#N/A,FALSE,"Aging Summary";#N/A,#N/A,FALSE,"Ratio Analysis";#N/A,#N/A,FALSE,"Test 120 Day Accts";#N/A,#N/A,FALSE,"Tickmarks"}</definedName>
    <definedName name="lhlhllh" hidden="1">{#N/A,#N/A,FALSE,"Aging Summary";#N/A,#N/A,FALSE,"Ratio Analysis";#N/A,#N/A,FALSE,"Test 120 Day Accts";#N/A,#N/A,FALSE,"Tickmarks"}</definedName>
    <definedName name="ligue" hidden="1">{#N/A,#N/A,FALSE,"balance";#N/A,#N/A,FALSE,"resultados";#N/A,#N/A,FALSE,"patrimonio";#N/A,#N/A,FALSE,"bienes uso";#N/A,#N/A,FALSE,"art.64"}</definedName>
    <definedName name="like" hidden="1">{#N/A,#N/A,FALSE,"Aging Summary";#N/A,#N/A,FALSE,"Ratio Analysis";#N/A,#N/A,FALSE,"Test 120 Day Accts";#N/A,#N/A,FALSE,"Tickmarks"}</definedName>
    <definedName name="likes" hidden="1">{#N/A,#N/A,FALSE,"Aging Summary";#N/A,#N/A,FALSE,"Ratio Analysis";#N/A,#N/A,FALSE,"Test 120 Day Accts";#N/A,#N/A,FALSE,"Tickmarks"}</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jh" hidden="1">{"Schedule_1D",#N/A,FALSE,"I-D"}</definedName>
    <definedName name="LJKJKJ" hidden="1">{#N/A,#N/A,FALSE,"Aging Summary";#N/A,#N/A,FALSE,"Ratio Analysis";#N/A,#N/A,FALSE,"Test 120 Day Accts";#N/A,#N/A,FALSE,"Tickmarks"}</definedName>
    <definedName name="lkfmw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kfskdfs" hidden="1">#REF!</definedName>
    <definedName name="lkj" hidden="1">#REF!</definedName>
    <definedName name="lkjh" hidden="1">#REF!</definedName>
    <definedName name="lkjj" hidden="1">#REF!</definedName>
    <definedName name="LKKK" hidden="1">{#N/A,#N/A,FALSE,"Aging Summary";#N/A,#N/A,FALSE,"Ratio Analysis";#N/A,#N/A,FALSE,"Test 120 Day Accts";#N/A,#N/A,FALSE,"Tickmarks"}</definedName>
    <definedName name="lkl" hidden="1">{#N/A,#N/A,FALSE,"Aging Summary";#N/A,#N/A,FALSE,"Ratio Analysis";#N/A,#N/A,FALSE,"Test 120 Day Accts";#N/A,#N/A,FALSE,"Tickmarks"}</definedName>
    <definedName name="ll" hidden="1">{"Schedule_1D",#N/A,FALSE,"I-D"}</definedName>
    <definedName name="LLÇOP" hidden="1">{#N/A,#N/A,FALSE,"Aging Summary";#N/A,#N/A,FALSE,"Ratio Analysis";#N/A,#N/A,FALSE,"Test 120 Day Accts";#N/A,#N/A,FALSE,"Tickmarks"}</definedName>
    <definedName name="lld" hidden="1">{#N/A,#N/A,FALSE,"Aging Summary";#N/A,#N/A,FALSE,"Ratio Analysis";#N/A,#N/A,FALSE,"Test 120 Day Accts";#N/A,#N/A,FALSE,"Tickmarks"}</definedName>
    <definedName name="LLFLLF" hidden="1">#REF!</definedName>
    <definedName name="lll" hidden="1">{#N/A,#N/A,FALSE,"Aging Summary";#N/A,#N/A,FALSE,"Ratio Analysis";#N/A,#N/A,FALSE,"Test 120 Day Accts";#N/A,#N/A,FALSE,"Tickmarks"}</definedName>
    <definedName name="lllç" hidden="1">{#N/A,#N/A,FALSE,"Aging Summary";#N/A,#N/A,FALSE,"Ratio Analysis";#N/A,#N/A,FALSE,"Test 120 Day Accts";#N/A,#N/A,FALSE,"Tickmarks"}</definedName>
    <definedName name="LLLL" hidden="1">{#N/A,#N/A,FALSE,"Aging Summary";#N/A,#N/A,FALSE,"Ratio Analysis";#N/A,#N/A,FALSE,"Test 120 Day Accts";#N/A,#N/A,FALSE,"Tickmarks"}</definedName>
    <definedName name="LLLLLLLLLL" hidden="1">#REF!</definedName>
    <definedName name="LLLLLLLLLLLL" hidden="1">{#N/A,#N/A,FALSE,"Aging Summary";#N/A,#N/A,FALSE,"Ratio Analysis";#N/A,#N/A,FALSE,"Test 120 Day Accts";#N/A,#N/A,FALSE,"Tickmarks"}</definedName>
    <definedName name="LLLLLLLLLLLLL" hidden="1">{#N/A,#N/A,FALSE,"Aging Summary";#N/A,#N/A,FALSE,"Ratio Analysis";#N/A,#N/A,FALSE,"Test 120 Day Accts";#N/A,#N/A,FALSE,"Tickmarks"}</definedName>
    <definedName name="LLLLLLLLLLLLLLL" hidden="1">{#N/A,#N/A,FALSE,"Aging Summary";#N/A,#N/A,FALSE,"Ratio Analysis";#N/A,#N/A,FALSE,"Test 120 Day Accts";#N/A,#N/A,FALSE,"Tickmarks"}</definedName>
    <definedName name="LLLLLLLLLLLLLLLLL" hidden="1">{#N/A,#N/A,FALSE,"Aging Summary";#N/A,#N/A,FALSE,"Ratio Analysis";#N/A,#N/A,FALSE,"Test 120 Day Accts";#N/A,#N/A,FALSE,"Tickmarks"}</definedName>
    <definedName name="llllllllllllllllllllllllllllllllllllllllllllllllllllllllll" hidden="1">{#N/A,#N/A,FALSE,"Aging Summary";#N/A,#N/A,FALSE,"Ratio Analysis";#N/A,#N/A,FALSE,"Test 120 Day Accts";#N/A,#N/A,FALSE,"Tickmarks"}</definedName>
    <definedName name="lllooooo" hidden="1">{#N/A,#N/A,FALSE,"Aging Summary";#N/A,#N/A,FALSE,"Ratio Analysis";#N/A,#N/A,FALSE,"Test 120 Day Accts";#N/A,#N/A,FALSE,"Tickmarks"}</definedName>
    <definedName name="lmfe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ewfw" hidden="1">#REF!</definedName>
    <definedName name="lm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ñmñ" hidden="1">{#N/A,#N/A,FALSE,"ING. EXT."}</definedName>
    <definedName name="LO" hidden="1">{#N/A,#N/A,FALSE,"Aging Summary";#N/A,#N/A,FALSE,"Ratio Analysis";#N/A,#N/A,FALSE,"Test 120 Day Accts";#N/A,#N/A,FALSE,"Tickmarks"}</definedName>
    <definedName name="lola" hidden="1">{#N/A,#N/A,FALSE,"PERSONAL";#N/A,#N/A,FALSE,"explotación";#N/A,#N/A,FALSE,"generales"}</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rena" hidden="1">{"maq y eq",#N/A,TRUE,"Maq y Eq";"rodados",#N/A,TRUE,"Rodados"}</definedName>
    <definedName name="lorena1" hidden="1">{"maq y eq",#N/A,TRUE,"Maq y Eq";"rodados",#N/A,TRUE,"Rodados"}</definedName>
    <definedName name="LORENA2" hidden="1">{"maq y eq",#N/A,TRUE,"Maq y Eq";"rodados",#N/A,TRUE,"Rodados"}</definedName>
    <definedName name="lpdqlwdwqp" hidden="1">#REF!</definedName>
    <definedName name="lpede" hidden="1">{"custodia",#N/A,FALSE,"Encaje";"encajeprint",#N/A,FALSE,"Encaje"}</definedName>
    <definedName name="lpelge" hidden="1">#REF!</definedName>
    <definedName name="lpewlfw" hidden="1">#REF!</definedName>
    <definedName name="lpfelf" hidden="1">{#N/A,#N/A,FALSE,"Aging Summary";#N/A,#N/A,FALSE,"Ratio Analysis";#N/A,#N/A,FALSE,"Test 120 Day Accts";#N/A,#N/A,FALSE,"Tickmarks"}</definedName>
    <definedName name="lpflwpfl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lpglrgr" hidden="1">{#N/A,#N/A,FALSE,"Aging Summary";#N/A,#N/A,FALSE,"Ratio Analysis";#N/A,#N/A,FALSE,"Test 120 Day Accts";#N/A,#N/A,FALSE,"Tickmarks"}</definedName>
    <definedName name="lpl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plp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plpllplplpl" hidden="1">#REF!</definedName>
    <definedName name="lplqwdqd" hidden="1">{#N/A,#N/A,FALSE,"Aging Summary";#N/A,#N/A,FALSE,"Ratio Analysis";#N/A,#N/A,FALSE,"Test 120 Day Accts";#N/A,#N/A,FALSE,"Tickmarks"}</definedName>
    <definedName name="lplwe" hidden="1">#REF!</definedName>
    <definedName name="lpqldqd" hidden="1">{#N/A,#N/A,FALSE,"Aging Summary";#N/A,#N/A,FALSE,"Ratio Analysis";#N/A,#N/A,FALSE,"Test 120 Day Accts";#N/A,#N/A,FALSE,"Tickmarks"}</definedName>
    <definedName name="lpwlerw" hidden="1">#REF!</definedName>
    <definedName name="lpwlfwpf" hidden="1">{#N/A,#N/A,FALSE,"Aging Summary";#N/A,#N/A,FALSE,"Ratio Analysis";#N/A,#N/A,FALSE,"Test 120 Day Accts";#N/A,#N/A,FALSE,"Tickmarks"}</definedName>
    <definedName name="lpwlgpwl" hidden="1">{"Planilla",#N/A,FALSE,"MOV HAC"}</definedName>
    <definedName name="lqwe" hidden="1">{#N/A,#N/A,FALSE,"Aging Summary";#N/A,#N/A,FALSE,"Ratio Analysis";#N/A,#N/A,FALSE,"Test 120 Day Accts";#N/A,#N/A,FALSE,"Tickmarks"}</definedName>
    <definedName name="lrkw4" hidden="1">#REF!</definedName>
    <definedName name="lrpflerf" hidden="1">{"Schedule_1D",#N/A,FALSE,"I-D"}</definedName>
    <definedName name="lrplfrefe" hidden="1">{"'DIFPRE'!$A$2:$M$54"}</definedName>
    <definedName name="lrwir" hidden="1">#REF!</definedName>
    <definedName name="lrwriw" hidden="1">#REF!</definedName>
    <definedName name="lsl" hidden="1">{#N/A,#N/A,FALSE,"Aging Summary";#N/A,#N/A,FALSE,"Ratio Analysis";#N/A,#N/A,FALSE,"Test 120 Day Accts";#N/A,#N/A,FALSE,"Tickmarks"}</definedName>
    <definedName name="Lucas" hidden="1">{#N/A,#N/A,FALSE,"CAPEX";#N/A,#N/A,FALSE,"PLAN";#N/A,#N/A,FALSE,"REV";#N/A,#N/A,FALSE,"CALOP";#N/A,#N/A,FALSE,"RESOP";#N/A,#N/A,FALSE,"PRES"}</definedName>
    <definedName name="luis" hidden="1">{#N/A,#N/A,FALSE,"SUBSIDIARIAS"}</definedName>
    <definedName name="lvpelve" hidden="1">{#N/A,#N/A,FALSE,"Aging Summary";#N/A,#N/A,FALSE,"Ratio Analysis";#N/A,#N/A,FALSE,"Test 120 Day Accts";#N/A,#N/A,FALSE,"Tickmarks"}</definedName>
    <definedName name="lwd" hidden="1">{#N/A,#N/A,FALSE,"BHA"}</definedName>
    <definedName name="lwerkw4" hidden="1">#REF!</definedName>
    <definedName name="lwf" hidden="1">{#N/A,#N/A,FALSE,"BHA"}</definedName>
    <definedName name="lwfpw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wkflwf" hidden="1">{#N/A,#N/A,FALSE,"Aging Summary";#N/A,#N/A,FALSE,"Ratio Analysis";#N/A,#N/A,FALSE,"Test 120 Day Accts";#N/A,#N/A,FALSE,"Tickmarks"}</definedName>
    <definedName name="lwpre" hidden="1">#REF!</definedName>
    <definedName name="m" hidden="1">#REF!</definedName>
    <definedName name="maaadd" hidden="1">{#N/A,#N/A,FALSE,"Aging Summary";#N/A,#N/A,FALSE,"Ratio Analysis";#N/A,#N/A,FALSE,"Test 120 Day Accts";#N/A,#N/A,FALSE,"Tickmarks"}</definedName>
    <definedName name="maaalll" hidden="1">{#N/A,#N/A,FALSE,"Aging Summary";#N/A,#N/A,FALSE,"Ratio Analysis";#N/A,#N/A,FALSE,"Test 120 Day Accts";#N/A,#N/A,FALSE,"Tickmarks"}</definedName>
    <definedName name="MADIMAISD" hidden="1">{#N/A,#N/A,FALSE,"CAPEX";#N/A,#N/A,FALSE,"PLAN";#N/A,#N/A,FALSE,"REV";#N/A,#N/A,FALSE,"CALOP";#N/A,#N/A,FALSE,"RESOP";#N/A,#N/A,FALSE,"PRES"}</definedName>
    <definedName name="MADISDMA" hidden="1">{#N/A,#N/A,FALSE,"Aging Summary";#N/A,#N/A,FALSE,"Ratio Analysis";#N/A,#N/A,FALSE,"Test 120 Day Accts";#N/A,#N/A,FALSE,"Tickmarks"}</definedName>
    <definedName name="madmadma" hidden="1">{#N/A,#N/A,FALSE,"Aging Summary";#N/A,#N/A,FALSE,"Ratio Analysis";#N/A,#N/A,FALSE,"Test 120 Day Accts";#N/A,#N/A,FALSE,"Tickmarks"}</definedName>
    <definedName name="madmaosda" hidden="1">#REF!</definedName>
    <definedName name="MADMASIDA" hidden="1">{#N/A,#N/A,FALSE,"Aging Summary";#N/A,#N/A,FALSE,"Ratio Analysis";#N/A,#N/A,FALSE,"Test 120 Day Accts";#N/A,#N/A,FALSE,"Tickmarks"}</definedName>
    <definedName name="MADOAMD" hidden="1">{#N/A,#N/A,FALSE,"Aging Summary";#N/A,#N/A,FALSE,"Ratio Analysis";#N/A,#N/A,FALSE,"Test 120 Day Accts";#N/A,#N/A,FALSE,"Tickmarks"}</definedName>
    <definedName name="MADOMDOA" hidden="1">{#N/A,#N/A,FALSE,"Aging Summary";#N/A,#N/A,FALSE,"Ratio Analysis";#N/A,#N/A,FALSE,"Test 120 Day Accts";#N/A,#N/A,FALSE,"Tickmarks"}</definedName>
    <definedName name="MAIDAMD" hidden="1">{#N/A,#N/A,FALSE,"Aging Summary";#N/A,#N/A,FALSE,"Ratio Analysis";#N/A,#N/A,FALSE,"Test 120 Day Accts";#N/A,#N/A,FALSE,"Tickmarks"}</definedName>
    <definedName name="MAISDA8" hidden="1">{#N/A,#N/A,FALSE,"Aging Summary";#N/A,#N/A,FALSE,"Ratio Analysis";#N/A,#N/A,FALSE,"Test 120 Day Accts";#N/A,#N/A,FALSE,"Tickmarks"}</definedName>
    <definedName name="MAISDMA" hidden="1">{#N/A,#N/A,FALSE,"Aging Summary";#N/A,#N/A,FALSE,"Ratio Analysis";#N/A,#N/A,FALSE,"Test 120 Day Accts";#N/A,#N/A,FALSE,"Tickmarks"}</definedName>
    <definedName name="mal" hidden="1">#REF!</definedName>
    <definedName name="malllll" hidden="1">{#N/A,#N/A,FALSE,"Aging Summary";#N/A,#N/A,FALSE,"Ratio Analysis";#N/A,#N/A,FALSE,"Test 120 Day Accts";#N/A,#N/A,FALSE,"Tickmarks"}</definedName>
    <definedName name="mama" hidden="1">{#N/A,#N/A,FALSE,"Aging Summary";#N/A,#N/A,FALSE,"Ratio Analysis";#N/A,#N/A,FALSE,"Test 120 Day Accts";#N/A,#N/A,FALSE,"Tickmarks"}</definedName>
    <definedName name="mamsdma" hidden="1">{#N/A,#N/A,FALSE,"Aging Summary";#N/A,#N/A,FALSE,"Ratio Analysis";#N/A,#N/A,FALSE,"Test 120 Day Accts";#N/A,#N/A,FALSE,"Tickmarks"}</definedName>
    <definedName name="maña1" hidden="1">{#N/A,#N/A,FALSE,"Aging Summary";#N/A,#N/A,FALSE,"Ratio Analysis";#N/A,#N/A,FALSE,"Test 120 Day Accts";#N/A,#N/A,FALSE,"Tickmarks"}</definedName>
    <definedName name="maña2" hidden="1">{#N/A,#N/A,FALSE,"Aging Summary";#N/A,#N/A,FALSE,"Ratio Analysis";#N/A,#N/A,FALSE,"Test 120 Day Accts";#N/A,#N/A,FALSE,"Tickmarks"}</definedName>
    <definedName name="maña3" hidden="1">{#N/A,#N/A,FALSE,"Aging Summary";#N/A,#N/A,FALSE,"Ratio Analysis";#N/A,#N/A,FALSE,"Test 120 Day Accts";#N/A,#N/A,FALSE,"Tickmarks"}</definedName>
    <definedName name="maña5" hidden="1">{#N/A,#N/A,FALSE,"Aging Summary";#N/A,#N/A,FALSE,"Ratio Analysis";#N/A,#N/A,FALSE,"Test 120 Day Accts";#N/A,#N/A,FALSE,"Tickmarks"}</definedName>
    <definedName name="maña6" hidden="1">{#N/A,#N/A,FALSE,"Aging Summary";#N/A,#N/A,FALSE,"Ratio Analysis";#N/A,#N/A,FALSE,"Test 120 Day Accts";#N/A,#N/A,FALSE,"Tickmarks"}</definedName>
    <definedName name="mañan7" hidden="1">{#N/A,#N/A,FALSE,"Aging Summary";#N/A,#N/A,FALSE,"Ratio Analysis";#N/A,#N/A,FALSE,"Test 120 Day Accts";#N/A,#N/A,FALSE,"Tickmarks"}</definedName>
    <definedName name="mañn" hidden="1">{#N/A,#N/A,FALSE,"Aging Summary";#N/A,#N/A,FALSE,"Ratio Analysis";#N/A,#N/A,FALSE,"Test 120 Day Accts";#N/A,#N/A,FALSE,"Tickmarks"}</definedName>
    <definedName name="MAOSDMA3" hidden="1">{#N/A,#N/A,FALSE,"Aging Summary";#N/A,#N/A,FALSE,"Ratio Analysis";#N/A,#N/A,FALSE,"Test 120 Day Accts";#N/A,#N/A,FALSE,"Tickmarks"}</definedName>
    <definedName name="mapa" hidden="1">{#N/A,#N/A,FALSE,"Aging Summary";#N/A,#N/A,FALSE,"Ratio Analysis";#N/A,#N/A,FALSE,"Test 120 Day Accts";#N/A,#N/A,FALSE,"Tickmarks"}</definedName>
    <definedName name="mara" hidden="1">{#N/A,#N/A,FALSE,"Aging Summary";#N/A,#N/A,FALSE,"Ratio Analysis";#N/A,#N/A,FALSE,"Test 120 Day Accts";#N/A,#N/A,FALSE,"Tickmarks"}</definedName>
    <definedName name="Marcelo"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rioa" hidden="1">{#N/A,#N/A,FALSE,"Aging Summary";#N/A,#N/A,FALSE,"Ratio Analysis";#N/A,#N/A,FALSE,"Test 120 Day Accts";#N/A,#N/A,FALSE,"Tickmarks"}</definedName>
    <definedName name="marlen" hidden="1">{#N/A,#N/A,FALSE,"Aging Summary";#N/A,#N/A,FALSE,"Ratio Analysis";#N/A,#N/A,FALSE,"Test 120 Day Accts";#N/A,#N/A,FALSE,"Tickmarks"}</definedName>
    <definedName name="marlene" hidden="1">{#N/A,#N/A,FALSE,"Aging Summary";#N/A,#N/A,FALSE,"Ratio Analysis";#N/A,#N/A,FALSE,"Test 120 Day Accts";#N/A,#N/A,FALSE,"Tickmarks"}</definedName>
    <definedName name="masa" hidden="1">{#N/A,#N/A,FALSE,"Aging Summary";#N/A,#N/A,FALSE,"Ratio Analysis";#N/A,#N/A,FALSE,"Test 120 Day Accts";#N/A,#N/A,FALSE,"Tickmarks"}</definedName>
    <definedName name="masas" hidden="1">{#N/A,#N/A,FALSE,"Aging Summary";#N/A,#N/A,FALSE,"Ratio Analysis";#N/A,#N/A,FALSE,"Test 120 Day Accts";#N/A,#N/A,FALSE,"Tickmarks"}</definedName>
    <definedName name="masdiams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SDIASD0" hidden="1">{#N/A,#N/A,FALSE,"Aging Summary";#N/A,#N/A,FALSE,"Ratio Analysis";#N/A,#N/A,FALSE,"Test 120 Day Accts";#N/A,#N/A,FALSE,"Tickmarks"}</definedName>
    <definedName name="MASDMASD" hidden="1">{#N/A,#N/A,FALSE,"Aging Summary";#N/A,#N/A,FALSE,"Ratio Analysis";#N/A,#N/A,FALSE,"Test 120 Day Accts";#N/A,#N/A,FALSE,"Tickmarks"}</definedName>
    <definedName name="masdmasda" hidden="1">{#N/A,#N/A,FALSE,"balance";#N/A,#N/A,FALSE,"resultados";#N/A,#N/A,FALSE,"p.neto";#N/A,#N/A,FALSE,"bienes uso";#N/A,#N/A,FALSE,"art.64";#N/A,#N/A,FALSE,"intangibles"}</definedName>
    <definedName name="MASIDMA2" hidden="1">{#N/A,#N/A,FALSE,"Aging Summary";#N/A,#N/A,FALSE,"Ratio Analysis";#N/A,#N/A,FALSE,"Test 120 Day Accts";#N/A,#N/A,FALSE,"Tickmarks"}</definedName>
    <definedName name="masmda" hidden="1">{#N/A,#N/A,FALSE,"Aging Summary";#N/A,#N/A,FALSE,"Ratio Analysis";#N/A,#N/A,FALSE,"Test 120 Day Accts";#N/A,#N/A,FALSE,"Tickmarks"}</definedName>
    <definedName name="MASOIDMADI2" hidden="1">{#N/A,#N/A,FALSE,"Aging Summary";#N/A,#N/A,FALSE,"Ratio Analysis";#N/A,#N/A,FALSE,"Test 120 Day Accts";#N/A,#N/A,FALSE,"Tickmarks"}</definedName>
    <definedName name="maur"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XI" hidden="1">#REF!</definedName>
    <definedName name="may" hidden="1">{#N/A,#N/A,FALSE,"ING. EXT."}</definedName>
    <definedName name="mayo" hidden="1">{#N/A,#N/A,FALSE,"DEP. VISTA CON INT.";#N/A,#N/A,FALSE,"CTA. MAESTRA";#N/A,#N/A,FALSE,"DEP. PLAZO MENUDEO";#N/A,#N/A,FALSE,"FONDOS";#N/A,#N/A,FALSE,"DEP. EN DLLS.";#N/A,#N/A,FALSE,"DEUDA EN DLLS";#N/A,#N/A,FALSE,"PREST. INT.";#N/A,#N/A,FALSE,"REPORTOS";#N/A,#N/A,FALSE,"OTROS DEP.";#N/A,#N/A,FALSE,"ACREEDORES DIVERSOS"}</definedName>
    <definedName name="mceicme" hidden="1">{#N/A,#N/A,FALSE,"Aging Summary";#N/A,#N/A,FALSE,"Ratio Analysis";#N/A,#N/A,FALSE,"Test 120 Day Accts";#N/A,#N/A,FALSE,"Tickmarks"}</definedName>
    <definedName name="mceocem" hidden="1">#REF!</definedName>
    <definedName name="mciewcew" hidden="1">#REF!</definedName>
    <definedName name="mciewmcw" hidden="1">#REF!</definedName>
    <definedName name="mcirww" hidden="1">#REF!</definedName>
    <definedName name="mciwwc" hidden="1">#REF!</definedName>
    <definedName name="mcmewmcwe" hidden="1">#REF!</definedName>
    <definedName name="mcoewmcw" hidden="1">{#N/A,#N/A,FALSE,"Aging Summary";#N/A,#N/A,FALSE,"Ratio Analysis";#N/A,#N/A,FALSE,"Test 120 Day Accts";#N/A,#N/A,FALSE,"Tickmarks"}</definedName>
    <definedName name="mcs"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cw" hidden="1">{#N/A,#N/A,FALSE,"Aging Summary";#N/A,#N/A,FALSE,"Ratio Analysis";#N/A,#N/A,FALSE,"Test 120 Day Accts";#N/A,#N/A,FALSE,"Tickmarks"}</definedName>
    <definedName name="mcwicw" hidden="1">#REF!</definedName>
    <definedName name="mcwocw" hidden="1">#REF!</definedName>
    <definedName name="mcwoe" hidden="1">{#N/A,#N/A,FALSE,"Aging Summary";#N/A,#N/A,FALSE,"Ratio Analysis";#N/A,#N/A,FALSE,"Test 120 Day Accts";#N/A,#N/A,FALSE,"Tickmarks"}</definedName>
    <definedName name="mcwoemw" hidden="1">{#N/A,#N/A,FALSE,"Aging Summary";#N/A,#N/A,FALSE,"Ratio Analysis";#N/A,#N/A,FALSE,"Test 120 Day Accts";#N/A,#N/A,FALSE,"Tickmarks"}</definedName>
    <definedName name="MDAIDM" hidden="1">{#N/A,#N/A,FALSE,"Aging Summary";#N/A,#N/A,FALSE,"Ratio Analysis";#N/A,#N/A,FALSE,"Test 120 Day Accts";#N/A,#N/A,FALSE,"Tickmarks"}</definedName>
    <definedName name="mdaimdaida" hidden="1">{"Schedule_1B",#N/A,FALSE,"I-B"}</definedName>
    <definedName name="mdaimsda"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MDAISD" hidden="1">{#N/A,#N/A,FALSE,"Aging Summary";#N/A,#N/A,FALSE,"Ratio Analysis";#N/A,#N/A,FALSE,"Test 120 Day Accts";#N/A,#N/A,FALSE,"Tickmarks"}</definedName>
    <definedName name="MDAISD8" hidden="1">{#N/A,#N/A,FALSE,"Aging Summary";#N/A,#N/A,FALSE,"Ratio Analysis";#N/A,#N/A,FALSE,"Test 120 Day Accts";#N/A,#N/A,FALSE,"Tickmarks"}</definedName>
    <definedName name="MDAISDMA" hidden="1">{#N/A,#N/A,FALSE,"Aging Summary";#N/A,#N/A,FALSE,"Ratio Analysis";#N/A,#N/A,FALSE,"Test 120 Day Accts";#N/A,#N/A,FALSE,"Tickmarks"}</definedName>
    <definedName name="MDAISDMA4" hidden="1">{#N/A,#N/A,FALSE,"Aging Summary";#N/A,#N/A,FALSE,"Ratio Analysis";#N/A,#N/A,FALSE,"Test 120 Day Accts";#N/A,#N/A,FALSE,"Tickmarks"}</definedName>
    <definedName name="mdaisdmaisd" hidden="1">{#N/A,#N/A,FALSE,"Aging Summary";#N/A,#N/A,FALSE,"Ratio Analysis";#N/A,#N/A,FALSE,"Test 120 Day Accts";#N/A,#N/A,FALSE,"Tickmarks"}</definedName>
    <definedName name="mdaismd" hidden="1">{#N/A,#N/A,FALSE,"Aging Summary";#N/A,#N/A,FALSE,"Ratio Analysis";#N/A,#N/A,FALSE,"Test 120 Day Accts";#N/A,#N/A,FALSE,"Tickmarks"}</definedName>
    <definedName name="MDAISMDA" hidden="1">{#N/A,#N/A,FALSE,"Aging Summary";#N/A,#N/A,FALSE,"Ratio Analysis";#N/A,#N/A,FALSE,"Test 120 Day Accts";#N/A,#N/A,FALSE,"Tickmarks"}</definedName>
    <definedName name="mdaismdai" hidden="1">{#N/A,#N/A,FALSE,"Individual";#N/A,#N/A,FALSE,"Colectivo";#N/A,#N/A,FALSE,"Accidentes";#N/A,#N/A,FALSE,"Previsional";#N/A,#N/A,FALSE,"Total"}</definedName>
    <definedName name="mdaismdaids" hidden="1">{"Index",#N/A,FALSE,"Index"}</definedName>
    <definedName name="mdaismdaisd" hidden="1">{#N/A,#N/A,FALSE,"Aging Summary";#N/A,#N/A,FALSE,"Ratio Analysis";#N/A,#N/A,FALSE,"Test 120 Day Accts";#N/A,#N/A,FALSE,"Tickmarks"}</definedName>
    <definedName name="mdaismdao" hidden="1">{"Schedule_1C",#N/A,FALSE,"I-C"}</definedName>
    <definedName name="mdaismdiasd"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MDAISNMDIAD" hidden="1">{#N/A,#N/A,FALSE,"Aging Summary";#N/A,#N/A,FALSE,"Ratio Analysis";#N/A,#N/A,FALSE,"Test 120 Day Accts";#N/A,#N/A,FALSE,"Tickmarks"}</definedName>
    <definedName name="mdakdma" hidden="1">{#N/A,#N/A,FALSE,"Aging Summary";#N/A,#N/A,FALSE,"Ratio Analysis";#N/A,#N/A,FALSE,"Test 120 Day Accts";#N/A,#N/A,FALSE,"Tickmarks"}</definedName>
    <definedName name="MDAMDOAM" hidden="1">{#N/A,#N/A,FALSE,"Aging Summary";#N/A,#N/A,FALSE,"Ratio Analysis";#N/A,#N/A,FALSE,"Test 120 Day Accts";#N/A,#N/A,FALSE,"Tickmarks"}</definedName>
    <definedName name="mdaoda9" hidden="1">{#N/A,#N/A,FALSE,"Aging Summary";#N/A,#N/A,FALSE,"Ratio Analysis";#N/A,#N/A,FALSE,"Test 120 Day Accts";#N/A,#N/A,FALSE,"Tickmarks"}</definedName>
    <definedName name="mdaosmdoamsdoa"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mdasidiasid" hidden="1">{#N/A,#N/A,FALSE,"Aging Summary";#N/A,#N/A,FALSE,"Ratio Analysis";#N/A,#N/A,FALSE,"Test 120 Day Accts";#N/A,#N/A,FALSE,"Tickmarks"}</definedName>
    <definedName name="mdasmd" hidden="1">{#N/A,#N/A,FALSE,"Aging Summary";#N/A,#N/A,FALSE,"Ratio Analysis";#N/A,#N/A,FALSE,"Test 120 Day Accts";#N/A,#N/A,FALSE,"Tickmarks"}</definedName>
    <definedName name="mdasmdia" hidden="1">{#N/A,#N/A,FALSE,"Aging Summary";#N/A,#N/A,FALSE,"Ratio Analysis";#N/A,#N/A,FALSE,"Test 120 Day Accts";#N/A,#N/A,FALSE,"Tickmarks"}</definedName>
    <definedName name="mdeidme" hidden="1">{#N/A,#N/A,FALSE,"Aging Summary";#N/A,#N/A,FALSE,"Ratio Analysis";#N/A,#N/A,FALSE,"Test 120 Day Accts";#N/A,#N/A,FALSE,"Tickmarks"}</definedName>
    <definedName name="mdeomde" hidden="1">{#N/A,#N/A,FALSE,"Aging Summary";#N/A,#N/A,FALSE,"Ratio Analysis";#N/A,#N/A,FALSE,"Test 120 Day Accts";#N/A,#N/A,FALSE,"Tickmarks"}</definedName>
    <definedName name="mdeqomqe" hidden="1">{#N/A,#N/A,FALSE,"Aging Summary";#N/A,#N/A,FALSE,"Ratio Analysis";#N/A,#N/A,FALSE,"Test 120 Day Accts";#N/A,#N/A,FALSE,"Tickmarks"}</definedName>
    <definedName name="mdewmdow" hidden="1">{#N/A,#N/A,FALSE,"Aging Summary";#N/A,#N/A,FALSE,"Ratio Analysis";#N/A,#N/A,FALSE,"Test 120 Day Accts";#N/A,#N/A,FALSE,"Tickmarks"}</definedName>
    <definedName name="mdfmdmf" hidden="1">{#N/A,#N/A,FALSE,"Aging Summary";#N/A,#N/A,FALSE,"Ratio Analysis";#N/A,#N/A,FALSE,"Test 120 Day Accts";#N/A,#N/A,FALSE,"Tickmarks"}</definedName>
    <definedName name="MDIAMD1" hidden="1">{#N/A,#N/A,FALSE,"Aging Summary";#N/A,#N/A,FALSE,"Ratio Analysis";#N/A,#N/A,FALSE,"Test 120 Day Accts";#N/A,#N/A,FALSE,"Tickmarks"}</definedName>
    <definedName name="mdiasd" hidden="1">{#N/A,#N/A,FALSE,"Aging Summary";#N/A,#N/A,FALSE,"Ratio Analysis";#N/A,#N/A,FALSE,"Test 120 Day Accts";#N/A,#N/A,FALSE,"Tickmarks"}</definedName>
    <definedName name="mdiasmdiads" hidden="1">{#N/A,#N/A,FALSE,"Aging Summary";#N/A,#N/A,FALSE,"Ratio Analysis";#N/A,#N/A,FALSE,"Test 120 Day Accts";#N/A,#N/A,FALSE,"Tickmarks"}</definedName>
    <definedName name="mdiemd" hidden="1">{#N/A,#N/A,FALSE,"Aging Summary";#N/A,#N/A,FALSE,"Ratio Analysis";#N/A,#N/A,FALSE,"Test 120 Day Accts";#N/A,#N/A,FALSE,"Tickmarks"}</definedName>
    <definedName name="mdiwqd" hidden="1">{"'DIFPRE'!$A$2:$M$54"}</definedName>
    <definedName name="mdmdamsmd" hidden="1">{#N/A,#N/A,FALSE,"Aging Summary";#N/A,#N/A,FALSE,"Ratio Analysis";#N/A,#N/A,FALSE,"Test 120 Day Accts";#N/A,#N/A,FALSE,"Tickmarks"}</definedName>
    <definedName name="mdnaismda" hidden="1">{"Index",#N/A,FALSE,"Index"}</definedName>
    <definedName name="MDOADM" hidden="1">{#N/A,#N/A,FALSE,"Aging Summary";#N/A,#N/A,FALSE,"Ratio Analysis";#N/A,#N/A,FALSE,"Test 120 Day Accts";#N/A,#N/A,FALSE,"Tickmarks"}</definedName>
    <definedName name="mdoamsdoa" hidden="1">{#N/A,#N/A,FALSE,"Aging Summary";#N/A,#N/A,FALSE,"Ratio Analysis";#N/A,#N/A,FALSE,"Test 120 Day Accts";#N/A,#N/A,FALSE,"Tickmarks"}</definedName>
    <definedName name="mdoemd" hidden="1">{#N/A,#N/A,FALSE,"Aging Summary";#N/A,#N/A,FALSE,"Ratio Analysis";#N/A,#N/A,FALSE,"Test 120 Day Accts";#N/A,#N/A,FALSE,"Tickmarks"}</definedName>
    <definedName name="mdoqwd" hidden="1">{#N/A,#N/A,FALSE,"Aging Summary";#N/A,#N/A,FALSE,"Ratio Analysis";#N/A,#N/A,FALSE,"Test 120 Day Accts";#N/A,#N/A,FALSE,"Tickmarks"}</definedName>
    <definedName name="mdoqwdm" hidden="1">{#N/A,#N/A,FALSE,"Aging Summary";#N/A,#N/A,FALSE,"Ratio Analysis";#N/A,#N/A,FALSE,"Test 120 Day Accts";#N/A,#N/A,FALSE,"Tickmarks"}</definedName>
    <definedName name="mdoqwdqd" hidden="1">{#N/A,#N/A,FALSE,"Aging Summary";#N/A,#N/A,FALSE,"Ratio Analysis";#N/A,#N/A,FALSE,"Test 120 Day Accts";#N/A,#N/A,FALSE,"Tickmarks"}</definedName>
    <definedName name="mdoqwmdq" hidden="1">{#N/A,#N/A,FALSE,"Aging Summary";#N/A,#N/A,FALSE,"Ratio Analysis";#N/A,#N/A,FALSE,"Test 120 Day Accts";#N/A,#N/A,FALSE,"Tickmarks"}</definedName>
    <definedName name="mdowemd" hidden="1">{#N/A,#N/A,FALSE,"Aging Summary";#N/A,#N/A,FALSE,"Ratio Analysis";#N/A,#N/A,FALSE,"Test 120 Day Accts";#N/A,#N/A,FALSE,"Tickmarks"}</definedName>
    <definedName name="mdowemdw" hidden="1">{#N/A,#N/A,FALSE,"Aging Summary";#N/A,#N/A,FALSE,"Ratio Analysis";#N/A,#N/A,FALSE,"Test 120 Day Accts";#N/A,#N/A,FALSE,"Tickmarks"}</definedName>
    <definedName name="mdqdm" hidden="1">{#N/A,#N/A,FALSE,"Aging Summary";#N/A,#N/A,FALSE,"Ratio Analysis";#N/A,#N/A,FALSE,"Test 120 Day Accts";#N/A,#N/A,FALSE,"Tickmarks"}</definedName>
    <definedName name="mdqdo" hidden="1">{#N/A,#N/A,FALSE,"Aging Summary";#N/A,#N/A,FALSE,"Ratio Analysis";#N/A,#N/A,FALSE,"Test 120 Day Accts";#N/A,#N/A,FALSE,"Tickmarks"}</definedName>
    <definedName name="mdqidq" hidden="1">{"'DIFPRE'!$A$2:$M$54"}</definedName>
    <definedName name="mdqiedm" hidden="1">{#N/A,#N/A,FALSE,"Aging Summary";#N/A,#N/A,FALSE,"Ratio Analysis";#N/A,#N/A,FALSE,"Test 120 Day Accts";#N/A,#N/A,FALSE,"Tickmarks"}</definedName>
    <definedName name="mdqiwmd" hidden="1">{#N/A,#N/A,FALSE,"Aging Summary";#N/A,#N/A,FALSE,"Ratio Analysis";#N/A,#N/A,FALSE,"Test 120 Day Accts";#N/A,#N/A,FALSE,"Tickmarks"}</definedName>
    <definedName name="mdqmd" hidden="1">{#N/A,#N/A,FALSE,"Aging Summary";#N/A,#N/A,FALSE,"Ratio Analysis";#N/A,#N/A,FALSE,"Test 120 Day Accts";#N/A,#N/A,FALSE,"Tickmarks"}</definedName>
    <definedName name="mdqmdq" hidden="1">{#N/A,#N/A,FALSE,"Aging Summary";#N/A,#N/A,FALSE,"Ratio Analysis";#N/A,#N/A,FALSE,"Test 120 Day Accts";#N/A,#N/A,FALSE,"Tickmarks"}</definedName>
    <definedName name="mdqod" hidden="1">{#N/A,#N/A,FALSE,"Aging Summary";#N/A,#N/A,FALSE,"Ratio Analysis";#N/A,#N/A,FALSE,"Test 120 Day Accts";#N/A,#N/A,FALSE,"Tickmarks"}</definedName>
    <definedName name="mdqomd" hidden="1">{#N/A,#N/A,FALSE,"Aging Summary";#N/A,#N/A,FALSE,"Ratio Analysis";#N/A,#N/A,FALSE,"Test 120 Day Accts";#N/A,#N/A,FALSE,"Tickmarks"}</definedName>
    <definedName name="mdqomdq" hidden="1">{#N/A,#N/A,FALSE,"Aging Summary";#N/A,#N/A,FALSE,"Ratio Analysis";#N/A,#N/A,FALSE,"Test 120 Day Accts";#N/A,#N/A,FALSE,"Tickmarks"}</definedName>
    <definedName name="mdqowmdqod" hidden="1">{#N/A,#N/A,FALSE,"Aging Summary";#N/A,#N/A,FALSE,"Ratio Analysis";#N/A,#N/A,FALSE,"Test 120 Day Accts";#N/A,#N/A,FALSE,"Tickmarks"}</definedName>
    <definedName name="mdqwodq" hidden="1">{"custodia",#N/A,FALSE,"Encaje";"encajeprint",#N/A,FALSE,"Encaje"}</definedName>
    <definedName name="mdskmad" hidden="1">{#N/A,#N/A,FALSE,"Aging Summary";#N/A,#N/A,FALSE,"Ratio Analysis";#N/A,#N/A,FALSE,"Test 120 Day Accts";#N/A,#N/A,FALSE,"Tickmarks"}</definedName>
    <definedName name="mdsqom" hidden="1">{#N/A,#N/A,FALSE,"Aging Summary";#N/A,#N/A,FALSE,"Ratio Analysis";#N/A,#N/A,FALSE,"Test 120 Day Accts";#N/A,#N/A,FALSE,"Tickmarks"}</definedName>
    <definedName name="mdwemd" hidden="1">{"'DIFPRE'!$A$2:$M$54"}</definedName>
    <definedName name="med" hidden="1">{#N/A,#N/A,FALSE,"Aging Summary";#N/A,#N/A,FALSE,"Ratio Analysis";#N/A,#N/A,FALSE,"Test 120 Day Accts";#N/A,#N/A,FALSE,"Tickmarks"}</definedName>
    <definedName name="medmw" hidden="1">{#N/A,#N/A,FALSE,"Aging Summary";#N/A,#N/A,FALSE,"Ratio Analysis";#N/A,#N/A,FALSE,"Test 120 Day Accts";#N/A,#N/A,FALSE,"Tickmarks"}</definedName>
    <definedName name="medom" hidden="1">{"'DIFPRE'!$A$2:$M$54"}</definedName>
    <definedName name="ME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edwmd" hidden="1">{#N/A,#N/A,FALSE,"Aging Summary";#N/A,#N/A,FALSE,"Ratio Analysis";#N/A,#N/A,FALSE,"Test 120 Day Accts";#N/A,#N/A,FALSE,"Tickmarks"}</definedName>
    <definedName name="meee" hidden="1">{#N/A,#N/A,FALSE,"Aging Summary";#N/A,#N/A,FALSE,"Ratio Analysis";#N/A,#N/A,FALSE,"Test 120 Day Accts";#N/A,#N/A,FALSE,"Tickmarks"}</definedName>
    <definedName name="meeee" hidden="1">{#N/A,#N/A,FALSE,"Aging Summary";#N/A,#N/A,FALSE,"Ratio Analysis";#N/A,#N/A,FALSE,"Test 120 Day Accts";#N/A,#N/A,FALSE,"Tickmarks"}</definedName>
    <definedName name="meeeeeee" hidden="1">{#N/A,#N/A,FALSE,"Aging Summary";#N/A,#N/A,FALSE,"Ratio Analysis";#N/A,#N/A,FALSE,"Test 120 Day Accts";#N/A,#N/A,FALSE,"Tickmarks"}</definedName>
    <definedName name="meeeeeeeeeeeeeee" hidden="1">{#N/A,#N/A,FALSE,"Aging Summary";#N/A,#N/A,FALSE,"Ratio Analysis";#N/A,#N/A,FALSE,"Test 120 Day Accts";#N/A,#N/A,FALSE,"Tickmarks"}</definedName>
    <definedName name="meeep" hidden="1">{#N/A,#N/A,FALSE,"Aging Summary";#N/A,#N/A,FALSE,"Ratio Analysis";#N/A,#N/A,FALSE,"Test 120 Day Accts";#N/A,#N/A,FALSE,"Tickmarks"}</definedName>
    <definedName name="mefkewmf" hidden="1">{#N/A,#N/A,FALSE,"Aging Summary";#N/A,#N/A,FALSE,"Ratio Analysis";#N/A,#N/A,FALSE,"Test 120 Day Accts";#N/A,#N/A,FALSE,"Tickmarks"}</definedName>
    <definedName name="meinifn" hidden="1">{#N/A,#N/A,FALSE,"Aging Summary";#N/A,#N/A,FALSE,"Ratio Analysis";#N/A,#N/A,FALSE,"Test 120 Day Accts";#N/A,#N/A,FALSE,"Tickmarks"}</definedName>
    <definedName name="men" hidden="1">{#N/A,#N/A,FALSE,"LLAVE";#N/A,#N/A,FALSE,"EERR";#N/A,#N/A,FALSE,"ESP";#N/A,#N/A,FALSE,"EOAF";#N/A,#N/A,FALSE,"CASH";#N/A,#N/A,FALSE,"FINANZAS";#N/A,#N/A,FALSE,"DEUDA";#N/A,#N/A,FALSE,"INVERSION";#N/A,#N/A,FALSE,"PERSONAL"}</definedName>
    <definedName name="meodwmed" hidden="1">{#N/A,#N/A,FALSE,"Aging Summary";#N/A,#N/A,FALSE,"Ratio Analysis";#N/A,#N/A,FALSE,"Test 120 Day Accts";#N/A,#N/A,FALSE,"Tickmarks"}</definedName>
    <definedName name="meomde" hidden="1">{#N/A,#N/A,FALSE,"Aging Summary";#N/A,#N/A,FALSE,"Ratio Analysis";#N/A,#N/A,FALSE,"Test 120 Day Accts";#N/A,#N/A,FALSE,"Tickmarks"}</definedName>
    <definedName name="mequedesinsilla" hidden="1">{"'DIFPRE'!$A$2:$M$54"}</definedName>
    <definedName name="mesa" hidden="1">{#N/A,#N/A,FALSE,"Aging Summary";#N/A,#N/A,FALSE,"Ratio Analysis";#N/A,#N/A,FALSE,"Test 120 Day Accts";#N/A,#N/A,FALSE,"Tickmarks"}</definedName>
    <definedName name="mesas" hidden="1">{#N/A,#N/A,FALSE,"Aging Summary";#N/A,#N/A,FALSE,"Ratio Analysis";#N/A,#N/A,FALSE,"Test 120 Day Accts";#N/A,#N/A,FALSE,"Tickmarks"}</definedName>
    <definedName name="mevaasalir" hidden="1">{#N/A,#N/A,FALSE,"Aging Summary";#N/A,#N/A,FALSE,"Ratio Analysis";#N/A,#N/A,FALSE,"Test 120 Day Accts";#N/A,#N/A,FALSE,"Tickmarks"}</definedName>
    <definedName name="mey" hidden="1">{#N/A,#N/A,FALSE,"UDIS SEPT 96"}</definedName>
    <definedName name="mfeifw" hidden="1">#REF!</definedName>
    <definedName name="mfekenmf" hidden="1">#REF!</definedName>
    <definedName name="mfeome" hidden="1">{#N/A,#N/A,FALSE,"Aging Summary";#N/A,#N/A,FALSE,"Ratio Analysis";#N/A,#N/A,FALSE,"Test 120 Day Accts";#N/A,#N/A,FALSE,"Tickmarks"}</definedName>
    <definedName name="mfewifwem" hidden="1">#REF!</definedName>
    <definedName name="mfewmfw" hidden="1">{#N/A,#N/A,FALSE,"Aging Summary";#N/A,#N/A,FALSE,"Ratio Analysis";#N/A,#N/A,FALSE,"Test 120 Day Accts";#N/A,#N/A,FALSE,"Tickmarks"}</definedName>
    <definedName name="mfiefmw" hidden="1">#REF!</definedName>
    <definedName name="mfiew9" hidden="1">#REF!</definedName>
    <definedName name="mfiewif" hidden="1">{#N/A,#N/A,FALSE,"Aging Summary";#N/A,#N/A,FALSE,"Ratio Analysis";#N/A,#N/A,FALSE,"Test 120 Day Accts";#N/A,#N/A,FALSE,"Tickmarks"}</definedName>
    <definedName name="mfiwfmw" hidden="1">{"'DIFPRE'!$A$2:$M$54"}</definedName>
    <definedName name="mfiwjf9" hidden="1">#REF!</definedName>
    <definedName name="mfl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FODMF" hidden="1">{#N/A,#N/A,FALSE,"Aging Summary";#N/A,#N/A,FALSE,"Ratio Analysis";#N/A,#N/A,FALSE,"Test 120 Day Accts";#N/A,#N/A,FALSE,"Tickmarks"}</definedName>
    <definedName name="mfomwef" hidden="1">{"'DIFPRE'!$A$2:$M$54"}</definedName>
    <definedName name="mformf" hidden="1">{#N/A,#N/A,FALSE,"Aging Summary";#N/A,#N/A,FALSE,"Ratio Analysis";#N/A,#N/A,FALSE,"Test 120 Day Accts";#N/A,#N/A,FALSE,"Tickmarks"}</definedName>
    <definedName name="mfowemf" hidden="1">{#N/A,#N/A,FALSE,"Aging Summary";#N/A,#N/A,FALSE,"Ratio Analysis";#N/A,#N/A,FALSE,"Test 120 Day Accts";#N/A,#N/A,FALSE,"Tickmarks"}</definedName>
    <definedName name="mfowm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mfrof" hidden="1">{#N/A,#N/A,FALSE,"Aging Summary";#N/A,#N/A,FALSE,"Ratio Analysis";#N/A,#N/A,FALSE,"Test 120 Day Accts";#N/A,#N/A,FALSE,"Tickmarks"}</definedName>
    <definedName name="mfwefmwf" hidden="1">#REF!</definedName>
    <definedName name="mfwfmw" hidden="1">{#N/A,#N/A,FALSE,"Aging Summary";#N/A,#N/A,FALSE,"Ratio Analysis";#N/A,#N/A,FALSE,"Test 120 Day Accts";#N/A,#N/A,FALSE,"Tickmarks"}</definedName>
    <definedName name="mfwiefmw" hidden="1">#REF!</definedName>
    <definedName name="mfwifw" hidden="1">#REF!</definedName>
    <definedName name="mfwomf" hidden="1">#REF!</definedName>
    <definedName name="mfwomwef" hidden="1">#REF!</definedName>
    <definedName name="mfwpfwfw" hidden="1">{#N/A,#N/A,FALSE,"Aging Summary";#N/A,#N/A,FALSE,"Ratio Analysis";#N/A,#N/A,FALSE,"Test 120 Day Accts";#N/A,#N/A,FALSE,"Tickmarks"}</definedName>
    <definedName name="MH" hidden="1">{#N/A,#N/A,FALSE,"Aging Summary";#N/A,#N/A,FALSE,"Ratio Analysis";#N/A,#N/A,FALSE,"Test 120 Day Accts";#N/A,#N/A,FALSE,"Tickmarks"}</definedName>
    <definedName name="MIDASMDA9" hidden="1">{#N/A,#N/A,FALSE,"Aging Summary";#N/A,#N/A,FALSE,"Ratio Analysis";#N/A,#N/A,FALSE,"Test 120 Day Accts";#N/A,#N/A,FALSE,"Tickmarks"}</definedName>
    <definedName name="miguel" hidden="1">#REF!</definedName>
    <definedName name="mike" hidden="1">{"GEO Report",#N/A,FALSE,"Data Sheet";"OXY Daily Report",#N/A,FALSE,"Data Sheet"}</definedName>
    <definedName name="mimcwicw" hidden="1">{#N/A,#N/A,FALSE,"CAPEX";#N/A,#N/A,FALSE,"PLAN";#N/A,#N/A,FALSE,"REV";#N/A,#N/A,FALSE,"CALOP";#N/A,#N/A,FALSE,"RESOP";#N/A,#N/A,FALSE,"PRES"}</definedName>
    <definedName name="MJKKKKKKKKKKKKKKK" hidden="1">{#N/A,#N/A,FALSE,"Aging Summary";#N/A,#N/A,FALSE,"Ratio Analysis";#N/A,#N/A,FALSE,"Test 120 Day Accts";#N/A,#N/A,FALSE,"Tickmarks"}</definedName>
    <definedName name="MJKLL" hidden="1">{#N/A,#N/A,FALSE,"Aging Summary";#N/A,#N/A,FALSE,"Ratio Analysis";#N/A,#N/A,FALSE,"Test 120 Day Accts";#N/A,#N/A,FALSE,"Tickmarks"}</definedName>
    <definedName name="mkmkk"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k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l" hidden="1">{#N/A,#N/A,FALSE,"Aging Summary";#N/A,#N/A,FALSE,"Ratio Analysis";#N/A,#N/A,FALSE,"Test 120 Day Accts";#N/A,#N/A,FALSE,"Tickmarks"}</definedName>
    <definedName name="mm" hidden="1">#REF!</definedName>
    <definedName name="MMA" hidden="1">{#N/A,#N/A,FALSE,"Aging Summary";#N/A,#N/A,FALSE,"Ratio Analysis";#N/A,#N/A,FALSE,"Test 120 Day Accts";#N/A,#N/A,FALSE,"Tickmarks"}</definedName>
    <definedName name="mmaa" hidden="1">#REF!</definedName>
    <definedName name="mmm" hidden="1">#REF!</definedName>
    <definedName name="MMMA" hidden="1">{#N/A,#N/A,FALSE,"Aging Summary";#N/A,#N/A,FALSE,"Ratio Analysis";#N/A,#N/A,FALSE,"Test 120 Day Accts";#N/A,#N/A,FALSE,"Tickmarks"}</definedName>
    <definedName name="mmmm" hidden="1">#REF!</definedName>
    <definedName name="mmmmm" hidden="1">#REF!</definedName>
    <definedName name="mmmmmm" hidden="1">#REF!</definedName>
    <definedName name="mmmmmmm" hidden="1">#REF!</definedName>
    <definedName name="mmmmmmmm" hidden="1">#REF!</definedName>
    <definedName name="mmmmmmmmmm" hidden="1">#REF!</definedName>
    <definedName name="MMMMMMMMMMM" hidden="1">{#N/A,#N/A,FALSE,"Aging Summary";#N/A,#N/A,FALSE,"Ratio Analysis";#N/A,#N/A,FALSE,"Test 120 Day Accts";#N/A,#N/A,FALSE,"Tickmarks"}</definedName>
    <definedName name="MMMMMMMMMMMMM" hidden="1">{#N/A,#N/A,FALSE,"Aging Summary";#N/A,#N/A,FALSE,"Ratio Analysis";#N/A,#N/A,FALSE,"Test 120 Day Accts";#N/A,#N/A,FALSE,"Tickmarks"}</definedName>
    <definedName name="mmmmmmmmmmmmmmmmm" hidden="1">{#N/A,#N/A,FALSE,"Aging Summary";#N/A,#N/A,FALSE,"Ratio Analysis";#N/A,#N/A,FALSE,"Test 120 Day Accts";#N/A,#N/A,FALSE,"Tickmarks"}</definedName>
    <definedName name="mmmmmmmmmmmmmmmmmmmmmmmmmmm" hidden="1">{#N/A,#N/A,FALSE,"Aging Summary";#N/A,#N/A,FALSE,"Ratio Analysis";#N/A,#N/A,FALSE,"Test 120 Day Accts";#N/A,#N/A,FALSE,"Tickmarks"}</definedName>
    <definedName name="mnm" hidden="1">#REF!</definedName>
    <definedName name="mnmnnmn" hidden="1">{#N/A,#N/A,FALSE,"Aging Summary";#N/A,#N/A,FALSE,"Ratio Analysis";#N/A,#N/A,FALSE,"Test 120 Day Accts";#N/A,#N/A,FALSE,"Tickmarks"}</definedName>
    <definedName name="MOANDAIDN" hidden="1">{#N/A,#N/A,FALSE,"Aging Summary";#N/A,#N/A,FALSE,"Ratio Analysis";#N/A,#N/A,FALSE,"Test 120 Day Accts";#N/A,#N/A,FALSE,"Tickmarks"}</definedName>
    <definedName name="moemew" hidden="1">{#N/A,#N/A,FALSE,"Aging Summary";#N/A,#N/A,FALSE,"Ratio Analysis";#N/A,#N/A,FALSE,"Test 120 Day Accts";#N/A,#N/A,FALSE,"Tickmarks"}</definedName>
    <definedName name="mofwfw" hidden="1">{#N/A,#N/A,FALSE,"Aging Summary";#N/A,#N/A,FALSE,"Ratio Analysis";#N/A,#N/A,FALSE,"Test 120 Day Accts";#N/A,#N/A,FALSE,"Tickmarks"}</definedName>
    <definedName name="MOLESTESICA" hidden="1">{#N/A,#N/A,FALSE,"Aging Summary";#N/A,#N/A,FALSE,"Ratio Analysis";#N/A,#N/A,FALSE,"Test 120 Day Accts";#N/A,#N/A,FALSE,"Tickmarks"}</definedName>
    <definedName name="momdq" hidden="1">{#N/A,#N/A,FALSE,"Aging Summary";#N/A,#N/A,FALSE,"Ratio Analysis";#N/A,#N/A,FALSE,"Test 120 Day Accts";#N/A,#N/A,FALSE,"Tickmarks"}</definedName>
    <definedName name="momre" hidden="1">{#N/A,#N/A,FALSE,"Aging Summary";#N/A,#N/A,FALSE,"Ratio Analysis";#N/A,#N/A,FALSE,"Test 120 Day Accts";#N/A,#N/A,FALSE,"Tickmarks"}</definedName>
    <definedName name="Monetary_Precision">#REF!</definedName>
    <definedName name="morosid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owmfowfw" hidden="1">{#N/A,#N/A,FALSE,"Aging Summary";#N/A,#N/A,FALSE,"Ratio Analysis";#N/A,#N/A,FALSE,"Test 120 Day Accts";#N/A,#N/A,FALSE,"Tickmarks"}</definedName>
    <definedName name="mqomq" hidden="1">{#N/A,#N/A,FALSE,"Aging Summary";#N/A,#N/A,FALSE,"Ratio Analysis";#N/A,#N/A,FALSE,"Test 120 Day Accts";#N/A,#N/A,FALSE,"Tickmarks"}</definedName>
    <definedName name="mqwodmq" hidden="1">{#N/A,#N/A,FALSE,"Aging Summary";#N/A,#N/A,FALSE,"Ratio Analysis";#N/A,#N/A,FALSE,"Test 120 Day Accts";#N/A,#N/A,FALSE,"Tickmarks"}</definedName>
    <definedName name="mrfomr" hidden="1">{#N/A,#N/A,FALSE,"Aging Summary";#N/A,#N/A,FALSE,"Ratio Analysis";#N/A,#N/A,FALSE,"Test 120 Day Accts";#N/A,#N/A,FALSE,"Tickmarks"}</definedName>
    <definedName name="mrfwmf" hidden="1">{#N/A,#N/A,FALSE,"Aging Summary";#N/A,#N/A,FALSE,"Ratio Analysis";#N/A,#N/A,FALSE,"Test 120 Day Accts";#N/A,#N/A,FALSE,"Tickmarks"}</definedName>
    <definedName name="MSADIAMDIAS" hidden="1">{#N/A,#N/A,FALSE,"Aging Summary";#N/A,#N/A,FALSE,"Ratio Analysis";#N/A,#N/A,FALSE,"Test 120 Day Accts";#N/A,#N/A,FALSE,"Tickmarks"}</definedName>
    <definedName name="MSDIAND" hidden="1">{#N/A,#N/A,FALSE,"Aging Summary";#N/A,#N/A,FALSE,"Ratio Analysis";#N/A,#N/A,FALSE,"Test 120 Day Accts";#N/A,#N/A,FALSE,"Tickmarks"}</definedName>
    <definedName name="mues" hidden="1">{#N/A,#N/A,FALSE,"Aging Summary";#N/A,#N/A,FALSE,"Ratio Analysis";#N/A,#N/A,FALSE,"Test 120 Day Accts";#N/A,#N/A,FALSE,"Tickmarks"}</definedName>
    <definedName name="muestreolocales" hidden="1">#REF!</definedName>
    <definedName name="mviwmvw" hidden="1">#REF!</definedName>
    <definedName name="mvkfmvf" hidden="1">{#N/A,#N/A,FALSE,"Aging Summary";#N/A,#N/A,FALSE,"Ratio Analysis";#N/A,#N/A,FALSE,"Test 120 Day Accts";#N/A,#N/A,FALSE,"Tickmarks"}</definedName>
    <definedName name="mvmvmfv" hidden="1">{#N/A,#N/A,FALSE,"Aging Summary";#N/A,#N/A,FALSE,"Ratio Analysis";#N/A,#N/A,FALSE,"Test 120 Day Accts";#N/A,#N/A,FALSE,"Tickmarks"}</definedName>
    <definedName name="mvowmvw" hidden="1">{#N/A,#N/A,FALSE,"Aging Summary";#N/A,#N/A,FALSE,"Ratio Analysis";#N/A,#N/A,FALSE,"Test 120 Day Accts";#N/A,#N/A,FALSE,"Tickmarks"}</definedName>
    <definedName name="mwedasd" hidden="1">{#N/A,#N/A,FALSE,"Aging Summary";#N/A,#N/A,FALSE,"Ratio Analysis";#N/A,#N/A,FALSE,"Test 120 Day Accts";#N/A,#N/A,FALSE,"Tickmarks"}</definedName>
    <definedName name="mweiwf" hidden="1">#REF!</definedName>
    <definedName name="mweof" hidden="1">{#N/A,#N/A,FALSE,"Aging Summary";#N/A,#N/A,FALSE,"Ratio Analysis";#N/A,#N/A,FALSE,"Test 120 Day Accts";#N/A,#N/A,FALSE,"Tickmarks"}</definedName>
    <definedName name="mweomfw" hidden="1">{#N/A,#N/A,FALSE,"Aging Summary";#N/A,#N/A,FALSE,"Ratio Analysis";#N/A,#N/A,FALSE,"Test 120 Day Accts";#N/A,#N/A,FALSE,"Tickmarks"}</definedName>
    <definedName name="mwfiwmfwf" hidden="1">{#N/A,#N/A,FALSE,"Aging Summary";#N/A,#N/A,FALSE,"Ratio Analysis";#N/A,#N/A,FALSE,"Test 120 Day Accts";#N/A,#N/A,FALSE,"Tickmarks"}</definedName>
    <definedName name="mwoefmwf" hidden="1">{#N/A,#N/A,FALSE,"Aging Summary";#N/A,#N/A,FALSE,"Ratio Analysis";#N/A,#N/A,FALSE,"Test 120 Day Accts";#N/A,#N/A,FALSE,"Tickmarks"}</definedName>
    <definedName name="mwoemf" hidden="1">{#N/A,#N/A,FALSE,"Aging Summary";#N/A,#N/A,FALSE,"Ratio Analysis";#N/A,#N/A,FALSE,"Test 120 Day Accts";#N/A,#N/A,FALSE,"Tickmarks"}</definedName>
    <definedName name="mwoemfwf" hidden="1">{#N/A,#N/A,FALSE,"Aging Summary";#N/A,#N/A,FALSE,"Ratio Analysis";#N/A,#N/A,FALSE,"Test 120 Day Accts";#N/A,#N/A,FALSE,"Tickmarks"}</definedName>
    <definedName name="mwofw" hidden="1">{#N/A,#N/A,FALSE,"Aging Summary";#N/A,#N/A,FALSE,"Ratio Analysis";#N/A,#N/A,FALSE,"Test 120 Day Accts";#N/A,#N/A,FALSE,"Tickmarks"}</definedName>
    <definedName name="mwopmvcpw" hidden="1">{#N/A,#N/A,FALSE,"Aging Summary";#N/A,#N/A,FALSE,"Ratio Analysis";#N/A,#N/A,FALSE,"Test 120 Day Accts";#N/A,#N/A,FALSE,"Tickmarks"}</definedName>
    <definedName name="n" hidden="1">#REF!</definedName>
    <definedName name="nada" hidden="1">{#N/A,#N/A,FALSE,"Aging Summary";#N/A,#N/A,FALSE,"Ratio Analysis";#N/A,#N/A,FALSE,"Test 120 Day Accts";#N/A,#N/A,FALSE,"Tickmarks"}</definedName>
    <definedName name="nadaa" hidden="1">{#N/A,#N/A,FALSE,"Aging Summary";#N/A,#N/A,FALSE,"Ratio Analysis";#N/A,#N/A,FALSE,"Test 120 Day Accts";#N/A,#N/A,FALSE,"Tickmarks"}</definedName>
    <definedName name="nadiansdiandiands" hidden="1">{#N/A,#N/A,FALSE,"Aging Summary";#N/A,#N/A,FALSE,"Ratio Analysis";#N/A,#N/A,FALSE,"Test 120 Day Accts";#N/A,#N/A,FALSE,"Tickmarks"}</definedName>
    <definedName name="NADIASD8" hidden="1">{#N/A,#N/A,FALSE,"Aging Summary";#N/A,#N/A,FALSE,"Ratio Analysis";#N/A,#N/A,FALSE,"Test 120 Day Accts";#N/A,#N/A,FALSE,"Tickmarks"}</definedName>
    <definedName name="nadiasndia" hidden="1">{#N/A,#N/A,FALSE,"Aging Summary";#N/A,#N/A,FALSE,"Ratio Analysis";#N/A,#N/A,FALSE,"Test 120 Day Accts";#N/A,#N/A,FALSE,"Tickmarks"}</definedName>
    <definedName name="NADIUSDA6" hidden="1">{#N/A,#N/A,FALSE,"Aging Summary";#N/A,#N/A,FALSE,"Ratio Analysis";#N/A,#N/A,FALSE,"Test 120 Day Accts";#N/A,#N/A,FALSE,"Tickmarks"}</definedName>
    <definedName name="NADNA" hidden="1">{#N/A,#N/A,FALSE,"Aging Summary";#N/A,#N/A,FALSE,"Ratio Analysis";#N/A,#N/A,FALSE,"Test 120 Day Accts";#N/A,#N/A,FALSE,"Tickmarks"}</definedName>
    <definedName name="nadnandan" hidden="1">{#N/A,#N/A,FALSE,"Aging Summary";#N/A,#N/A,FALSE,"Ratio Analysis";#N/A,#N/A,FALSE,"Test 120 Day Accts";#N/A,#N/A,FALSE,"Tickmarks"}</definedName>
    <definedName name="NADUA6" hidden="1">{#N/A,#N/A,FALSE,"Aging Summary";#N/A,#N/A,FALSE,"Ratio Analysis";#N/A,#N/A,FALSE,"Test 120 Day Accts";#N/A,#N/A,FALSE,"Tickmarks"}</definedName>
    <definedName name="NADUNSD" hidden="1">{#N/A,#N/A,FALSE,"Aging Summary";#N/A,#N/A,FALSE,"Ratio Analysis";#N/A,#N/A,FALSE,"Test 120 Day Accts";#N/A,#N/A,FALSE,"Tickmarks"}</definedName>
    <definedName name="naidnaisdniands" hidden="1">{"Schedule_I",#N/A,FALSE,"I"}</definedName>
    <definedName name="naidsnasd" hidden="1">{"balanço dolares",#N/A,FALSE,"SIGADR$";"AUT BAL REAIS",#N/A,FALSE,"SIGADR$";"QUOCIENTES REAIS",#N/A,FALSE,"QUOCIENTES";"JUNH QUOCI DOLARES",#N/A,FALSE,"QUOCIENTES"}</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sndiad" hidden="1">{#N/A,#N/A,FALSE,"Aging Summary";#N/A,#N/A,FALSE,"Ratio Analysis";#N/A,#N/A,FALSE,"Test 120 Day Accts";#N/A,#N/A,FALSE,"Tickmarks"}</definedName>
    <definedName name="nal" hidden="1">#REF!</definedName>
    <definedName name="namdiamsdiamdia" hidden="1">{#N/A,#N/A,FALSE,"CAPEX";#N/A,#N/A,FALSE,"PLAN";#N/A,#N/A,FALSE,"REV";#N/A,#N/A,FALSE,"CALOP";#N/A,#N/A,FALSE,"RESOP";#N/A,#N/A,FALSE,"PRES"}</definedName>
    <definedName name="nandan" hidden="1">{#N/A,#N/A,FALSE,"Aging Summary";#N/A,#N/A,FALSE,"Ratio Analysis";#N/A,#N/A,FALSE,"Test 120 Day Accts";#N/A,#N/A,FALSE,"Tickmarks"}</definedName>
    <definedName name="nandsansda" hidden="1">{#N/A,#N/A,FALSE,"Aging Summary";#N/A,#N/A,FALSE,"Ratio Analysis";#N/A,#N/A,FALSE,"Test 120 Day Accts";#N/A,#N/A,FALSE,"Tickmarks"}</definedName>
    <definedName name="nane" hidden="1">#REF!</definedName>
    <definedName name="nao" hidden="1">{#N/A,#N/A,FALSE,"Aging Summary";#N/A,#N/A,FALSE,"Ratio Analysis";#N/A,#N/A,FALSE,"Test 120 Day Accts";#N/A,#N/A,FALSE,"Tickmarks"}</definedName>
    <definedName name="nasdansidna" hidden="1">{#N/A,#N/A,FALSE,"Aging Summary";#N/A,#N/A,FALSE,"Ratio Analysis";#N/A,#N/A,FALSE,"Test 120 Day Accts";#N/A,#N/A,FALSE,"Tickmarks"}</definedName>
    <definedName name="nasdnand" hidden="1">{#N/A,#N/A,FALSE,"Aging Summary";#N/A,#N/A,FALSE,"Ratio Analysis";#N/A,#N/A,FALSE,"Test 120 Day Accts";#N/A,#N/A,FALSE,"Tickmarks"}</definedName>
    <definedName name="nasidnaida" hidden="1">{#N/A,#N/A,FALSE,"Aging Summary";#N/A,#N/A,FALSE,"Ratio Analysis";#N/A,#N/A,FALSE,"Test 120 Day Accts";#N/A,#N/A,FALSE,"Tickmarks"}</definedName>
    <definedName name="nasndnadn" hidden="1">{#N/A,#N/A,FALSE,"Aging Summary";#N/A,#N/A,FALSE,"Ratio Analysis";#N/A,#N/A,FALSE,"Test 120 Day Accts";#N/A,#N/A,FALSE,"Tickmarks"}</definedName>
    <definedName name="NASUNDASD" hidden="1">{#N/A,#N/A,FALSE,"Aging Summary";#N/A,#N/A,FALSE,"Ratio Analysis";#N/A,#N/A,FALSE,"Test 120 Day Accts";#N/A,#N/A,FALSE,"Tickmarks"}</definedName>
    <definedName name="NAT" hidden="1">{"custodia",#N/A,FALSE,"Encaje";"encajeprint",#N/A,FALSE,"Encaje"}</definedName>
    <definedName name="NATY" hidden="1">{"custodia",#N/A,FALSE,"Encaje";"encajeprint",#N/A,FALSE,"Encaje"}</definedName>
    <definedName name="ncewinf" hidden="1">{#N/A,#N/A,FALSE,"Aging Summary";#N/A,#N/A,FALSE,"Ratio Analysis";#N/A,#N/A,FALSE,"Test 120 Day Accts";#N/A,#N/A,FALSE,"Tickmarks"}</definedName>
    <definedName name="ncuec" hidden="1">#REF!</definedName>
    <definedName name="ncuece" hidden="1">#REF!</definedName>
    <definedName name="ncuene" hidden="1">#REF!</definedName>
    <definedName name="NDAD3" hidden="1">{#N/A,#N/A,FALSE,"Aging Summary";#N/A,#N/A,FALSE,"Ratio Analysis";#N/A,#N/A,FALSE,"Test 120 Day Accts";#N/A,#N/A,FALSE,"Tickmarks"}</definedName>
    <definedName name="NDAD6" hidden="1">{#N/A,#N/A,FALSE,"Aging Summary";#N/A,#N/A,FALSE,"Ratio Analysis";#N/A,#N/A,FALSE,"Test 120 Day Accts";#N/A,#N/A,FALSE,"Tickmarks"}</definedName>
    <definedName name="ndainaidsa" hidden="1">{#N/A,#N/A,FALSE,"Aging Summary";#N/A,#N/A,FALSE,"Ratio Analysis";#N/A,#N/A,FALSE,"Test 120 Day Accts";#N/A,#N/A,FALSE,"Tickmarks"}</definedName>
    <definedName name="ndainsd" hidden="1">{"balanço dolares",#N/A,FALSE,"SIGADR$";"AUT BAL REAIS",#N/A,FALSE,"SIGADR$";"QUOCIENTES REAIS",#N/A,FALSE,"QUOCIENTES";"JUNH QUOCI DOLARES",#N/A,FALSE,"QUOCIENTES"}</definedName>
    <definedName name="NDAISD9" hidden="1">{#N/A,#N/A,FALSE,"Aging Summary";#N/A,#N/A,FALSE,"Ratio Analysis";#N/A,#N/A,FALSE,"Test 120 Day Accts";#N/A,#N/A,FALSE,"Tickmarks"}</definedName>
    <definedName name="ndaisnd" hidden="1">{#N/A,#N/A,FALSE,"Aging Summary";#N/A,#N/A,FALSE,"Ratio Analysis";#N/A,#N/A,FALSE,"Test 120 Day Accts";#N/A,#N/A,FALSE,"Tickmarks"}</definedName>
    <definedName name="ndaisndaid" hidden="1">{#N/A,#N/A,FALSE,"Aging Summary";#N/A,#N/A,FALSE,"Ratio Analysis";#N/A,#N/A,FALSE,"Test 120 Day Accts";#N/A,#N/A,FALSE,"Tickmarks"}</definedName>
    <definedName name="ndaisndia" hidden="1">{#N/A,#N/A,FALSE,"Aging Summary";#N/A,#N/A,FALSE,"Ratio Analysis";#N/A,#N/A,FALSE,"Test 120 Day Accts";#N/A,#N/A,FALSE,"Tickmarks"}</definedName>
    <definedName name="ndaisndias" hidden="1">{#N/A,#N/A,FALSE,"Aging Summary";#N/A,#N/A,FALSE,"Ratio Analysis";#N/A,#N/A,FALSE,"Test 120 Day Accts";#N/A,#N/A,FALSE,"Tickmarks"}</definedName>
    <definedName name="ndandnadn" hidden="1">{#N/A,#N/A,FALSE,"Aging Summary";#N/A,#N/A,FALSE,"Ratio Analysis";#N/A,#N/A,FALSE,"Test 120 Day Accts";#N/A,#N/A,FALSE,"Tickmarks"}</definedName>
    <definedName name="ndandsnand" hidden="1">{#N/A,#N/A,FALSE,"Aging Summary";#N/A,#N/A,FALSE,"Ratio Analysis";#N/A,#N/A,FALSE,"Test 120 Day Accts";#N/A,#N/A,FALSE,"Tickmarks"}</definedName>
    <definedName name="ndansdnad" hidden="1">{#N/A,#N/A,FALSE,"Aging Summary";#N/A,#N/A,FALSE,"Ratio Analysis";#N/A,#N/A,FALSE,"Test 120 Day Accts";#N/A,#N/A,FALSE,"Tickmarks"}</definedName>
    <definedName name="NDASD7" hidden="1">{#N/A,#N/A,FALSE,"Aging Summary";#N/A,#N/A,FALSE,"Ratio Analysis";#N/A,#N/A,FALSE,"Test 120 Day Accts";#N/A,#N/A,FALSE,"Tickmarks"}</definedName>
    <definedName name="NDASND" hidden="1">{#N/A,#N/A,FALSE,"Aging Summary";#N/A,#N/A,FALSE,"Ratio Analysis";#N/A,#N/A,FALSE,"Test 120 Day Accts";#N/A,#N/A,FALSE,"Tickmarks"}</definedName>
    <definedName name="NDASNDA" hidden="1">{#N/A,#N/A,FALSE,"Aging Summary";#N/A,#N/A,FALSE,"Ratio Analysis";#N/A,#N/A,FALSE,"Test 120 Day Accts";#N/A,#N/A,FALSE,"Tickmarks"}</definedName>
    <definedName name="ndasndiadn" hidden="1">{#N/A,#N/A,FALSE,"Aging Summary";#N/A,#N/A,FALSE,"Ratio Analysis";#N/A,#N/A,FALSE,"Test 120 Day Accts";#N/A,#N/A,FALSE,"Tickmarks"}</definedName>
    <definedName name="NDAUS7" hidden="1">{#N/A,#N/A,FALSE,"Aging Summary";#N/A,#N/A,FALSE,"Ratio Analysis";#N/A,#N/A,FALSE,"Test 120 Day Accts";#N/A,#N/A,FALSE,"Tickmarks"}</definedName>
    <definedName name="NDAUSD8" hidden="1">{#N/A,#N/A,FALSE,"Aging Summary";#N/A,#N/A,FALSE,"Ratio Analysis";#N/A,#N/A,FALSE,"Test 120 Day Accts";#N/A,#N/A,FALSE,"Tickmarks"}</definedName>
    <definedName name="NDAUSDNASD" hidden="1">{#N/A,#N/A,FALSE,"Aging Summary";#N/A,#N/A,FALSE,"Ratio Analysis";#N/A,#N/A,FALSE,"Test 120 Day Accts";#N/A,#N/A,FALSE,"Tickmarks"}</definedName>
    <definedName name="ndend" hidden="1">{#N/A,#N/A,FALSE,"Aging Summary";#N/A,#N/A,FALSE,"Ratio Analysis";#N/A,#N/A,FALSE,"Test 120 Day Accts";#N/A,#N/A,FALSE,"Tickmarks"}</definedName>
    <definedName name="ndiansd" hidden="1">{#N/A,#N/A,FALSE,"Aging Summary";#N/A,#N/A,FALSE,"Ratio Analysis";#N/A,#N/A,FALSE,"Test 120 Day Accts";#N/A,#N/A,FALSE,"Tickmarks"}</definedName>
    <definedName name="ndiansida" hidden="1">{#N/A,#N/A,FALSE,"Aging Summary";#N/A,#N/A,FALSE,"Ratio Analysis";#N/A,#N/A,FALSE,"Test 120 Day Accts";#N/A,#N/A,FALSE,"Tickmarks"}</definedName>
    <definedName name="ndiasdnaid" hidden="1">{#N/A,#N/A,FALSE,"Aging Summary";#N/A,#N/A,FALSE,"Ratio Analysis";#N/A,#N/A,FALSE,"Test 120 Day Accts";#N/A,#N/A,FALSE,"Tickmarks"}</definedName>
    <definedName name="ndiasdni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ndinqw" hidden="1">{#N/A,#N/A,FALSE,"Aging Summary";#N/A,#N/A,FALSE,"Ratio Analysis";#N/A,#N/A,FALSE,"Test 120 Day Accts";#N/A,#N/A,FALSE,"Tickmarks"}</definedName>
    <definedName name="ndiqndwq" hidden="1">{#N/A,#N/A,FALSE,"Aging Summary";#N/A,#N/A,FALSE,"Ratio Analysis";#N/A,#N/A,FALSE,"Test 120 Day Accts";#N/A,#N/A,FALSE,"Tickmarks"}</definedName>
    <definedName name="ndiqwndq" hidden="1">{#N/A,#N/A,FALSE,"Aging Summary";#N/A,#N/A,FALSE,"Ratio Analysis";#N/A,#N/A,FALSE,"Test 120 Day Accts";#N/A,#N/A,FALSE,"Tickmarks"}</definedName>
    <definedName name="ndnasndand" hidden="1">{#N/A,#N/A,FALSE,"Aging Summary";#N/A,#N/A,FALSE,"Ratio Analysis";#N/A,#N/A,FALSE,"Test 120 Day Accts";#N/A,#N/A,FALSE,"Tickmarks"}</definedName>
    <definedName name="ndpqwdnq" hidden="1">{#N/A,#N/A,FALSE,"Aging Summary";#N/A,#N/A,FALSE,"Ratio Analysis";#N/A,#N/A,FALSE,"Test 120 Day Accts";#N/A,#N/A,FALSE,"Tickmarks"}</definedName>
    <definedName name="ndqindq" hidden="1">{#N/A,#N/A,FALSE,"Aging Summary";#N/A,#N/A,FALSE,"Ratio Analysis";#N/A,#N/A,FALSE,"Test 120 Day Accts";#N/A,#N/A,FALSE,"Tickmarks"}</definedName>
    <definedName name="ndqindqid" hidden="1">{#N/A,#N/A,FALSE,"Aging Summary";#N/A,#N/A,FALSE,"Ratio Analysis";#N/A,#N/A,FALSE,"Test 120 Day Accts";#N/A,#N/A,FALSE,"Tickmarks"}</definedName>
    <definedName name="ndqiwnd" hidden="1">{#N/A,#N/A,FALSE,"Aging Summary";#N/A,#N/A,FALSE,"Ratio Analysis";#N/A,#N/A,FALSE,"Test 120 Day Accts";#N/A,#N/A,FALSE,"Tickmarks"}</definedName>
    <definedName name="ndsaid9" hidden="1">{#N/A,#N/A,FALSE,"Aging Summary";#N/A,#N/A,FALSE,"Ratio Analysis";#N/A,#N/A,FALSE,"Test 120 Day Accts";#N/A,#N/A,FALSE,"Tickmarks"}</definedName>
    <definedName name="ndsida" hidden="1">{#N/A,#N/A,FALSE,"Aging Summary";#N/A,#N/A,FALSE,"Ratio Analysis";#N/A,#N/A,FALSE,"Test 120 Day Accts";#N/A,#N/A,FALSE,"Tickmarks"}</definedName>
    <definedName name="NDSKAI1K1MNKNEK3" hidden="1">{#N/A,#N/A,FALSE,"Aging Summary";#N/A,#N/A,FALSE,"Ratio Analysis";#N/A,#N/A,FALSE,"Test 120 Day Accts";#N/A,#N/A,FALSE,"Tickmarks"}</definedName>
    <definedName name="neif" hidden="1">{#N/A,#N/A,FALSE,"Aging Summary";#N/A,#N/A,FALSE,"Ratio Analysis";#N/A,#N/A,FALSE,"Test 120 Day Accts";#N/A,#N/A,FALSE,"Tickmarks"}</definedName>
    <definedName name="neqneq" hidden="1">{#N/A,#N/A,FALSE,"STRAD";#N/A,#N/A,FALSE,"BELGLO"}</definedName>
    <definedName name="new" hidden="1">#REF!</definedName>
    <definedName name="newname" hidden="1">{#N/A,#N/A,TRUE,"Start Here";#N/A,#N/A,TRUE,"Title";#N/A,#N/A,TRUE,"TS ";#N/A,#N/A,TRUE,"WP";#N/A,#N/A,TRUE,"IE1 ";#N/A,#N/A,TRUE,"IE2 ";#N/A,#N/A,TRUE,"Rev1 ";#N/A,#N/A,TRUE,"Rev2 ";#N/A,#N/A,TRUE,"Rev3 ";#N/A,#N/A,TRUE,"GP1 ";#N/A,#N/A,TRUE,"GP2 ";#N/A,#N/A,TRUE,"Exp1 ";#N/A,#N/A,TRUE,"Exp2 ";#N/A,#N/A,TRUE,"Exp3 ";#N/A,#N/A,TRUE,"GIM ";#N/A,#N/A,TRUE,"Res ";#N/A,#N/A,TRUE,"Solutions";#N/A,#N/A,TRUE,"EBO 1"}</definedName>
    <definedName name="NEX" hidden="1">"AS2DocumentEdit"</definedName>
    <definedName name="NEXO" hidden="1">2</definedName>
    <definedName name="nfsjdnfs" hidden="1">{#N/A,#N/A,FALSE,"Aging Summary";#N/A,#N/A,FALSE,"Ratio Analysis";#N/A,#N/A,FALSE,"Test 120 Day Accts";#N/A,#N/A,FALSE,"Tickmarks"}</definedName>
    <definedName name="nfwfnw" hidden="1">#REF!</definedName>
    <definedName name="nh" hidden="1">{#N/A,#N/A,FALSE,"Aging Summary";#N/A,#N/A,FALSE,"Ratio Analysis";#N/A,#N/A,FALSE,"Test 120 Day Accts";#N/A,#N/A,FALSE,"Tickmarks"}</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LA" hidden="1">{"IT",#N/A,FALSE,"GRAPHS";"Services",#N/A,FALSE,"GRAPHS";"Subsurface",#N/A,FALSE,"GRAPHS";"Production",#N/A,FALSE,"GRAPHS";"Facilities",#N/A,FALSE,"GRAPHS";"Pipeline &amp; Terminal",#N/A,FALSE,"GRAPHS";"Safety",#N/A,FALSE,"GRAPHS";"Commercial",#N/A,FALSE,"GRAPHS"}</definedName>
    <definedName name="nind" hidden="1">{#N/A,#N/A,FALSE,"Aging Summary";#N/A,#N/A,FALSE,"Ratio Analysis";#N/A,#N/A,FALSE,"Test 120 Day Accts";#N/A,#N/A,FALSE,"Tickmarks"}</definedName>
    <definedName name="ninfefe" hidden="1">{#N/A,#N/A,FALSE,"Aging Summary";#N/A,#N/A,FALSE,"Ratio Analysis";#N/A,#N/A,FALSE,"Test 120 Day Accts";#N/A,#N/A,FALSE,"Tickmarks"}</definedName>
    <definedName name="nixqxq" hidden="1">{#N/A,#N/A,FALSE,"Aging Summary";#N/A,#N/A,FALSE,"Ratio Analysis";#N/A,#N/A,FALSE,"Test 120 Day Accts";#N/A,#N/A,FALSE,"Tickmarks"}</definedName>
    <definedName name="njewdnwe" hidden="1">#REF!</definedName>
    <definedName name="njkiiii" hidden="1">#REF!</definedName>
    <definedName name="nkewn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nmciewcw" hidden="1">#REF!</definedName>
    <definedName name="nmdaisdia" hidden="1">{#N/A,#N/A,FALSE,"Aging Summary";#N/A,#N/A,FALSE,"Ratio Analysis";#N/A,#N/A,FALSE,"Test 120 Day Accts";#N/A,#N/A,FALSE,"Tickmarks"}</definedName>
    <definedName name="nmhj" hidden="1">{#N/A,#N/A,FALSE,"Aging Summary";#N/A,#N/A,FALSE,"Ratio Analysis";#N/A,#N/A,FALSE,"Test 120 Day Accts";#N/A,#N/A,FALSE,"Tickmarks"}</definedName>
    <definedName name="nmmm" hidden="1">{#N/A,#N/A,FALSE,"Aging Summary";#N/A,#N/A,FALSE,"Ratio Analysis";#N/A,#N/A,FALSE,"Test 120 Day Accts";#N/A,#N/A,FALSE,"Tickmarks"}</definedName>
    <definedName name="NMMMMMMMMMMMMMM" hidden="1">{#N/A,#N/A,FALSE,"Aging Summary";#N/A,#N/A,FALSE,"Ratio Analysis";#N/A,#N/A,FALSE,"Test 120 Day Accts";#N/A,#N/A,FALSE,"Tickmarks"}</definedName>
    <definedName name="NMNAIDAN" hidden="1">{#N/A,#N/A,FALSE,"Aging Summary";#N/A,#N/A,FALSE,"Ratio Analysis";#N/A,#N/A,FALSE,"Test 120 Day Accts";#N/A,#N/A,FALSE,"Tickmarks"}</definedName>
    <definedName name="NN" hidden="1">{#N/A,#N/A,FALSE,"Aging Summary";#N/A,#N/A,FALSE,"Ratio Analysis";#N/A,#N/A,FALSE,"Test 120 Day Accts";#N/A,#N/A,FALSE,"Tickmarks"}</definedName>
    <definedName name="nnadfn" hidden="1">{#N/A,#N/A,FALSE,"Aging Summary";#N/A,#N/A,FALSE,"Ratio Analysis";#N/A,#N/A,FALSE,"Test 120 Day Accts";#N/A,#N/A,FALSE,"Tickmarks"}</definedName>
    <definedName name="nnanan" hidden="1">#REF!</definedName>
    <definedName name="nndqind" hidden="1">{#N/A,#N/A,FALSE,"Aging Summary";#N/A,#N/A,FALSE,"Ratio Analysis";#N/A,#N/A,FALSE,"Test 120 Day Accts";#N/A,#N/A,FALSE,"Tickmarks"}</definedName>
    <definedName name="NNNH" hidden="1">{#N/A,#N/A,FALSE,"Aging Summary";#N/A,#N/A,FALSE,"Ratio Analysis";#N/A,#N/A,FALSE,"Test 120 Day Accts";#N/A,#N/A,FALSE,"Tickmarks"}</definedName>
    <definedName name="NNNNNNNNNNNN" hidden="1">{#N/A,#N/A,FALSE,"Aging Summary";#N/A,#N/A,FALSE,"Ratio Analysis";#N/A,#N/A,FALSE,"Test 120 Day Accts";#N/A,#N/A,FALSE,"Tickmarks"}</definedName>
    <definedName name="NNNNNNNNNNNNNNN" hidden="1">{#N/A,#N/A,FALSE,"Aging Summary";#N/A,#N/A,FALSE,"Ratio Analysis";#N/A,#N/A,FALSE,"Test 120 Day Accts";#N/A,#N/A,FALSE,"Tickmarks"}</definedName>
    <definedName name="nnnnnnnnnnnnnnnnnnnnnnnnn" hidden="1">{#N/A,#N/A,FALSE,"Aging Summary";#N/A,#N/A,FALSE,"Ratio Analysis";#N/A,#N/A,FALSE,"Test 120 Day Accts";#N/A,#N/A,FALSE,"Tickmarks"}</definedName>
    <definedName name="nnqqnn" hidden="1">{#N/A,#N/A,FALSE,"STRAD";#N/A,#N/A,FALSE,"BELGLO"}</definedName>
    <definedName name="nnv" hidden="1">{#N/A,#N/A,FALSE,"Aging Summary";#N/A,#N/A,FALSE,"Ratio Analysis";#N/A,#N/A,FALSE,"Test 120 Day Accts";#N/A,#N/A,FALSE,"Tickmarks"}</definedName>
    <definedName name="no" hidden="1">{#N/A,#N/A,FALSE,"Aging Summary";#N/A,#N/A,FALSE,"Ratio Analysis";#N/A,#N/A,FALSE,"Test 120 Day Accts";#N/A,#N/A,FALSE,"Tickmarks"}</definedName>
    <definedName name="no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s" hidden="1">{#N/A,#N/A,FALSE,"CARATULA GENERAL";#N/A,#N/A,FALSE,"GSxDIRECCION";#N/A,#N/A,FALSE,"Caratula";#N/A,#N/A,FALSE,"GSxCTRO";#N/A,#N/A,FALSE,"GsAdm.Centr";#N/A,#N/A,FALSE,"Dir.Gral";#N/A,#N/A,FALSE,"AdmyFzas";#N/A,#N/A,FALSE,"Sistemas";#N/A,#N/A,FALSE,"RRHH"}</definedName>
    <definedName name="noepossivei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MBRE" hidden="1">{#N/A,#N/A,FALSE,"Aging Summary";#N/A,#N/A,FALSE,"Ratio Analysis";#N/A,#N/A,FALSE,"Test 120 Day Accts";#N/A,#N/A,FALSE,"Tickmarks"}</definedName>
    <definedName name="nono" hidden="1">{#N/A,#N/A,FALSE,"Aging Summary";#N/A,#N/A,FALSE,"Ratio Analysis";#N/A,#N/A,FALSE,"Test 120 Day Accts";#N/A,#N/A,FALSE,"Tickmarks"}</definedName>
    <definedName name="nonono" hidden="1">{#N/A,#N/A,FALSE,"Aging Summary";#N/A,#N/A,FALSE,"Ratio Analysis";#N/A,#N/A,FALSE,"Test 120 Day Accts";#N/A,#N/A,FALSE,"Tickmarks"}</definedName>
    <definedName name="normal" hidden="1">#REF!</definedName>
    <definedName name="nose" hidden="1">{#N/A,#N/A,FALSE,"EDO. DE RESULTADOS";#N/A,#N/A,FALSE,"CAMBIOS";#N/A,#N/A,FALSE,"COM - VTA";#N/A,#N/A,FALSE,"DIVIDENDOS";#N/A,#N/A,FALSE,"OTROS ING. DE OP.";#N/A,#N/A,FALSE,"GASTOS DE PERSONAL";#N/A,#N/A,FALSE,"RENTAS";#N/A,#N/A,FALSE,"OTROS GASTOS";#N/A,#N/A,FALSE,"DEP. Y AMO.";#N/A,#N/A,FALSE,"OTROS PROD."}</definedName>
    <definedName name="nosotro" hidden="1">{#N/A,#N/A,FALSE,"Aging Summary";#N/A,#N/A,FALSE,"Ratio Analysis";#N/A,#N/A,FALSE,"Test 120 Day Accts";#N/A,#N/A,FALSE,"Tickmarks"}</definedName>
    <definedName name="nota" hidden="1">{#N/A,#N/A,FALSE,"Aging Summary";#N/A,#N/A,FALSE,"Ratio Analysis";#N/A,#N/A,FALSE,"Test 120 Day Accts";#N/A,#N/A,FALSE,"Tickmarks"}</definedName>
    <definedName name="NOTA1" hidden="1">{#N/A,#N/A,FALSE,"Aging Summary";#N/A,#N/A,FALSE,"Ratio Analysis";#N/A,#N/A,FALSE,"Test 120 Day Accts";#N/A,#N/A,FALSE,"Tickmarks"}</definedName>
    <definedName name="Notas2" hidden="1">{#N/A,#N/A,FALSE,"Aging Summary";#N/A,#N/A,FALSE,"Ratio Analysis";#N/A,#N/A,FALSE,"Test 120 Day Accts";#N/A,#N/A,FALSE,"Tickmarks"}</definedName>
    <definedName name="NOV" hidden="1">{#N/A,#N/A,FALSE,"Verify at a Glance";#N/A,#N/A,FALSE,"CARMS VS. STAR";#N/A,#N/A,FALSE,"Intel-US";#N/A,#N/A,FALSE,"Intel-PR";#N/A,#N/A,FALSE,"Intel-MISC-6";#N/A,#N/A,FALSE,"Intel-DPA-7";#N/A,#N/A,FALSE,"Intel-IRE";#N/A,#N/A,FALSE,"Intel-HK";#N/A,#N/A,FALSE,"DAILY INPUT";#N/A,#N/A,FALSE,"P5 HK Cash List"}</definedName>
    <definedName name="nq" hidden="1">{#N/A,#N/A,FALSE,"STRAD";#N/A,#N/A,FALSE,"BELGLO"}</definedName>
    <definedName name="nqdnqd" hidden="1">{#N/A,#N/A,FALSE,"Aging Summary";#N/A,#N/A,FALSE,"Ratio Analysis";#N/A,#N/A,FALSE,"Test 120 Day Accts";#N/A,#N/A,FALSE,"Tickmarks"}</definedName>
    <definedName name="nqeq" hidden="1">{#N/A,#N/A,FALSE,"STRAD";#N/A,#N/A,FALSE,"BELGLO"}</definedName>
    <definedName name="nqeqeqqqwt" hidden="1">{#N/A,#N/A,FALSE,"STRAD";#N/A,#N/A,FALSE,"BELGLO"}</definedName>
    <definedName name="nqidnq" hidden="1">{"balanço dolares",#N/A,FALSE,"SIGADR$";"AUT BAL REAIS",#N/A,FALSE,"SIGADR$";"QUOCIENTES REAIS",#N/A,FALSE,"QUOCIENTES";"JUNH QUOCI DOLARES",#N/A,FALSE,"QUOCIENTES"}</definedName>
    <definedName name="nqn" hidden="1">{#N/A,#N/A,FALSE,"STRAD";#N/A,#N/A,FALSE,"BELGLO"}</definedName>
    <definedName name="nqnnq" hidden="1">{#N/A,#N/A,FALSE,"STRAD";#N/A,#N/A,FALSE,"BELGLO"}</definedName>
    <definedName name="nqnq" hidden="1">{#N/A,#N/A,FALSE,"STRAD";#N/A,#N/A,FALSE,"BELGLO"}</definedName>
    <definedName name="nqnqe" hidden="1">{#N/A,#N/A,FALSE,"STRAD";#N/A,#N/A,FALSE,"BELGLO"}</definedName>
    <definedName name="nqnqn" hidden="1">{#N/A,#N/A,FALSE,"STRAD";#N/A,#N/A,FALSE,"BELGLO"}</definedName>
    <definedName name="nqwe" hidden="1">{#N/A,#N/A,FALSE,"STRAD";#N/A,#N/A,FALSE,"BELGLO"}</definedName>
    <definedName name="nrnuew" hidden="1">{#N/A,#N/A,FALSE,"Aging Summary";#N/A,#N/A,FALSE,"Ratio Analysis";#N/A,#N/A,FALSE,"Test 120 Day Accts";#N/A,#N/A,FALSE,"Tickmarks"}</definedName>
    <definedName name="nsfsf" hidden="1">{#N/A,#N/A,FALSE,"Aging Summary";#N/A,#N/A,FALSE,"Ratio Analysis";#N/A,#N/A,FALSE,"Test 120 Day Accts";#N/A,#N/A,FALSE,"Tickmarks"}</definedName>
    <definedName name="nswqis" hidden="1">{#N/A,#N/A,FALSE,"Aging Summary";#N/A,#N/A,FALSE,"Ratio Analysis";#N/A,#N/A,FALSE,"Test 120 Day Accts";#N/A,#N/A,FALSE,"Tickmarks"}</definedName>
    <definedName name="NUASUDA" hidden="1">{#N/A,#N/A,FALSE,"Aging Summary";#N/A,#N/A,FALSE,"Ratio Analysis";#N/A,#N/A,FALSE,"Test 120 Day Accts";#N/A,#N/A,FALSE,"Tickmarks"}</definedName>
    <definedName name="Nueva" hidden="1">#REF!</definedName>
    <definedName name="nuev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ii" hidden="1">#REF!</definedName>
    <definedName name="NUEVOTIPO" hidden="1">{#N/A,#N/A,FALSE,"voz corporativa";#N/A,#N/A,FALSE,"Transmisión de datos";#N/A,#N/A,FALSE,"Videoconferencia";#N/A,#N/A,FALSE,"Correo electrónico";#N/A,#N/A,FALSE,"Correo de voz";#N/A,#N/A,FALSE,"Megafax";#N/A,#N/A,FALSE,"Edi";#N/A,#N/A,FALSE,"Internet";#N/A,#N/A,FALSE,"VSAT";#N/A,#N/A,FALSE,"ing ult. milla"}</definedName>
    <definedName name="nvrnvr" hidden="1">{#N/A,#N/A,FALSE,"Aging Summary";#N/A,#N/A,FALSE,"Ratio Analysis";#N/A,#N/A,FALSE,"Test 120 Day Accts";#N/A,#N/A,FALSE,"Tickmarks"}</definedName>
    <definedName name="nwdinq" hidden="1">{#N/A,#N/A,FALSE,"Aging Summary";#N/A,#N/A,FALSE,"Ratio Analysis";#N/A,#N/A,FALSE,"Test 120 Day Accts";#N/A,#N/A,FALSE,"Tickmarks"}</definedName>
    <definedName name="nweifnwf" hidden="1">{#N/A,#N/A,FALSE,"Aging Summary";#N/A,#N/A,FALSE,"Ratio Analysis";#N/A,#N/A,FALSE,"Test 120 Day Accts";#N/A,#N/A,FALSE,"Tickmarks"}</definedName>
    <definedName name="nxiqd" hidden="1">{#N/A,#N/A,FALSE,"Aging Summary";#N/A,#N/A,FALSE,"Ratio Analysis";#N/A,#N/A,FALSE,"Test 120 Day Accts";#N/A,#N/A,FALSE,"Tickmarks"}</definedName>
    <definedName name="nxwinq" hidden="1">{#N/A,#N/A,FALSE,"Aging Summary";#N/A,#N/A,FALSE,"Ratio Analysis";#N/A,#N/A,FALSE,"Test 120 Day Accts";#N/A,#N/A,FALSE,"Tickmarks"}</definedName>
    <definedName name="ñ"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ña´dña" hidden="1">#REF!</definedName>
    <definedName name="ñaña" hidden="1">{#N/A,#N/A,FALSE,"Aging Summary";#N/A,#N/A,FALSE,"Ratio Analysis";#N/A,#N/A,FALSE,"Test 120 Day Accts";#N/A,#N/A,FALSE,"Tickmarks"}</definedName>
    <definedName name="ñañañ" hidden="1">{#N/A,#N/A,FALSE,"Aging Summary";#N/A,#N/A,FALSE,"Ratio Analysis";#N/A,#N/A,FALSE,"Test 120 Day Accts";#N/A,#N/A,FALSE,"Tickmarks"}</definedName>
    <definedName name="ñed" hidden="1">{#N/A,#N/A,FALSE,"Aging Summary";#N/A,#N/A,FALSE,"Ratio Analysis";#N/A,#N/A,FALSE,"Test 120 Day Accts";#N/A,#N/A,FALSE,"Tickmarks"}</definedName>
    <definedName name="ñf" hidden="1">{#N/A,#N/A,FALSE,"Aging Summary";#N/A,#N/A,FALSE,"Ratio Analysis";#N/A,#N/A,FALSE,"Test 120 Day Accts";#N/A,#N/A,FALSE,"Tickmarks"}</definedName>
    <definedName name="ñf´weñfw" hidden="1">{#N/A,#N/A,FALSE,"Aging Summary";#N/A,#N/A,FALSE,"Ratio Analysis";#N/A,#N/A,FALSE,"Test 120 Day Accts";#N/A,#N/A,FALSE,"Tickmarks"}</definedName>
    <definedName name="ñfd" hidden="1">{#N/A,#N/A,FALSE,"Aging Summary";#N/A,#N/A,FALSE,"Ratio Analysis";#N/A,#N/A,FALSE,"Test 120 Day Accts";#N/A,#N/A,FALSE,"Tickmarks"}</definedName>
    <definedName name="ñfwoefw7" hidden="1">#REF!</definedName>
    <definedName name="ñgr" hidden="1">#REF!</definedName>
    <definedName name="ñlkñlk"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ñlopp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 hidden="1">{#N/A,#N/A,FALSE,"Aging Summary";#N/A,#N/A,FALSE,"Ratio Analysis";#N/A,#N/A,FALSE,"Test 120 Day Accts";#N/A,#N/A,FALSE,"Tickmarks"}</definedName>
    <definedName name="ñpfr"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ñp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ñpp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r" hidden="1">{#N/A,#N/A,FALSE,"Aging Summary";#N/A,#N/A,FALSE,"Ratio Analysis";#N/A,#N/A,FALSE,"Test 120 Day Accts";#N/A,#N/A,FALSE,"Tickmarks"}</definedName>
    <definedName name="ñrp" hidden="1">{#N/A,#N/A,FALSE,"Aging Summary";#N/A,#N/A,FALSE,"Ratio Analysis";#N/A,#N/A,FALSE,"Test 120 Day Accts";#N/A,#N/A,FALSE,"Tickmarks"}</definedName>
    <definedName name="O" hidden="1">#REF!</definedName>
    <definedName name="OAFKASKF" hidden="1">#REF!</definedName>
    <definedName name="OAFKFAOK" hidden="1">#REF!</definedName>
    <definedName name="OAFSKFA" hidden="1">#REF!</definedName>
    <definedName name="OAKAKAF" hidden="1">#REF!</definedName>
    <definedName name="OAKFAOSKFAKKK" hidden="1">#REF!</definedName>
    <definedName name="OAKFOA" hidden="1">#REF!</definedName>
    <definedName name="OASDO2" hidden="1">{#N/A,#N/A,FALSE,"Aging Summary";#N/A,#N/A,FALSE,"Ratio Analysis";#N/A,#N/A,FALSE,"Test 120 Day Accts";#N/A,#N/A,FALSE,"Tickmarks"}</definedName>
    <definedName name="OASKDAKF" hidden="1">#REF!</definedName>
    <definedName name="oaskdoad" hidden="1">{#N/A,#N/A,FALSE,"Aging Summary";#N/A,#N/A,FALSE,"Ratio Analysis";#N/A,#N/A,FALSE,"Test 120 Day Accts";#N/A,#N/A,FALSE,"Tickmarks"}</definedName>
    <definedName name="OASKFA" hidden="1">#REF!</definedName>
    <definedName name="OASKFAK" hidden="1">#REF!</definedName>
    <definedName name="OASKFAKOS" hidden="1">#REF!</definedName>
    <definedName name="oceokcw" hidden="1">#REF!</definedName>
    <definedName name="oceow" hidden="1">{#N/A,#N/A,FALSE,"Aging Summary";#N/A,#N/A,FALSE,"Ratio Analysis";#N/A,#N/A,FALSE,"Test 120 Day Accts";#N/A,#N/A,FALSE,"Tickmarks"}</definedName>
    <definedName name="ockcw" hidden="1">#REF!</definedName>
    <definedName name="ockecokw" hidden="1">#REF!</definedName>
    <definedName name="ocmecw" hidden="1">{#N/A,#N/A,FALSE,"Aging Summary";#N/A,#N/A,FALSE,"Ratio Analysis";#N/A,#N/A,FALSE,"Test 120 Day Accts";#N/A,#N/A,FALSE,"Tickmarks"}</definedName>
    <definedName name="ocmoecw" hidden="1">{#N/A,#N/A,FALSE,"Aging Summary";#N/A,#N/A,FALSE,"Ratio Analysis";#N/A,#N/A,FALSE,"Test 120 Day Accts";#N/A,#N/A,FALSE,"Tickmarks"}</definedName>
    <definedName name="ocmwocw" hidden="1">{#N/A,#N/A,FALSE,"Aging Summary";#N/A,#N/A,FALSE,"Ratio Analysis";#N/A,#N/A,FALSE,"Test 120 Day Accts";#N/A,#N/A,FALSE,"Tickmarks"}</definedName>
    <definedName name="ocmwpc" hidden="1">{#N/A,#N/A,FALSE,"Aging Summary";#N/A,#N/A,FALSE,"Ratio Analysis";#N/A,#N/A,FALSE,"Test 120 Day Accts";#N/A,#N/A,FALSE,"Tickmarks"}</definedName>
    <definedName name="ococece" hidden="1">#REF!</definedName>
    <definedName name="ocwkeokwe" hidden="1">{#N/A,#N/A,FALSE,"Aging Summary";#N/A,#N/A,FALSE,"Ratio Analysis";#N/A,#N/A,FALSE,"Test 120 Day Accts";#N/A,#N/A,FALSE,"Tickmarks"}</definedName>
    <definedName name="ocwko" hidden="1">#REF!</definedName>
    <definedName name="ocwmeew" hidden="1">{#N/A,#N/A,FALSE,"Aging Summary";#N/A,#N/A,FALSE,"Ratio Analysis";#N/A,#N/A,FALSE,"Test 120 Day Accts";#N/A,#N/A,FALSE,"Tickmarks"}</definedName>
    <definedName name="ODAFKKF" hidden="1">#REF!</definedName>
    <definedName name="odakosdakod" hidden="1">{#N/A,#N/A,FALSE,"Aging Summary";#N/A,#N/A,FALSE,"Ratio Analysis";#N/A,#N/A,FALSE,"Test 120 Day Accts";#N/A,#N/A,FALSE,"Tickmarks"}</definedName>
    <definedName name="odaodkaod" hidden="1">{#N/A,#N/A,FALSE,"Aging Summary";#N/A,#N/A,FALSE,"Ratio Analysis";#N/A,#N/A,FALSE,"Test 120 Day Accts";#N/A,#N/A,FALSE,"Tickmarks"}</definedName>
    <definedName name="odeode" hidden="1">{#N/A,#N/A,FALSE,"Aging Summary";#N/A,#N/A,FALSE,"Ratio Analysis";#N/A,#N/A,FALSE,"Test 120 Day Accts";#N/A,#N/A,FALSE,"Tickmarks"}</definedName>
    <definedName name="odeokdw" hidden="1">{#N/A,#N/A,FALSE,"Aging Summary";#N/A,#N/A,FALSE,"Ratio Analysis";#N/A,#N/A,FALSE,"Test 120 Day Accts";#N/A,#N/A,FALSE,"Tickmarks"}</definedName>
    <definedName name="odeowdkwodkw" hidden="1">{#N/A,#N/A,FALSE,"Aging Summary";#N/A,#N/A,FALSE,"Ratio Analysis";#N/A,#N/A,FALSE,"Test 120 Day Accts";#N/A,#N/A,FALSE,"Tickmarks"}</definedName>
    <definedName name="odewokdwoed" hidden="1">#REF!</definedName>
    <definedName name="odewqodqo" hidden="1">#REF!</definedName>
    <definedName name="odfksofdks" hidden="1">{#N/A,#N/A,FALSE,"Aging Summary";#N/A,#N/A,FALSE,"Ratio Analysis";#N/A,#N/A,FALSE,"Test 120 Day Accts";#N/A,#N/A,FALSE,"Tickmarks"}</definedName>
    <definedName name="ODISD" hidden="1">{#N/A,#N/A,FALSE,"Aging Summary";#N/A,#N/A,FALSE,"Ratio Analysis";#N/A,#N/A,FALSE,"Test 120 Day Accts";#N/A,#N/A,FALSE,"Tickmarks"}</definedName>
    <definedName name="odkdod" hidden="1">{#N/A,#N/A,FALSE,"Aging Summary";#N/A,#N/A,FALSE,"Ratio Analysis";#N/A,#N/A,FALSE,"Test 120 Day Accts";#N/A,#N/A,FALSE,"Tickmarks"}</definedName>
    <definedName name="odkeode" hidden="1">{#N/A,#N/A,FALSE,"Aging Summary";#N/A,#N/A,FALSE,"Ratio Analysis";#N/A,#N/A,FALSE,"Test 120 Day Accts";#N/A,#N/A,FALSE,"Tickmarks"}</definedName>
    <definedName name="ODKFDSKF" hidden="1">#REF!</definedName>
    <definedName name="ODKJAOSD" hidden="1">{#N/A,#N/A,FALSE,"Aging Summary";#N/A,#N/A,FALSE,"Ratio Analysis";#N/A,#N/A,FALSE,"Test 120 Day Accts";#N/A,#N/A,FALSE,"Tickmarks"}</definedName>
    <definedName name="odkodq" hidden="1">#REF!</definedName>
    <definedName name="odkoekd" hidden="1">{#N/A,#N/A,FALSE,"Aging Summary";#N/A,#N/A,FALSE,"Ratio Analysis";#N/A,#N/A,FALSE,"Test 120 Day Accts";#N/A,#N/A,FALSE,"Tickmarks"}</definedName>
    <definedName name="odkqdq" hidden="1">{#N/A,#N/A,FALSE,"Aging Summary";#N/A,#N/A,FALSE,"Ratio Analysis";#N/A,#N/A,FALSE,"Test 120 Day Accts";#N/A,#N/A,FALSE,"Tickmarks"}</definedName>
    <definedName name="odkqodkq" hidden="1">{#N/A,#N/A,FALSE,"Aging Summary";#N/A,#N/A,FALSE,"Ratio Analysis";#N/A,#N/A,FALSE,"Test 120 Day Accts";#N/A,#N/A,FALSE,"Tickmarks"}</definedName>
    <definedName name="odkqodkqk" hidden="1">{#N/A,#N/A,FALSE,"Aging Summary";#N/A,#N/A,FALSE,"Ratio Analysis";#N/A,#N/A,FALSE,"Test 120 Day Accts";#N/A,#N/A,FALSE,"Tickmarks"}</definedName>
    <definedName name="odkqodqdkq" hidden="1">{#N/A,#N/A,FALSE,"Aging Summary";#N/A,#N/A,FALSE,"Ratio Analysis";#N/A,#N/A,FALSE,"Test 120 Day Accts";#N/A,#N/A,FALSE,"Tickmarks"}</definedName>
    <definedName name="odkqowkdq" hidden="1">#REF!</definedName>
    <definedName name="odkqwdoqkd" hidden="1">{"balanço dolares",#N/A,FALSE,"SIGADR$";"AUT BAL REAIS",#N/A,FALSE,"SIGADR$";"QUOCIENTES REAIS",#N/A,FALSE,"QUOCIENTES";"JUNH QUOCI DOLARES",#N/A,FALSE,"QUOCIENTES"}</definedName>
    <definedName name="odkw" hidden="1">#REF!</definedName>
    <definedName name="odkwdkwdok" hidden="1">{#N/A,#N/A,FALSE,"Aging Summary";#N/A,#N/A,FALSE,"Ratio Analysis";#N/A,#N/A,FALSE,"Test 120 Day Accts";#N/A,#N/A,FALSE,"Tickmarks"}</definedName>
    <definedName name="odkwokfw" hidden="1">#REF!</definedName>
    <definedName name="odkwqodkqd" hidden="1">{#N/A,#N/A,FALSE,"Aging Summary";#N/A,#N/A,FALSE,"Ratio Analysis";#N/A,#N/A,FALSE,"Test 120 Day Accts";#N/A,#N/A,FALSE,"Tickmarks"}</definedName>
    <definedName name="odlasdka" hidden="1">#REF!</definedName>
    <definedName name="odmwqodqdq" hidden="1">{#N/A,#N/A,FALSE,"Aging Summary";#N/A,#N/A,FALSE,"Ratio Analysis";#N/A,#N/A,FALSE,"Test 120 Day Accts";#N/A,#N/A,FALSE,"Tickmarks"}</definedName>
    <definedName name="odoedke" hidden="1">{#N/A,#N/A,FALSE,"Aging Summary";#N/A,#N/A,FALSE,"Ratio Analysis";#N/A,#N/A,FALSE,"Test 120 Day Accts";#N/A,#N/A,FALSE,"Tickmarks"}</definedName>
    <definedName name="odoide" hidden="1">#REF!</definedName>
    <definedName name="odowjqowdjqowd" hidden="1">{#N/A,#N/A,FALSE,"Aging Summary";#N/A,#N/A,FALSE,"Ratio Analysis";#N/A,#N/A,FALSE,"Test 120 Day Accts";#N/A,#N/A,FALSE,"Tickmarks"}</definedName>
    <definedName name="odqidq" hidden="1">#REF!</definedName>
    <definedName name="odqkjdq32" hidden="1">#REF!</definedName>
    <definedName name="odqkodqkd" hidden="1">{#N/A,#N/A,FALSE,"Aging Summary";#N/A,#N/A,FALSE,"Ratio Analysis";#N/A,#N/A,FALSE,"Test 120 Day Accts";#N/A,#N/A,FALSE,"Tickmarks"}</definedName>
    <definedName name="odqkwodqkdoqk" hidden="1">#REF!</definedName>
    <definedName name="odqodq" hidden="1">{#N/A,#N/A,FALSE,"Aging Summary";#N/A,#N/A,FALSE,"Ratio Analysis";#N/A,#N/A,FALSE,"Test 120 Day Accts";#N/A,#N/A,FALSE,"Tickmarks"}</definedName>
    <definedName name="odqodqodqo" hidden="1">#REF!</definedName>
    <definedName name="odqwjdq" hidden="1">#REF!</definedName>
    <definedName name="odqwodkq" hidden="1">{#N/A,#N/A,FALSE,"Aging Summary";#N/A,#N/A,FALSE,"Ratio Analysis";#N/A,#N/A,FALSE,"Test 120 Day Accts";#N/A,#N/A,FALSE,"Tickmarks"}</definedName>
    <definedName name="odsajiaioh12le3kh3k4kkda" hidden="1">{#N/A,#N/A,FALSE,"Aging Summary";#N/A,#N/A,FALSE,"Ratio Analysis";#N/A,#N/A,FALSE,"Test 120 Day Accts";#N/A,#N/A,FALSE,"Tickmarks"}</definedName>
    <definedName name="ODSUA9A0P0" hidden="1">#REF!</definedName>
    <definedName name="odwkdw" hidden="1">#REF!</definedName>
    <definedName name="odwkf3" hidden="1">{#N/A,#N/A,FALSE,"Individual";#N/A,#N/A,FALSE,"Colectivo";#N/A,#N/A,FALSE,"Accidentes";#N/A,#N/A,FALSE,"Previsional";#N/A,#N/A,FALSE,"Total"}</definedName>
    <definedName name="odwokdw" hidden="1">#REF!</definedName>
    <definedName name="odwqkodq" hidden="1">{#N/A,#N/A,FALSE,"Aging Summary";#N/A,#N/A,FALSE,"Ratio Analysis";#N/A,#N/A,FALSE,"Test 120 Day Accts";#N/A,#N/A,FALSE,"Tickmarks"}</definedName>
    <definedName name="odwqodq" hidden="1">#REF!</definedName>
    <definedName name="oedwd" hidden="1">{#N/A,#N/A,FALSE,"Aging Summary";#N/A,#N/A,FALSE,"Ratio Analysis";#N/A,#N/A,FALSE,"Test 120 Day Accts";#N/A,#N/A,FALSE,"Tickmarks"}</definedName>
    <definedName name="oefkeof" hidden="1">{#N/A,#N/A,FALSE,"Aging Summary";#N/A,#N/A,FALSE,"Ratio Analysis";#N/A,#N/A,FALSE,"Test 120 Day Accts";#N/A,#N/A,FALSE,"Tickmarks"}</definedName>
    <definedName name="oefkfe" hidden="1">#REF!</definedName>
    <definedName name="oefoefe" hidden="1">{#N/A,#N/A,FALSE,"Aging Summary";#N/A,#N/A,FALSE,"Ratio Analysis";#N/A,#N/A,FALSE,"Test 120 Day Accts";#N/A,#N/A,FALSE,"Tickmarks"}</definedName>
    <definedName name="oefwpfwp" hidden="1">#REF!</definedName>
    <definedName name="oeiqweq" hidden="1">{#N/A,#N/A,FALSE,"Aging Summary";#N/A,#N/A,FALSE,"Ratio Analysis";#N/A,#N/A,FALSE,"Test 120 Day Accts";#N/A,#N/A,FALSE,"Tickmarks"}</definedName>
    <definedName name="oekdod" hidden="1">{#N/A,#N/A,FALSE,"Aging Summary";#N/A,#N/A,FALSE,"Ratio Analysis";#N/A,#N/A,FALSE,"Test 120 Day Accts";#N/A,#N/A,FALSE,"Tickmarks"}</definedName>
    <definedName name="oekdoekd" hidden="1">{#N/A,#N/A,FALSE,"Aging Summary";#N/A,#N/A,FALSE,"Ratio Analysis";#N/A,#N/A,FALSE,"Test 120 Day Accts";#N/A,#N/A,FALSE,"Tickmarks"}</definedName>
    <definedName name="oekfef" hidden="1">{#N/A,#N/A,FALSE,"Aging Summary";#N/A,#N/A,FALSE,"Ratio Analysis";#N/A,#N/A,FALSE,"Test 120 Day Accts";#N/A,#N/A,FALSE,"Tickmarks"}</definedName>
    <definedName name="oekfeokf" hidden="1">#REF!</definedName>
    <definedName name="oekfowkf" hidden="1">{#N/A,#N/A,FALSE,"Aging Summary";#N/A,#N/A,FALSE,"Ratio Analysis";#N/A,#N/A,FALSE,"Test 120 Day Accts";#N/A,#N/A,FALSE,"Tickmarks"}</definedName>
    <definedName name="oekfw2" hidden="1">#REF!</definedName>
    <definedName name="oekgoe" hidden="1">{#N/A,#N/A,FALSE,"Aging Summary";#N/A,#N/A,FALSE,"Ratio Analysis";#N/A,#N/A,FALSE,"Test 120 Day Accts";#N/A,#N/A,FALSE,"Tickmarks"}</definedName>
    <definedName name="oekodkodw" hidden="1">{#N/A,#N/A,FALSE,"Aging Summary";#N/A,#N/A,FALSE,"Ratio Analysis";#N/A,#N/A,FALSE,"Test 120 Day Accts";#N/A,#N/A,FALSE,"Tickmarks"}</definedName>
    <definedName name="oekqokeq" hidden="1">{#N/A,#N/A,FALSE,"Aging Summary";#N/A,#N/A,FALSE,"Ratio Analysis";#N/A,#N/A,FALSE,"Test 120 Day Accts";#N/A,#N/A,FALSE,"Tickmarks"}</definedName>
    <definedName name="oekvroerv" hidden="1">{#N/A,#N/A,FALSE,"Aging Summary";#N/A,#N/A,FALSE,"Ratio Analysis";#N/A,#N/A,FALSE,"Test 120 Day Accts";#N/A,#N/A,FALSE,"Tickmarks"}</definedName>
    <definedName name="oekwofw" hidden="1">{#N/A,#N/A,FALSE,"Aging Summary";#N/A,#N/A,FALSE,"Ratio Analysis";#N/A,#N/A,FALSE,"Test 120 Day Accts";#N/A,#N/A,FALSE,"Tickmarks"}</definedName>
    <definedName name="oele" hidden="1">{#N/A,#N/A,FALSE,"Aging Summary";#N/A,#N/A,FALSE,"Ratio Analysis";#N/A,#N/A,FALSE,"Test 120 Day Accts";#N/A,#N/A,FALSE,"Tickmarks"}</definedName>
    <definedName name="oelkfef" hidden="1">{#N/A,#N/A,FALSE,"Aging Summary";#N/A,#N/A,FALSE,"Ratio Analysis";#N/A,#N/A,FALSE,"Test 120 Day Accts";#N/A,#N/A,FALSE,"Tickmarks"}</definedName>
    <definedName name="oeoeo" hidden="1">{#N/A,#N/A,FALSE,"Aging Summary";#N/A,#N/A,FALSE,"Ratio Analysis";#N/A,#N/A,FALSE,"Test 120 Day Accts";#N/A,#N/A,FALSE,"Tickmarks"}</definedName>
    <definedName name="oeoeoe" hidden="1">{#N/A,#N/A,FALSE,"Aging Summary";#N/A,#N/A,FALSE,"Ratio Analysis";#N/A,#N/A,FALSE,"Test 120 Day Accts";#N/A,#N/A,FALSE,"Tickmarks"}</definedName>
    <definedName name="oeorwer" hidden="1">{#N/A,#N/A,FALSE,"Aging Summary";#N/A,#N/A,FALSE,"Ratio Analysis";#N/A,#N/A,FALSE,"Test 120 Day Accts";#N/A,#N/A,FALSE,"Tickmarks"}</definedName>
    <definedName name="oepwedw" hidden="1">{#N/A,#N/A,FALSE,"Aging Summary";#N/A,#N/A,FALSE,"Ratio Analysis";#N/A,#N/A,FALSE,"Test 120 Day Accts";#N/A,#N/A,FALSE,"Tickmarks"}</definedName>
    <definedName name="oeqorqr" hidden="1">#REF!</definedName>
    <definedName name="oeqwoq" hidden="1">#REF!</definedName>
    <definedName name="oerfoef" hidden="1">{#N/A,#N/A,FALSE,"Aging Summary";#N/A,#N/A,FALSE,"Ratio Analysis";#N/A,#N/A,FALSE,"Test 120 Day Accts";#N/A,#N/A,FALSE,"Tickmarks"}</definedName>
    <definedName name="oewcoweoc" hidden="1">#REF!</definedName>
    <definedName name="oewew" hidden="1">#REF!</definedName>
    <definedName name="oewfkewf" hidden="1">{#N/A,#N/A,FALSE,"Aging Summary";#N/A,#N/A,FALSE,"Ratio Analysis";#N/A,#N/A,FALSE,"Test 120 Day Accts";#N/A,#N/A,FALSE,"Tickmarks"}</definedName>
    <definedName name="oewfowf" hidden="1">{#N/A,#N/A,FALSE,"Aging Summary";#N/A,#N/A,FALSE,"Ratio Analysis";#N/A,#N/A,FALSE,"Test 120 Day Accts";#N/A,#N/A,FALSE,"Tickmarks"}</definedName>
    <definedName name="oewkfoewf" hidden="1">#REF!</definedName>
    <definedName name="oewkfowef" hidden="1">#REF!</definedName>
    <definedName name="oewkfw" hidden="1">#REF!</definedName>
    <definedName name="oewkfwen" hidden="1">#REF!</definedName>
    <definedName name="oewkfwofw" hidden="1">#REF!</definedName>
    <definedName name="oewkofw" hidden="1">#REF!</definedName>
    <definedName name="oewmewom" hidden="1">#REF!</definedName>
    <definedName name="oewofkwf" hidden="1">{#N/A,#N/A,FALSE,"Aging Summary";#N/A,#N/A,FALSE,"Ratio Analysis";#N/A,#N/A,FALSE,"Test 120 Day Accts";#N/A,#N/A,FALSE,"Tickmarks"}</definedName>
    <definedName name="oeww" hidden="1">{#N/A,#N/A,FALSE,"Aging Summary";#N/A,#N/A,FALSE,"Ratio Analysis";#N/A,#N/A,FALSE,"Test 120 Day Accts";#N/A,#N/A,FALSE,"Tickmarks"}</definedName>
    <definedName name="OFADSKFAKQ" hidden="1">#REF!</definedName>
    <definedName name="OFAKAKF" hidden="1">#REF!</definedName>
    <definedName name="OFAKFA" hidden="1">#REF!</definedName>
    <definedName name="OFAKFAKKFS" hidden="1">#REF!</definedName>
    <definedName name="OFAKFKA" hidden="1">#REF!</definedName>
    <definedName name="OFAKFKASK" hidden="1">#REF!</definedName>
    <definedName name="OFAKFOAK" hidden="1">#REF!</definedName>
    <definedName name="OFAKFQQE" hidden="1">#REF!</definedName>
    <definedName name="OFAKFSAFK" hidden="1">#REF!</definedName>
    <definedName name="OFAKOFAK" hidden="1">#REF!</definedName>
    <definedName name="OFAKS" hidden="1">#REF!</definedName>
    <definedName name="OFAKSFAK" hidden="1">#REF!</definedName>
    <definedName name="OFAKSFAKFKK" hidden="1">#REF!</definedName>
    <definedName name="OFAKSFKA" hidden="1">#REF!</definedName>
    <definedName name="OFAKSO" hidden="1">#REF!</definedName>
    <definedName name="OFAKSOKF" hidden="1">#REF!</definedName>
    <definedName name="OFAO" hidden="1">#REF!</definedName>
    <definedName name="OFAOFAOFA" hidden="1">#REF!</definedName>
    <definedName name="OFAOFOAOFA" hidden="1">#REF!</definedName>
    <definedName name="OFAOSFA" hidden="1">#REF!</definedName>
    <definedName name="OFAPSFOAP" hidden="1">#REF!</definedName>
    <definedName name="OFASKFAK" hidden="1">#REF!</definedName>
    <definedName name="OFASKFKAK" hidden="1">#REF!</definedName>
    <definedName name="OFASKOFKA" hidden="1">#REF!</definedName>
    <definedName name="OFASOFKA" hidden="1">#REF!</definedName>
    <definedName name="ofdeokfde" hidden="1">{#N/A,#N/A,FALSE,"Aging Summary";#N/A,#N/A,FALSE,"Ratio Analysis";#N/A,#N/A,FALSE,"Test 120 Day Accts";#N/A,#N/A,FALSE,"Tickmarks"}</definedName>
    <definedName name="ofdjfd" hidden="1">{#N/A,#N/A,FALSE,"Aging Summary";#N/A,#N/A,FALSE,"Ratio Analysis";#N/A,#N/A,FALSE,"Test 120 Day Accts";#N/A,#N/A,FALSE,"Tickmarks"}</definedName>
    <definedName name="ofdkofkd" hidden="1">{#N/A,#N/A,FALSE,"Aging Summary";#N/A,#N/A,FALSE,"Ratio Analysis";#N/A,#N/A,FALSE,"Test 120 Day Accts";#N/A,#N/A,FALSE,"Tickmarks"}</definedName>
    <definedName name="ofdokfdk" hidden="1">{#N/A,#N/A,FALSE,"Aging Summary";#N/A,#N/A,FALSE,"Ratio Analysis";#N/A,#N/A,FALSE,"Test 120 Day Accts";#N/A,#N/A,FALSE,"Tickmarks"}</definedName>
    <definedName name="ofdwkfwe" hidden="1">#REF!</definedName>
    <definedName name="ofef" hidden="1">#REF!</definedName>
    <definedName name="ofekfe" hidden="1">{#N/A,#N/A,FALSE,"Aging Summary";#N/A,#N/A,FALSE,"Ratio Analysis";#N/A,#N/A,FALSE,"Test 120 Day Accts";#N/A,#N/A,FALSE,"Tickmarks"}</definedName>
    <definedName name="ofekfoe" hidden="1">#REF!</definedName>
    <definedName name="ofekofe" hidden="1">{#N/A,#N/A,FALSE,"Aging Summary";#N/A,#N/A,FALSE,"Ratio Analysis";#N/A,#N/A,FALSE,"Test 120 Day Accts";#N/A,#N/A,FALSE,"Tickmarks"}</definedName>
    <definedName name="ofekofwf" hidden="1">{#N/A,#N/A,FALSE,"Aging Summary";#N/A,#N/A,FALSE,"Ratio Analysis";#N/A,#N/A,FALSE,"Test 120 Day Accts";#N/A,#N/A,FALSE,"Tickmarks"}</definedName>
    <definedName name="ofekwf" hidden="1">#REF!</definedName>
    <definedName name="ofelfe" hidden="1">{#N/A,#N/A,FALSE,"Aging Summary";#N/A,#N/A,FALSE,"Ratio Analysis";#N/A,#N/A,FALSE,"Test 120 Day Accts";#N/A,#N/A,FALSE,"Tickmarks"}</definedName>
    <definedName name="ofeof" hidden="1">{#N/A,#N/A,FALSE,"Aging Summary";#N/A,#N/A,FALSE,"Ratio Analysis";#N/A,#N/A,FALSE,"Test 120 Day Accts";#N/A,#N/A,FALSE,"Tickmarks"}</definedName>
    <definedName name="ofeofw"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ofeofwo" hidden="1">{#N/A,#N/A,FALSE,"Aging Summary";#N/A,#N/A,FALSE,"Ratio Analysis";#N/A,#N/A,FALSE,"Test 120 Day Accts";#N/A,#N/A,FALSE,"Tickmarks"}</definedName>
    <definedName name="ofewfkwf" hidden="1">#REF!</definedName>
    <definedName name="ofewjf" hidden="1">#REF!</definedName>
    <definedName name="ofewjfw" hidden="1">#REF!</definedName>
    <definedName name="ofewkf" hidden="1">#REF!</definedName>
    <definedName name="ofewkfowef" hidden="1">#REF!</definedName>
    <definedName name="ofewkfowfw" hidden="1">#REF!</definedName>
    <definedName name="ofewkfowkf" hidden="1">{#N/A,#N/A,FALSE,"Aging Summary";#N/A,#N/A,FALSE,"Ratio Analysis";#N/A,#N/A,FALSE,"Test 120 Day Accts";#N/A,#N/A,FALSE,"Tickmarks"}</definedName>
    <definedName name="ofewkfw" hidden="1">{#N/A,#N/A,FALSE,"Aging Summary";#N/A,#N/A,FALSE,"Ratio Analysis";#N/A,#N/A,FALSE,"Test 120 Day Accts";#N/A,#N/A,FALSE,"Tickmarks"}</definedName>
    <definedName name="ofewkofw" hidden="1">#REF!</definedName>
    <definedName name="ofewmfw" hidden="1">{#N/A,#N/A,FALSE,"Aging Summary";#N/A,#N/A,FALSE,"Ratio Analysis";#N/A,#N/A,FALSE,"Test 120 Day Accts";#N/A,#N/A,FALSE,"Tickmarks"}</definedName>
    <definedName name="ofewofw" hidden="1">{#N/A,#N/A,FALSE,"Aging Summary";#N/A,#N/A,FALSE,"Ratio Analysis";#N/A,#N/A,FALSE,"Test 120 Day Accts";#N/A,#N/A,FALSE,"Tickmarks"}</definedName>
    <definedName name="ofewofwkfw" hidden="1">{#N/A,#N/A,FALSE,"Aging Summary";#N/A,#N/A,FALSE,"Ratio Analysis";#N/A,#N/A,FALSE,"Test 120 Day Accts";#N/A,#N/A,FALSE,"Tickmarks"}</definedName>
    <definedName name="ofewokfw" hidden="1">{#N/A,#N/A,FALSE,"Aging Summary";#N/A,#N/A,FALSE,"Ratio Analysis";#N/A,#N/A,FALSE,"Test 120 Day Accts";#N/A,#N/A,FALSE,"Tickmarks"}</definedName>
    <definedName name="ofewqif" hidden="1">#REF!</definedName>
    <definedName name="ofewwfw" hidden="1">{#N/A,#N/A,FALSE,"Aging Summary";#N/A,#N/A,FALSE,"Ratio Analysis";#N/A,#N/A,FALSE,"Test 120 Day Accts";#N/A,#N/A,FALSE,"Tickmarks"}</definedName>
    <definedName name="ofiewfw" hidden="1">#REF!</definedName>
    <definedName name="ofjiewfw" hidden="1">{#N/A,#N/A,FALSE,"Aging Summary";#N/A,#N/A,FALSE,"Ratio Analysis";#N/A,#N/A,FALSE,"Test 120 Day Accts";#N/A,#N/A,FALSE,"Tickmarks"}</definedName>
    <definedName name="ofjowf" hidden="1">#REF!</definedName>
    <definedName name="ofjq" hidden="1">#REF!</definedName>
    <definedName name="ofjqoejfq" hidden="1">#REF!</definedName>
    <definedName name="ofjwef" hidden="1">#REF!</definedName>
    <definedName name="ofjweofw" hidden="1">{#N/A,#N/A,FALSE,"Aging Summary";#N/A,#N/A,FALSE,"Ratio Analysis";#N/A,#N/A,FALSE,"Test 120 Day Accts";#N/A,#N/A,FALSE,"Tickmarks"}</definedName>
    <definedName name="ofjwf" hidden="1">#REF!</definedName>
    <definedName name="OFKADFAF" hidden="1">#REF!</definedName>
    <definedName name="OFKAKAFAK" hidden="1">#REF!</definedName>
    <definedName name="OFKASOKFA" hidden="1">#REF!</definedName>
    <definedName name="ofkdokfsd" hidden="1">{#N/A,#N/A,FALSE,"Aging Summary";#N/A,#N/A,FALSE,"Ratio Analysis";#N/A,#N/A,FALSE,"Test 120 Day Accts";#N/A,#N/A,FALSE,"Tickmarks"}</definedName>
    <definedName name="ofkef" hidden="1">{#N/A,#N/A,FALSE,"Aging Summary";#N/A,#N/A,FALSE,"Ratio Analysis";#N/A,#N/A,FALSE,"Test 120 Day Accts";#N/A,#N/A,FALSE,"Tickmarks"}</definedName>
    <definedName name="ofkefoke" hidden="1">{#N/A,#N/A,FALSE,"Aging Summary";#N/A,#N/A,FALSE,"Ratio Analysis";#N/A,#N/A,FALSE,"Test 120 Day Accts";#N/A,#N/A,FALSE,"Tickmarks"}</definedName>
    <definedName name="ofkefowk" hidden="1">#REF!</definedName>
    <definedName name="ofkefwo" hidden="1">{"balanço dolares",#N/A,FALSE,"SIGADR$";"AUT BAL REAIS",#N/A,FALSE,"SIGADR$";"QUOCIENTES REAIS",#N/A,FALSE,"QUOCIENTES";"JUNH QUOCI DOLARES",#N/A,FALSE,"QUOCIENTES"}</definedName>
    <definedName name="ofkeofekf" hidden="1">{#N/A,#N/A,FALSE,"Aging Summary";#N/A,#N/A,FALSE,"Ratio Analysis";#N/A,#N/A,FALSE,"Test 120 Day Accts";#N/A,#N/A,FALSE,"Tickmarks"}</definedName>
    <definedName name="ofkeorf" hidden="1">{#N/A,#N/A,FALSE,"Aging Summary";#N/A,#N/A,FALSE,"Ratio Analysis";#N/A,#N/A,FALSE,"Test 120 Day Accts";#N/A,#N/A,FALSE,"Tickmarks"}</definedName>
    <definedName name="OFKEQFQ" hidden="1">{#N/A,#N/A,FALSE,"Aging Summary";#N/A,#N/A,FALSE,"Ratio Analysis";#N/A,#N/A,FALSE,"Test 120 Day Accts";#N/A,#N/A,FALSE,"Tickmarks"}</definedName>
    <definedName name="OFKEQOFKQEKFQ" hidden="1">{#N/A,#N/A,FALSE,"Aging Summary";#N/A,#N/A,FALSE,"Ratio Analysis";#N/A,#N/A,FALSE,"Test 120 Day Accts";#N/A,#N/A,FALSE,"Tickmarks"}</definedName>
    <definedName name="ofkewfkw" hidden="1">{#N/A,#N/A,FALSE,"invoice ucc";#N/A,#N/A,FALSE,"asiento"}</definedName>
    <definedName name="ofkewof" hidden="1">#REF!</definedName>
    <definedName name="ofkewofkwef" hidden="1">{#N/A,#N/A,FALSE,"Aging Summary";#N/A,#N/A,FALSE,"Ratio Analysis";#N/A,#N/A,FALSE,"Test 120 Day Accts";#N/A,#N/A,FALSE,"Tickmarks"}</definedName>
    <definedName name="ofkewofkwf" hidden="1">{#N/A,#N/A,FALSE,"Aging Summary";#N/A,#N/A,FALSE,"Ratio Analysis";#N/A,#N/A,FALSE,"Test 120 Day Accts";#N/A,#N/A,FALSE,"Tickmarks"}</definedName>
    <definedName name="ofkewofkwfw" hidden="1">{#N/A,#N/A,FALSE,"Aging Summary";#N/A,#N/A,FALSE,"Ratio Analysis";#N/A,#N/A,FALSE,"Test 120 Day Accts";#N/A,#N/A,FALSE,"Tickmarks"}</definedName>
    <definedName name="ofkewofwkf" hidden="1">{#N/A,#N/A,FALSE,"Aging Summary";#N/A,#N/A,FALSE,"Ratio Analysis";#N/A,#N/A,FALSE,"Test 120 Day Accts";#N/A,#N/A,FALSE,"Tickmarks"}</definedName>
    <definedName name="ofkjewf" hidden="1">#REF!</definedName>
    <definedName name="ofkjwfw43" hidden="1">#REF!</definedName>
    <definedName name="ofkoewkfwf" hidden="1">#REF!</definedName>
    <definedName name="ofkrf" hidden="1">{#N/A,#N/A,FALSE,"Aging Summary";#N/A,#N/A,FALSE,"Ratio Analysis";#N/A,#N/A,FALSE,"Test 120 Day Accts";#N/A,#N/A,FALSE,"Tickmarks"}</definedName>
    <definedName name="OFKSAFKSA" hidden="1">#REF!</definedName>
    <definedName name="OFKSAFOAK" hidden="1">#REF!</definedName>
    <definedName name="ofksofk" hidden="1">{#N/A,#N/A,FALSE,"Aging Summary";#N/A,#N/A,FALSE,"Ratio Analysis";#N/A,#N/A,FALSE,"Test 120 Day Accts";#N/A,#N/A,FALSE,"Tickmarks"}</definedName>
    <definedName name="ofkw32" hidden="1">#REF!</definedName>
    <definedName name="ofkwe" hidden="1">#REF!</definedName>
    <definedName name="ofkwef" hidden="1">#REF!</definedName>
    <definedName name="ofkwekfw" hidden="1">{#N/A,#N/A,FALSE,"Aging Summary";#N/A,#N/A,FALSE,"Ratio Analysis";#N/A,#N/A,FALSE,"Test 120 Day Accts";#N/A,#N/A,FALSE,"Tickmarks"}</definedName>
    <definedName name="ofkweof" hidden="1">{"RESULTADOS REAIS",#N/A,FALSE,"Dem.Res.R$";"RESULTADOS DOLARES",#N/A,FALSE,"Dem.Res.US$";"PERCENTUAIS REAIS",#N/A,FALSE,"Percentuais R$";"PERCENTUAIS DOLARES",#N/A,FALSE,"Percentuais US$"}</definedName>
    <definedName name="ofkweofkw" hidden="1">{#N/A,#N/A,FALSE,"invoice ucc";#N/A,#N/A,FALSE,"asiento"}</definedName>
    <definedName name="ofkweofkwf" hidden="1">{#N/A,#N/A,FALSE,"Aging Summary";#N/A,#N/A,FALSE,"Ratio Analysis";#N/A,#N/A,FALSE,"Test 120 Day Accts";#N/A,#N/A,FALSE,"Tickmarks"}</definedName>
    <definedName name="ofkweofw" hidden="1">{#N/A,#N/A,FALSE,"Aging Summary";#N/A,#N/A,FALSE,"Ratio Analysis";#N/A,#N/A,FALSE,"Test 120 Day Accts";#N/A,#N/A,FALSE,"Tickmarks"}</definedName>
    <definedName name="ofkweokfw" hidden="1">{#N/A,#N/A,FALSE,"Aging Summary";#N/A,#N/A,FALSE,"Ratio Analysis";#N/A,#N/A,FALSE,"Test 120 Day Accts";#N/A,#N/A,FALSE,"Tickmarks"}</definedName>
    <definedName name="ofkwepokfwpofkw" hidden="1">{#N/A,#N/A,FALSE,"Aging Summary";#N/A,#N/A,FALSE,"Ratio Analysis";#N/A,#N/A,FALSE,"Test 120 Day Accts";#N/A,#N/A,FALSE,"Tickmarks"}</definedName>
    <definedName name="ofkwf" hidden="1">{#N/A,#N/A,FALSE,"Aging Summary";#N/A,#N/A,FALSE,"Ratio Analysis";#N/A,#N/A,FALSE,"Test 120 Day Accts";#N/A,#N/A,FALSE,"Tickmarks"}</definedName>
    <definedName name="ofkwfow" hidden="1">#REF!</definedName>
    <definedName name="ofkwfw" hidden="1">{#N/A,#N/A,FALSE,"Aging Summary";#N/A,#N/A,FALSE,"Ratio Analysis";#N/A,#N/A,FALSE,"Test 120 Day Accts";#N/A,#N/A,FALSE,"Tickmarks"}</definedName>
    <definedName name="ofkwfwf" hidden="1">#REF!</definedName>
    <definedName name="ofkwk" hidden="1">#REF!</definedName>
    <definedName name="ofkwoe"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ofkwoefwf" hidden="1">{#N/A,#N/A,FALSE,"Aging Summary";#N/A,#N/A,FALSE,"Ratio Analysis";#N/A,#N/A,FALSE,"Test 120 Day Accts";#N/A,#N/A,FALSE,"Tickmarks"}</definedName>
    <definedName name="ofkwoekfwf" hidden="1">{#N/A,#N/A,FALSE,"Aging Summary";#N/A,#N/A,FALSE,"Ratio Analysis";#N/A,#N/A,FALSE,"Test 120 Day Accts";#N/A,#N/A,FALSE,"Tickmarks"}</definedName>
    <definedName name="ofkwof" hidden="1">{#N/A,#N/A,FALSE,"Aging Summary";#N/A,#N/A,FALSE,"Ratio Analysis";#N/A,#N/A,FALSE,"Test 120 Day Accts";#N/A,#N/A,FALSE,"Tickmarks"}</definedName>
    <definedName name="ofkwof3" hidden="1">#REF!</definedName>
    <definedName name="ofkwofkw" hidden="1">{#N/A,#N/A,FALSE,"Aging Summary";#N/A,#N/A,FALSE,"Ratio Analysis";#N/A,#N/A,FALSE,"Test 120 Day Accts";#N/A,#N/A,FALSE,"Tickmarks"}</definedName>
    <definedName name="ofkwofkwf" hidden="1">{#N/A,#N/A,FALSE,"Aging Summary";#N/A,#N/A,FALSE,"Ratio Analysis";#N/A,#N/A,FALSE,"Test 120 Day Accts";#N/A,#N/A,FALSE,"Tickmarks"}</definedName>
    <definedName name="ofkwofkwfk" hidden="1">{#N/A,#N/A,FALSE,"Aging Summary";#N/A,#N/A,FALSE,"Ratio Analysis";#N/A,#N/A,FALSE,"Test 120 Day Accts";#N/A,#N/A,FALSE,"Tickmarks"}</definedName>
    <definedName name="ofkwofw" hidden="1">{#N/A,#N/A,FALSE,"Aging Summary";#N/A,#N/A,FALSE,"Ratio Analysis";#N/A,#N/A,FALSE,"Test 120 Day Accts";#N/A,#N/A,FALSE,"Tickmarks"}</definedName>
    <definedName name="ofkwofwf" hidden="1">{#N/A,#N/A,FALSE,"Aging Summary";#N/A,#N/A,FALSE,"Ratio Analysis";#N/A,#N/A,FALSE,"Test 120 Day Accts";#N/A,#N/A,FALSE,"Tickmarks"}</definedName>
    <definedName name="ofkwokfe" hidden="1">#REF!</definedName>
    <definedName name="ofkwokfw" hidden="1">#REF!</definedName>
    <definedName name="ofkwow" hidden="1">#REF!</definedName>
    <definedName name="ofkwrfw" hidden="1">{#N/A,#N/A,FALSE,"Aging Summary";#N/A,#N/A,FALSE,"Ratio Analysis";#N/A,#N/A,FALSE,"Test 120 Day Accts";#N/A,#N/A,FALSE,"Tickmarks"}</definedName>
    <definedName name="oflef" hidden="1">{#N/A,#N/A,FALSE,"Aging Summary";#N/A,#N/A,FALSE,"Ratio Analysis";#N/A,#N/A,FALSE,"Test 120 Day Accts";#N/A,#N/A,FALSE,"Tickmarks"}</definedName>
    <definedName name="oflkoef" hidden="1">{#N/A,#N/A,FALSE,"Aging Summary";#N/A,#N/A,FALSE,"Ratio Analysis";#N/A,#N/A,FALSE,"Test 120 Day Accts";#N/A,#N/A,FALSE,"Tickmarks"}</definedName>
    <definedName name="ofmewomfw" hidden="1">{#N/A,#N/A,FALSE,"Aging Summary";#N/A,#N/A,FALSE,"Ratio Analysis";#N/A,#N/A,FALSE,"Test 120 Day Accts";#N/A,#N/A,FALSE,"Tickmarks"}</definedName>
    <definedName name="ofmewpfmwe" hidden="1">{#N/A,#N/A,FALSE,"Aging Summary";#N/A,#N/A,FALSE,"Ratio Analysis";#N/A,#N/A,FALSE,"Test 120 Day Accts";#N/A,#N/A,FALSE,"Tickmarks"}</definedName>
    <definedName name="ofoekfe" hidden="1">{#N/A,#N/A,FALSE,"Aging Summary";#N/A,#N/A,FALSE,"Ratio Analysis";#N/A,#N/A,FALSE,"Test 120 Day Accts";#N/A,#N/A,FALSE,"Tickmarks"}</definedName>
    <definedName name="ofofkwef" hidden="1">{#N/A,#N/A,FALSE,"Aging Summary";#N/A,#N/A,FALSE,"Ratio Analysis";#N/A,#N/A,FALSE,"Test 120 Day Accts";#N/A,#N/A,FALSE,"Tickmarks"}</definedName>
    <definedName name="ofofof" hidden="1">{#N/A,#N/A,FALSE,"Aging Summary";#N/A,#N/A,FALSE,"Ratio Analysis";#N/A,#N/A,FALSE,"Test 120 Day Accts";#N/A,#N/A,FALSE,"Tickmarks"}</definedName>
    <definedName name="ofofwofw" hidden="1">{#N/A,#N/A,FALSE,"Aging Summary";#N/A,#N/A,FALSE,"Ratio Analysis";#N/A,#N/A,FALSE,"Test 120 Day Accts";#N/A,#N/A,FALSE,"Tickmarks"}</definedName>
    <definedName name="ofokefw" hidden="1">{"'DIFPRE'!$A$2:$M$54"}</definedName>
    <definedName name="ofowefowf" hidden="1">{#N/A,#N/A,FALSE,"Aging Summary";#N/A,#N/A,FALSE,"Ratio Analysis";#N/A,#N/A,FALSE,"Test 120 Day Accts";#N/A,#N/A,FALSE,"Tickmarks"}</definedName>
    <definedName name="ofowfkwfow" hidden="1">{#N/A,#N/A,FALSE,"Aging Summary";#N/A,#N/A,FALSE,"Ratio Analysis";#N/A,#N/A,FALSE,"Test 120 Day Accts";#N/A,#N/A,FALSE,"Tickmarks"}</definedName>
    <definedName name="OFQEKF3" hidden="1">{"'DIFPRE'!$A$2:$M$54"}</definedName>
    <definedName name="OFQEKFOKQE" hidden="1">#REF!</definedName>
    <definedName name="OFQEKFQK" hidden="1">#REF!</definedName>
    <definedName name="ofqfq" hidden="1">#REF!</definedName>
    <definedName name="ofqkefeqf" hidden="1">#REF!</definedName>
    <definedName name="OFQKEFKQ" hidden="1">#REF!</definedName>
    <definedName name="OFQKEFOKQ" hidden="1">#REF!</definedName>
    <definedName name="OFQKEFOQK" hidden="1">#REF!</definedName>
    <definedName name="OFQKEFQ" hidden="1">{#N/A,#N/A,FALSE,"Aging Summary";#N/A,#N/A,FALSE,"Ratio Analysis";#N/A,#N/A,FALSE,"Test 120 Day Accts";#N/A,#N/A,FALSE,"Tickmarks"}</definedName>
    <definedName name="OFQKEOFQOKE" hidden="1">#REF!</definedName>
    <definedName name="ofqkfq" hidden="1">#REF!</definedName>
    <definedName name="OFQKFQK" hidden="1">{#N/A,#N/A,FALSE,"Aging Summary";#N/A,#N/A,FALSE,"Ratio Analysis";#N/A,#N/A,FALSE,"Test 120 Day Accts";#N/A,#N/A,FALSE,"Tickmarks"}</definedName>
    <definedName name="ofrkfor" hidden="1">{#N/A,#N/A,FALSE,"Aging Summary";#N/A,#N/A,FALSE,"Ratio Analysis";#N/A,#N/A,FALSE,"Test 120 Day Accts";#N/A,#N/A,FALSE,"Tickmarks"}</definedName>
    <definedName name="ofrkfr" hidden="1">{#N/A,#N/A,FALSE,"Aging Summary";#N/A,#N/A,FALSE,"Ratio Analysis";#N/A,#N/A,FALSE,"Test 120 Day Accts";#N/A,#N/A,FALSE,"Tickmarks"}</definedName>
    <definedName name="OFSAKAFKKK" hidden="1">#REF!</definedName>
    <definedName name="OFSAKFKAFAAA" hidden="1">#REF!</definedName>
    <definedName name="ofsofos" hidden="1">{#N/A,#N/A,FALSE,"Aging Summary";#N/A,#N/A,FALSE,"Ratio Analysis";#N/A,#N/A,FALSE,"Test 120 Day Accts";#N/A,#N/A,FALSE,"Tickmarks"}</definedName>
    <definedName name="ofwefwkj" hidden="1">#REF!</definedName>
    <definedName name="ofweif" hidden="1">#REF!</definedName>
    <definedName name="ofwejf2" hidden="1">#REF!</definedName>
    <definedName name="ofwekfw" hidden="1">{#N/A,#N/A,FALSE,"Aging Summary";#N/A,#N/A,FALSE,"Ratio Analysis";#N/A,#N/A,FALSE,"Test 120 Day Accts";#N/A,#N/A,FALSE,"Tickmarks"}</definedName>
    <definedName name="ofwekfwi" hidden="1">#REF!</definedName>
    <definedName name="ofwekofw" hidden="1">{#N/A,#N/A,FALSE,"Aging Summary";#N/A,#N/A,FALSE,"Ratio Analysis";#N/A,#N/A,FALSE,"Test 120 Day Accts";#N/A,#N/A,FALSE,"Tickmarks"}</definedName>
    <definedName name="ofweofkwf" hidden="1">{#N/A,#N/A,FALSE,"Aging Summary";#N/A,#N/A,FALSE,"Ratio Analysis";#N/A,#N/A,FALSE,"Test 120 Day Accts";#N/A,#N/A,FALSE,"Tickmarks"}</definedName>
    <definedName name="ofweofkwkfw" hidden="1">{#N/A,#N/A,FALSE,"Aging Summary";#N/A,#N/A,FALSE,"Ratio Analysis";#N/A,#N/A,FALSE,"Test 120 Day Accts";#N/A,#N/A,FALSE,"Tickmarks"}</definedName>
    <definedName name="ofweofwof" hidden="1">{#N/A,#N/A,FALSE,"Aging Summary";#N/A,#N/A,FALSE,"Ratio Analysis";#N/A,#N/A,FALSE,"Test 120 Day Accts";#N/A,#N/A,FALSE,"Tickmarks"}</definedName>
    <definedName name="ofwf" hidden="1">#REF!</definedName>
    <definedName name="ofwfew" hidden="1">{#N/A,#N/A,FALSE,"Aging Summary";#N/A,#N/A,FALSE,"Ratio Analysis";#N/A,#N/A,FALSE,"Test 120 Day Accts";#N/A,#N/A,FALSE,"Tickmarks"}</definedName>
    <definedName name="ofwfw" hidden="1">{#N/A,#N/A,FALSE,"Aging Summary";#N/A,#N/A,FALSE,"Ratio Analysis";#N/A,#N/A,FALSE,"Test 120 Day Accts";#N/A,#N/A,FALSE,"Tickmarks"}</definedName>
    <definedName name="ofwfwo" hidden="1">{#N/A,#N/A,FALSE,"Aging Summary";#N/A,#N/A,FALSE,"Ratio Analysis";#N/A,#N/A,FALSE,"Test 120 Day Accts";#N/A,#N/A,FALSE,"Tickmarks"}</definedName>
    <definedName name="ofwje" hidden="1">#REF!</definedName>
    <definedName name="ofwje5432" hidden="1">#REF!</definedName>
    <definedName name="ofwjef" hidden="1">#REF!</definedName>
    <definedName name="ofwjf" hidden="1">#REF!</definedName>
    <definedName name="ofwjf3" hidden="1">#REF!</definedName>
    <definedName name="ofwjfojwfw" hidden="1">{#N/A,#N/A,FALSE,"Aging Summary";#N/A,#N/A,FALSE,"Ratio Analysis";#N/A,#N/A,FALSE,"Test 120 Day Accts";#N/A,#N/A,FALSE,"Tickmarks"}</definedName>
    <definedName name="ofwk" hidden="1">#REF!</definedName>
    <definedName name="ofwkefewf" hidden="1">{#N/A,#N/A,FALSE,"Aging Summary";#N/A,#N/A,FALSE,"Ratio Analysis";#N/A,#N/A,FALSE,"Test 120 Day Accts";#N/A,#N/A,FALSE,"Tickmarks"}</definedName>
    <definedName name="ofwkefowkfw" hidden="1">{#N/A,#N/A,FALSE,"Aging Summary";#N/A,#N/A,FALSE,"Ratio Analysis";#N/A,#N/A,FALSE,"Test 120 Day Accts";#N/A,#N/A,FALSE,"Tickmarks"}</definedName>
    <definedName name="ofwkefw" hidden="1">#REF!</definedName>
    <definedName name="ofwkeofw" hidden="1">{#N/A,#N/A,FALSE,"Aging Summary";#N/A,#N/A,FALSE,"Ratio Analysis";#N/A,#N/A,FALSE,"Test 120 Day Accts";#N/A,#N/A,FALSE,"Tickmarks"}</definedName>
    <definedName name="ofwkeofwkfe" hidden="1">{#N/A,#N/A,FALSE,"Aging Summary";#N/A,#N/A,FALSE,"Ratio Analysis";#N/A,#N/A,FALSE,"Test 120 Day Accts";#N/A,#N/A,FALSE,"Tickmarks"}</definedName>
    <definedName name="ofwkf" hidden="1">#REF!</definedName>
    <definedName name="ofwkfowef" hidden="1">{#N/A,#N/A,FALSE,"Aging Summary";#N/A,#N/A,FALSE,"Ratio Analysis";#N/A,#N/A,FALSE,"Test 120 Day Accts";#N/A,#N/A,FALSE,"Tickmarks"}</definedName>
    <definedName name="ofwkfowf" hidden="1">{#N/A,#N/A,FALSE,"Aging Summary";#N/A,#N/A,FALSE,"Ratio Analysis";#N/A,#N/A,FALSE,"Test 120 Day Accts";#N/A,#N/A,FALSE,"Tickmarks"}</definedName>
    <definedName name="ofwkfw" hidden="1">{#N/A,#N/A,FALSE,"Aging Summary";#N/A,#N/A,FALSE,"Ratio Analysis";#N/A,#N/A,FALSE,"Test 120 Day Accts";#N/A,#N/A,FALSE,"Tickmarks"}</definedName>
    <definedName name="ofwkfw8" hidden="1">#REF!</definedName>
    <definedName name="ofwkfwfsfs" hidden="1">{"custodia",#N/A,FALSE,"Encaje";"encajeprint",#N/A,FALSE,"Encaje"}</definedName>
    <definedName name="ofwkjfw8" hidden="1">#REF!</definedName>
    <definedName name="ofwkofw" hidden="1">{#N/A,#N/A,FALSE,"Aging Summary";#N/A,#N/A,FALSE,"Ratio Analysis";#N/A,#N/A,FALSE,"Test 120 Day Accts";#N/A,#N/A,FALSE,"Tickmarks"}</definedName>
    <definedName name="ofwkwef" hidden="1">#REF!</definedName>
    <definedName name="ofwofow" hidden="1">{#N/A,#N/A,FALSE,"Aging Summary";#N/A,#N/A,FALSE,"Ratio Analysis";#N/A,#N/A,FALSE,"Test 120 Day Accts";#N/A,#N/A,FALSE,"Tickmarks"}</definedName>
    <definedName name="ofwofowfow" hidden="1">{#N/A,#N/A,FALSE,"Aging Summary";#N/A,#N/A,FALSE,"Ratio Analysis";#N/A,#N/A,FALSE,"Test 120 Day Accts";#N/A,#N/A,FALSE,"Tickmarks"}</definedName>
    <definedName name="ofwofrow" hidden="1">#REF!</definedName>
    <definedName name="ofwofw" hidden="1">{#N/A,#N/A,FALSE,"Aging Summary";#N/A,#N/A,FALSE,"Ratio Analysis";#N/A,#N/A,FALSE,"Test 120 Day Accts";#N/A,#N/A,FALSE,"Tickmarks"}</definedName>
    <definedName name="ofwofwof" hidden="1">{#N/A,#N/A,FALSE,"Aging Summary";#N/A,#N/A,FALSE,"Ratio Analysis";#N/A,#N/A,FALSE,"Test 120 Day Accts";#N/A,#N/A,FALSE,"Tickmarks"}</definedName>
    <definedName name="ofwokfw9" hidden="1">#REF!</definedName>
    <definedName name="ogekrg" hidden="1">{#N/A,#N/A,FALSE,"Aging Summary";#N/A,#N/A,FALSE,"Ratio Analysis";#N/A,#N/A,FALSE,"Test 120 Day Accts";#N/A,#N/A,FALSE,"Tickmarks"}</definedName>
    <definedName name="ogewjgw" hidden="1">#REF!</definedName>
    <definedName name="ogiwjwg" hidden="1">#REF!</definedName>
    <definedName name="ogkeg" hidden="1">{#N/A,#N/A,FALSE,"Aging Summary";#N/A,#N/A,FALSE,"Ratio Analysis";#N/A,#N/A,FALSE,"Test 120 Day Accts";#N/A,#N/A,FALSE,"Tickmarks"}</definedName>
    <definedName name="ogkwgw" hidden="1">#REF!</definedName>
    <definedName name="ogrke" hidden="1">{#N/A,#N/A,FALSE,"Aging Summary";#N/A,#N/A,FALSE,"Ratio Analysis";#N/A,#N/A,FALSE,"Test 120 Day Accts";#N/A,#N/A,FALSE,"Tickmarks"}</definedName>
    <definedName name="ogrkg" hidden="1">{#N/A,#N/A,FALSE,"Aging Summary";#N/A,#N/A,FALSE,"Ratio Analysis";#N/A,#N/A,FALSE,"Test 120 Day Accts";#N/A,#N/A,FALSE,"Tickmarks"}</definedName>
    <definedName name="ogrkgor" hidden="1">{"Index",#N/A,FALSE,"Index"}</definedName>
    <definedName name="ogrkgr" hidden="1">{"custodia",#N/A,FALSE,"Encaje";"encajeprint",#N/A,FALSE,"Encaje"}</definedName>
    <definedName name="ogrokgrokg" hidden="1">#REF!</definedName>
    <definedName name="ogwj" hidden="1">#REF!</definedName>
    <definedName name="ogwjw" hidden="1">#REF!</definedName>
    <definedName name="ógwkgw" hidden="1">#REF!</definedName>
    <definedName name="oifjw" hidden="1">#REF!</definedName>
    <definedName name="oifjwe" hidden="1">#REF!</definedName>
    <definedName name="oifjwfw7" hidden="1">#REF!</definedName>
    <definedName name="oifwjoifw" hidden="1">#REF!</definedName>
    <definedName name="oigjrge" hidden="1">#REF!</definedName>
    <definedName name="oi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oijfwiefw9" hidden="1">#REF!</definedName>
    <definedName name="OIL" hidden="1">{#N/A,#N/A,FALSE,"Aging Summary";#N/A,#N/A,FALSE,"Ratio Analysis";#N/A,#N/A,FALSE,"Test 120 Day Accts";#N/A,#N/A,FALSE,"Tickmarks"}</definedName>
    <definedName name="oio" hidden="1">{#N/A,#N/A,FALSE,"Aging Summary";#N/A,#N/A,FALSE,"Ratio Analysis";#N/A,#N/A,FALSE,"Test 120 Day Accts";#N/A,#N/A,FALSE,"Tickmarks"}</definedName>
    <definedName name="oiok" hidden="1">{#N/A,#N/A,FALSE,"Aging Summary";#N/A,#N/A,FALSE,"Ratio Analysis";#N/A,#N/A,FALSE,"Test 120 Day Accts";#N/A,#N/A,FALSE,"Tickmarks"}</definedName>
    <definedName name="OIOLKJ" hidden="1">{#N/A,#N/A,FALSE,"Aging Summary";#N/A,#N/A,FALSE,"Ratio Analysis";#N/A,#N/A,FALSE,"Test 120 Day Accts";#N/A,#N/A,FALSE,"Tickmarks"}</definedName>
    <definedName name="OIOLLKFG" hidden="1">{#N/A,#N/A,FALSE,"Aging Summary";#N/A,#N/A,FALSE,"Ratio Analysis";#N/A,#N/A,FALSE,"Test 120 Day Accts";#N/A,#N/A,FALSE,"Tickmarks"}</definedName>
    <definedName name="oioo" hidden="1">{#N/A,#N/A,FALSE,"Aging Summary";#N/A,#N/A,FALSE,"Ratio Analysis";#N/A,#N/A,FALSE,"Test 120 Day Accts";#N/A,#N/A,FALSE,"Tickmarks"}</definedName>
    <definedName name="OIOOO" hidden="1">{#N/A,#N/A,FALSE,"Aging Summary";#N/A,#N/A,FALSE,"Ratio Analysis";#N/A,#N/A,FALSE,"Test 120 Day Accts";#N/A,#N/A,FALSE,"Tickmarks"}</definedName>
    <definedName name="oipi" hidden="1">{#N/A,#N/A,FALSE,"Aging Summary";#N/A,#N/A,FALSE,"Ratio Analysis";#N/A,#N/A,FALSE,"Test 120 Day Accts";#N/A,#N/A,FALSE,"Tickmarks"}</definedName>
    <definedName name="oiqxq"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oirewr8w" hidden="1">#REF!</definedName>
    <definedName name="oirwre8" hidden="1">#REF!</definedName>
    <definedName name="oiu" hidden="1">{#N/A,#N/A,FALSE,"Aging Summary";#N/A,#N/A,FALSE,"Ratio Analysis";#N/A,#N/A,FALSE,"Test 120 Day Accts";#N/A,#N/A,FALSE,"Tickmarks"}</definedName>
    <definedName name="oiuuy" hidden="1">{#N/A,#N/A,FALSE,"Aging Summary";#N/A,#N/A,FALSE,"Ratio Analysis";#N/A,#N/A,FALSE,"Test 120 Day Accts";#N/A,#N/A,FALSE,"Tickmarks"}</definedName>
    <definedName name="oiuy" hidden="1">{#N/A,#N/A,FALSE,"Aging Summary";#N/A,#N/A,FALSE,"Ratio Analysis";#N/A,#N/A,FALSE,"Test 120 Day Accts";#N/A,#N/A,FALSE,"Tickmarks"}</definedName>
    <definedName name="oiy" hidden="1">{#N/A,#N/A,FALSE,"Aging Summary";#N/A,#N/A,FALSE,"Ratio Analysis";#N/A,#N/A,FALSE,"Test 120 Day Accts";#N/A,#N/A,FALSE,"Tickmarks"}</definedName>
    <definedName name="OJ" hidden="1">{#N/A,#N/A,FALSE,"Aging Summary";#N/A,#N/A,FALSE,"Ratio Analysis";#N/A,#N/A,FALSE,"Test 120 Day Accts";#N/A,#N/A,FALSE,"Tickmarks"}</definedName>
    <definedName name="ojfojwf" hidden="1">#REF!</definedName>
    <definedName name="ojfqofq" hidden="1">#REF!</definedName>
    <definedName name="ojfreijfe" hidden="1">#REF!</definedName>
    <definedName name="ojgfwg" hidden="1">#REF!</definedName>
    <definedName name="ojo" hidden="1">{#N/A,#N/A,FALSE,"Aging Summary";#N/A,#N/A,FALSE,"Ratio Analysis";#N/A,#N/A,FALSE,"Test 120 Day Accts";#N/A,#N/A,FALSE,"Tickmarks"}</definedName>
    <definedName name="OK" hidden="1">{#N/A,#N/A,FALSE,"Aging Summary";#N/A,#N/A,FALSE,"Ratio Analysis";#N/A,#N/A,FALSE,"Test 120 Day Accts";#N/A,#N/A,FALSE,"Tickmarks"}</definedName>
    <definedName name="okcweocw" hidden="1">#REF!</definedName>
    <definedName name="okdeow" hidden="1">{#N/A,#N/A,FALSE,"Aging Summary";#N/A,#N/A,FALSE,"Ratio Analysis";#N/A,#N/A,FALSE,"Test 120 Day Accts";#N/A,#N/A,FALSE,"Tickmarks"}</definedName>
    <definedName name="okdewod3" hidden="1">#REF!</definedName>
    <definedName name="okdoedkwed" hidden="1">{#N/A,#N/A,FALSE,"Aging Summary";#N/A,#N/A,FALSE,"Ratio Analysis";#N/A,#N/A,FALSE,"Test 120 Day Accts";#N/A,#N/A,FALSE,"Tickmarks"}</definedName>
    <definedName name="okdqdq" hidden="1">{#N/A,#N/A,FALSE,"Aging Summary";#N/A,#N/A,FALSE,"Ratio Analysis";#N/A,#N/A,FALSE,"Test 120 Day Accts";#N/A,#N/A,FALSE,"Tickmarks"}</definedName>
    <definedName name="okedowd" hidden="1">{#N/A,#N/A,FALSE,"Aging Summary";#N/A,#N/A,FALSE,"Ratio Analysis";#N/A,#N/A,FALSE,"Test 120 Day Accts";#N/A,#N/A,FALSE,"Tickmarks"}</definedName>
    <definedName name="okeke" hidden="1">{#N/A,#N/A,FALSE,"Aging Summary";#N/A,#N/A,FALSE,"Ratio Analysis";#N/A,#N/A,FALSE,"Test 120 Day Accts";#N/A,#N/A,FALSE,"Tickmarks"}</definedName>
    <definedName name="okeofw" hidden="1">{"custodia",#N/A,FALSE,"Encaje";"encajeprint",#N/A,FALSE,"Encaje"}</definedName>
    <definedName name="okeokerg" hidden="1">{#N/A,#N/A,FALSE,"Aging Summary";#N/A,#N/A,FALSE,"Ratio Analysis";#N/A,#N/A,FALSE,"Test 120 Day Accts";#N/A,#N/A,FALSE,"Tickmarks"}</definedName>
    <definedName name="okeroer" hidden="1">{#N/A,#N/A,FALSE,"Aging Summary";#N/A,#N/A,FALSE,"Ratio Analysis";#N/A,#N/A,FALSE,"Test 120 Day Accts";#N/A,#N/A,FALSE,"Tickmarks"}</definedName>
    <definedName name="okewcow" hidden="1">#REF!</definedName>
    <definedName name="okewfokwf" hidden="1">{#N/A,#N/A,FALSE,"Aging Summary";#N/A,#N/A,FALSE,"Ratio Analysis";#N/A,#N/A,FALSE,"Test 120 Day Accts";#N/A,#N/A,FALSE,"Tickmarks"}</definedName>
    <definedName name="okfdsokofsd" hidden="1">{#N/A,#N/A,FALSE,"Aging Summary";#N/A,#N/A,FALSE,"Ratio Analysis";#N/A,#N/A,FALSE,"Test 120 Day Accts";#N/A,#N/A,FALSE,"Tickmarks"}</definedName>
    <definedName name="okfeokfe" hidden="1">{"Schedule_IA",#N/A,FALSE,"I-A"}</definedName>
    <definedName name="okfewkfewkf" hidden="1">{#N/A,#N/A,FALSE,"Aging Summary";#N/A,#N/A,FALSE,"Ratio Analysis";#N/A,#N/A,FALSE,"Test 120 Day Accts";#N/A,#N/A,FALSE,"Tickmarks"}</definedName>
    <definedName name="okfewofw" hidden="1">#REF!</definedName>
    <definedName name="okfkf" hidden="1">{#N/A,#N/A,FALSE,"Aging Summary";#N/A,#N/A,FALSE,"Ratio Analysis";#N/A,#N/A,FALSE,"Test 120 Day Accts";#N/A,#N/A,FALSE,"Tickmarks"}</definedName>
    <definedName name="okfodakf" hidden="1">{#N/A,#N/A,FALSE,"Aging Summary";#N/A,#N/A,FALSE,"Ratio Analysis";#N/A,#N/A,FALSE,"Test 120 Day Accts";#N/A,#N/A,FALSE,"Tickmarks"}</definedName>
    <definedName name="okfoekfw" hidden="1">{#N/A,#N/A,FALSE,"Aging Summary";#N/A,#N/A,FALSE,"Ratio Analysis";#N/A,#N/A,FALSE,"Test 120 Day Accts";#N/A,#N/A,FALSE,"Tickmarks"}</definedName>
    <definedName name="okfokef" hidden="1">{#N/A,#N/A,FALSE,"Aging Summary";#N/A,#N/A,FALSE,"Ratio Analysis";#N/A,#N/A,FALSE,"Test 120 Day Accts";#N/A,#N/A,FALSE,"Tickmarks"}</definedName>
    <definedName name="okfowfw" hidden="1">{#N/A,#N/A,FALSE,"Aging Summary";#N/A,#N/A,FALSE,"Ratio Analysis";#N/A,#N/A,FALSE,"Test 120 Day Accts";#N/A,#N/A,FALSE,"Tickmarks"}</definedName>
    <definedName name="okfowkfw" hidden="1">{#N/A,#N/A,FALSE,"Aging Summary";#N/A,#N/A,FALSE,"Ratio Analysis";#N/A,#N/A,FALSE,"Test 120 Day Accts";#N/A,#N/A,FALSE,"Tickmarks"}</definedName>
    <definedName name="okfowqfw" hidden="1">{#N/A,#N/A,FALSE,"Aging Summary";#N/A,#N/A,FALSE,"Ratio Analysis";#N/A,#N/A,FALSE,"Test 120 Day Accts";#N/A,#N/A,FALSE,"Tickmarks"}</definedName>
    <definedName name="OKFQEKFKQ" hidden="1">#REF!</definedName>
    <definedName name="OKFQKFQ" hidden="1">{#N/A,#N/A,FALSE,"Aging Summary";#N/A,#N/A,FALSE,"Ratio Analysis";#N/A,#N/A,FALSE,"Test 120 Day Accts";#N/A,#N/A,FALSE,"Tickmarks"}</definedName>
    <definedName name="okfrokfrof" hidden="1">{#N/A,#N/A,FALSE,"Aging Summary";#N/A,#N/A,FALSE,"Ratio Analysis";#N/A,#N/A,FALSE,"Test 120 Day Accts";#N/A,#N/A,FALSE,"Tickmarks"}</definedName>
    <definedName name="OKFSAOKFAK" hidden="1">#REF!</definedName>
    <definedName name="okfw" hidden="1">#REF!</definedName>
    <definedName name="okfwefw" hidden="1">{#N/A,#N/A,FALSE,"Aging Summary";#N/A,#N/A,FALSE,"Ratio Analysis";#N/A,#N/A,FALSE,"Test 120 Day Accts";#N/A,#N/A,FALSE,"Tickmarks"}</definedName>
    <definedName name="okfwfwf" hidden="1">{#N/A,#N/A,FALSE,"Aging Summary";#N/A,#N/A,FALSE,"Ratio Analysis";#N/A,#N/A,FALSE,"Test 120 Day Accts";#N/A,#N/A,FALSE,"Tickmarks"}</definedName>
    <definedName name="okfwoefw" hidden="1">{#N/A,#N/A,FALSE,"Aging Summary";#N/A,#N/A,FALSE,"Ratio Analysis";#N/A,#N/A,FALSE,"Test 120 Day Accts";#N/A,#N/A,FALSE,"Tickmarks"}</definedName>
    <definedName name="okfwofk3" hidden="1">{#N/A,#N/A,FALSE,"balance";#N/A,#N/A,FALSE,"resultados";#N/A,#N/A,FALSE,"p.neto";#N/A,#N/A,FALSE,"bienes uso";#N/A,#N/A,FALSE,"art.64";#N/A,#N/A,FALSE,"intangibles"}</definedName>
    <definedName name="okfwowfw" hidden="1">{#N/A,#N/A,FALSE,"Aging Summary";#N/A,#N/A,FALSE,"Ratio Analysis";#N/A,#N/A,FALSE,"Test 120 Day Accts";#N/A,#N/A,FALSE,"Tickmarks"}</definedName>
    <definedName name="okgrokgr"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okjewocwe" hidden="1">#REF!</definedName>
    <definedName name="okjfow" hidden="1">#REF!</definedName>
    <definedName name="okjfwoifw" hidden="1">#REF!</definedName>
    <definedName name="okk" hidden="1">{#N/A,#N/A,FALSE,"Aging Summary";#N/A,#N/A,FALSE,"Ratio Analysis";#N/A,#N/A,FALSE,"Test 120 Day Accts";#N/A,#N/A,FALSE,"Tickmarks"}</definedName>
    <definedName name="okkkk" hidden="1">{#N/A,#N/A,FALSE,"RES. CAPITAL";#N/A,#N/A,FALSE,"SUPERAVIT"}</definedName>
    <definedName name="okkkkk" hidden="1">{#N/A,#N/A,FALSE,"CAJA Y BANCOS";#N/A,#N/A,FALSE,"RENTA FIJA";#N/A,#N/A,FALSE,"PRESTAMOS DLLS.";#N/A,#N/A,FALSE,"ARREN. FINAN.";#N/A,#N/A,FALSE,"CONSUMO";#N/A,#N/A,FALSE,"T.D.C.";#N/A,#N/A,FALSE,"HIPOTECARIOS";#N/A,#N/A,FALSE,"OTROS PRESTAMOS";#N/A,#N/A,FALSE,"INMOB. Y ACTIVO FIJO";#N/A,#N/A,FALSE,"REPORTOS ";#N/A,#N/A,FALSE,"ACCIONES";#N/A,#N/A,FALSE,"FIDEIC Y CART. VAL.";#N/A,#N/A,FALSE,"ADJUDICADOS";#N/A,#N/A,FALSE,"PAGOS ANT. Y OTROS";#N/A,#N/A,FALSE,"CARGOS DIFERIDOS";#N/A,#N/A,FALSE,"DEUDORES DIVERSOS"}</definedName>
    <definedName name="okl" hidden="1">{#N/A,#N/A,FALSE,"DEP. VISTA CON INT.";#N/A,#N/A,FALSE,"CTA. MAESTRA";#N/A,#N/A,FALSE,"DEP. PLAZO MENUDEO";#N/A,#N/A,FALSE,"FONDOS";#N/A,#N/A,FALSE,"DEP. EN DLLS.";#N/A,#N/A,FALSE,"DEUDA EN DLLS";#N/A,#N/A,FALSE,"PREST. INT.";#N/A,#N/A,FALSE,"REPORTOS";#N/A,#N/A,FALSE,"OTROS DEP.";#N/A,#N/A,FALSE,"ACREEDORES DIVERSOS"}</definedName>
    <definedName name="OKLLOK" hidden="1">{#N/A,#N/A,FALSE,"Aging Summary";#N/A,#N/A,FALSE,"Ratio Analysis";#N/A,#N/A,FALSE,"Test 120 Day Accts";#N/A,#N/A,FALSE,"Tickmarks"}</definedName>
    <definedName name="oko" hidden="1">{#N/A,#N/A,FALSE,"Aging Summary";#N/A,#N/A,FALSE,"Ratio Analysis";#N/A,#N/A,FALSE,"Test 120 Day Accts";#N/A,#N/A,FALSE,"Tickmarks"}</definedName>
    <definedName name="okofekof" hidden="1">{#N/A,#N/A,FALSE,"CAPEX";#N/A,#N/A,FALSE,"PLAN";#N/A,#N/A,FALSE,"REV";#N/A,#N/A,FALSE,"CALOP";#N/A,#N/A,FALSE,"RESOP";#N/A,#N/A,FALSE,"PRES"}</definedName>
    <definedName name="okofkwfw" hidden="1">{#N/A,#N/A,FALSE,"Aging Summary";#N/A,#N/A,FALSE,"Ratio Analysis";#N/A,#N/A,FALSE,"Test 120 Day Accts";#N/A,#N/A,FALSE,"Tickmarks"}</definedName>
    <definedName name="okokfrf" hidden="1">{#N/A,#N/A,FALSE,"Aging Summary";#N/A,#N/A,FALSE,"Ratio Analysis";#N/A,#N/A,FALSE,"Test 120 Day Accts";#N/A,#N/A,FALSE,"Tickmarks"}</definedName>
    <definedName name="OKOKOK" hidden="1">#REF!</definedName>
    <definedName name="okosdad" hidden="1">{#N/A,#N/A,FALSE,"Aging Summary";#N/A,#N/A,FALSE,"Ratio Analysis";#N/A,#N/A,FALSE,"Test 120 Day Accts";#N/A,#N/A,FALSE,"Tickmarks"}</definedName>
    <definedName name="okqodkq" hidden="1">{#N/A,#N/A,FALSE,"Aging Summary";#N/A,#N/A,FALSE,"Ratio Analysis";#N/A,#N/A,FALSE,"Test 120 Day Accts";#N/A,#N/A,FALSE,"Tickmarks"}</definedName>
    <definedName name="okqodkqodkq" hidden="1">{#N/A,#N/A,FALSE,"Aging Summary";#N/A,#N/A,FALSE,"Ratio Analysis";#N/A,#N/A,FALSE,"Test 120 Day Accts";#N/A,#N/A,FALSE,"Tickmarks"}</definedName>
    <definedName name="okqoe" hidden="1">{#N/A,#N/A,FALSE,"Aging Summary";#N/A,#N/A,FALSE,"Ratio Analysis";#N/A,#N/A,FALSE,"Test 120 Day Accts";#N/A,#N/A,FALSE,"Tickmarks"}</definedName>
    <definedName name="okqowkeq" hidden="1">{#N/A,#N/A,FALSE,"Aging Summary";#N/A,#N/A,FALSE,"Ratio Analysis";#N/A,#N/A,FALSE,"Test 120 Day Accts";#N/A,#N/A,FALSE,"Tickmarks"}</definedName>
    <definedName name="okqwoekqe" hidden="1">{#N/A,#N/A,FALSE,"Aging Summary";#N/A,#N/A,FALSE,"Ratio Analysis";#N/A,#N/A,FALSE,"Test 120 Day Accts";#N/A,#N/A,FALSE,"Tickmarks"}</definedName>
    <definedName name="okreofek" hidden="1">{#N/A,#N/A,FALSE,"Aging Summary";#N/A,#N/A,FALSE,"Ratio Analysis";#N/A,#N/A,FALSE,"Test 120 Day Accts";#N/A,#N/A,FALSE,"Tickmarks"}</definedName>
    <definedName name="okrofr" hidden="1">{#N/A,#N/A,FALSE,"Aging Summary";#N/A,#N/A,FALSE,"Ratio Analysis";#N/A,#N/A,FALSE,"Test 120 Day Accts";#N/A,#N/A,FALSE,"Tickmarks"}</definedName>
    <definedName name="okrqr" hidden="1">#REF!</definedName>
    <definedName name="okrwerw87" hidden="1">#REF!</definedName>
    <definedName name="OKSAOF" hidden="1">#REF!</definedName>
    <definedName name="oksoqs" hidden="1">{#N/A,#N/A,FALSE,"Aging Summary";#N/A,#N/A,FALSE,"Ratio Analysis";#N/A,#N/A,FALSE,"Test 120 Day Accts";#N/A,#N/A,FALSE,"Tickmarks"}</definedName>
    <definedName name="OKUII" hidden="1">{#N/A,#N/A,FALSE,"Aging Summary";#N/A,#N/A,FALSE,"Ratio Analysis";#N/A,#N/A,FALSE,"Test 120 Day Accts";#N/A,#N/A,FALSE,"Tickmarks"}</definedName>
    <definedName name="okvkerv" hidden="1">#REF!</definedName>
    <definedName name="okwfow" hidden="1">#REF!</definedName>
    <definedName name="okxw" hidden="1">#REF!</definedName>
    <definedName name="ol" hidden="1">{#N/A,#N/A,FALSE,"Aging Summary";#N/A,#N/A,FALSE,"Ratio Analysis";#N/A,#N/A,FALSE,"Test 120 Day Accts";#N/A,#N/A,FALSE,"Tickmarks"}</definedName>
    <definedName name="olaa" hidden="1">{#N/A,#N/A,FALSE,"Aging Summary";#N/A,#N/A,FALSE,"Ratio Analysis";#N/A,#N/A,FALSE,"Test 120 Day Accts";#N/A,#N/A,FALSE,"Tickmarks"}</definedName>
    <definedName name="olaaaaa1" hidden="1">{"'DIFPRE'!$A$2:$M$54"}</definedName>
    <definedName name="olas" hidden="1">{"'DIFPRE'!$A$2:$M$54"}</definedName>
    <definedName name="oldkey1" hidden="1">#REF!</definedName>
    <definedName name="oldsort" hidden="1">#REF!</definedName>
    <definedName name="oll" hidden="1">{#N/A,#N/A,FALSE,"Aging Summary";#N/A,#N/A,FALSE,"Ratio Analysis";#N/A,#N/A,FALSE,"Test 120 Day Accts";#N/A,#N/A,FALSE,"Tickmarks"}</definedName>
    <definedName name="olll" hidden="1">{#N/A,#N/A,FALSE,"OBLIG.S-CAPITAL"}</definedName>
    <definedName name="OLOO" hidden="1">{#N/A,#N/A,FALSE,"Aging Summary";#N/A,#N/A,FALSE,"Ratio Analysis";#N/A,#N/A,FALSE,"Test 120 Day Accts";#N/A,#N/A,FALSE,"Tickmarks"}</definedName>
    <definedName name="omeqdqwdqo" hidden="1">{#N/A,#N/A,FALSE,"Aging Summary";#N/A,#N/A,FALSE,"Ratio Analysis";#N/A,#N/A,FALSE,"Test 120 Day Accts";#N/A,#N/A,FALSE,"Tickmarks"}</definedName>
    <definedName name="omewfw" hidden="1">{#N/A,#N/A,FALSE,"Aging Summary";#N/A,#N/A,FALSE,"Ratio Analysis";#N/A,#N/A,FALSE,"Test 120 Day Accts";#N/A,#N/A,FALSE,"Tickmarks"}</definedName>
    <definedName name="omhsa" hidden="1">{#N/A,#N/A,FALSE,"Aging Summary";#N/A,#N/A,FALSE,"Ratio Analysis";#N/A,#N/A,FALSE,"Test 120 Day Accts";#N/A,#N/A,FALSE,"Tickmarks"}</definedName>
    <definedName name="omvowmvw" hidden="1">{#N/A,#N/A,FALSE,"Aging Summary";#N/A,#N/A,FALSE,"Ratio Analysis";#N/A,#N/A,FALSE,"Test 120 Day Accts";#N/A,#N/A,FALSE,"Tickmarks"}</definedName>
    <definedName name="omvwovmw" hidden="1">{#N/A,#N/A,FALSE,"Aging Summary";#N/A,#N/A,FALSE,"Ratio Analysis";#N/A,#N/A,FALSE,"Test 120 Day Accts";#N/A,#N/A,FALSE,"Tickmarks"}</definedName>
    <definedName name="onc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nooo" hidden="1">{#N/A,#N/A,FALSE,"Aging Summary";#N/A,#N/A,FALSE,"Ratio Analysis";#N/A,#N/A,FALSE,"Test 120 Day Accts";#N/A,#N/A,FALSE,"Tickmarks"}</definedName>
    <definedName name="onur" hidden="1">{#N/A,#N/A,FALSE,"Aging Summary";#N/A,#N/A,FALSE,"Ratio Analysis";#N/A,#N/A,FALSE,"Test 120 Day Accts";#N/A,#N/A,FALSE,"Tickmarks"}</definedName>
    <definedName name="onur1" hidden="1">{#N/A,#N/A,FALSE,"Aging Summary";#N/A,#N/A,FALSE,"Ratio Analysis";#N/A,#N/A,FALSE,"Test 120 Day Accts";#N/A,#N/A,FALSE,"Tickmarks"}</definedName>
    <definedName name="onur2" hidden="1">{#N/A,#N/A,FALSE,"invoice ucc";#N/A,#N/A,FALSE,"asiento"}</definedName>
    <definedName name="onur3" hidden="1">{#N/A,#N/A,FALSE,"Aging Summary";#N/A,#N/A,FALSE,"Ratio Analysis";#N/A,#N/A,FALSE,"Test 120 Day Accts";#N/A,#N/A,FALSE,"Tickmarks"}</definedName>
    <definedName name="onur4" hidden="1">{#N/A,#N/A,FALSE,"Aging Summary";#N/A,#N/A,FALSE,"Ratio Analysis";#N/A,#N/A,FALSE,"Test 120 Day Accts";#N/A,#N/A,FALSE,"Tickmarks"}</definedName>
    <definedName name="onur5" hidden="1">{#N/A,#N/A,FALSE,"Aging Summary";#N/A,#N/A,FALSE,"Ratio Analysis";#N/A,#N/A,FALSE,"Test 120 Day Accts";#N/A,#N/A,FALSE,"Tickmarks"}</definedName>
    <definedName name="OOÇ" hidden="1">{#N/A,#N/A,FALSE,"Aging Summary";#N/A,#N/A,FALSE,"Ratio Analysis";#N/A,#N/A,FALSE,"Test 120 Day Accts";#N/A,#N/A,FALSE,"Tickmarks"}</definedName>
    <definedName name="ooefwofwf" hidden="1">{#N/A,#N/A,FALSE,"Aging Summary";#N/A,#N/A,FALSE,"Ratio Analysis";#N/A,#N/A,FALSE,"Test 120 Day Accts";#N/A,#N/A,FALSE,"Tickmarks"}</definedName>
    <definedName name="oofofofofo" hidden="1">#REF!</definedName>
    <definedName name="oofowf" hidden="1">{#N/A,#N/A,FALSE,"Aging Summary";#N/A,#N/A,FALSE,"Ratio Analysis";#N/A,#N/A,FALSE,"Test 120 Day Accts";#N/A,#N/A,FALSE,"Tickmarks"}</definedName>
    <definedName name="OOII" hidden="1">{#N/A,#N/A,FALSE,"Aging Summary";#N/A,#N/A,FALSE,"Ratio Analysis";#N/A,#N/A,FALSE,"Test 120 Day Accts";#N/A,#N/A,FALSE,"Tickmarks"}</definedName>
    <definedName name="OOITI" hidden="1">{#N/A,#N/A,FALSE,"Aging Summary";#N/A,#N/A,FALSE,"Ratio Analysis";#N/A,#N/A,FALSE,"Test 120 Day Accts";#N/A,#N/A,FALSE,"Tickmarks"}</definedName>
    <definedName name="ooiuj" hidden="1">{#N/A,#N/A,FALSE,"Aging Summary";#N/A,#N/A,FALSE,"Ratio Analysis";#N/A,#N/A,FALSE,"Test 120 Day Accts";#N/A,#N/A,FALSE,"Tickmarks"}</definedName>
    <definedName name="OOL" hidden="1">{#N/A,#N/A,FALSE,"Aging Summary";#N/A,#N/A,FALSE,"Ratio Analysis";#N/A,#N/A,FALSE,"Test 120 Day Accts";#N/A,#N/A,FALSE,"Tickmarks"}</definedName>
    <definedName name="OOLL" hidden="1">{#N/A,#N/A,FALSE,"Aging Summary";#N/A,#N/A,FALSE,"Ratio Analysis";#N/A,#N/A,FALSE,"Test 120 Day Accts";#N/A,#N/A,FALSE,"Tickmarks"}</definedName>
    <definedName name="ooo" hidden="1">{#N/A,#N/A,FALSE,"Aging Summary";#N/A,#N/A,FALSE,"Ratio Analysis";#N/A,#N/A,FALSE,"Test 120 Day Accts";#N/A,#N/A,FALSE,"Tickmarks"}</definedName>
    <definedName name="oooo" hidden="1">{#N/A,#N/A,FALSE,"Aging Summary";#N/A,#N/A,FALSE,"Ratio Analysis";#N/A,#N/A,FALSE,"Test 120 Day Accts";#N/A,#N/A,FALSE,"Tickmarks"}</definedName>
    <definedName name="OOOOO"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ooooooooo" hidden="1">{#N/A,#N/A,FALSE,"Aging Summary";#N/A,#N/A,FALSE,"Ratio Analysis";#N/A,#N/A,FALSE,"Test 120 Day Accts";#N/A,#N/A,FALSE,"Tickmarks"}</definedName>
    <definedName name="oooooooooooo" hidden="1">#REF!</definedName>
    <definedName name="OOOOOOOOOOOOO" hidden="1">{#N/A,#N/A,FALSE,"Aging Summary";#N/A,#N/A,FALSE,"Ratio Analysis";#N/A,#N/A,FALSE,"Test 120 Day Accts";#N/A,#N/A,FALSE,"Tickmarks"}</definedName>
    <definedName name="OOOOOOOOOOOOOO" hidden="1">{#N/A,#N/A,FALSE,"Aging Summary";#N/A,#N/A,FALSE,"Ratio Analysis";#N/A,#N/A,FALSE,"Test 120 Day Accts";#N/A,#N/A,FALSE,"Tickmarks"}</definedName>
    <definedName name="ooooooooooooooiiii" hidden="1">{#N/A,#N/A,FALSE,"Aging Summary";#N/A,#N/A,FALSE,"Ratio Analysis";#N/A,#N/A,FALSE,"Test 120 Day Accts";#N/A,#N/A,FALSE,"Tickmarks"}</definedName>
    <definedName name="oooooooooooooooooooooooooooooo" hidden="1">{#N/A,#N/A,FALSE,"Aging Summary";#N/A,#N/A,FALSE,"Ratio Analysis";#N/A,#N/A,FALSE,"Test 120 Day Accts";#N/A,#N/A,FALSE,"Tickmarks"}</definedName>
    <definedName name="ooooowwwwww" hidden="1">{#N/A,#N/A,FALSE,"Aging Summary";#N/A,#N/A,FALSE,"Ratio Analysis";#N/A,#N/A,FALSE,"Test 120 Day Accts";#N/A,#N/A,FALSE,"Tickmarks"}</definedName>
    <definedName name="OOOP" hidden="1">{#N/A,#N/A,FALSE,"Aging Summary";#N/A,#N/A,FALSE,"Ratio Analysis";#N/A,#N/A,FALSE,"Test 120 Day Accts";#N/A,#N/A,FALSE,"Tickmarks"}</definedName>
    <definedName name="oopo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 hidden="1">{#N/A,#N/A,FALSE,"Aging Summary";#N/A,#N/A,FALSE,"Ratio Analysis";#N/A,#N/A,FALSE,"Test 120 Day Accts";#N/A,#N/A,FALSE,"Tickmarks"}</definedName>
    <definedName name="opcionesIndiceDTT" hidden="1">[6]System!$AN$2:$AN$16</definedName>
    <definedName name="OPI" hidden="1">{#N/A,#N/A,FALSE,"Aging Summary";#N/A,#N/A,FALSE,"Ratio Analysis";#N/A,#N/A,FALSE,"Test 120 Day Accts";#N/A,#N/A,FALSE,"Tickmarks"}</definedName>
    <definedName name="OPOÇÇÇ" hidden="1">{#N/A,#N/A,FALSE,"Aging Summary";#N/A,#N/A,FALSE,"Ratio Analysis";#N/A,#N/A,FALSE,"Test 120 Day Accts";#N/A,#N/A,FALSE,"Tickmarks"}</definedName>
    <definedName name="OPP" hidden="1">{#N/A,#N/A,FALSE,"Aging Summary";#N/A,#N/A,FALSE,"Ratio Analysis";#N/A,#N/A,FALSE,"Test 120 Day Accts";#N/A,#N/A,FALSE,"Tickmarks"}</definedName>
    <definedName name="opps" hidden="1">{#N/A,#N/A,FALSE,"Aging Summary";#N/A,#N/A,FALSE,"Ratio Analysis";#N/A,#N/A,FALSE,"Test 120 Day Accts";#N/A,#N/A,FALSE,"Tickmarks"}</definedName>
    <definedName name="oqdkqod" hidden="1">{#N/A,#N/A,FALSE,"Aging Summary";#N/A,#N/A,FALSE,"Ratio Analysis";#N/A,#N/A,FALSE,"Test 120 Day Accts";#N/A,#N/A,FALSE,"Tickmarks"}</definedName>
    <definedName name="oqdoqkd" hidden="1">{#N/A,#N/A,FALSE,"Aging Summary";#N/A,#N/A,FALSE,"Ratio Analysis";#N/A,#N/A,FALSE,"Test 120 Day Accts";#N/A,#N/A,FALSE,"Tickmarks"}</definedName>
    <definedName name="oqekfq" hidden="1">#REF!</definedName>
    <definedName name="oqekq" hidden="1">{#N/A,#N/A,FALSE,"Aging Summary";#N/A,#N/A,FALSE,"Ratio Analysis";#N/A,#N/A,FALSE,"Test 120 Day Accts";#N/A,#N/A,FALSE,"Tickmarks"}</definedName>
    <definedName name="oqeqoe" hidden="1">{#N/A,#N/A,FALSE,"Aging Summary";#N/A,#N/A,FALSE,"Ratio Analysis";#N/A,#N/A,FALSE,"Test 120 Day Accts";#N/A,#N/A,FALSE,"Tickmarks"}</definedName>
    <definedName name="OQFKQOFQ" hidden="1">#REF!</definedName>
    <definedName name="oqjroqj" hidden="1">{#N/A,#N/A,FALSE,"Aging Summary";#N/A,#N/A,FALSE,"Ratio Analysis";#N/A,#N/A,FALSE,"Test 120 Day Accts";#N/A,#N/A,FALSE,"Tickmarks"}</definedName>
    <definedName name="oqkeoqe" hidden="1">{#N/A,#N/A,FALSE,"Aging Summary";#N/A,#N/A,FALSE,"Ratio Analysis";#N/A,#N/A,FALSE,"Test 120 Day Accts";#N/A,#N/A,FALSE,"Tickmarks"}</definedName>
    <definedName name="OQKFQKF" hidden="1">{#N/A,#N/A,FALSE,"Aging Summary";#N/A,#N/A,FALSE,"Ratio Analysis";#N/A,#N/A,FALSE,"Test 120 Day Accts";#N/A,#N/A,FALSE,"Tickmarks"}</definedName>
    <definedName name="oqkjdoqd" hidden="1">{#N/A,#N/A,FALSE,"Aging Summary";#N/A,#N/A,FALSE,"Ratio Analysis";#N/A,#N/A,FALSE,"Test 120 Day Accts";#N/A,#N/A,FALSE,"Tickmarks"}</definedName>
    <definedName name="oqkodkqdq" hidden="1">{#N/A,#N/A,FALSE,"Aging Summary";#N/A,#N/A,FALSE,"Ratio Analysis";#N/A,#N/A,FALSE,"Test 120 Day Accts";#N/A,#N/A,FALSE,"Tickmarks"}</definedName>
    <definedName name="oqkokdwq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qkq" hidden="1">{#N/A,#N/A,FALSE,"Aging Summary";#N/A,#N/A,FALSE,"Ratio Analysis";#N/A,#N/A,FALSE,"Test 120 Day Accts";#N/A,#N/A,FALSE,"Tickmarks"}</definedName>
    <definedName name="oqkwosqs" hidden="1">{#N/A,#N/A,FALSE,"Aging Summary";#N/A,#N/A,FALSE,"Ratio Analysis";#N/A,#N/A,FALSE,"Test 120 Day Accts";#N/A,#N/A,FALSE,"Tickmarks"}</definedName>
    <definedName name="oqmdq" hidden="1">{#N/A,#N/A,FALSE,"Aging Summary";#N/A,#N/A,FALSE,"Ratio Analysis";#N/A,#N/A,FALSE,"Test 120 Day Accts";#N/A,#N/A,FALSE,"Tickmarks"}</definedName>
    <definedName name="oqoeq" hidden="1">{#N/A,#N/A,FALSE,"Aging Summary";#N/A,#N/A,FALSE,"Ratio Analysis";#N/A,#N/A,FALSE,"Test 120 Day Accts";#N/A,#N/A,FALSE,"Tickmarks"}</definedName>
    <definedName name="oqokws" hidden="1">{#N/A,#N/A,FALSE,"Aging Summary";#N/A,#N/A,FALSE,"Ratio Analysis";#N/A,#N/A,FALSE,"Test 120 Day Accts";#N/A,#N/A,FALSE,"Tickmarks"}</definedName>
    <definedName name="oqoom" hidden="1">{#N/A,#N/A,FALSE,"Aging Summary";#N/A,#N/A,FALSE,"Ratio Analysis";#N/A,#N/A,FALSE,"Test 120 Day Accts";#N/A,#N/A,FALSE,"Tickmarks"}</definedName>
    <definedName name="oqwoq" hidden="1">{#N/A,#N/A,FALSE,"Aging Summary";#N/A,#N/A,FALSE,"Ratio Analysis";#N/A,#N/A,FALSE,"Test 120 Day Accts";#N/A,#N/A,FALSE,"Tickmarks"}</definedName>
    <definedName name="oreokg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rig.incomestmt" hidden="1">{"IT",#N/A,FALSE,"GRAPHS";"Services",#N/A,FALSE,"GRAPHS";"Subsurface",#N/A,FALSE,"GRAPHS";"Production",#N/A,FALSE,"GRAPHS";"Facilities",#N/A,FALSE,"GRAPHS";"Pipeline &amp; Terminal",#N/A,FALSE,"GRAPHS";"Safety",#N/A,FALSE,"GRAPHS";"Commercial",#N/A,FALSE,"GRAPHS"}</definedName>
    <definedName name="oriwtriw" hidden="1">#REF!</definedName>
    <definedName name="ork" hidden="1">#REF!</definedName>
    <definedName name="orkgokewg" hidden="1">{#N/A,#N/A,FALSE,"Aging Summary";#N/A,#N/A,FALSE,"Ratio Analysis";#N/A,#N/A,FALSE,"Test 120 Day Accts";#N/A,#N/A,FALSE,"Tickmarks"}</definedName>
    <definedName name="orkgor" hidden="1">#REF!</definedName>
    <definedName name="orkgr" hidden="1">{#N/A,#N/A,TRUE,"INDICE";#N/A,#N/A,TRUE,"Variables";#N/A,#N/A,TRUE,"Cdro_Rtado";#N/A,#N/A,TRUE,"Patrim";#N/A,#N/A,TRUE,"Cash Flow";#N/A,#N/A,TRUE,"Vtas. U_Fís";#N/A,#N/A,TRUE,"Vtas. $";#N/A,#N/A,TRUE,"Cobranza";#N/A,#N/A,TRUE,"Resumen Gs.";#N/A,#N/A,TRUE,"Gs Comerc";#N/A,#N/A,TRUE,"Gs Administ";#N/A,#N/A,TRUE,"Gs Explot";#N/A,#N/A,TRUE,"Gs Personal";#N/A,#N/A,TRUE,"Inver."}</definedName>
    <definedName name="orkogr" hidden="1">{#N/A,#N/A,FALSE,"Aging Summary";#N/A,#N/A,FALSE,"Ratio Analysis";#N/A,#N/A,FALSE,"Test 120 Day Accts";#N/A,#N/A,FALSE,"Tickmarks"}</definedName>
    <definedName name="orkwrw" hidden="1">#REF!</definedName>
    <definedName name="orw98e" hidden="1">#REF!</definedName>
    <definedName name="orwe" hidden="1">#REF!</definedName>
    <definedName name="orwe9rw" hidden="1">#REF!</definedName>
    <definedName name="orwer8" hidden="1">#REF!</definedName>
    <definedName name="orwirw8" hidden="1">#REF!</definedName>
    <definedName name="orwkrw98" hidden="1">#REF!</definedName>
    <definedName name="orwr9" hidden="1">#REF!</definedName>
    <definedName name="OSAFKASFO" hidden="1">#REF!</definedName>
    <definedName name="OSAFKSAFK" hidden="1">#REF!</definedName>
    <definedName name="oskfosf" hidden="1">{#N/A,#N/A,FALSE,"Aging Summary";#N/A,#N/A,FALSE,"Ratio Analysis";#N/A,#N/A,FALSE,"Test 120 Day Accts";#N/A,#N/A,FALSE,"Tickmarks"}</definedName>
    <definedName name="OSLSK" hidden="1">{#N/A,#N/A,FALSE,"Aging Summary";#N/A,#N/A,FALSE,"Ratio Analysis";#N/A,#N/A,FALSE,"Test 120 Day Accts";#N/A,#N/A,FALSE,"Tickmarks"}</definedName>
    <definedName name="oso" hidden="1">{#N/A,#N/A,FALSE,"Aging Summary";#N/A,#N/A,FALSE,"Ratio Analysis";#N/A,#N/A,FALSE,"Test 120 Day Accts";#N/A,#N/A,FALSE,"Tickmarks"}</definedName>
    <definedName name="osos" hidden="1">{#N/A,#N/A,FALSE,"Aging Summary";#N/A,#N/A,FALSE,"Ratio Analysis";#N/A,#N/A,FALSE,"Test 120 Day Accts";#N/A,#N/A,FALSE,"Tickmarks"}</definedName>
    <definedName name="osos1" hidden="1">{#N/A,#N/A,FALSE,"Aging Summary";#N/A,#N/A,FALSE,"Ratio Analysis";#N/A,#N/A,FALSE,"Test 120 Day Accts";#N/A,#N/A,FALSE,"Tickmarks"}</definedName>
    <definedName name="ososososso" hidden="1">{#N/A,#N/A,FALSE,"03070001";#N/A,#N/A,FALSE,"03070002";#N/A,#N/A,FALSE,"03090003";#N/A,#N/A,FALSE,"23190001";#N/A,#N/A,FALSE,"24470001"}</definedName>
    <definedName name="osossoso" hidden="1">{#N/A,#N/A,FALSE,"Aging Summary";#N/A,#N/A,FALSE,"Ratio Analysis";#N/A,#N/A,FALSE,"Test 120 Day Accts";#N/A,#N/A,FALSE,"Tickmarks"}</definedName>
    <definedName name="otokgke" hidden="1">{#N/A,#N/A,FALSE,"Aging Summary";#N/A,#N/A,FALSE,"Ratio Analysis";#N/A,#N/A,FALSE,"Test 120 Day Accts";#N/A,#N/A,FALSE,"Tickmarks"}</definedName>
    <definedName name="Otra" hidden="1">#REF!</definedName>
    <definedName name="Otro" hidden="1">#REF!</definedName>
    <definedName name="otros" hidden="1">{#N/A,#N/A,FALSE,"SUBSIDIARIAS"}</definedName>
    <definedName name="ouiui" hidden="1">{#N/A,#N/A,FALSE,"Aging Summary";#N/A,#N/A,FALSE,"Ratio Analysis";#N/A,#N/A,FALSE,"Test 120 Day Accts";#N/A,#N/A,FALSE,"Tickmarks"}</definedName>
    <definedName name="ouiuuy" hidden="1">{#N/A,#N/A,FALSE,"Aging Summary";#N/A,#N/A,FALSE,"Ratio Analysis";#N/A,#N/A,FALSE,"Test 120 Day Accts";#N/A,#N/A,FALSE,"Tickmarks"}</definedName>
    <definedName name="ouiyu" hidden="1">{#N/A,#N/A,FALSE,"Aging Summary";#N/A,#N/A,FALSE,"Ratio Analysis";#N/A,#N/A,FALSE,"Test 120 Day Accts";#N/A,#N/A,FALSE,"Tickmarks"}</definedName>
    <definedName name="OUOUO" hidden="1">{#N/A,#N/A,FALSE,"Aging Summary";#N/A,#N/A,FALSE,"Ratio Analysis";#N/A,#N/A,FALSE,"Test 120 Day Accts";#N/A,#N/A,FALSE,"Tickmarks"}</definedName>
    <definedName name="ovekovek" hidden="1">#REF!</definedName>
    <definedName name="overheads" localSheetId="2">#REF!</definedName>
    <definedName name="overheads" localSheetId="3">#REF!</definedName>
    <definedName name="overheads">#REF!</definedName>
    <definedName name="ovkrovre" hidden="1">#REF!</definedName>
    <definedName name="ovmwovmwv" hidden="1">{#N/A,#N/A,FALSE,"Aging Summary";#N/A,#N/A,FALSE,"Ratio Analysis";#N/A,#N/A,FALSE,"Test 120 Day Accts";#N/A,#N/A,FALSE,"Tickmarks"}</definedName>
    <definedName name="ovrmvowv" hidden="1">#REF!</definedName>
    <definedName name="ovwbmmb" hidden="1">{#N/A,#N/A,FALSE,"Aging Summary";#N/A,#N/A,FALSE,"Ratio Analysis";#N/A,#N/A,FALSE,"Test 120 Day Accts";#N/A,#N/A,FALSE,"Tickmarks"}</definedName>
    <definedName name="ovwmvww" hidden="1">{#N/A,#N/A,FALSE,"Aging Summary";#N/A,#N/A,FALSE,"Ratio Analysis";#N/A,#N/A,FALSE,"Test 120 Day Accts";#N/A,#N/A,FALSE,"Tickmarks"}</definedName>
    <definedName name="owdkqwkdq" hidden="1">{#N/A,#N/A,FALSE,"Aging Summary";#N/A,#N/A,FALSE,"Ratio Analysis";#N/A,#N/A,FALSE,"Test 120 Day Accts";#N/A,#N/A,FALSE,"Tickmarks"}</definedName>
    <definedName name="owdwokdw" hidden="1">#REF!</definedName>
    <definedName name="owefjew" hidden="1">#REF!</definedName>
    <definedName name="owegjw" hidden="1">#REF!</definedName>
    <definedName name="owejfwf" hidden="1">#REF!</definedName>
    <definedName name="owekfkw" hidden="1">{#N/A,#N/A,FALSE,"Aging Summary";#N/A,#N/A,FALSE,"Ratio Analysis";#N/A,#N/A,FALSE,"Test 120 Day Accts";#N/A,#N/A,FALSE,"Tickmarks"}</definedName>
    <definedName name="owekfow" hidden="1">{#N/A,#N/A,FALSE,"Aging Summary";#N/A,#N/A,FALSE,"Ratio Analysis";#N/A,#N/A,FALSE,"Test 120 Day Accts";#N/A,#N/A,FALSE,"Tickmarks"}</definedName>
    <definedName name="oweofwof" hidden="1">{#N/A,#N/A,FALSE,"Aging Summary";#N/A,#N/A,FALSE,"Ratio Analysis";#N/A,#N/A,FALSE,"Test 120 Day Accts";#N/A,#N/A,FALSE,"Tickmarks"}</definedName>
    <definedName name="owfkw" hidden="1">#REF!</definedName>
    <definedName name="owfkwf" hidden="1">{#N/A,#N/A,FALSE,"Aging Summary";#N/A,#N/A,FALSE,"Ratio Analysis";#N/A,#N/A,FALSE,"Test 120 Day Accts";#N/A,#N/A,FALSE,"Tickmarks"}</definedName>
    <definedName name="owfwofmwf" hidden="1">{"Schedule_1B",#N/A,FALSE,"I-B"}</definedName>
    <definedName name="owjfw" hidden="1">#REF!</definedName>
    <definedName name="owjrw8" hidden="1">#REF!</definedName>
    <definedName name="owkefow" hidden="1">#REF!</definedName>
    <definedName name="owkepdw" hidden="1">{#N/A,#N/A,FALSE,"Aging Summary";#N/A,#N/A,FALSE,"Ratio Analysis";#N/A,#N/A,FALSE,"Test 120 Day Accts";#N/A,#N/A,FALSE,"Tickmarks"}</definedName>
    <definedName name="owkf" hidden="1">#REF!</definedName>
    <definedName name="owkfokwefw" hidden="1">{#N/A,#N/A,FALSE,"Aging Summary";#N/A,#N/A,FALSE,"Ratio Analysis";#N/A,#N/A,FALSE,"Test 120 Day Accts";#N/A,#N/A,FALSE,"Tickmarks"}</definedName>
    <definedName name="owkfowkfw" hidden="1">{#N/A,#N/A,FALSE,"Aging Summary";#N/A,#N/A,FALSE,"Ratio Analysis";#N/A,#N/A,FALSE,"Test 120 Day Accts";#N/A,#N/A,FALSE,"Tickmarks"}</definedName>
    <definedName name="owkfwoekwf" hidden="1">{#N/A,#N/A,FALSE,"Aging Summary";#N/A,#N/A,FALSE,"Ratio Analysis";#N/A,#N/A,FALSE,"Test 120 Day Accts";#N/A,#N/A,FALSE,"Tickmarks"}</definedName>
    <definedName name="owksoqs" hidden="1">#REF!</definedName>
    <definedName name="owkwokf" hidden="1">#REF!</definedName>
    <definedName name="owqekf" hidden="1">{#N/A,#N/A,FALSE,"Aging Summary";#N/A,#N/A,FALSE,"Ratio Analysis";#N/A,#N/A,FALSE,"Test 120 Day Accts";#N/A,#N/A,FALSE,"Tickmarks"}</definedName>
    <definedName name="owqoq" hidden="1">#REF!</definedName>
    <definedName name="ówrk3" hidden="1">#REF!</definedName>
    <definedName name="owrwg" hidden="1">{#N/A,#N/A,FALSE,"Aging Summary";#N/A,#N/A,FALSE,"Ratio Analysis";#N/A,#N/A,FALSE,"Test 120 Day Accts";#N/A,#N/A,FALSE,"Tickmarks"}</definedName>
    <definedName name="oytyj" hidden="1">{#N/A,#N/A,FALSE,"Aging Summary";#N/A,#N/A,FALSE,"Ratio Analysis";#N/A,#N/A,FALSE,"Test 120 Day Accts";#N/A,#N/A,FALSE,"Tickmarks"}</definedName>
    <definedName name="pablo" hidden="1">{#N/A,#N/A,FALSE,"03070001";#N/A,#N/A,FALSE,"03070002";#N/A,#N/A,FALSE,"03090003";#N/A,#N/A,FALSE,"23190001";#N/A,#N/A,FALSE,"24470001"}</definedName>
    <definedName name="pabl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dplfa" hidden="1">#REF!</definedName>
    <definedName name="padsfpapsfa" hidden="1">#REF!</definedName>
    <definedName name="pa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FLPAFPL" hidden="1">#REF!</definedName>
    <definedName name="PALF" hidden="1">#REF!</definedName>
    <definedName name="PALFA" hidden="1">#REF!</definedName>
    <definedName name="palfpadlf" hidden="1">#REF!</definedName>
    <definedName name="palkfakf" hidden="1">{#N/A,#N/A,FALSE,"Aging Summary";#N/A,#N/A,FALSE,"Ratio Analysis";#N/A,#N/A,FALSE,"Test 120 Day Accts";#N/A,#N/A,FALSE,"Tickmarks"}</definedName>
    <definedName name="pama" hidden="1">{#N/A,#N/A,FALSE,"Aging Summary";#N/A,#N/A,FALSE,"Ratio Analysis";#N/A,#N/A,FALSE,"Test 120 Day Accts";#N/A,#N/A,FALSE,"Tickmarks"}</definedName>
    <definedName name="pame" hidden="1">#REF!</definedName>
    <definedName name="papa" hidden="1">{#N/A,#N/A,FALSE,"Aging Summary";#N/A,#N/A,FALSE,"Ratio Analysis";#N/A,#N/A,FALSE,"Test 120 Day Accts";#N/A,#N/A,FALSE,"Tickmarks"}</definedName>
    <definedName name="pas"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dpfapfpa" hidden="1">#REF!</definedName>
    <definedName name="pas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 hidden="1">{#N/A,#N/A,FALSE,"balance";#N/A,#N/A,FALSE,"P&amp;L";#N/A,#N/A,FALSE,"Equity";#N/A,#N/A,FALSE,"cash flow";#N/A,#N/A,FALSE,"bienes uso";#N/A,#N/A,FALSE,"intangibles";#N/A,#N/A,FALSE,"P&amp;L MD&amp;A";#N/A,#N/A,FALSE,"breakdown";#N/A,#N/A,FALSE,"stat ratios"}</definedName>
    <definedName name="pasivo2" hidden="1">{#N/A,#N/A,FALSE,"balance";#N/A,#N/A,FALSE,"P&amp;L";#N/A,#N/A,FALSE,"Equity";#N/A,#N/A,FALSE,"cash flow";#N/A,#N/A,FALSE,"bienes uso";#N/A,#N/A,FALSE,"intangibles";#N/A,#N/A,FALSE,"P&amp;L MD&amp;A";#N/A,#N/A,FALSE,"breakdown";#N/A,#N/A,FALSE,"stat ratios"}</definedName>
    <definedName name="pasivo3" hidden="1">{#N/A,#N/A,FALSE,"balance";#N/A,#N/A,FALSE,"P&amp;L";#N/A,#N/A,FALSE,"Equity";#N/A,#N/A,FALSE,"cash flow";#N/A,#N/A,FALSE,"bienes uso";#N/A,#N/A,FALSE,"intangibles";#N/A,#N/A,FALSE,"P&amp;L MD&amp;A";#N/A,#N/A,FALSE,"breakdown";#N/A,#N/A,FALSE,"stat ratios"}</definedName>
    <definedName name="pasivo4"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o5"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o6"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LFALFA" hidden="1">#REF!</definedName>
    <definedName name="PASLFALPA" hidden="1">#REF!</definedName>
    <definedName name="PASLPFALF" hidden="1">#REF!</definedName>
    <definedName name="paspfapfs" hidden="1">#REF!</definedName>
    <definedName name="PASTE" hidden="1">#REF!</definedName>
    <definedName name="pb" hidden="1">{#N/A,#N/A,FALSE,"Aging Summary";#N/A,#N/A,FALSE,"Ratio Analysis";#N/A,#N/A,FALSE,"Test 120 Day Accts";#N/A,#N/A,FALSE,"Tickmarks"}</definedName>
    <definedName name="PBB" hidden="1">{"custodia",#N/A,FALSE,"Encaje";"encajeprint",#N/A,FALSE,"Encaje"}</definedName>
    <definedName name="pbleptble" hidden="1">{#N/A,#N/A,FALSE,"Aging Summary";#N/A,#N/A,FALSE,"Ratio Analysis";#N/A,#N/A,FALSE,"Test 120 Day Accts";#N/A,#N/A,FALSE,"Tickmarks"}</definedName>
    <definedName name="PCCCC" hidden="1">#REF!</definedName>
    <definedName name="pççp" hidden="1">{#N/A,#N/A,FALSE,"Aging Summary";#N/A,#N/A,FALSE,"Ratio Analysis";#N/A,#N/A,FALSE,"Test 120 Day Accts";#N/A,#N/A,FALSE,"Tickmarks"}</definedName>
    <definedName name="pcewoc" hidden="1">#REF!</definedName>
    <definedName name="pcmwecpw" hidden="1">{#N/A,#N/A,FALSE,"Aging Summary";#N/A,#N/A,FALSE,"Ratio Analysis";#N/A,#N/A,FALSE,"Test 120 Day Accts";#N/A,#N/A,FALSE,"Tickmarks"}</definedName>
    <definedName name="pcmwocw" hidden="1">{#N/A,#N/A,FALSE,"Aging Summary";#N/A,#N/A,FALSE,"Ratio Analysis";#N/A,#N/A,FALSE,"Test 120 Day Accts";#N/A,#N/A,FALSE,"Tickmarks"}</definedName>
    <definedName name="pcmwomcpw" hidden="1">#REF!</definedName>
    <definedName name="PÇO" hidden="1">{#N/A,#N/A,FALSE,"Aging Summary";#N/A,#N/A,FALSE,"Ratio Analysis";#N/A,#N/A,FALSE,"Test 120 Day Accts";#N/A,#N/A,FALSE,"Tickmarks"}</definedName>
    <definedName name="pcowm" hidden="1">{#N/A,#N/A,FALSE,"Aging Summary";#N/A,#N/A,FALSE,"Ratio Analysis";#N/A,#N/A,FALSE,"Test 120 Day Accts";#N/A,#N/A,FALSE,"Tickmarks"}</definedName>
    <definedName name="pcowmocw" hidden="1">{#N/A,#N/A,FALSE,"Aging Summary";#N/A,#N/A,FALSE,"Ratio Analysis";#N/A,#N/A,FALSE,"Test 120 Day Accts";#N/A,#N/A,FALSE,"Tickmarks"}</definedName>
    <definedName name="pçp" hidden="1">{#N/A,#N/A,FALSE,"Aging Summary";#N/A,#N/A,FALSE,"Ratio Analysis";#N/A,#N/A,FALSE,"Test 120 Day Accts";#N/A,#N/A,FALSE,"Tickmarks"}</definedName>
    <definedName name="pcwkcw" hidden="1">#REF!</definedName>
    <definedName name="PDALSPLA" hidden="1">#REF!</definedName>
    <definedName name="pdepde" hidden="1">{"Schedule_1D",#N/A,FALSE,"I-D"}</definedName>
    <definedName name="pdepldle" hidden="1">{#N/A,#N/A,FALSE,"Aging Summary";#N/A,#N/A,FALSE,"Ratio Analysis";#N/A,#N/A,FALSE,"Test 120 Day Accts";#N/A,#N/A,FALSE,"Tickmarks"}</definedName>
    <definedName name="pdepleple" hidden="1">#REF!</definedName>
    <definedName name="pdewpw" hidden="1">{#N/A,#N/A,FALSE,"Aging Summary";#N/A,#N/A,FALSE,"Ratio Analysis";#N/A,#N/A,FALSE,"Test 120 Day Accts";#N/A,#N/A,FALSE,"Tickmarks"}</definedName>
    <definedName name="pdfladpf" hidden="1">#REF!</definedName>
    <definedName name="pdkepd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dlADLASLD" hidden="1">#REF!</definedName>
    <definedName name="pdldepew" hidden="1">{#N/A,#N/A,FALSE,"Aging Summary";#N/A,#N/A,FALSE,"Ratio Analysis";#N/A,#N/A,FALSE,"Test 120 Day Accts";#N/A,#N/A,FALSE,"Tickmarks"}</definedName>
    <definedName name="pdlpede" hidden="1">{#N/A,#N/A,FALSE,"Aging Summary";#N/A,#N/A,FALSE,"Ratio Analysis";#N/A,#N/A,FALSE,"Test 120 Day Accts";#N/A,#N/A,FALSE,"Tickmarks"}</definedName>
    <definedName name="pdlpeld" hidden="1">{#N/A,#N/A,FALSE,"Aging Summary";#N/A,#N/A,FALSE,"Ratio Analysis";#N/A,#N/A,FALSE,"Test 120 Day Accts";#N/A,#N/A,FALSE,"Tickmarks"}</definedName>
    <definedName name="pdlqd" hidden="1">{#N/A,#N/A,FALSE,"Aging Summary";#N/A,#N/A,FALSE,"Ratio Analysis";#N/A,#N/A,FALSE,"Test 120 Day Accts";#N/A,#N/A,FALSE,"Tickmarks"}</definedName>
    <definedName name="pdlqpdlq" hidden="1">{#N/A,#N/A,FALSE,"Aging Summary";#N/A,#N/A,FALSE,"Ratio Analysis";#N/A,#N/A,FALSE,"Test 120 Day Accts";#N/A,#N/A,FALSE,"Tickmarks"}</definedName>
    <definedName name="pdlqpdq" hidden="1">{#N/A,#N/A,FALSE,"Aging Summary";#N/A,#N/A,FALSE,"Ratio Analysis";#N/A,#N/A,FALSE,"Test 120 Day Accts";#N/A,#N/A,FALSE,"Tickmarks"}</definedName>
    <definedName name="pdlqpdqd" hidden="1">{#N/A,#N/A,FALSE,"Aging Summary";#N/A,#N/A,FALSE,"Ratio Analysis";#N/A,#N/A,FALSE,"Test 120 Day Accts";#N/A,#N/A,FALSE,"Tickmarks"}</definedName>
    <definedName name="pdlqwpdlq" hidden="1">{#N/A,#N/A,FALSE,"Aging Summary";#N/A,#N/A,FALSE,"Ratio Analysis";#N/A,#N/A,FALSE,"Test 120 Day Accts";#N/A,#N/A,FALSE,"Tickmarks"}</definedName>
    <definedName name="pdpd" hidden="1">#REF!</definedName>
    <definedName name="pdpepeppe" hidden="1">{#N/A,#N/A,FALSE,"Aging Summary";#N/A,#N/A,FALSE,"Ratio Analysis";#N/A,#N/A,FALSE,"Test 120 Day Accts";#N/A,#N/A,FALSE,"Tickmarks"}</definedName>
    <definedName name="pdqeldpqd" hidden="1">#REF!</definedName>
    <definedName name="pdqldpqldq" hidden="1">#REF!</definedName>
    <definedName name="pdqledpq" hidden="1">{#N/A,#N/A,FALSE,"Aging Summary";#N/A,#N/A,FALSE,"Ratio Analysis";#N/A,#N/A,FALSE,"Test 120 Day Accts";#N/A,#N/A,FALSE,"Tickmarks"}</definedName>
    <definedName name="pdqlepq" hidden="1">#REF!</definedName>
    <definedName name="pdqlpdq" hidden="1">{#N/A,#N/A,FALSE,"Aging Summary";#N/A,#N/A,FALSE,"Ratio Analysis";#N/A,#N/A,FALSE,"Test 120 Day Accts";#N/A,#N/A,FALSE,"Tickmarks"}</definedName>
    <definedName name="pdqlpdqplw" hidden="1">#REF!</definedName>
    <definedName name="pdqlwpdwq" hidden="1">#REF!</definedName>
    <definedName name="pdqpdkq" hidden="1">{#N/A,#N/A,FALSE,"Aging Summary";#N/A,#N/A,FALSE,"Ratio Analysis";#N/A,#N/A,FALSE,"Test 120 Day Accts";#N/A,#N/A,FALSE,"Tickmarks"}</definedName>
    <definedName name="pdqwldpqd" hidden="1">{#N/A,#N/A,FALSE,"Aging Summary";#N/A,#N/A,FALSE,"Ratio Analysis";#N/A,#N/A,FALSE,"Test 120 Day Accts";#N/A,#N/A,FALSE,"Tickmarks"}</definedName>
    <definedName name="pdqwpldplwq" hidden="1">#REF!</definedName>
    <definedName name="pdwepfdw" hidden="1">#REF!</definedName>
    <definedName name="pdwlpdw" hidden="1">{#N/A,#N/A,FALSE,"Aging Summary";#N/A,#N/A,FALSE,"Ratio Analysis";#N/A,#N/A,FALSE,"Test 120 Day Accts";#N/A,#N/A,FALSE,"Tickmarks"}</definedName>
    <definedName name="pdwlpldlwp" hidden="1">{#N/A,#N/A,FALSE,"Aging Summary";#N/A,#N/A,FALSE,"Ratio Analysis";#N/A,#N/A,FALSE,"Test 120 Day Accts";#N/A,#N/A,FALSE,"Tickmarks"}</definedName>
    <definedName name="pdwlqpdlq" hidden="1">#REF!</definedName>
    <definedName name="pdwokdow" hidden="1">#REF!</definedName>
    <definedName name="pdwpdw" hidden="1">{#N/A,#N/A,FALSE,"Aging Summary";#N/A,#N/A,FALSE,"Ratio Analysis";#N/A,#N/A,FALSE,"Test 120 Day Accts";#N/A,#N/A,FALSE,"Tickmarks"}</definedName>
    <definedName name="pdwqld" hidden="1">#REF!</definedName>
    <definedName name="pdwqldpql" hidden="1">{#N/A,#N/A,FALSE,"Aging Summary";#N/A,#N/A,FALSE,"Ratio Analysis";#N/A,#N/A,FALSE,"Test 120 Day Accts";#N/A,#N/A,FALSE,"Tickmarks"}</definedName>
    <definedName name="pdwqldqpq" hidden="1">#REF!</definedName>
    <definedName name="pdwqpldwqpl" hidden="1">#REF!</definedName>
    <definedName nam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dpwpdw" hidden="1">{#N/A,#N/A,FALSE,"Aging Summary";#N/A,#N/A,FALSE,"Ratio Analysis";#N/A,#N/A,FALSE,"Test 120 Day Accts";#N/A,#N/A,FALSE,"Tickmarks"}</definedName>
    <definedName name="pedro" hidden="1">{#N/A,#N/A,FALSE,"Aging Summary";#N/A,#N/A,FALSE,"Ratio Analysis";#N/A,#N/A,FALSE,"Test 120 Day Accts";#N/A,#N/A,FALSE,"Tickmarks"}</definedName>
    <definedName name="Pee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eeeeeeee" hidden="1">{#N/A,#N/A,FALSE,"Aging Summary";#N/A,#N/A,FALSE,"Ratio Analysis";#N/A,#N/A,FALSE,"Test 120 Day Accts";#N/A,#N/A,FALSE,"Tickmarks"}</definedName>
    <definedName name="pefewf" hidden="1">{#N/A,#N/A,FALSE,"Aging Summary";#N/A,#N/A,FALSE,"Ratio Analysis";#N/A,#N/A,FALSE,"Test 120 Day Accts";#N/A,#N/A,FALSE,"Tickmarks"}</definedName>
    <definedName name="pefwpfw" hidden="1">{#N/A,#N/A,FALSE,"Aging Summary";#N/A,#N/A,FALSE,"Ratio Analysis";#N/A,#N/A,FALSE,"Test 120 Day Accts";#N/A,#N/A,FALSE,"Tickmarks"}</definedName>
    <definedName name="pelrpflef" hidden="1">{#N/A,#N/A,FALSE,"Aging Summary";#N/A,#N/A,FALSE,"Ratio Analysis";#N/A,#N/A,FALSE,"Test 120 Day Accts";#N/A,#N/A,FALSE,"Tickmarks"}</definedName>
    <definedName name="pelu" hidden="1">#REF!</definedName>
    <definedName name="pep"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2"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pe" hidden="1">{#N/A,#N/A,FALSE,"Aging Summary";#N/A,#N/A,FALSE,"Ratio Analysis";#N/A,#N/A,FALSE,"Test 120 Day Accts";#N/A,#N/A,FALSE,"Tickmarks"}</definedName>
    <definedName name="pepepep" hidden="1">{#N/A,#N/A,FALSE,"Aging Summary";#N/A,#N/A,FALSE,"Ratio Analysis";#N/A,#N/A,FALSE,"Test 120 Day Accts";#N/A,#N/A,FALSE,"Tickmarks"}</definedName>
    <definedName name="pepito"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rlerew" hidden="1">{#N/A,#N/A,FALSE,"Aging Summary";#N/A,#N/A,FALSE,"Ratio Analysis";#N/A,#N/A,FALSE,"Test 120 Day Accts";#N/A,#N/A,FALSE,"Tickmarks"}</definedName>
    <definedName name="pepw" hidden="1">#REF!</definedName>
    <definedName name="peqleqe" hidden="1">{#N/A,#N/A,FALSE,"Aging Summary";#N/A,#N/A,FALSE,"Ratio Analysis";#N/A,#N/A,FALSE,"Test 120 Day Accts";#N/A,#N/A,FALSE,"Tickmarks"}</definedName>
    <definedName name="PEQLFQPEFLQEF" hidden="1">#REF!</definedName>
    <definedName name="peqwpeoqe" hidden="1">{"Schedule_IA",#N/A,FALSE,"I-A"}</definedName>
    <definedName name="PERDIDA" hidden="1">{#N/A,#N/A,FALSE,"Aging Summary";#N/A,#N/A,FALSE,"Ratio Analysis";#N/A,#N/A,FALSE,"Test 120 Day Accts";#N/A,#N/A,FALSE,"Tickmarks"}</definedName>
    <definedName name="perdidas" hidden="1">{#N/A,#N/A,FALSE,"Aging Summary";#N/A,#N/A,FALSE,"Ratio Analysis";#N/A,#N/A,FALSE,"Test 120 Day Accts";#N/A,#N/A,FALSE,"Tickmarks"}</definedName>
    <definedName name="perlpve" hidden="1">{#N/A,#N/A,FALSE,"Aging Summary";#N/A,#N/A,FALSE,"Ratio Analysis";#N/A,#N/A,FALSE,"Test 120 Day Accts";#N/A,#N/A,FALSE,"Tickmarks"}</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o" hidden="1">{#N/A,#N/A,FALSE,"Aging Summary";#N/A,#N/A,FALSE,"Ratio Analysis";#N/A,#N/A,FALSE,"Test 120 Day Accts";#N/A,#N/A,FALSE,"Tickmarks"}</definedName>
    <definedName name="pet" hidden="1">{#N/A,#N/A,FALSE,"SUBSIDIARIAS"}</definedName>
    <definedName name="peter" hidden="1">{#N/A,#N/A,FALSE,"Aging Summary";#N/A,#N/A,FALSE,"Ratio Analysis";#N/A,#N/A,FALSE,"Test 120 Day Accts";#N/A,#N/A,FALSE,"Tickmarks"}</definedName>
    <definedName name="pew" hidden="1">{#N/A,#N/A,FALSE,"Aging Summary";#N/A,#N/A,FALSE,"Ratio Analysis";#N/A,#N/A,FALSE,"Test 120 Day Accts";#N/A,#N/A,FALSE,"Tickmarks"}</definedName>
    <definedName name="pewdpwld" hidden="1">{#N/A,#N/A,FALSE,"Aging Summary";#N/A,#N/A,FALSE,"Ratio Analysis";#N/A,#N/A,FALSE,"Test 120 Day Accts";#N/A,#N/A,FALSE,"Tickmarks"}</definedName>
    <definedName name="pewflw" hidden="1">{#N/A,#N/A,FALSE,"Aging Summary";#N/A,#N/A,FALSE,"Ratio Analysis";#N/A,#N/A,FALSE,"Test 120 Day Accts";#N/A,#N/A,FALSE,"Tickmarks"}</definedName>
    <definedName name="pewflwpf" hidden="1">{#N/A,#N/A,FALSE,"Aging Summary";#N/A,#N/A,FALSE,"Ratio Analysis";#N/A,#N/A,FALSE,"Test 120 Day Accts";#N/A,#N/A,FALSE,"Tickmarks"}</definedName>
    <definedName name="pewlf" hidden="1">#REF!</definedName>
    <definedName name="pewlfew" hidden="1">{#N/A,#N/A,FALSE,"Aging Summary";#N/A,#N/A,FALSE,"Ratio Analysis";#N/A,#N/A,FALSE,"Test 120 Day Accts";#N/A,#N/A,FALSE,"Tickmarks"}</definedName>
    <definedName name="pewlfpwlfwf" hidden="1">{#N/A,#N/A,FALSE,"Aging Summary";#N/A,#N/A,FALSE,"Ratio Analysis";#N/A,#N/A,FALSE,"Test 120 Day Accts";#N/A,#N/A,FALSE,"Tickmarks"}</definedName>
    <definedName name="pewlfw" hidden="1">{#N/A,#N/A,FALSE,"Aging Summary";#N/A,#N/A,FALSE,"Ratio Analysis";#N/A,#N/A,FALSE,"Test 120 Day Accts";#N/A,#N/A,FALSE,"Tickmarks"}</definedName>
    <definedName name="pewpepw" hidden="1">#REF!</definedName>
    <definedName name="pewpewpew" hidden="1">#REF!</definedName>
    <definedName name="pewpewpw" hidden="1">#REF!</definedName>
    <definedName name="pewprw" hidden="1">{#N/A,#N/A,FALSE,"Aging Summary";#N/A,#N/A,FALSE,"Ratio Analysis";#N/A,#N/A,FALSE,"Test 120 Day Accts";#N/A,#N/A,FALSE,"Tickmarks"}</definedName>
    <definedName name="pewpw" hidden="1">{#N/A,#N/A,FALSE,"Aging Summary";#N/A,#N/A,FALSE,"Ratio Analysis";#N/A,#N/A,FALSE,"Test 120 Day Accts";#N/A,#N/A,FALSE,"Tickmarks"}</definedName>
    <definedName name="pewpwpew" hidden="1">#REF!</definedName>
    <definedName name="pewqlrpwqe" hidden="1">#REF!</definedName>
    <definedName name="PFAL" hidden="1">#REF!</definedName>
    <definedName name="PFALFAL" hidden="1">#REF!</definedName>
    <definedName name="PFALFLA" hidden="1">#REF!</definedName>
    <definedName name="PFALFLAS" hidden="1">#REF!</definedName>
    <definedName name="PFALFQ" hidden="1">#REF!</definedName>
    <definedName name="pfalpfa" hidden="1">#REF!</definedName>
    <definedName name="pfalpfal" hidden="1">#REF!</definedName>
    <definedName name="PFALPFLA" hidden="1">#REF!</definedName>
    <definedName name="PFALPFLSAFA" hidden="1">#REF!</definedName>
    <definedName name="PFALPSAL" hidden="1">#REF!</definedName>
    <definedName name="PFALSFA" hidden="1">#REF!</definedName>
    <definedName name="pfapasfpaplll" hidden="1">#REF!</definedName>
    <definedName name="pfapfa" hidden="1">{#N/A,#N/A,FALSE,"Aging Summary";#N/A,#N/A,FALSE,"Ratio Analysis";#N/A,#N/A,FALSE,"Test 120 Day Accts";#N/A,#N/A,FALSE,"Tickmarks"}</definedName>
    <definedName name="PFAPFAPPP" hidden="1">#REF!</definedName>
    <definedName name="pfapslfa" hidden="1">#REF!</definedName>
    <definedName name="PFASFPLALFA" hidden="1">#REF!</definedName>
    <definedName name="PFASLFA" hidden="1">#REF!</definedName>
    <definedName name="PFASLFLA" hidden="1">#REF!</definedName>
    <definedName name="PFASLFPA" hidden="1">#REF!</definedName>
    <definedName name="PFASLPFAL" hidden="1">#REF!</definedName>
    <definedName name="PFASOFAF" hidden="1">#REF!</definedName>
    <definedName name="pfdalpfa" hidden="1">#REF!</definedName>
    <definedName name="pfdslfpdslf" hidden="1">#REF!</definedName>
    <definedName name="pfef" hidden="1">{#N/A,#N/A,FALSE,"Aging Summary";#N/A,#N/A,FALSE,"Ratio Analysis";#N/A,#N/A,FALSE,"Test 120 Day Accts";#N/A,#N/A,FALSE,"Tickmarks"}</definedName>
    <definedName name="pfefpe" hidden="1">#REF!</definedName>
    <definedName name="pfelfpe" hidden="1">{#N/A,#N/A,FALSE,"Aging Summary";#N/A,#N/A,FALSE,"Ratio Analysis";#N/A,#N/A,FALSE,"Test 120 Day Accts";#N/A,#N/A,FALSE,"Tickmarks"}</definedName>
    <definedName name="pfelkewpf" hidden="1">{#N/A,#N/A,TRUE,"ComparativoII"}</definedName>
    <definedName name="pfepfe" hidden="1">#REF!</definedName>
    <definedName name="pfepfelpfeple" hidden="1">{#N/A,#N/A,FALSE,"Aging Summary";#N/A,#N/A,FALSE,"Ratio Analysis";#N/A,#N/A,FALSE,"Test 120 Day Accts";#N/A,#N/A,FALSE,"Tickmarks"}</definedName>
    <definedName name="PFEQLFLQ" hidden="1">#REF!</definedName>
    <definedName name="PFEQPQFPPPP" hidden="1">{#N/A,#N/A,FALSE,"Aging Summary";#N/A,#N/A,FALSE,"Ratio Analysis";#N/A,#N/A,FALSE,"Test 120 Day Accts";#N/A,#N/A,FALSE,"Tickmarks"}</definedName>
    <definedName name="PFEQQEFL" hidden="1">#REF!</definedName>
    <definedName name="pfewflw´f" hidden="1">{#N/A,#N/A,FALSE,"Aging Summary";#N/A,#N/A,FALSE,"Ratio Analysis";#N/A,#N/A,FALSE,"Test 120 Day Accts";#N/A,#N/A,FALSE,"Tickmarks"}</definedName>
    <definedName name="pfewlfpwf" hidden="1">{#N/A,#N/A,FALSE,"Aging Summary";#N/A,#N/A,FALSE,"Ratio Analysis";#N/A,#N/A,FALSE,"Test 120 Day Accts";#N/A,#N/A,FALSE,"Tickmarks"}</definedName>
    <definedName name="pfewpwp" hidden="1">{#N/A,#N/A,FALSE,"Aging Summary";#N/A,#N/A,FALSE,"Ratio Analysis";#N/A,#N/A,FALSE,"Test 120 Day Accts";#N/A,#N/A,FALSE,"Tickmarks"}</definedName>
    <definedName name="PFFPAL" hidden="1">#REF!</definedName>
    <definedName name="pfiwjfw7" hidden="1">#REF!</definedName>
    <definedName name="pfkwpekfw" hidden="1">{#N/A,#N/A,FALSE,"Aging Summary";#N/A,#N/A,FALSE,"Ratio Analysis";#N/A,#N/A,FALSE,"Test 120 Day Accts";#N/A,#N/A,FALSE,"Tickmarks"}</definedName>
    <definedName name="PFLAFLQQ" hidden="1">#REF!</definedName>
    <definedName name="PFLALFALA" hidden="1">#REF!</definedName>
    <definedName name="PFLALFD" hidden="1">#REF!</definedName>
    <definedName name="PFLALSAL" hidden="1">#REF!</definedName>
    <definedName name="pflap" hidden="1">#REF!</definedName>
    <definedName name="PFLAPFL" hidden="1">#REF!</definedName>
    <definedName name="pflapfla" hidden="1">#REF!</definedName>
    <definedName name="PFLAPLA" hidden="1">#REF!</definedName>
    <definedName name="pflapsfla" hidden="1">#REF!</definedName>
    <definedName name="PFLASFLAS" hidden="1">#REF!</definedName>
    <definedName name="PFLASFLASLFASLF" hidden="1">#REF!</definedName>
    <definedName name="PFLEFEQ" hidden="1">#REF!</definedName>
    <definedName name="pflepf" hidden="1">{#N/A,#N/A,FALSE,"Aging Summary";#N/A,#N/A,FALSE,"Ratio Analysis";#N/A,#N/A,FALSE,"Test 120 Day Accts";#N/A,#N/A,FALSE,"Tickmarks"}</definedName>
    <definedName name="pflepflpewf" hidden="1">{#N/A,#N/A,FALSE,"Aging Summary";#N/A,#N/A,FALSE,"Ratio Analysis";#N/A,#N/A,FALSE,"Test 120 Day Accts";#N/A,#N/A,FALSE,"Tickmarks"}</definedName>
    <definedName name="pflepflwef" hidden="1">{#N/A,#N/A,FALSE,"Aging Summary";#N/A,#N/A,FALSE,"Ratio Analysis";#N/A,#N/A,FALSE,"Test 120 Day Accts";#N/A,#N/A,FALSE,"Tickmarks"}</definedName>
    <definedName name="PFLEQFLQE" hidden="1">#REF!</definedName>
    <definedName name="PFLEQFLQL" hidden="1">#REF!</definedName>
    <definedName name="PFLEQFQ" hidden="1">#REF!</definedName>
    <definedName name="PFLEQFQL3" hidden="1">#REF!</definedName>
    <definedName name="PFLEQLF" hidden="1">#REF!</definedName>
    <definedName name="PFLEQLFQLEFQLEF" hidden="1">#REF!</definedName>
    <definedName name="PFLEQLFQLEFQLLL" hidden="1">#REF!</definedName>
    <definedName name="PFLEQPFLQ" hidden="1">#REF!</definedName>
    <definedName name="PFLEQPFLQE" hidden="1">#REF!</definedName>
    <definedName name="pflewpf" hidden="1">{#N/A,#N/A,FALSE,"Aging Summary";#N/A,#N/A,FALSE,"Ratio Analysis";#N/A,#N/A,FALSE,"Test 120 Day Accts";#N/A,#N/A,FALSE,"Tickmarks"}</definedName>
    <definedName name="pflewpflw" hidden="1">{#N/A,#N/A,FALSE,"Aging Summary";#N/A,#N/A,FALSE,"Ratio Analysis";#N/A,#N/A,FALSE,"Test 120 Day Accts";#N/A,#N/A,FALSE,"Tickmarks"}</definedName>
    <definedName name="pflewpflwpflwlf" hidden="1">{#N/A,#N/A,FALSE,"Aging Summary";#N/A,#N/A,FALSE,"Ratio Analysis";#N/A,#N/A,FALSE,"Test 120 Day Accts";#N/A,#N/A,FALSE,"Tickmarks"}</definedName>
    <definedName name="pflewpfw" hidden="1">{#N/A,#N/A,FALSE,"Aging Summary";#N/A,#N/A,FALSE,"Ratio Analysis";#N/A,#N/A,FALSE,"Test 120 Day Accts";#N/A,#N/A,FALSE,"Tickmarks"}</definedName>
    <definedName name="pflewpfwf" hidden="1">{"'DIFPRE'!$A$2:$M$54"}</definedName>
    <definedName name="pflewpfwlf" hidden="1">{#N/A,#N/A,FALSE,"Aging Summary";#N/A,#N/A,FALSE,"Ratio Analysis";#N/A,#N/A,FALSE,"Test 120 Day Accts";#N/A,#N/A,FALSE,"Tickmarks"}</definedName>
    <definedName name="pflewplfw" hidden="1">{#N/A,#N/A,FALSE,"Aging Summary";#N/A,#N/A,FALSE,"Ratio Analysis";#N/A,#N/A,FALSE,"Test 120 Day Accts";#N/A,#N/A,FALSE,"Tickmarks"}</definedName>
    <definedName name="PFLFELLLLLLLL" hidden="1">{#N/A,#N/A,FALSE,"Aging Summary";#N/A,#N/A,FALSE,"Ratio Analysis";#N/A,#N/A,FALSE,"Test 120 Day Accts";#N/A,#N/A,FALSE,"Tickmarks"}</definedName>
    <definedName name="pflfpw" hidden="1">{#N/A,#N/A,FALSE,"Aging Summary";#N/A,#N/A,FALSE,"Ratio Analysis";#N/A,#N/A,FALSE,"Test 120 Day Accts";#N/A,#N/A,FALSE,"Tickmarks"}</definedName>
    <definedName name="pflpf" hidden="1">{#N/A,#N/A,FALSE,"Aging Summary";#N/A,#N/A,FALSE,"Ratio Analysis";#N/A,#N/A,FALSE,"Test 120 Day Accts";#N/A,#N/A,FALSE,"Tickmarks"}</definedName>
    <definedName name="pflplfplfew" hidden="1">{#N/A,#N/A,FALSE,"Aging Summary";#N/A,#N/A,FALSE,"Ratio Analysis";#N/A,#N/A,FALSE,"Test 120 Day Accts";#N/A,#N/A,FALSE,"Tickmarks"}</definedName>
    <definedName name="pflpwef" hidden="1">{#N/A,#N/A,FALSE,"Aging Summary";#N/A,#N/A,FALSE,"Ratio Analysis";#N/A,#N/A,FALSE,"Test 120 Day Accts";#N/A,#N/A,FALSE,"Tickmarks"}</definedName>
    <definedName name="PFLQEF" hidden="1">#REF!</definedName>
    <definedName name="PFLQEFLQ" hidden="1">#REF!</definedName>
    <definedName name="PFLQEFQEFL" hidden="1">#REF!</definedName>
    <definedName name="PFLQEFQF" hidden="1">#REF!</definedName>
    <definedName name="PFLQEFQFL" hidden="1">#REF!</definedName>
    <definedName name="PFLQEFQL" hidden="1">#REF!</definedName>
    <definedName name="PFLQELFQ" hidden="1">#REF!</definedName>
    <definedName name="PFLQELFQE" hidden="1">#REF!</definedName>
    <definedName name="PFLQELFQL" hidden="1">#REF!</definedName>
    <definedName name="PFLQEPFLQE" hidden="1">#REF!</definedName>
    <definedName name="PFLQEPFLQFPLQ" hidden="1">#REF!</definedName>
    <definedName name="PFLQEPFLQLF" hidden="1">#REF!</definedName>
    <definedName name="PFLQEPFQL" hidden="1">#REF!</definedName>
    <definedName name="PFLQFLQ" hidden="1">#REF!</definedName>
    <definedName name="PFLQPELF" hidden="1">#REF!</definedName>
    <definedName name="PFLQPFLQ" hidden="1">#REF!</definedName>
    <definedName name="pflrpfe" hidden="1">{#N/A,#N/A,FALSE,"Aging Summary";#N/A,#N/A,FALSE,"Ratio Analysis";#N/A,#N/A,FALSE,"Test 120 Day Accts";#N/A,#N/A,FALSE,"Tickmarks"}</definedName>
    <definedName name="pflrpfr" hidden="1">{#N/A,#N/A,FALSE,"Aging Summary";#N/A,#N/A,FALSE,"Ratio Analysis";#N/A,#N/A,FALSE,"Test 120 Day Accts";#N/A,#N/A,FALSE,"Tickmarks"}</definedName>
    <definedName name="pflwepfelwf" hidden="1">{#N/A,#N/A,FALSE,"Aging Summary";#N/A,#N/A,FALSE,"Ratio Analysis";#N/A,#N/A,FALSE,"Test 120 Day Accts";#N/A,#N/A,FALSE,"Tickmarks"}</definedName>
    <definedName name="pflwepflwf" hidden="1">{"Index",#N/A,FALSE,"Index"}</definedName>
    <definedName name="pflwfw" hidden="1">#REF!</definedName>
    <definedName name="pflwpefw" hidden="1">{#N/A,#N/A,FALSE,"Aging Summary";#N/A,#N/A,FALSE,"Ratio Analysis";#N/A,#N/A,FALSE,"Test 120 Day Accts";#N/A,#N/A,FALSE,"Tickmarks"}</definedName>
    <definedName name="pflwpelfpwf" hidden="1">{"Index",#N/A,FALSE,"Index"}</definedName>
    <definedName name="pflwpf" hidden="1">{#N/A,#N/A,FALSE,"Aging Summary";#N/A,#N/A,FALSE,"Ratio Analysis";#N/A,#N/A,FALSE,"Test 120 Day Accts";#N/A,#N/A,FALSE,"Tickmarks"}</definedName>
    <definedName name="pflwpfe" hidden="1">{#N/A,#N/A,FALSE,"Aging Summary";#N/A,#N/A,FALSE,"Ratio Analysis";#N/A,#N/A,FALSE,"Test 120 Day Accts";#N/A,#N/A,FALSE,"Tickmarks"}</definedName>
    <definedName name="pflwpfl" hidden="1">{"'DIFPRE'!$A$2:$M$54"}</definedName>
    <definedName name="pflwpflw" hidden="1">{#N/A,#N/A,FALSE,"Aging Summary";#N/A,#N/A,FALSE,"Ratio Analysis";#N/A,#N/A,FALSE,"Test 120 Day Accts";#N/A,#N/A,FALSE,"Tickmarks"}</definedName>
    <definedName name="pflwpflwf" hidden="1">{#N/A,#N/A,FALSE,"Aging Summary";#N/A,#N/A,FALSE,"Ratio Analysis";#N/A,#N/A,FALSE,"Test 120 Day Accts";#N/A,#N/A,FALSE,"Tickmarks"}</definedName>
    <definedName name="pflwpfw" hidden="1">#REF!</definedName>
    <definedName name="pflwpfw´" hidden="1">{#N/A,#N/A,FALSE,"Aging Summary";#N/A,#N/A,FALSE,"Ratio Analysis";#N/A,#N/A,FALSE,"Test 120 Day Accts";#N/A,#N/A,FALSE,"Tickmarks"}</definedName>
    <definedName name="pfokwfow" hidden="1">{#N/A,#N/A,FALSE,"Aging Summary";#N/A,#N/A,FALSE,"Ratio Analysis";#N/A,#N/A,FALSE,"Test 120 Day Accts";#N/A,#N/A,FALSE,"Tickmarks"}</definedName>
    <definedName name="pfomewofmw" hidden="1">{#N/A,#N/A,FALSE,"Aging Summary";#N/A,#N/A,FALSE,"Ratio Analysis";#N/A,#N/A,FALSE,"Test 120 Day Accts";#N/A,#N/A,FALSE,"Tickmarks"}</definedName>
    <definedName name="pfomewofpmw" hidden="1">{#N/A,#N/A,FALSE,"Aging Summary";#N/A,#N/A,FALSE,"Ratio Analysis";#N/A,#N/A,FALSE,"Test 120 Day Accts";#N/A,#N/A,FALSE,"Tickmarks"}</definedName>
    <definedName name="pfomrwfpw" hidden="1">{#N/A,#N/A,FALSE,"Aging Summary";#N/A,#N/A,FALSE,"Ratio Analysis";#N/A,#N/A,FALSE,"Test 120 Day Accts";#N/A,#N/A,FALSE,"Tickmarks"}</definedName>
    <definedName name="pfomwfow" hidden="1">{#N/A,#N/A,FALSE,"Aging Summary";#N/A,#N/A,FALSE,"Ratio Analysis";#N/A,#N/A,FALSE,"Test 120 Day Accts";#N/A,#N/A,FALSE,"Tickmarks"}</definedName>
    <definedName name="pforekge" hidden="1">#REF!</definedName>
    <definedName name="pfowjf9" hidden="1">#REF!</definedName>
    <definedName name="pfowjfw0" hidden="1">#REF!</definedName>
    <definedName name="pfowmefow" hidden="1">{#N/A,#N/A,FALSE,"Aging Summary";#N/A,#N/A,FALSE,"Ratio Analysis";#N/A,#N/A,FALSE,"Test 120 Day Accts";#N/A,#N/A,FALSE,"Tickmarks"}</definedName>
    <definedName name="pfowofw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fpewf" hidden="1">{#N/A,#N/A,FALSE,"Aging Summary";#N/A,#N/A,FALSE,"Ratio Analysis";#N/A,#N/A,FALSE,"Test 120 Day Accts";#N/A,#N/A,FALSE,"Tickmarks"}</definedName>
    <definedName name="pfpewflw" hidden="1">{#N/A,#N/A,FALSE,"Aging Summary";#N/A,#N/A,FALSE,"Ratio Analysis";#N/A,#N/A,FALSE,"Test 120 Day Accts";#N/A,#N/A,FALSE,"Tickmarks"}</definedName>
    <definedName name="PFPF" hidden="1">#REF!</definedName>
    <definedName name="PFPFPF" hidden="1">#REF!</definedName>
    <definedName name="pfpfpfpf" hidden="1">{#N/A,#N/A,FALSE,"Aging Summary";#N/A,#N/A,FALSE,"Ratio Analysis";#N/A,#N/A,FALSE,"Test 120 Day Accts";#N/A,#N/A,FALSE,"Tickmarks"}</definedName>
    <definedName name="PFPQEP" hidden="1">#REF!</definedName>
    <definedName name="pfprpr" hidden="1">{#N/A,#N/A,FALSE,"Aging Summary";#N/A,#N/A,FALSE,"Ratio Analysis";#N/A,#N/A,FALSE,"Test 120 Day Accts";#N/A,#N/A,FALSE,"Tickmarks"}</definedName>
    <definedName name="pfpweflwfw" hidden="1">{#N/A,#N/A,FALSE,"Aging Summary";#N/A,#N/A,FALSE,"Ratio Analysis";#N/A,#N/A,FALSE,"Test 120 Day Accts";#N/A,#N/A,FALSE,"Tickmarks"}</definedName>
    <definedName name="pfpwefpw" hidden="1">{#N/A,#N/A,FALSE,"Aging Summary";#N/A,#N/A,FALSE,"Ratio Analysis";#N/A,#N/A,FALSE,"Test 120 Day Accts";#N/A,#N/A,FALSE,"Tickmarks"}</definedName>
    <definedName name="PFQEFEQFL" hidden="1">#REF!</definedName>
    <definedName name="PFQEFLQEF" hidden="1">#REF!</definedName>
    <definedName name="PFQEFQFL" hidden="1">#REF!</definedName>
    <definedName name="PFQEFQL" hidden="1">#REF!</definedName>
    <definedName name="PFQELF" hidden="1">#REF!</definedName>
    <definedName name="PFQELFLQEF" hidden="1">#REF!</definedName>
    <definedName name="PFQELFLQFLQ" hidden="1">#REF!</definedName>
    <definedName name="PFQELFPQEFQEFQ" hidden="1">#REF!</definedName>
    <definedName name="PFQELFPQLFQLF" hidden="1">{#N/A,#N/A,FALSE,"Aging Summary";#N/A,#N/A,FALSE,"Ratio Analysis";#N/A,#N/A,FALSE,"Test 120 Day Accts";#N/A,#N/A,FALSE,"Tickmarks"}</definedName>
    <definedName name="PFQELFQE" hidden="1">#REF!</definedName>
    <definedName name="PFQELFQL2" hidden="1">#REF!</definedName>
    <definedName name="PFQELPFQ" hidden="1">{#N/A,#N/A,FALSE,"Aging Summary";#N/A,#N/A,FALSE,"Ratio Analysis";#N/A,#N/A,FALSE,"Test 120 Day Accts";#N/A,#N/A,FALSE,"Tickmarks"}</definedName>
    <definedName name="PFQEPFPQP" hidden="1">#REF!</definedName>
    <definedName name="PFQEPFQLEFL" hidden="1">#REF!</definedName>
    <definedName name="PFQEPFQP" hidden="1">#REF!</definedName>
    <definedName name="PFQFQFL" hidden="1">#REF!</definedName>
    <definedName name="PFQFQQ" hidden="1">#REF!</definedName>
    <definedName name="PFQKEW" hidden="1">#REF!</definedName>
    <definedName name="PFQLEF" hidden="1">{#N/A,#N/A,FALSE,"Aging Summary";#N/A,#N/A,FALSE,"Ratio Analysis";#N/A,#N/A,FALSE,"Test 120 Day Accts";#N/A,#N/A,FALSE,"Tickmarks"}</definedName>
    <definedName name="PFQLEFLQ" hidden="1">#REF!</definedName>
    <definedName name="PFQLEFLQE" hidden="1">#REF!</definedName>
    <definedName name="PFQLEFLQEF" hidden="1">#REF!</definedName>
    <definedName name="PFQLEFLQLL" hidden="1">{#N/A,#N/A,FALSE,"Aging Summary";#N/A,#N/A,FALSE,"Ratio Analysis";#N/A,#N/A,FALSE,"Test 120 Day Accts";#N/A,#N/A,FALSE,"Tickmarks"}</definedName>
    <definedName name="PFQLEFPLQ" hidden="1">#REF!</definedName>
    <definedName name="PFQLEFPQ" hidden="1">#REF!</definedName>
    <definedName name="PFQLEFPQFL" hidden="1">#REF!</definedName>
    <definedName name="PFQLEFPQL" hidden="1">{#N/A,#N/A,FALSE,"Aging Summary";#N/A,#N/A,FALSE,"Ratio Analysis";#N/A,#N/A,FALSE,"Test 120 Day Accts";#N/A,#N/A,FALSE,"Tickmarks"}</definedName>
    <definedName name="PFQLEFPQLFQLPE" hidden="1">#REF!</definedName>
    <definedName name="PFQLEFQLL" hidden="1">#REF!</definedName>
    <definedName name="PFQLEPFLQ" hidden="1">#REF!</definedName>
    <definedName name="PFQLEPFLQLFEQ" hidden="1">#REF!</definedName>
    <definedName name="PFQLEPFQL" hidden="1">{#N/A,#N/A,FALSE,"Aging Summary";#N/A,#N/A,FALSE,"Ratio Analysis";#N/A,#N/A,FALSE,"Test 120 Day Accts";#N/A,#N/A,FALSE,"Tickmarks"}</definedName>
    <definedName name="PFQLEPFQLEFQPLF" hidden="1">#REF!</definedName>
    <definedName name="PFQLEWFQF" hidden="1">#REF!</definedName>
    <definedName name="PFQLFPQ" hidden="1">{#N/A,#N/A,FALSE,"Aging Summary";#N/A,#N/A,FALSE,"Ratio Analysis";#N/A,#N/A,FALSE,"Test 120 Day Accts";#N/A,#N/A,FALSE,"Tickmarks"}</definedName>
    <definedName name="PFQLFQ" hidden="1">#REF!</definedName>
    <definedName name="PFQLFQF" hidden="1">#REF!</definedName>
    <definedName name="PFQLFQLE" hidden="1">#REF!</definedName>
    <definedName name="PFQLFQPLF" hidden="1">#REF!</definedName>
    <definedName name="PFQLPFQ" hidden="1">{#N/A,#N/A,FALSE,"Aging Summary";#N/A,#N/A,FALSE,"Ratio Analysis";#N/A,#N/A,FALSE,"Test 120 Day Accts";#N/A,#N/A,FALSE,"Tickmarks"}</definedName>
    <definedName name="PFQLQQ" hidden="1">#REF!</definedName>
    <definedName name="PFQPFLQF" hidden="1">#REF!</definedName>
    <definedName name="PFQPFPQ" hidden="1">{#N/A,#N/A,FALSE,"Aging Summary";#N/A,#N/A,FALSE,"Ratio Analysis";#N/A,#N/A,FALSE,"Test 120 Day Accts";#N/A,#N/A,FALSE,"Tickmarks"}</definedName>
    <definedName name="PFQPFQP" hidden="1">{#N/A,#N/A,FALSE,"Aging Summary";#N/A,#N/A,FALSE,"Ratio Analysis";#N/A,#N/A,FALSE,"Test 120 Day Accts";#N/A,#N/A,FALSE,"Tickmarks"}</definedName>
    <definedName name="PFQWPFLQWF" hidden="1">#REF!</definedName>
    <definedName name="pfrlpfw" hidden="1">{#N/A,#N/A,FALSE,"Aging Summary";#N/A,#N/A,FALSE,"Ratio Analysis";#N/A,#N/A,FALSE,"Test 120 Day Accts";#N/A,#N/A,FALSE,"Tickmarks"}</definedName>
    <definedName name="pfrpfw" hidden="1">{#N/A,#N/A,TRUE,"INDICE";#N/A,#N/A,TRUE,"Variables";#N/A,#N/A,TRUE,"Cdro_Rtado";#N/A,#N/A,TRUE,"Patrim";#N/A,#N/A,TRUE,"Cash Flow";#N/A,#N/A,TRUE,"Cobranza";#N/A,#N/A,TRUE,"Resumen Gs.";#N/A,#N/A,TRUE,"Gs Comerc";#N/A,#N/A,TRUE,"Gs Administ";#N/A,#N/A,TRUE,"Gs Explot";#N/A,#N/A,TRUE,"Gs Personal";#N/A,#N/A,TRUE,"Inver."}</definedName>
    <definedName name="PFSALFA" hidden="1">#REF!</definedName>
    <definedName name="PFSAOFAOPPP" hidden="1">#REF!</definedName>
    <definedName name="pfsdalfpds" hidden="1">#REF!</definedName>
    <definedName name="pfsdlfs" hidden="1">#REF!</definedName>
    <definedName name="pfsdlpflsdpfl" hidden="1">#REF!</definedName>
    <definedName name="pfsdlpfsldf" hidden="1">#REF!</definedName>
    <definedName name="pfsldpfdslf" hidden="1">#REF!</definedName>
    <definedName name="pfsldpfls" hidden="1">#REF!</definedName>
    <definedName name="pfwef" hidden="1">{#N/A,#N/A,FALSE,"Aging Summary";#N/A,#N/A,FALSE,"Ratio Analysis";#N/A,#N/A,FALSE,"Test 120 Day Accts";#N/A,#N/A,FALSE,"Tickmarks"}</definedName>
    <definedName name="pfwefwf´w" hidden="1">{#N/A,#N/A,FALSE,"Aging Summary";#N/A,#N/A,FALSE,"Ratio Analysis";#N/A,#N/A,FALSE,"Test 120 Day Accts";#N/A,#N/A,FALSE,"Tickmarks"}</definedName>
    <definedName name="pfwelfpw" hidden="1">#REF!</definedName>
    <definedName name="pfwelfpwflw" hidden="1">{#N/A,#N/A,FALSE,"Aging Summary";#N/A,#N/A,FALSE,"Ratio Analysis";#N/A,#N/A,FALSE,"Test 120 Day Accts";#N/A,#N/A,FALSE,"Tickmarks"}</definedName>
    <definedName name="pfwjofw" hidden="1">#REF!</definedName>
    <definedName name="pfwkf" hidden="1">#REF!</definedName>
    <definedName name="pfwkfpowkfw" hidden="1">{#N/A,#N/A,FALSE,"Aging Summary";#N/A,#N/A,FALSE,"Ratio Analysis";#N/A,#N/A,FALSE,"Test 120 Day Accts";#N/A,#N/A,FALSE,"Tickmarks"}</definedName>
    <definedName name="pfwlepfwlf" hidden="1">{#N/A,#N/A,FALSE,"Aging Summary";#N/A,#N/A,FALSE,"Ratio Analysis";#N/A,#N/A,FALSE,"Test 120 Day Accts";#N/A,#N/A,FALSE,"Tickmarks"}</definedName>
    <definedName name="pfwlpf" hidden="1">{#N/A,#N/A,FALSE,"Aging Summary";#N/A,#N/A,FALSE,"Ratio Analysis";#N/A,#N/A,FALSE,"Test 120 Day Accts";#N/A,#N/A,FALSE,"Tickmarks"}</definedName>
    <definedName name="pfwlpflw" hidden="1">{#N/A,#N/A,FALSE,"Aging Summary";#N/A,#N/A,FALSE,"Ratio Analysis";#N/A,#N/A,FALSE,"Test 120 Day Accts";#N/A,#N/A,FALSE,"Tickmarks"}</definedName>
    <definedName name="pfwlpfw" hidden="1">{#N/A,#N/A,FALSE,"Aging Summary";#N/A,#N/A,FALSE,"Ratio Analysis";#N/A,#N/A,FALSE,"Test 120 Day Accts";#N/A,#N/A,FALSE,"Tickmarks"}</definedName>
    <definedName name="pfwpefpw" hidden="1">#REF!</definedName>
    <definedName name="pfwpfwf" hidden="1">{#N/A,#N/A,FALSE,"Aging Summary";#N/A,#N/A,FALSE,"Ratio Analysis";#N/A,#N/A,FALSE,"Test 120 Day Accts";#N/A,#N/A,FALSE,"Tickmarks"}</definedName>
    <definedName name="PGÇTPT" hidden="1">{#N/A,#N/A,FALSE,"Aging Summary";#N/A,#N/A,FALSE,"Ratio Analysis";#N/A,#N/A,FALSE,"Test 120 Day Accts";#N/A,#N/A,FALSE,"Tickmarks"}</definedName>
    <definedName name="pgelrpge" hidden="1">{#N/A,#N/A,FALSE,"Aging Summary";#N/A,#N/A,FALSE,"Ratio Analysis";#N/A,#N/A,FALSE,"Test 120 Day Accts";#N/A,#N/A,FALSE,"Tickmarks"}</definedName>
    <definedName name="pgfowkgow" hidden="1">{#N/A,#N/A,FALSE,"Aging Summary";#N/A,#N/A,FALSE,"Ratio Analysis";#N/A,#N/A,FALSE,"Test 120 Day Accts";#N/A,#N/A,FALSE,"Tickmarks"}</definedName>
    <definedName name="pgiwejgw" hidden="1">#REF!</definedName>
    <definedName name="pgjw13" hidden="1">#REF!</definedName>
    <definedName name="pglrpge" hidden="1">{#N/A,#N/A,FALSE,"Aging Summary";#N/A,#N/A,FALSE,"Ratio Analysis";#N/A,#N/A,FALSE,"Test 120 Day Accts";#N/A,#N/A,FALSE,"Tickmarks"}</definedName>
    <definedName name="pgltge" hidden="1">{#N/A,#N/A,FALSE,"Aging Summary";#N/A,#N/A,FALSE,"Ratio Analysis";#N/A,#N/A,FALSE,"Test 120 Day Accts";#N/A,#N/A,FALSE,"Tickmarks"}</definedName>
    <definedName name="pgltrg" hidden="1">{#N/A,#N/A,FALSE,"Aging Summary";#N/A,#N/A,FALSE,"Ratio Analysis";#N/A,#N/A,FALSE,"Test 120 Day Accts";#N/A,#N/A,FALSE,"Tickmarks"}</definedName>
    <definedName name="pgokrw" hidden="1">#REF!</definedName>
    <definedName name="pgokrwgpw" hidden="1">#REF!</definedName>
    <definedName name="pgokwrgw" hidden="1">{#N/A,#N/A,FALSE,"Aging Summary";#N/A,#N/A,FALSE,"Ratio Analysis";#N/A,#N/A,FALSE,"Test 120 Day Accts";#N/A,#N/A,FALSE,"Tickmarks"}</definedName>
    <definedName name="pgowgw43" hidden="1">#REF!</definedName>
    <definedName name="pgrlpel" hidden="1">{#N/A,#N/A,FALSE,"Aging Summary";#N/A,#N/A,FALSE,"Ratio Analysis";#N/A,#N/A,FALSE,"Test 120 Day Accts";#N/A,#N/A,FALSE,"Tickmarks"}</definedName>
    <definedName name="pgwg" hidden="1">#REF!</definedName>
    <definedName name="pgwijg" hidden="1">#REF!</definedName>
    <definedName name="pgwijgw" hidden="1">#REF!</definedName>
    <definedName name="pgwjg" hidden="1">#REF!</definedName>
    <definedName name="pgwjgw" hidden="1">#REF!</definedName>
    <definedName name="pgwjgw0" hidden="1">#REF!</definedName>
    <definedName name="pgwjgwpgjw" hidden="1">#REF!</definedName>
    <definedName name="pgwojgw" hidden="1">#REF!</definedName>
    <definedName name="pgwrjgw" hidden="1">#REF!</definedName>
    <definedName name="phylhpylh" hidden="1">{#N/A,#N/A,FALSE,"Aging Summary";#N/A,#N/A,FALSE,"Ratio Analysis";#N/A,#N/A,FALSE,"Test 120 Day Accts";#N/A,#N/A,FALSE,"Tickmarks"}</definedName>
    <definedName name="Piano"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PierreFabre" hidden="1">{#N/A,#N/A,FALSE,"Hoja1";#N/A,#N/A,FALSE,"Hoja1"}</definedName>
    <definedName name="pila" hidden="1">{"balanço dolares",#N/A,FALSE,"SIGADR$";"AUT BAL REAIS",#N/A,FALSE,"SIGADR$";"QUOCIENTES REAIS",#N/A,FALSE,"QUOCIENTES";"JUNH QUOCI DOLARES",#N/A,FALSE,"QUOCIENTES"}</definedName>
    <definedName name="PILIU" hidden="1">{#N/A,#N/A,FALSE,"Aging Summary";#N/A,#N/A,FALSE,"Ratio Analysis";#N/A,#N/A,FALSE,"Test 120 Day Accts";#N/A,#N/A,FALSE,"Tickmarks"}</definedName>
    <definedName name="ping" hidden="1">{#N/A,#N/A,FALSE,"Aging Summary";#N/A,#N/A,FALSE,"Ratio Analysis";#N/A,#N/A,FALSE,"Test 120 Day Accts";#N/A,#N/A,FALSE,"Tickmarks"}</definedName>
    <definedName name="ping1" hidden="1">{#N/A,#N/A,FALSE,"Aging Summary";#N/A,#N/A,FALSE,"Ratio Analysis";#N/A,#N/A,FALSE,"Test 120 Day Accts";#N/A,#N/A,FALSE,"Tickmarks"}</definedName>
    <definedName name="PITU" hidden="1">#REF!</definedName>
    <definedName name="pkepdw" hidden="1">{#N/A,#N/A,FALSE,"Aging Summary";#N/A,#N/A,FALSE,"Ratio Analysis";#N/A,#N/A,FALSE,"Test 120 Day Accts";#N/A,#N/A,FALSE,"Tickmarks"}</definedName>
    <definedName name="pkeprw" hidden="1">{#N/A,#N/A,FALSE,"Aging Summary";#N/A,#N/A,FALSE,"Ratio Analysis";#N/A,#N/A,FALSE,"Test 120 Day Accts";#N/A,#N/A,FALSE,"Tickmarks"}</definedName>
    <definedName name="pkfw" hidden="1">#REF!</definedName>
    <definedName name="pkwqpksq" hidden="1">{#N/A,#N/A,FALSE,"Aging Summary";#N/A,#N/A,FALSE,"Ratio Analysis";#N/A,#N/A,FALSE,"Test 120 Day Accts";#N/A,#N/A,FALSE,"Tickmarks"}</definedName>
    <definedName name="plapslfa" hidden="1">#REF!</definedName>
    <definedName name="plaza" hidden="1">{#N/A,#N/A,FALSE,"Aging Summary";#N/A,#N/A,FALSE,"Ratio Analysis";#N/A,#N/A,FALSE,"Test 120 Day Accts";#N/A,#N/A,FALSE,"Tickmarks"}</definedName>
    <definedName name="plazas" hidden="1">{"'DIFPRE'!$A$2:$M$54"}</definedName>
    <definedName name="pldpqwd" hidden="1">#REF!</definedName>
    <definedName name="pldqdq" hidden="1">{#N/A,#N/A,FALSE,"Aging Summary";#N/A,#N/A,FALSE,"Ratio Analysis";#N/A,#N/A,FALSE,"Test 120 Day Accts";#N/A,#N/A,FALSE,"Tickmarks"}</definedName>
    <definedName name="pldqpdq" hidden="1">{#N/A,#N/A,FALSE,"Aging Summary";#N/A,#N/A,FALSE,"Ratio Analysis";#N/A,#N/A,FALSE,"Test 120 Day Accts";#N/A,#N/A,FALSE,"Tickmarks"}</definedName>
    <definedName name="pldqpldq" hidden="1">#REF!</definedName>
    <definedName name="pldqwpldq" hidden="1">#REF!</definedName>
    <definedName name="pldwqplqd" hidden="1">#REF!</definedName>
    <definedName name="pledpwledpw" hidden="1">{#N/A,#N/A,FALSE,"Aging Summary";#N/A,#N/A,FALSE,"Ratio Analysis";#N/A,#N/A,FALSE,"Test 120 Day Accts";#N/A,#N/A,FALSE,"Tickmarks"}</definedName>
    <definedName name="plepfdlwf" hidden="1">{#N/A,#N/A,FALSE,"Aging Summary";#N/A,#N/A,FALSE,"Ratio Analysis";#N/A,#N/A,FALSE,"Test 120 Day Accts";#N/A,#N/A,FALSE,"Tickmarks"}</definedName>
    <definedName name="plepflefe" hidden="1">{#N/A,#N/A,FALSE,"Aging Summary";#N/A,#N/A,FALSE,"Ratio Analysis";#N/A,#N/A,FALSE,"Test 120 Day Accts";#N/A,#N/A,FALSE,"Tickmarks"}</definedName>
    <definedName name="pleplde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LEQPFLQ" hidden="1">#REF!</definedName>
    <definedName name="plerpfle" hidden="1">{#N/A,#N/A,FALSE,"Aging Summary";#N/A,#N/A,FALSE,"Ratio Analysis";#N/A,#N/A,FALSE,"Test 120 Day Accts";#N/A,#N/A,FALSE,"Tickmarks"}</definedName>
    <definedName name="plew" hidden="1">{#N/A,#N/A,FALSE,"Aging Summary";#N/A,#N/A,FALSE,"Ratio Analysis";#N/A,#N/A,FALSE,"Test 120 Day Accts";#N/A,#N/A,FALSE,"Tickmarks"}</definedName>
    <definedName name="plewflwfl" hidden="1">{#N/A,#N/A,FALSE,"Aging Summary";#N/A,#N/A,FALSE,"Ratio Analysis";#N/A,#N/A,FALSE,"Test 120 Day Accts";#N/A,#N/A,FALSE,"Tickmarks"}</definedName>
    <definedName name="plewpfw" hidden="1">{#N/A,#N/A,FALSE,"Aging Summary";#N/A,#N/A,FALSE,"Ratio Analysis";#N/A,#N/A,FALSE,"Test 120 Day Accts";#N/A,#N/A,FALSE,"Tickmarks"}</definedName>
    <definedName name="plewplrw" hidden="1">#REF!</definedName>
    <definedName name="plfalfpa" hidden="1">#REF!</definedName>
    <definedName name="PLFEQPLQFPLQ" hidden="1">#REF!</definedName>
    <definedName name="plfprlfe" hidden="1">{#N/A,#N/A,FALSE,"Aging Summary";#N/A,#N/A,FALSE,"Ratio Analysis";#N/A,#N/A,FALSE,"Test 120 Day Accts";#N/A,#N/A,FALSE,"Tickmarks"}</definedName>
    <definedName name="plfpw" hidden="1">{#N/A,#N/A,FALSE,"Aging Summary";#N/A,#N/A,FALSE,"Ratio Analysis";#N/A,#N/A,FALSE,"Test 120 Day Accts";#N/A,#N/A,FALSE,"Tickmarks"}</definedName>
    <definedName name="plfpwef" hidden="1">{#N/A,#N/A,FALSE,"Aging Summary";#N/A,#N/A,FALSE,"Ratio Analysis";#N/A,#N/A,FALSE,"Test 120 Day Accts";#N/A,#N/A,FALSE,"Tickmarks"}</definedName>
    <definedName name="plfpwf" hidden="1">{"'DIFPRE'!$A$2:$M$54"}</definedName>
    <definedName name="plfpwlfw" hidden="1">{#N/A,#N/A,FALSE,"Aging Summary";#N/A,#N/A,FALSE,"Ratio Analysis";#N/A,#N/A,FALSE,"Test 120 Day Accts";#N/A,#N/A,FALSE,"Tickmarks"}</definedName>
    <definedName name="PLFQEFQFL" hidden="1">#REF!</definedName>
    <definedName name="plfrelfe" hidden="1">{#N/A,#N/A,FALSE,"Aging Summary";#N/A,#N/A,FALSE,"Ratio Analysis";#N/A,#N/A,FALSE,"Test 120 Day Accts";#N/A,#N/A,FALSE,"Tickmarks"}</definedName>
    <definedName name="plfsplfsplplfds" hidden="1">{#N/A,#N/A,FALSE,"Aging Summary";#N/A,#N/A,FALSE,"Ratio Analysis";#N/A,#N/A,FALSE,"Test 120 Day Accts";#N/A,#N/A,FALSE,"Tickmarks"}</definedName>
    <definedName name="plfweflwf" hidden="1">{#N/A,#N/A,FALSE,"Aging Summary";#N/A,#N/A,FALSE,"Ratio Analysis";#N/A,#N/A,FALSE,"Test 120 Day Accts";#N/A,#N/A,FALSE,"Tickmarks"}</definedName>
    <definedName name="plfwfw" hidden="1">{#N/A,#N/A,FALSE,"Aging Summary";#N/A,#N/A,FALSE,"Ratio Analysis";#N/A,#N/A,FALSE,"Test 120 Day Accts";#N/A,#N/A,FALSE,"Tickmarks"}</definedName>
    <definedName name="plfwfwf" hidden="1">{#N/A,#N/A,FALSE,"Aging Summary";#N/A,#N/A,FALSE,"Ratio Analysis";#N/A,#N/A,FALSE,"Test 120 Day Accts";#N/A,#N/A,FALSE,"Tickmarks"}</definedName>
    <definedName name="plgeplge" hidden="1">{#N/A,#N/A,FALSE,"Aging Summary";#N/A,#N/A,FALSE,"Ratio Analysis";#N/A,#N/A,FALSE,"Test 120 Day Accts";#N/A,#N/A,FALSE,"Tickmarks"}</definedName>
    <definedName name="plgrpgrl" hidden="1">#REF!</definedName>
    <definedName name="plgwplrgw" hidden="1">#REF!</definedName>
    <definedName name="plhyplhy" hidden="1">{#N/A,#N/A,FALSE,"Aging Summary";#N/A,#N/A,FALSE,"Ratio Analysis";#N/A,#N/A,FALSE,"Test 120 Day Accts";#N/A,#N/A,FALSE,"Tickmarks"}</definedName>
    <definedName name="PLO" hidden="1">{#N/A,#N/A,FALSE,"Aging Summary";#N/A,#N/A,FALSE,"Ratio Analysis";#N/A,#N/A,FALSE,"Test 120 Day Accts";#N/A,#N/A,FALSE,"Tickmarks"}</definedName>
    <definedName name="plp" hidden="1">{#N/A,#N/A,FALSE,"Aging Summary";#N/A,#N/A,FALSE,"Ratio Analysis";#N/A,#N/A,FALSE,"Test 120 Day Accts";#N/A,#N/A,FALSE,"Tickmarks"}</definedName>
    <definedName name="plpewlr" hidden="1">#REF!</definedName>
    <definedName name="plpflwplfw" hidden="1">{#N/A,#N/A,FALSE,"Aging Summary";#N/A,#N/A,FALSE,"Ratio Analysis";#N/A,#N/A,FALSE,"Test 120 Day Accts";#N/A,#N/A,FALSE,"Tickmarks"}</definedName>
    <definedName name="plpl" hidden="1">{#N/A,#N/A,FALSE,"Aging Summary";#N/A,#N/A,FALSE,"Ratio Analysis";#N/A,#N/A,FALSE,"Test 120 Day Accts";#N/A,#N/A,FALSE,"Tickmarks"}</definedName>
    <definedName name="plplpr" hidden="1">#REF!</definedName>
    <definedName name="plprfe" hidden="1">{#N/A,#N/A,FALSE,"Aging Summary";#N/A,#N/A,FALSE,"Ratio Analysis";#N/A,#N/A,FALSE,"Test 120 Day Accts";#N/A,#N/A,FALSE,"Tickmarks"}</definedName>
    <definedName name="plrpwe" hidden="1">#REF!</definedName>
    <definedName name="plwefwpf" hidden="1">{#N/A,#N/A,FALSE,"Aging Summary";#N/A,#N/A,FALSE,"Ratio Analysis";#N/A,#N/A,FALSE,"Test 120 Day Accts";#N/A,#N/A,FALSE,"Tickmarks"}</definedName>
    <definedName name="plwpflwfp" hidden="1">{#N/A,#N/A,FALSE,"Aging Summary";#N/A,#N/A,FALSE,"Ratio Analysis";#N/A,#N/A,FALSE,"Test 120 Day Accts";#N/A,#N/A,FALSE,"Tickmarks"}</definedName>
    <definedName name="plwqdlqpldqw" hidden="1">#REF!</definedName>
    <definedName name="plwrpv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mfwpefmwf" hidden="1">{#N/A,#N/A,FALSE,"Aging Summary";#N/A,#N/A,FALSE,"Ratio Analysis";#N/A,#N/A,FALSE,"Test 120 Day Accts";#N/A,#N/A,FALSE,"Tickmarks"}</definedName>
    <definedName name="po" hidden="1">{#N/A,#N/A,FALSE,"Aging Summary";#N/A,#N/A,FALSE,"Ratio Analysis";#N/A,#N/A,FALSE,"Test 120 Day Accts";#N/A,#N/A,FALSE,"Tickmarks"}</definedName>
    <definedName name="pocepow" hidden="1">{#N/A,#N/A,FALSE,"Aging Summary";#N/A,#N/A,FALSE,"Ratio Analysis";#N/A,#N/A,FALSE,"Test 120 Day Accts";#N/A,#N/A,FALSE,"Tickmarks"}</definedName>
    <definedName name="poeker" hidden="1">{#N/A,#N/A,FALSE,"Aging Summary";#N/A,#N/A,FALSE,"Ratio Analysis";#N/A,#N/A,FALSE,"Test 120 Day Accts";#N/A,#N/A,FALSE,"Tickmarks"}</definedName>
    <definedName name="poeqkfdw" hidden="1">#REF!</definedName>
    <definedName name="poew" hidden="1">#REF!</definedName>
    <definedName name="POFKEQFQE" hidden="1">#REF!</definedName>
    <definedName name="pofwk23" hidden="1">#REF!</definedName>
    <definedName name="POI" hidden="1">{#N/A,#N/A,FALSE,"Aging Summary";#N/A,#N/A,FALSE,"Ratio Analysis";#N/A,#N/A,FALSE,"Test 120 Day Accts";#N/A,#N/A,FALSE,"Tickmarks"}</definedName>
    <definedName name="poiiu" hidden="1">{#N/A,#N/A,FALSE,"Aging Summary";#N/A,#N/A,FALSE,"Ratio Analysis";#N/A,#N/A,FALSE,"Test 120 Day Accts";#N/A,#N/A,FALSE,"Tickmarks"}</definedName>
    <definedName name="POIJ" hidden="1">{#N/A,#N/A,FALSE,"Aging Summary";#N/A,#N/A,FALSE,"Ratio Analysis";#N/A,#N/A,FALSE,"Test 120 Day Accts";#N/A,#N/A,FALSE,"Tickmarks"}</definedName>
    <definedName name="poiut" hidden="1">#REF!</definedName>
    <definedName name="poiy" hidden="1">{#N/A,#N/A,FALSE,"Aging Summary";#N/A,#N/A,FALSE,"Ratio Analysis";#N/A,#N/A,FALSE,"Test 120 Day Accts";#N/A,#N/A,FALSE,"Tickmarks"}</definedName>
    <definedName name="pokfowf" hidden="1">{#N/A,#N/A,FALSE,"Aging Summary";#N/A,#N/A,FALSE,"Ratio Analysis";#N/A,#N/A,FALSE,"Test 120 Day Accts";#N/A,#N/A,FALSE,"Tickmarks"}</definedName>
    <definedName name="pokfwf9w" hidden="1">#REF!</definedName>
    <definedName name="pokvoekrv" hidden="1">#REF!</definedName>
    <definedName name="poll" hidden="1">{#N/A,#N/A,FALSE,"Aging Summary";#N/A,#N/A,FALSE,"Ratio Analysis";#N/A,#N/A,FALSE,"Test 120 Day Accts";#N/A,#N/A,FALSE,"Tickmarks"}</definedName>
    <definedName name="pollll" hidden="1">{#N/A,#N/A,FALSE,"Aging Summary";#N/A,#N/A,FALSE,"Ratio Analysis";#N/A,#N/A,FALSE,"Test 120 Day Accts";#N/A,#N/A,FALSE,"Tickmarks"}</definedName>
    <definedName name="pollllllllllllooooo" hidden="1">{#N/A,#N/A,FALSE,"Aging Summary";#N/A,#N/A,FALSE,"Ratio Analysis";#N/A,#N/A,FALSE,"Test 120 Day Accts";#N/A,#N/A,FALSE,"Tickmarks"}</definedName>
    <definedName name="pollo" hidden="1">{#N/A,#N/A,FALSE,"Aging Summary";#N/A,#N/A,FALSE,"Ratio Analysis";#N/A,#N/A,FALSE,"Test 120 Day Accts";#N/A,#N/A,FALSE,"Tickmarks"}</definedName>
    <definedName name="pollo1" hidden="1">{#N/A,#N/A,FALSE,"Aging Summary";#N/A,#N/A,FALSE,"Ratio Analysis";#N/A,#N/A,FALSE,"Test 120 Day Accts";#N/A,#N/A,FALSE,"Tickmarks"}</definedName>
    <definedName name="pollo2" hidden="1">{#N/A,#N/A,FALSE,"Aging Summary";#N/A,#N/A,FALSE,"Ratio Analysis";#N/A,#N/A,FALSE,"Test 120 Day Accts";#N/A,#N/A,FALSE,"Tickmarks"}</definedName>
    <definedName name="pollo3" hidden="1">{#N/A,#N/A,FALSE,"Aging Summary";#N/A,#N/A,FALSE,"Ratio Analysis";#N/A,#N/A,FALSE,"Test 120 Day Accts";#N/A,#N/A,FALSE,"Tickmarks"}</definedName>
    <definedName name="pollo4" hidden="1">{#N/A,#N/A,FALSE,"Aging Summary";#N/A,#N/A,FALSE,"Ratio Analysis";#N/A,#N/A,FALSE,"Test 120 Day Accts";#N/A,#N/A,FALSE,"Tickmarks"}</definedName>
    <definedName name="polloooo" hidden="1">{#N/A,#N/A,FALSE,"Aging Summary";#N/A,#N/A,FALSE,"Ratio Analysis";#N/A,#N/A,FALSE,"Test 120 Day Accts";#N/A,#N/A,FALSE,"Tickmarks"}</definedName>
    <definedName name="pomfewf" hidden="1">{#N/A,#N/A,FALSE,"Aging Summary";#N/A,#N/A,FALSE,"Ratio Analysis";#N/A,#N/A,FALSE,"Test 120 Day Accts";#N/A,#N/A,FALSE,"Tickmarks"}</definedName>
    <definedName name="pomfewfw" hidden="1">{#N/A,#N/A,FALSE,"Aging Summary";#N/A,#N/A,FALSE,"Ratio Analysis";#N/A,#N/A,FALSE,"Test 120 Day Accts";#N/A,#N/A,FALSE,"Tickmarks"}</definedName>
    <definedName name="pomfwefw" hidden="1">{#N/A,#N/A,FALSE,"Aging Summary";#N/A,#N/A,FALSE,"Ratio Analysis";#N/A,#N/A,FALSE,"Test 120 Day Accts";#N/A,#N/A,FALSE,"Tickmarks"}</definedName>
    <definedName name="pomfwfw" hidden="1">{#N/A,#N/A,FALSE,"Aging Summary";#N/A,#N/A,FALSE,"Ratio Analysis";#N/A,#N/A,FALSE,"Test 120 Day Accts";#N/A,#N/A,FALSE,"Tickmarks"}</definedName>
    <definedName name="pong" hidden="1">{#N/A,#N/A,FALSE,"Aging Summary";#N/A,#N/A,FALSE,"Ratio Analysis";#N/A,#N/A,FALSE,"Test 120 Day Accts";#N/A,#N/A,FALSE,"Tickmarks"}</definedName>
    <definedName name="pong2" hidden="1">{#N/A,#N/A,FALSE,"Aging Summary";#N/A,#N/A,FALSE,"Ratio Analysis";#N/A,#N/A,FALSE,"Test 120 Day Accts";#N/A,#N/A,FALSE,"Tickmarks"}</definedName>
    <definedName name="poo" hidden="1">#REF!</definedName>
    <definedName name="pooo" hidden="1">#REF!</definedName>
    <definedName name="poooasss" hidden="1">#REF!</definedName>
    <definedName name="poooo" hidden="1">{#N/A,#N/A,FALSE,"Aging Summary";#N/A,#N/A,FALSE,"Ratio Analysis";#N/A,#N/A,FALSE,"Test 120 Day Accts";#N/A,#N/A,FALSE,"Tickmarks"}</definedName>
    <definedName name="porfavor" hidden="1">{#N/A,#N/A,FALSE,"Aging Summary";#N/A,#N/A,FALSE,"Ratio Analysis";#N/A,#N/A,FALSE,"Test 120 Day Accts";#N/A,#N/A,FALSE,"Tickmarks"}</definedName>
    <definedName name="por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rwrw9" hidden="1">#REF!</definedName>
    <definedName name="powejw3" hidden="1">#REF!</definedName>
    <definedName name="powempwef" hidden="1">{#N/A,#N/A,FALSE,"Aging Summary";#N/A,#N/A,FALSE,"Ratio Analysis";#N/A,#N/A,FALSE,"Test 120 Day Accts";#N/A,#N/A,FALSE,"Tickmarks"}</definedName>
    <definedName name="poweowdk" hidden="1">#REF!</definedName>
    <definedName name="powjw454" hidden="1">#REF!</definedName>
    <definedName name="pp" hidden="1">2</definedName>
    <definedName name="ppasdpsapdas" hidden="1">#REF!</definedName>
    <definedName name="PPÇLO" hidden="1">{#N/A,#N/A,FALSE,"Aging Summary";#N/A,#N/A,FALSE,"Ratio Analysis";#N/A,#N/A,FALSE,"Test 120 Day Accts";#N/A,#N/A,FALSE,"Tickmarks"}</definedName>
    <definedName name="ppe" hidden="1">{"toptrial",#N/A,TRUE,"toptrial";"adjustment",#N/A,TRUE,"toptrial";"voucher",#N/A,TRUE,"toptrial"}</definedName>
    <definedName name="PPFDUQEREQLHLQ" hidden="1">{#N/A,#N/A,FALSE,"Aging Summary";#N/A,#N/A,FALSE,"Ratio Analysis";#N/A,#N/A,FALSE,"Test 120 Day Accts";#N/A,#N/A,FALSE,"Tickmarks"}</definedName>
    <definedName name="ppfw" hidden="1">#REF!</definedName>
    <definedName name="ppfwfwpf" hidden="1">{#N/A,#N/A,FALSE,"Aging Summary";#N/A,#N/A,FALSE,"Ratio Analysis";#N/A,#N/A,FALSE,"Test 120 Day Accts";#N/A,#N/A,FALSE,"Tickmarks"}</definedName>
    <definedName name="pplplp"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p" hidden="1">{#N/A,#N/A,FALSE,"Aging Summary";#N/A,#N/A,FALSE,"Ratio Analysis";#N/A,#N/A,FALSE,"Test 120 Day Accts";#N/A,#N/A,FALSE,"Tickmarks"}</definedName>
    <definedName name="pppdpaspda" hidden="1">{"Schedule_1D",#N/A,FALSE,"I-D"}</definedName>
    <definedName name="pppp" hidden="1">2</definedName>
    <definedName name="PPPPPPF" hidden="1">#REF!</definedName>
    <definedName name="pppppppp" hidden="1">{#N/A,#N/A,FALSE,"Aging Summary";#N/A,#N/A,FALSE,"Ratio Analysis";#N/A,#N/A,FALSE,"Test 120 Day Accts";#N/A,#N/A,FALSE,"Tickmarks"}</definedName>
    <definedName name="pppppppppppp" hidden="1">{#N/A,#N/A,FALSE,"Aging Summary";#N/A,#N/A,FALSE,"Ratio Analysis";#N/A,#N/A,FALSE,"Test 120 Day Accts";#N/A,#N/A,FALSE,"Tickmarks"}</definedName>
    <definedName name="PPPPPPPPPPPPPPPP" hidden="1">{#N/A,#N/A,FALSE,"Aging Summary";#N/A,#N/A,FALSE,"Ratio Analysis";#N/A,#N/A,FALSE,"Test 120 Day Accts";#N/A,#N/A,FALSE,"Tickmarks"}</definedName>
    <definedName name="ppppppppppppppppppppp" hidden="1">{#N/A,#N/A,FALSE,"Aging Summary";#N/A,#N/A,FALSE,"Ratio Analysis";#N/A,#N/A,FALSE,"Test 120 Day Accts";#N/A,#N/A,FALSE,"Tickmarks"}</definedName>
    <definedName name="ppqrpewqr" hidden="1">{#N/A,#N/A,FALSE,"Aging Summary";#N/A,#N/A,FALSE,"Ratio Analysis";#N/A,#N/A,FALSE,"Test 120 Day Accts";#N/A,#N/A,FALSE,"Tickmarks"}</definedName>
    <definedName name="pprpr" hidden="1">{#N/A,#N/A,FALSE,"Aging Summary";#N/A,#N/A,FALSE,"Ratio Analysis";#N/A,#N/A,FALSE,"Test 120 Day Accts";#N/A,#N/A,FALSE,"Tickmarks"}</definedName>
    <definedName name="pqelpqel" hidden="1">{#N/A,#N/A,FALSE,"Aging Summary";#N/A,#N/A,FALSE,"Ratio Analysis";#N/A,#N/A,FALSE,"Test 120 Day Accts";#N/A,#N/A,FALSE,"Tickmarks"}</definedName>
    <definedName name="pqeqe" hidden="1">{#N/A,#N/A,FALSE,"Aging Summary";#N/A,#N/A,FALSE,"Ratio Analysis";#N/A,#N/A,FALSE,"Test 120 Day Accts";#N/A,#N/A,FALSE,"Tickmarks"}</definedName>
    <definedName name="pqeq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QLEFPQLEF" hidden="1">#REF!</definedName>
    <definedName name="pqlsqpwe" hidden="1">{#N/A,#N/A,FALSE,"Aging Summary";#N/A,#N/A,FALSE,"Ratio Analysis";#N/A,#N/A,FALSE,"Test 120 Day Accts";#N/A,#N/A,FALSE,"Tickmarks"}</definedName>
    <definedName name="PQPFQP" hidden="1">#REF!</definedName>
    <definedName name="pqpqpq" hidden="1">{#N/A,#N/A,FALSE,"Aging Summary";#N/A,#N/A,FALSE,"Ratio Analysis";#N/A,#N/A,FALSE,"Test 120 Day Accts";#N/A,#N/A,FALSE,"Tickmarks"}</definedName>
    <definedName name="pqqqqqqqqqqqqq" hidden="1">{#N/A,#N/A,FALSE,"balance";#N/A,#N/A,FALSE,"resultados";#N/A,#N/A,FALSE,"p.neto";#N/A,#N/A,FALSE,"bienes uso";#N/A,#N/A,FALSE,"art.64";#N/A,#N/A,FALSE,"intangibles"}</definedName>
    <definedName name="pqwelqeqe" hidden="1">{#N/A,#N/A,FALSE,"Aging Summary";#N/A,#N/A,FALSE,"Ratio Analysis";#N/A,#N/A,FALSE,"Test 120 Day Accts";#N/A,#N/A,FALSE,"Tickmarks"}</definedName>
    <definedName name="pqwlsqp" hidden="1">{#N/A,#N/A,FALSE,"Aging Summary";#N/A,#N/A,FALSE,"Ratio Analysis";#N/A,#N/A,FALSE,"Test 120 Day Accts";#N/A,#N/A,FALSE,"Tickmarks"}</definedName>
    <definedName name="pqwpqpwq" hidden="1">{#N/A,#N/A,FALSE,"Aging Summary";#N/A,#N/A,FALSE,"Ratio Analysis";#N/A,#N/A,FALSE,"Test 120 Day Accts";#N/A,#N/A,FALSE,"Tickmarks"}</definedName>
    <definedName name="PR" hidden="1">{#N/A,#N/A,FALSE,"Hoja LLave";#N/A,#N/A,FALSE,"Portada";#N/A,#N/A,FALSE,"Nota 2";#N/A,#N/A,FALSE,"Anexo A";#N/A,#N/A,FALSE,"Est.Sit.Patr.";#N/A,#N/A,FALSE,"Cuadro I";#N/A,#N/A,FALSE,"Anexo F";#N/A,#N/A,FALSE,"E.E.P.N.";#N/A,#N/A,FALSE,"Resultados";#N/A,#N/A,FALSE,"E.V.C.C."}</definedName>
    <definedName name="PRC" hidden="1">{"toptrial",#N/A,TRUE,"toptrial";"adjustment",#N/A,TRUE,"toptrial";"voucher",#N/A,TRUE,"toptrial"}</definedName>
    <definedName name="precio" hidden="1">#REF!</definedName>
    <definedName name="precios" hidden="1">#REF!</definedName>
    <definedName name="prelfperf" hidden="1">{#N/A,#N/A,FALSE,"Aging Summary";#N/A,#N/A,FALSE,"Ratio Analysis";#N/A,#N/A,FALSE,"Test 120 Day Accts";#N/A,#N/A,FALSE,"Tickmarks"}</definedName>
    <definedName name="Premiun" hidden="1">{#N/A,#N/A,TRUE,"proy96 long dist";#N/A,#N/A,TRUE,"warehouse"}</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vision" hidden="1">"AS2DocumentBrowse"</definedName>
    <definedName name="Previsiones" hidden="1">{#N/A,#N/A,FALSE,"Aging Summary";#N/A,#N/A,FALSE,"Ratio Analysis";#N/A,#N/A,FALSE,"Test 120 Day Accts";#N/A,#N/A,FALSE,"Tickmarks"}</definedName>
    <definedName name="preworw" hidden="1">#REF!</definedName>
    <definedName name="prewporw" hidden="1">#REF!</definedName>
    <definedName name="prg" hidden="1">{#N/A,#N/A,FALSE,"Aging Summary";#N/A,#N/A,FALSE,"Ratio Analysis";#N/A,#N/A,FALSE,"Test 120 Day Accts";#N/A,#N/A,FALSE,"Tickmarks"}</definedName>
    <definedName name="price" hidden="1">{"toptrial",#N/A,TRUE,"toptrial";"adjustment",#N/A,TRUE,"toptrial";"voucher",#N/A,TRUE,"toptrial"}</definedName>
    <definedName name="price2" hidden="1">{"toptrial",#N/A,TRUE,"toptrial";"adjustment",#N/A,TRUE,"toptrial";"voucher",#N/A,TRUE,"toptrial"}</definedName>
    <definedName name="Prices" hidden="1">{"toptrial",#N/A,TRUE,"toptrial";"adjustment",#N/A,TRUE,"toptrial";"voucher",#N/A,TRUE,"toptrial"}</definedName>
    <definedName name="_xlnm.Print_Area" localSheetId="2">'GAN '!$B$1:$J$63</definedName>
    <definedName name="_xlnm.Print_Area" localSheetId="3">'GAN - 2 '!$B$1:$K$74</definedName>
    <definedName name="_xlnm.Print_Area" localSheetId="0">'INDICE '!$A$1:$E$56</definedName>
    <definedName name="_xlnm.Print_Area">#REF!</definedName>
    <definedName name="Print_Area_MI" localSheetId="2">#REF!</definedName>
    <definedName name="Print_Area_MI" localSheetId="3">#REF!</definedName>
    <definedName name="Print_Area_MI">#REF!</definedName>
    <definedName name="PRINT_AREA_MI___0" localSheetId="2">#REF!</definedName>
    <definedName name="PRINT_AREA_MI___0" localSheetId="3">#REF!</definedName>
    <definedName name="PRINT_AREA_MI___0">#REF!</definedName>
    <definedName name="_xlnm.Print_Titles">#REF!</definedName>
    <definedName name="prlefe" hidden="1">{#N/A,#N/A,FALSE,"Aging Summary";#N/A,#N/A,FALSE,"Ratio Analysis";#N/A,#N/A,FALSE,"Test 120 Day Accts";#N/A,#N/A,FALSE,"Tickmarks"}</definedName>
    <definedName name="prleprl" hidden="1">#REF!</definedName>
    <definedName name="prleqprl" hidden="1">#REF!</definedName>
    <definedName name="prleqrlq" hidden="1">#REF!</definedName>
    <definedName name="prlewplrw" hidden="1">#REF!</definedName>
    <definedName name="prlfplr" hidden="1">{#N/A,#N/A,FALSE,"Aging Summary";#N/A,#N/A,FALSE,"Ratio Analysis";#N/A,#N/A,FALSE,"Test 120 Day Accts";#N/A,#N/A,FALSE,"Tickmarks"}</definedName>
    <definedName name="prlp" hidden="1">{#N/A,#N/A,FALSE,"Aging Summary";#N/A,#N/A,FALSE,"Ratio Analysis";#N/A,#N/A,FALSE,"Test 120 Day Accts";#N/A,#N/A,FALSE,"Tickmarks"}</definedName>
    <definedName name="prlpele" hidden="1">{#N/A,#N/A,FALSE,"Aging Summary";#N/A,#N/A,FALSE,"Ratio Analysis";#N/A,#N/A,FALSE,"Test 120 Day Accts";#N/A,#N/A,FALSE,"Tickmarks"}</definedName>
    <definedName name="prlwpler" hidden="1">#REF!</definedName>
    <definedName name="prlwqr" hidden="1">#REF!</definedName>
    <definedName name="prp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rrp" hidden="1">{#N/A,#N/A,FALSE,"Aging Summary";#N/A,#N/A,FALSE,"Ratio Analysis";#N/A,#N/A,FALSE,"Test 120 Day Accts";#N/A,#N/A,FALSE,"Tickmarks"}</definedName>
    <definedName name="PRUE" hidden="1">{#N/A,#N/A,FALSE,"Aging Summary";#N/A,#N/A,FALSE,"Ratio Analysis";#N/A,#N/A,FALSE,"Test 120 Day Accts";#N/A,#N/A,FALSE,"Tickmarks"}</definedName>
    <definedName name="prueba" localSheetId="2" hidden="1">{#N/A,#N/A,FALSE,"Aging Summary";#N/A,#N/A,FALSE,"Ratio Analysis";#N/A,#N/A,FALSE,"Test 120 Day Accts";#N/A,#N/A,FALSE,"Tickmarks"}</definedName>
    <definedName name="prueba" localSheetId="3" hidden="1">{#N/A,#N/A,FALSE,"Aging Summary";#N/A,#N/A,FALSE,"Ratio Analysis";#N/A,#N/A,FALSE,"Test 120 Day Accts";#N/A,#N/A,FALSE,"Tickmarks"}</definedName>
    <definedName name="prueba" localSheetId="0" hidden="1">{#N/A,#N/A,FALSE,"Aging Summary";#N/A,#N/A,FALSE,"Ratio Analysis";#N/A,#N/A,FALSE,"Test 120 Day Accts";#N/A,#N/A,FALSE,"Tickmarks"}</definedName>
    <definedName name="prueba" hidden="1">{#N/A,#N/A,FALSE,"Aging Summary";#N/A,#N/A,FALSE,"Ratio Analysis";#N/A,#N/A,FALSE,"Test 120 Day Accts";#N/A,#N/A,FALSE,"Tickmarks"}</definedName>
    <definedName name="prueba2" hidden="1">{#N/A,#N/A,FALSE,"Aging Summary";#N/A,#N/A,FALSE,"Ratio Analysis";#N/A,#N/A,FALSE,"Test 120 Day Accts";#N/A,#N/A,FALSE,"Tickmarks"}</definedName>
    <definedName name="pruebagloba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rvpwv" hidden="1">#REF!</definedName>
    <definedName name="prwelprw" hidden="1">#REF!</definedName>
    <definedName name="prweorpw" hidden="1">{#N/A,#N/A,FALSE,"Aging Summary";#N/A,#N/A,FALSE,"Ratio Analysis";#N/A,#N/A,FALSE,"Test 120 Day Accts";#N/A,#N/A,FALSE,"Tickmarks"}</definedName>
    <definedName name="prweorw" hidden="1">#REF!</definedName>
    <definedName name="prwleprw" hidden="1">#REF!</definedName>
    <definedName name="prworew9" hidden="1">#REF!</definedName>
    <definedName name="prwperw" hidden="1">{#N/A,#N/A,FALSE,"Aging Summary";#N/A,#N/A,FALSE,"Ratio Analysis";#N/A,#N/A,FALSE,"Test 120 Day Accts";#N/A,#N/A,FALSE,"Tickmarks"}</definedName>
    <definedName name="prwpfwlf" hidden="1">#REF!</definedName>
    <definedName name="prwpr" hidden="1">{#N/A,#N/A,FALSE,"Aging Summary";#N/A,#N/A,FALSE,"Ratio Analysis";#N/A,#N/A,FALSE,"Test 120 Day Accts";#N/A,#N/A,FALSE,"Tickmarks"}</definedName>
    <definedName name="prwpre9" hidden="1">#REF!</definedName>
    <definedName name="prwprlw" hidden="1">#REF!</definedName>
    <definedName name="psdlfs" hidden="1">#REF!</definedName>
    <definedName name="psdlsdss" hidden="1">{#N/A,#N/A,FALSE,"Aging Summary";#N/A,#N/A,FALSE,"Ratio Analysis";#N/A,#N/A,FALSE,"Test 120 Day Accts";#N/A,#N/A,FALSE,"Tickmarks"}</definedName>
    <definedName name="pst" hidden="1">#REF!</definedName>
    <definedName name="pt" hidden="1">{#N/A,#N/A,FALSE,"Total";#N/A,#N/A,FALSE,"S 109.426";#N/A,#N/A,FALSE,"S 105.312";#N/A,#N/A,FALSE,"S 109.637";#N/A,#N/A,FALSE,"S 109.926";#N/A,#N/A,FALSE,"S 108.707";#N/A,#N/A,FALSE,"S 108.230";#N/A,#N/A,FALSE,"S 109.350";#N/A,#N/A,FALSE,"976.127.770";#N/A,#N/A,FALSE,"976.127.760";#N/A,#N/A,FALSE,"500.092.850";#N/A,#N/A,FALSE,"976.252.070";#N/A,#N/A,FALSE,"S-110.026";#N/A,#N/A,FALSE,"976.252.080";#N/A,#N/A,FALSE,"465.274.800";#N/A,#N/A,FALSE,"Substrato";#N/A,#N/A,FALSE,"465.520.710"}</definedName>
    <definedName name="ptegpe" hidden="1">{#N/A,#N/A,FALSE,"Aging Summary";#N/A,#N/A,FALSE,"Ratio Analysis";#N/A,#N/A,FALSE,"Test 120 Day Accts";#N/A,#N/A,FALSE,"Tickmarks"}</definedName>
    <definedName name="PT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PUERTO">[7]juic!#REF!</definedName>
    <definedName name="PULUL" hidden="1">{#N/A,#N/A,FALSE,"Aging Summary";#N/A,#N/A,FALSE,"Ratio Analysis";#N/A,#N/A,FALSE,"Test 120 Day Accts";#N/A,#N/A,FALSE,"Tickmarks"}</definedName>
    <definedName name="puto" hidden="1">{#N/A,#N/A,FALSE,"Aging Summary";#N/A,#N/A,FALSE,"Ratio Analysis";#N/A,#N/A,FALSE,"Test 120 Day Accts";#N/A,#N/A,FALSE,"Tickmarks"}</definedName>
    <definedName name="pvtpvt"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VWLD" hidden="1">#REF!</definedName>
    <definedName name="pwc" hidden="1">{#N/A,#N/A,FALSE,"Aging Summary";#N/A,#N/A,FALSE,"Ratio Analysis";#N/A,#N/A,FALSE,"Test 120 Day Accts";#N/A,#N/A,FALSE,"Tickmarks"}</definedName>
    <definedName name="pwcanalisis" hidden="1">{#N/A,#N/A,FALSE,"Aging Summary";#N/A,#N/A,FALSE,"Ratio Analysis";#N/A,#N/A,FALSE,"Test 120 Day Accts";#N/A,#N/A,FALSE,"Tickmarks"}</definedName>
    <definedName name="pweijgewpigjwpgjw" hidden="1">#REF!</definedName>
    <definedName name="pwelf" hidden="1">#REF!</definedName>
    <definedName name="pweokjeww" hidden="1">#REF!</definedName>
    <definedName name="pweorworw" hidden="1">#REF!</definedName>
    <definedName name="pweorwrow" hidden="1">#REF!</definedName>
    <definedName name="pwepq" hidden="1">{#N/A,#N/A,FALSE,"Aging Summary";#N/A,#N/A,FALSE,"Ratio Analysis";#N/A,#N/A,FALSE,"Test 120 Day Accts";#N/A,#N/A,FALSE,"Tickmarks"}</definedName>
    <definedName name="pweqeq" hidden="1">{#N/A,#N/A,FALSE,"Aging Summary";#N/A,#N/A,FALSE,"Ratio Analysis";#N/A,#N/A,FALSE,"Test 120 Day Accts";#N/A,#N/A,FALSE,"Tickmarks"}</definedName>
    <definedName name="pwflpwf" hidden="1">{#N/A,#N/A,FALSE,"Aging Summary";#N/A,#N/A,FALSE,"Ratio Analysis";#N/A,#N/A,FALSE,"Test 120 Day Accts";#N/A,#N/A,FALSE,"Tickmarks"}</definedName>
    <definedName name="pwflwf" hidden="1">{#N/A,#N/A,FALSE,"Aging Summary";#N/A,#N/A,FALSE,"Ratio Analysis";#N/A,#N/A,FALSE,"Test 120 Day Accts";#N/A,#N/A,FALSE,"Tickmarks"}</definedName>
    <definedName name="pwiejgw9595" hidden="1">#REF!</definedName>
    <definedName name="pwiejwe4545" hidden="1">#REF!</definedName>
    <definedName name="pwjgw0" hidden="1">#REF!</definedName>
    <definedName name="pwlefpwfw" hidden="1">{#N/A,#N/A,FALSE,"Aging Summary";#N/A,#N/A,FALSE,"Ratio Analysis";#N/A,#N/A,FALSE,"Test 120 Day Accts";#N/A,#N/A,FALSE,"Tickmarks"}</definedName>
    <definedName name="pwlepwlf" hidden="1">{#N/A,#N/A,FALSE,"Aging Summary";#N/A,#N/A,FALSE,"Ratio Analysis";#N/A,#N/A,FALSE,"Test 120 Day Accts";#N/A,#N/A,FALSE,"Tickmarks"}</definedName>
    <definedName name="pwlfpwe" hidden="1">{#N/A,#N/A,FALSE,"Aging Summary";#N/A,#N/A,FALSE,"Ratio Analysis";#N/A,#N/A,FALSE,"Test 120 Day Accts";#N/A,#N/A,FALSE,"Tickmarks"}</definedName>
    <definedName name="pwlpflw"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pwoprw" hidden="1">{#N/A,#N/A,FALSE,"Aging Summary";#N/A,#N/A,FALSE,"Ratio Analysis";#N/A,#N/A,FALSE,"Test 120 Day Accts";#N/A,#N/A,FALSE,"Tickmarks"}</definedName>
    <definedName name="pwp" hidden="1">{#N/A,#N/A,FALSE,"Aging Summary";#N/A,#N/A,FALSE,"Ratio Analysis";#N/A,#N/A,FALSE,"Test 120 Day Accts";#N/A,#N/A,FALSE,"Tickmarks"}</definedName>
    <definedName name="pwplw" hidden="1">{#N/A,#N/A,FALSE,"Aging Summary";#N/A,#N/A,FALSE,"Ratio Analysis";#N/A,#N/A,FALSE,"Test 120 Day Accts";#N/A,#N/A,FALSE,"Tickmarks"}</definedName>
    <definedName name="pwprw" hidden="1">{#N/A,#N/A,FALSE,"Aging Summary";#N/A,#N/A,FALSE,"Ratio Analysis";#N/A,#N/A,FALSE,"Test 120 Day Accts";#N/A,#N/A,FALSE,"Tickmarks"}</definedName>
    <definedName name="pwpw" hidden="1">{#N/A,#N/A,FALSE,"Aging Summary";#N/A,#N/A,FALSE,"Ratio Analysis";#N/A,#N/A,FALSE,"Test 120 Day Accts";#N/A,#N/A,FALSE,"Tickmarks"}</definedName>
    <definedName name="pwpwpw" hidden="1">{#N/A,#N/A,FALSE,"Aging Summary";#N/A,#N/A,FALSE,"Ratio Analysis";#N/A,#N/A,FALSE,"Test 120 Day Accts";#N/A,#N/A,FALSE,"Tickmarks"}</definedName>
    <definedName name="pwqepq" hidden="1">{#N/A,#N/A,FALSE,"Aging Summary";#N/A,#N/A,FALSE,"Ratio Analysis";#N/A,#N/A,FALSE,"Test 120 Day Accts";#N/A,#N/A,FALSE,"Tickmarks"}</definedName>
    <definedName name="pwqeqw" hidden="1">#REF!</definedName>
    <definedName name="pwqldq" hidden="1">#REF!</definedName>
    <definedName name="pwqpsk" hidden="1">{#N/A,#N/A,FALSE,"Aging Summary";#N/A,#N/A,FALSE,"Ratio Analysis";#N/A,#N/A,FALSE,"Test 120 Day Accts";#N/A,#N/A,FALSE,"Tickmarks"}</definedName>
    <definedName name="pwwppw" hidden="1">{#N/A,#N/A,FALSE,"Aging Summary";#N/A,#N/A,FALSE,"Ratio Analysis";#N/A,#N/A,FALSE,"Test 120 Day Accts";#N/A,#N/A,FALSE,"Tickmarks"}</definedName>
    <definedName name="q"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q´q´qq" hidden="1">{#N/A,#N/A,FALSE,"Aging Summary";#N/A,#N/A,FALSE,"Ratio Analysis";#N/A,#N/A,FALSE,"Test 120 Day Accts";#N/A,#N/A,FALSE,"Tickmarks"}</definedName>
    <definedName name="QA" hidden="1">{#N/A,#N/A,FALSE,"Aging Summary";#N/A,#N/A,FALSE,"Ratio Analysis";#N/A,#N/A,FALSE,"Test 120 Day Accts";#N/A,#N/A,FALSE,"Tickmarks"}</definedName>
    <definedName name="QAA" hidden="1">{#N/A,#N/A,FALSE,"Aging Summary";#N/A,#N/A,FALSE,"Ratio Analysis";#N/A,#N/A,FALSE,"Test 120 Day Accts";#N/A,#N/A,FALSE,"Tickmarks"}</definedName>
    <definedName name="qaaa" hidden="1">{#N/A,#N/A,FALSE,"Aging Summary";#N/A,#N/A,FALSE,"Ratio Analysis";#N/A,#N/A,FALSE,"Test 120 Day Accts";#N/A,#N/A,FALSE,"Tickmarks"}</definedName>
    <definedName name="qaaq" hidden="1">{#N/A,#N/A,FALSE,"Aging Summary";#N/A,#N/A,FALSE,"Ratio Analysis";#N/A,#N/A,FALSE,"Test 120 Day Accts";#N/A,#N/A,FALSE,"Tickmarks"}</definedName>
    <definedName name="qaqaqaqqqqqqqqq"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e" hidden="1">{#N/A,#N/A,FALSE,"Aging Summary";#N/A,#N/A,FALSE,"Ratio Analysis";#N/A,#N/A,FALSE,"Test 120 Day Accts";#N/A,#N/A,FALSE,"Tickmarks"}</definedName>
    <definedName name="qaqq" hidden="1">{#N/A,#N/A,FALSE,"Aging Summary";#N/A,#N/A,FALSE,"Ratio Analysis";#N/A,#N/A,FALSE,"Test 120 Day Accts";#N/A,#N/A,FALSE,"Tickmarks"}</definedName>
    <definedName name="qass" hidden="1">{#N/A,#N/A,FALSE,"Aging Summary";#N/A,#N/A,FALSE,"Ratio Analysis";#N/A,#N/A,FALSE,"Test 120 Day Accts";#N/A,#N/A,FALSE,"Tickmarks"}</definedName>
    <definedName name="QAW" hidden="1">{#N/A,#N/A,FALSE,"Aging Summary";#N/A,#N/A,FALSE,"Ratio Analysis";#N/A,#N/A,FALSE,"Test 120 Day Accts";#N/A,#N/A,FALSE,"Tickmarks"}</definedName>
    <definedName name="qaz" hidden="1">{#N/A,#N/A,FALSE,"SUBSIDIARIAS"}</definedName>
    <definedName name="QDDDDDDDDDDDDDDASZX" hidden="1">{#N/A,#N/A,FALSE,"Aging Summary";#N/A,#N/A,FALSE,"Ratio Analysis";#N/A,#N/A,FALSE,"Test 120 Day Accts";#N/A,#N/A,FALSE,"Tickmarks"}</definedName>
    <definedName name="qdkodq" hidden="1">#REF!</definedName>
    <definedName name="qdnqindqid" hidden="1">{#N/A,#N/A,FALSE,"Aging Summary";#N/A,#N/A,FALSE,"Ratio Analysis";#N/A,#N/A,FALSE,"Test 120 Day Accts";#N/A,#N/A,FALSE,"Tickmarks"}</definedName>
    <definedName name="qdpqkdqd" hidden="1">{#N/A,#N/A,FALSE,"Aging Summary";#N/A,#N/A,FALSE,"Ratio Analysis";#N/A,#N/A,FALSE,"Test 120 Day Accts";#N/A,#N/A,FALSE,"Tickmarks"}</definedName>
    <definedName name="qdq" hidden="1">{"'DIFPRE'!$A$2:$M$54"}</definedName>
    <definedName name="qdqdeq" hidden="1">{#N/A,#N/A,FALSE,"Aging Summary";#N/A,#N/A,FALSE,"Ratio Analysis";#N/A,#N/A,FALSE,"Test 120 Day Accts";#N/A,#N/A,FALSE,"Tickmarks"}</definedName>
    <definedName name="qdqdq" hidden="1">{#N/A,#N/A,FALSE,"Aging Summary";#N/A,#N/A,FALSE,"Ratio Analysis";#N/A,#N/A,FALSE,"Test 120 Day Accts";#N/A,#N/A,FALSE,"Tickmarks"}</definedName>
    <definedName name="qdqjo" hidden="1">{#N/A,#N/A,FALSE,"Aging Summary";#N/A,#N/A,FALSE,"Ratio Analysis";#N/A,#N/A,FALSE,"Test 120 Day Accts";#N/A,#N/A,FALSE,"Tickmarks"}</definedName>
    <definedName name="qdwkqdq" hidden="1">{#N/A,#N/A,FALSE,"Aging Summary";#N/A,#N/A,FALSE,"Ratio Analysis";#N/A,#N/A,FALSE,"Test 120 Day Accts";#N/A,#N/A,FALSE,"Tickmarks"}</definedName>
    <definedName name="qejko" hidden="1">{#N/A,#N/A,FALSE,"Aging Summary";#N/A,#N/A,FALSE,"Ratio Analysis";#N/A,#N/A,FALSE,"Test 120 Day Accts";#N/A,#N/A,FALSE,"Tickmarks"}</definedName>
    <definedName name="QEKFQKFQK" hidden="1">#REF!</definedName>
    <definedName name="qekoq" hidden="1">{#N/A,#N/A,FALSE,"Aging Summary";#N/A,#N/A,FALSE,"Ratio Analysis";#N/A,#N/A,FALSE,"Test 120 Day Accts";#N/A,#N/A,FALSE,"Tickmarks"}</definedName>
    <definedName name="qen" hidden="1">{#N/A,#N/A,FALSE,"STRAD";#N/A,#N/A,FALSE,"BELGLO"}</definedName>
    <definedName name="qeoq" hidden="1">{#N/A,#N/A,FALSE,"Aging Summary";#N/A,#N/A,FALSE,"Ratio Analysis";#N/A,#N/A,FALSE,"Test 120 Day Accts";#N/A,#N/A,FALSE,"Tickmarks"}</definedName>
    <definedName name="QEQWRSDF" hidden="1">{#N/A,#N/A,FALSE,"Aging Summary";#N/A,#N/A,FALSE,"Ratio Analysis";#N/A,#N/A,FALSE,"Test 120 Day Accts";#N/A,#N/A,FALSE,"Tickmarks"}</definedName>
    <definedName name="QESAD" hidden="1">{#N/A,#N/A,FALSE,"Aging Summary";#N/A,#N/A,FALSE,"Ratio Analysis";#N/A,#N/A,FALSE,"Test 120 Day Accts";#N/A,#N/A,FALSE,"Tickmarks"}</definedName>
    <definedName name="qew" hidden="1">{#N/A,#N/A,FALSE,"Aging Summary";#N/A,#N/A,FALSE,"Ratio Analysis";#N/A,#N/A,FALSE,"Test 120 Day Accts";#N/A,#N/A,FALSE,"Tickmarks"}</definedName>
    <definedName name="qewdkp" hidden="1">{#N/A,#N/A,FALSE,"invoice ucc";#N/A,#N/A,FALSE,"asiento"}</definedName>
    <definedName name="qewq" hidden="1">#REF!</definedName>
    <definedName name="QFQEFQ" hidden="1">#REF!</definedName>
    <definedName name="qfwfq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idjqd9" hidden="1">{#N/A,#N/A,FALSE,"Aging Summary";#N/A,#N/A,FALSE,"Ratio Analysis";#N/A,#N/A,FALSE,"Test 120 Day Accts";#N/A,#N/A,FALSE,"Tickmarks"}</definedName>
    <definedName name="qjdiqj" hidden="1">{#N/A,#N/A,FALSE,"Aging Summary";#N/A,#N/A,FALSE,"Ratio Analysis";#N/A,#N/A,FALSE,"Test 120 Day Accts";#N/A,#N/A,FALSE,"Tickmarks"}</definedName>
    <definedName name="qjdwhqlwd" hidden="1">#REF!</definedName>
    <definedName name="qjidjq" hidden="1">{"custodia",#N/A,FALSE,"Encaje";"encajeprint",#N/A,FALSE,"Encaje"}</definedName>
    <definedName name="qjwiqjdq" hidden="1">{#N/A,#N/A,FALSE,"Aging Summary";#N/A,#N/A,FALSE,"Ratio Analysis";#N/A,#N/A,FALSE,"Test 120 Day Accts";#N/A,#N/A,FALSE,"Tickmarks"}</definedName>
    <definedName name="qkdiqd" hidden="1">{#N/A,#N/A,FALSE,"Aging Summary";#N/A,#N/A,FALSE,"Ratio Analysis";#N/A,#N/A,FALSE,"Test 120 Day Accts";#N/A,#N/A,FALSE,"Tickmarks"}</definedName>
    <definedName name="qkdkd" hidden="1">{#N/A,#N/A,FALSE,"Aging Summary";#N/A,#N/A,FALSE,"Ratio Analysis";#N/A,#N/A,FALSE,"Test 120 Day Accts";#N/A,#N/A,FALSE,"Tickmarks"}</definedName>
    <definedName name="qkdoqkd" hidden="1">{#N/A,#N/A,FALSE,"Aging Summary";#N/A,#N/A,FALSE,"Ratio Analysis";#N/A,#N/A,FALSE,"Test 120 Day Accts";#N/A,#N/A,FALSE,"Tickmarks"}</definedName>
    <definedName name="qkeoqke" hidden="1">{#N/A,#N/A,FALSE,"Aging Summary";#N/A,#N/A,FALSE,"Ratio Analysis";#N/A,#N/A,FALSE,"Test 120 Day Accts";#N/A,#N/A,FALSE,"Tickmarks"}</definedName>
    <definedName name="qkodq" hidden="1">{#N/A,#N/A,FALSE,"Aging Summary";#N/A,#N/A,FALSE,"Ratio Analysis";#N/A,#N/A,FALSE,"Test 120 Day Accts";#N/A,#N/A,FALSE,"Tickmarks"}</definedName>
    <definedName name="qlewprlqr" hidden="1">#REF!</definedName>
    <definedName name="qlkdoqkd" hidden="1">{#N/A,#N/A,FALSE,"Aging Summary";#N/A,#N/A,FALSE,"Ratio Analysis";#N/A,#N/A,FALSE,"Test 120 Day Accts";#N/A,#N/A,FALSE,"Tickmarks"}</definedName>
    <definedName name="QLP" hidden="1">#REF!</definedName>
    <definedName name="qmndi" hidden="1">{#N/A,#N/A,FALSE,"Aging Summary";#N/A,#N/A,FALSE,"Ratio Analysis";#N/A,#N/A,FALSE,"Test 120 Day Accts";#N/A,#N/A,FALSE,"Tickmarks"}</definedName>
    <definedName name="qmwdoqd" hidden="1">{#N/A,#N/A,FALSE,"Aging Summary";#N/A,#N/A,FALSE,"Ratio Analysis";#N/A,#N/A,FALSE,"Test 120 Day Accts";#N/A,#N/A,FALSE,"Tickmarks"}</definedName>
    <definedName name="qndiqndwq" hidden="1">{#N/A,#N/A,FALSE,"Aging Summary";#N/A,#N/A,FALSE,"Ratio Analysis";#N/A,#N/A,FALSE,"Test 120 Day Accts";#N/A,#N/A,FALSE,"Tickmarks"}</definedName>
    <definedName name="qnqnq" hidden="1">{#N/A,#N/A,FALSE,"STRAD";#N/A,#N/A,FALSE,"BELGLO"}</definedName>
    <definedName name="qnxwqix" hidden="1">{#N/A,#N/A,FALSE,"Aging Summary";#N/A,#N/A,FALSE,"Ratio Analysis";#N/A,#N/A,FALSE,"Test 120 Day Accts";#N/A,#N/A,FALSE,"Tickmarks"}</definedName>
    <definedName name="qoekjqow" hidden="1">{#N/A,#N/A,FALSE,"Aging Summary";#N/A,#N/A,FALSE,"Ratio Analysis";#N/A,#N/A,FALSE,"Test 120 Day Accts";#N/A,#N/A,FALSE,"Tickmarks"}</definedName>
    <definedName name="qokdoqd" hidden="1">{#N/A,#N/A,FALSE,"Aging Summary";#N/A,#N/A,FALSE,"Ratio Analysis";#N/A,#N/A,FALSE,"Test 120 Day Accts";#N/A,#N/A,FALSE,"Tickmarks"}</definedName>
    <definedName name="qokdqodkqokd" hidden="1">{#N/A,#N/A,FALSE,"Aging Summary";#N/A,#N/A,FALSE,"Ratio Analysis";#N/A,#N/A,FALSE,"Test 120 Day Accts";#N/A,#N/A,FALSE,"Tickmarks"}</definedName>
    <definedName name="qokq" hidden="1">#REF!</definedName>
    <definedName name="qoqdqd" hidden="1">{#N/A,#N/A,FALSE,"Aging Summary";#N/A,#N/A,FALSE,"Ratio Analysis";#N/A,#N/A,FALSE,"Test 120 Day Accts";#N/A,#N/A,FALSE,"Tickmarks"}</definedName>
    <definedName name="qowdmq" hidden="1">{#N/A,#N/A,FALSE,"balance";#N/A,#N/A,FALSE,"resultados";#N/A,#N/A,FALSE,"p.neto";#N/A,#N/A,FALSE,"bienes uso";#N/A,#N/A,FALSE,"art.64";#N/A,#N/A,FALSE,"intangibles"}</definedName>
    <definedName name="qpdqpdqp" hidden="1">#REF!</definedName>
    <definedName name="qpdqpq" hidden="1">#REF!</definedName>
    <definedName name="qpdwdqd" hidden="1">{#N/A,#N/A,FALSE,"Aging Summary";#N/A,#N/A,FALSE,"Ratio Analysis";#N/A,#N/A,FALSE,"Test 120 Day Accts";#N/A,#N/A,FALSE,"Tickmarks"}</definedName>
    <definedName name="qpeoqe" hidden="1">{"'DIFPRE'!$A$2:$M$54"}</definedName>
    <definedName name="qpepqe" hidden="1">{#N/A,#N/A,FALSE,"Aging Summary";#N/A,#N/A,FALSE,"Ratio Analysis";#N/A,#N/A,FALSE,"Test 120 Day Accts";#N/A,#N/A,FALSE,"Tickmarks"}</definedName>
    <definedName name="QPLEF" hidden="1">#REF!</definedName>
    <definedName name="qpoiujhyg" hidden="1">#REF!</definedName>
    <definedName name="qpppppppppppppp" hidden="1">{#N/A,#N/A,FALSE,"invoice ucc";#N/A,#N/A,FALSE,"asiento"}</definedName>
    <definedName name="qq" hidden="1">{#N/A,#N/A,FALSE,"Aging Summary";#N/A,#N/A,FALSE,"Ratio Analysis";#N/A,#N/A,FALSE,"Test 120 Day Accts";#N/A,#N/A,FALSE,"Tickmarks"}</definedName>
    <definedName name="qq2w" hidden="1">#REF!</definedName>
    <definedName name="qqa" hidden="1">{#N/A,#N/A,FALSE,"Aging Summary";#N/A,#N/A,FALSE,"Ratio Analysis";#N/A,#N/A,FALSE,"Test 120 Day Accts";#N/A,#N/A,FALSE,"Tickmarks"}</definedName>
    <definedName name="qqaaA" hidden="1">{#N/A,#N/A,FALSE,"Aging Summary";#N/A,#N/A,FALSE,"Ratio Analysis";#N/A,#N/A,FALSE,"Test 120 Day Accts";#N/A,#N/A,FALSE,"Tickmarks"}</definedName>
    <definedName name="qqe" hidden="1">{#N/A,#N/A,FALSE,"STRAD";#N/A,#N/A,FALSE,"BELGLO"}</definedName>
    <definedName name="qqn" hidden="1">{#N/A,#N/A,FALSE,"STRAD";#N/A,#N/A,FALSE,"BELGLO"}</definedName>
    <definedName name="qqod" hidden="1">{#N/A,#N/A,FALSE,"Aging Summary";#N/A,#N/A,FALSE,"Ratio Analysis";#N/A,#N/A,FALSE,"Test 120 Day Accts";#N/A,#N/A,FALSE,"Tickmarks"}</definedName>
    <definedName name="QQPL" hidden="1">#REF!</definedName>
    <definedName name="qqq" hidden="1">#REF!</definedName>
    <definedName name="QQQQF" hidden="1">#REF!</definedName>
    <definedName name="qqqqq" hidden="1">{#N/A,#N/A,FALSE,"Aging Summary";#N/A,#N/A,FALSE,"Ratio Analysis";#N/A,#N/A,FALSE,"Test 120 Day Accts";#N/A,#N/A,FALSE,"Tickmarks"}</definedName>
    <definedName name="QQQQQL" hidden="1">#REF!</definedName>
    <definedName name="qqqqqq" hidden="1">{#N/A,#N/A,FALSE,"STRAD";#N/A,#N/A,FALSE,"BELGLO"}</definedName>
    <definedName name="QQQQQQQF" hidden="1">#REF!</definedName>
    <definedName name="QQQQQQQP" hidden="1">#REF!</definedName>
    <definedName name="QQQQQQQQ" hidden="1">{#N/A,#N/A,FALSE,"Aging Summary";#N/A,#N/A,FALSE,"Ratio Analysis";#N/A,#N/A,FALSE,"Test 120 Day Accts";#N/A,#N/A,FALSE,"Tickmarks"}</definedName>
    <definedName name="qqqqqqqqqq" hidden="1">{#N/A,#N/A,FALSE,"LLAVE";#N/A,#N/A,FALSE,"EERR";#N/A,#N/A,FALSE,"ESP";#N/A,#N/A,FALSE,"EOAF";#N/A,#N/A,FALSE,"CASH";#N/A,#N/A,FALSE,"FINANZAS";#N/A,#N/A,FALSE,"DEUDA";#N/A,#N/A,FALSE,"INVERSION";#N/A,#N/A,FALSE,"PERSONAL"}</definedName>
    <definedName name="qqqqqqqqqqq" hidden="1">{#N/A,#N/A,FALSE,"Aging Summary";#N/A,#N/A,FALSE,"Ratio Analysis";#N/A,#N/A,FALSE,"Test 120 Day Accts";#N/A,#N/A,FALSE,"Tickmarks"}</definedName>
    <definedName name="QQQQQQQQQQQQQQQ" hidden="1">{#N/A,#N/A,FALSE,"Aging Summary";#N/A,#N/A,FALSE,"Ratio Analysis";#N/A,#N/A,FALSE,"Test 120 Day Accts";#N/A,#N/A,FALSE,"Tickmarks"}</definedName>
    <definedName name="qqqqqqqqqqqqqqqq" hidden="1">{#N/A,#N/A,FALSE,"Aging Summary";#N/A,#N/A,FALSE,"Ratio Analysis";#N/A,#N/A,FALSE,"Test 120 Day Accts";#N/A,#N/A,FALSE,"Tickmarks"}</definedName>
    <definedName name="QQQQQQQQQQQQQQQQQ" hidden="1">{#N/A,#N/A,FALSE,"Aging Summary";#N/A,#N/A,FALSE,"Ratio Analysis";#N/A,#N/A,FALSE,"Test 120 Day Accts";#N/A,#N/A,FALSE,"Tickmarks"}</definedName>
    <definedName name="qqrqrq" hidden="1">#REF!</definedName>
    <definedName name="QQUQ" hidden="1">{#N/A,#N/A,FALSE,"Aging Summary";#N/A,#N/A,FALSE,"Ratio Analysis";#N/A,#N/A,FALSE,"Test 120 Day Accts";#N/A,#N/A,FALSE,"Tickmarks"}</definedName>
    <definedName name="qqw" hidden="1">#REF!</definedName>
    <definedName name="QQWQ" hidden="1">{#N/A,#N/A,FALSE,"Aging Summary";#N/A,#N/A,FALSE,"Ratio Analysis";#N/A,#N/A,FALSE,"Test 120 Day Accts";#N/A,#N/A,FALSE,"Tickmarks"}</definedName>
    <definedName name="qrqro" hidden="1">#REF!</definedName>
    <definedName name="qsq" hidden="1">#REF!</definedName>
    <definedName name="qsqp" hidden="1">{#N/A,#N/A,FALSE,"Aging Summary";#N/A,#N/A,FALSE,"Ratio Analysis";#N/A,#N/A,FALSE,"Test 120 Day Accts";#N/A,#N/A,FALSE,"Tickmarks"}</definedName>
    <definedName name="qsqs" hidden="1">{#N/A,#N/A,FALSE,"Aging Summary";#N/A,#N/A,FALSE,"Ratio Analysis";#N/A,#N/A,FALSE,"Test 120 Day Accts";#N/A,#N/A,FALSE,"Tickmarks"}</definedName>
    <definedName name="qswqwq" hidden="1">#REF!</definedName>
    <definedName name="queeeeeeeee" hidden="1">{#N/A,#N/A,FALSE,"Aging Summary";#N/A,#N/A,FALSE,"Ratio Analysis";#N/A,#N/A,FALSE,"Test 120 Day Accts";#N/A,#N/A,FALSE,"Tickmarks"}</definedName>
    <definedName name="queque" hidden="1">{#N/A,#N/A,FALSE,"Aging Summary";#N/A,#N/A,FALSE,"Ratio Analysis";#N/A,#N/A,FALSE,"Test 120 Day Accts";#N/A,#N/A,FALSE,"Tickmarks"}</definedName>
    <definedName name="queqwere" hidden="1">{#N/A,#N/A,FALSE,"Aging Summary";#N/A,#N/A,FALSE,"Ratio Analysis";#N/A,#N/A,FALSE,"Test 120 Day Accts";#N/A,#N/A,FALSE,"Tickmarks"}</definedName>
    <definedName name="quince" hidden="1">{"'DIFPRE'!$A$2:$M$54"}</definedName>
    <definedName name="QW" hidden="1">{#N/A,#N/A,FALSE,"Hoja LLave";#N/A,#N/A,FALSE,"Portada";#N/A,#N/A,FALSE,"Nota 2";#N/A,#N/A,FALSE,"Anexo A";#N/A,#N/A,FALSE,"Est.Sit.Patr.";#N/A,#N/A,FALSE,"Cuadro I";#N/A,#N/A,FALSE,"Anexo F";#N/A,#N/A,FALSE,"E.E.P.N.";#N/A,#N/A,FALSE,"Resultados";#N/A,#N/A,FALSE,"E.V.C.C."}</definedName>
    <definedName name="qwd" hidden="1">#REF!</definedName>
    <definedName name="qwe" hidden="1">#REF!</definedName>
    <definedName name="qwejqe" hidden="1">{#N/A,#N/A,FALSE,"Aging Summary";#N/A,#N/A,FALSE,"Ratio Analysis";#N/A,#N/A,FALSE,"Test 120 Day Accts";#N/A,#N/A,FALSE,"Tickmarks"}</definedName>
    <definedName name="qwert"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qwerty" hidden="1">{#N/A,#N/A,FALSE,"LLAVE";#N/A,#N/A,FALSE,"EERR";#N/A,#N/A,FALSE,"ESP";#N/A,#N/A,FALSE,"EOAF";#N/A,#N/A,FALSE,"CASH";#N/A,#N/A,FALSE,"FINANZAS";#N/A,#N/A,FALSE,"DEUDA";#N/A,#N/A,FALSE,"INVERSION";#N/A,#N/A,FALSE,"PERSONAL"}</definedName>
    <definedName name="qwertyu" hidden="1">{#N/A,#N/A,FALSE,"ENERGIA";#N/A,#N/A,FALSE,"PERDIDAS";#N/A,#N/A,FALSE,"CLIENTES";#N/A,#N/A,FALSE,"ESTADO";#N/A,#N/A,FALSE,"TECNICA"}</definedName>
    <definedName name="qwertyuio" hidden="1">{#N/A,#N/A,FALSE,"LLAVE";#N/A,#N/A,FALSE,"EERR";#N/A,#N/A,FALSE,"ESP";#N/A,#N/A,FALSE,"EOAF";#N/A,#N/A,FALSE,"CASH";#N/A,#N/A,FALSE,"FINANZAS";#N/A,#N/A,FALSE,"DEUDA";#N/A,#N/A,FALSE,"INVERSION";#N/A,#N/A,FALSE,"PERSONAL"}</definedName>
    <definedName name="qwesss" hidden="1">#REF!</definedName>
    <definedName name="qwewqeffggrtgrtrt" hidden="1">{"'DIFPRE'!$A$2:$M$54"}</definedName>
    <definedName name="qwidmqmid" hidden="1">{#N/A,#N/A,FALSE,"Aging Summary";#N/A,#N/A,FALSE,"Ratio Analysis";#N/A,#N/A,FALSE,"Test 120 Day Accts";#N/A,#N/A,FALSE,"Tickmarks"}</definedName>
    <definedName name="QWJQI" hidden="1">{#N/A,#N/A,FALSE,"Aging Summary";#N/A,#N/A,FALSE,"Ratio Analysis";#N/A,#N/A,FALSE,"Test 120 Day Accts";#N/A,#N/A,FALSE,"Tickmarks"}</definedName>
    <definedName name="qwkdkqd" hidden="1">{#N/A,#N/A,FALSE,"Aging Summary";#N/A,#N/A,FALSE,"Ratio Analysis";#N/A,#N/A,FALSE,"Test 120 Day Accts";#N/A,#N/A,FALSE,"Tickmarks"}</definedName>
    <definedName name="qwodq" hidden="1">{#N/A,#N/A,FALSE,"Aging Summary";#N/A,#N/A,FALSE,"Ratio Analysis";#N/A,#N/A,FALSE,"Test 120 Day Accts";#N/A,#N/A,FALSE,"Tickmarks"}</definedName>
    <definedName name="qwok" hidden="1">{#N/A,#N/A,FALSE,"Aging Summary";#N/A,#N/A,FALSE,"Ratio Analysis";#N/A,#N/A,FALSE,"Test 120 Day Accts";#N/A,#N/A,FALSE,"Tickmarks"}</definedName>
    <definedName name="qwokdok" hidden="1">{"'DIFPRE'!$A$2:$M$54"}</definedName>
    <definedName name="QWQE" hidden="1">{#N/A,#N/A,FALSE,"Aging Summary";#N/A,#N/A,FALSE,"Ratio Analysis";#N/A,#N/A,FALSE,"Test 120 Day Accts";#N/A,#N/A,FALSE,"Tickmarks"}</definedName>
    <definedName name="qwqwqds" hidden="1">#REF!</definedName>
    <definedName name="qwqwqwq" hidden="1">#REF!</definedName>
    <definedName name="qwqwqwqw" hidden="1">{#N/A,#N/A,FALSE,"Aging Summary";#N/A,#N/A,FALSE,"Ratio Analysis";#N/A,#N/A,FALSE,"Test 120 Day Accts";#N/A,#N/A,FALSE,"Tickmarks"}</definedName>
    <definedName name="QWQWW" hidden="1">{#N/A,#N/A,FALSE,"Aging Summary";#N/A,#N/A,FALSE,"Ratio Analysis";#N/A,#N/A,FALSE,"Test 120 Day Accts";#N/A,#N/A,FALSE,"Tickmarks"}</definedName>
    <definedName name="qwsjqisj" hidden="1">{#N/A,#N/A,FALSE,"Aging Summary";#N/A,#N/A,FALSE,"Ratio Analysis";#N/A,#N/A,FALSE,"Test 120 Day Accts";#N/A,#N/A,FALSE,"Tickmarks"}</definedName>
    <definedName name="qwsq" hidden="1">{"custodia",#N/A,FALSE,"Encaje";"encajeprint",#N/A,FALSE,"Encaje"}</definedName>
    <definedName name="QWW" hidden="1">{#N/A,#N/A,FALSE,"Aging Summary";#N/A,#N/A,FALSE,"Ratio Analysis";#N/A,#N/A,FALSE,"Test 120 Day Accts";#N/A,#N/A,FALSE,"Tickmarks"}</definedName>
    <definedName name="qwwe" hidden="1">{#N/A,#N/A,FALSE,"Aging Summary";#N/A,#N/A,FALSE,"Ratio Analysis";#N/A,#N/A,FALSE,"Test 120 Day Accts";#N/A,#N/A,FALSE,"Tickmarks"}</definedName>
    <definedName name="qwww" hidden="1">{#N/A,#N/A,FALSE,"Aging Summary";#N/A,#N/A,FALSE,"Ratio Analysis";#N/A,#N/A,FALSE,"Test 120 Day Accts";#N/A,#N/A,FALSE,"Tickmarks"}</definedName>
    <definedName name="qxexq" hidden="1">{#N/A,#N/A,FALSE,"Aging Summary";#N/A,#N/A,FALSE,"Ratio Analysis";#N/A,#N/A,FALSE,"Test 120 Day Accts";#N/A,#N/A,FALSE,"Tickmarks"}</definedName>
    <definedName name="qxqni" hidden="1">{"'DIFPRE'!$A$2:$M$54"}</definedName>
    <definedName name="qxwqn" hidden="1">{#N/A,#N/A,FALSE,"Aging Summary";#N/A,#N/A,FALSE,"Ratio Analysis";#N/A,#N/A,FALSE,"Test 120 Day Accts";#N/A,#N/A,FALSE,"Tickmarks"}</definedName>
    <definedName name="R_Factor">#REF!</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NGO1">#REF!</definedName>
    <definedName name="RANGO2">#REF!</definedName>
    <definedName name="RatiosJun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d" hidden="1">#REF!</definedName>
    <definedName name="RDCD" hidden="1">{#N/A,#N/A,FALSE,"Aging Summary";#N/A,#N/A,FALSE,"Ratio Analysis";#N/A,#N/A,FALSE,"Test 120 Day Accts";#N/A,#N/A,FALSE,"Tickmarks"}</definedName>
    <definedName name="RDFC" hidden="1">{#N/A,#N/A,FALSE,"Aging Summary";#N/A,#N/A,FALSE,"Ratio Analysis";#N/A,#N/A,FALSE,"Test 120 Day Accts";#N/A,#N/A,FALSE,"Tickmarks"}</definedName>
    <definedName name="rdjare" hidden="1">{#N/A,#N/A,FALSE,"Aging Summary";#N/A,#N/A,FALSE,"Ratio Analysis";#N/A,#N/A,FALSE,"Test 120 Day Accts";#N/A,#N/A,FALSE,"Tickmarks"}</definedName>
    <definedName name="Recorder_______mPM" hidden="1">#REF!</definedName>
    <definedName name="red" hidden="1">{#N/A,#N/A,FALSE,"SUBSIDIARIAS"}</definedName>
    <definedName name="reeeeeeeeeeee" hidden="1">{#N/A,#N/A,FALSE,"Aging Summary";#N/A,#N/A,FALSE,"Ratio Analysis";#N/A,#N/A,FALSE,"Test 120 Day Accts";#N/A,#N/A,FALSE,"Tickmarks"}</definedName>
    <definedName name="reeeeeeeeeeeeee" hidden="1">{#N/A,#N/A,FALSE,"Aging Summary";#N/A,#N/A,FALSE,"Ratio Analysis";#N/A,#N/A,FALSE,"Test 120 Day Accts";#N/A,#N/A,FALSE,"Tickmarks"}</definedName>
    <definedName name="reeeeeeeeeeeeeeeeeeeeeeeeee" hidden="1">{#N/A,#N/A,FALSE,"Aging Summary";#N/A,#N/A,FALSE,"Ratio Analysis";#N/A,#N/A,FALSE,"Test 120 Day Accts";#N/A,#N/A,FALSE,"Tickmarks"}</definedName>
    <definedName name="reeeeeeeeeeeeeeeeeeeeeeeeeee" hidden="1">{#N/A,#N/A,FALSE,"Aging Summary";#N/A,#N/A,FALSE,"Ratio Analysis";#N/A,#N/A,FALSE,"Test 120 Day Accts";#N/A,#N/A,FALSE,"Tickmarks"}</definedName>
    <definedName name="REER" hidden="1">{#N/A,#N/A,FALSE,"Aging Summary";#N/A,#N/A,FALSE,"Ratio Analysis";#N/A,#N/A,FALSE,"Test 120 Day Accts";#N/A,#N/A,FALSE,"Tickmarks"}</definedName>
    <definedName name="REERWRW" hidden="1">{#N/A,#N/A,FALSE,"Aging Summary";#N/A,#N/A,FALSE,"Ratio Analysis";#N/A,#N/A,FALSE,"Test 120 Day Accts";#N/A,#N/A,FALSE,"Tickmarks"}</definedName>
    <definedName name="ref" hidden="1">#REF!</definedName>
    <definedName name="Ref_1" localSheetId="2">#REF!</definedName>
    <definedName name="Ref_1" localSheetId="3">#REF!</definedName>
    <definedName name="Ref_1">#REF!</definedName>
    <definedName name="Ref_101" hidden="1">2</definedName>
    <definedName name="Ref_2" localSheetId="2">#REF!</definedName>
    <definedName name="Ref_2" localSheetId="3">#REF!</definedName>
    <definedName name="Ref_2">#REF!</definedName>
    <definedName name="Ref_3">#REF!</definedName>
    <definedName name="Ref_5">[8]INTELSAT!#REF!</definedName>
    <definedName name="Ref_6" localSheetId="2">'[9]Deudores en gestión '!$C$350</definedName>
    <definedName name="Ref_6" localSheetId="3">'[9]Deudores en gestión '!$C$350</definedName>
    <definedName name="Ref_6">[8]INTELSAT!#REF!</definedName>
    <definedName name="Ref_8">[8]INTELSAT!#REF!</definedName>
    <definedName name="Ref_9">[8]INTELSAT!#REF!</definedName>
    <definedName name="REFFD" hidden="1">{#N/A,#N/A,FALSE,"Aging Summary";#N/A,#N/A,FALSE,"Ratio Analysis";#N/A,#N/A,FALSE,"Test 120 Day Accts";#N/A,#N/A,FALSE,"Tickmarks"}</definedName>
    <definedName name="refg" hidden="1">{#N/A,#N/A,FALSE,"Aging Summary";#N/A,#N/A,FALSE,"Ratio Analysis";#N/A,#N/A,FALSE,"Test 120 Day Accts";#N/A,#N/A,FALSE,"Tickmarks"}</definedName>
    <definedName name="refr" hidden="1">{#N/A,#N/A,FALSE,"Aging Summary";#N/A,#N/A,FALSE,"Ratio Analysis";#N/A,#N/A,FALSE,"Test 120 Day Accts";#N/A,#N/A,FALSE,"Tickmarks"}</definedName>
    <definedName name="REJFDF" hidden="1">{#N/A,#N/A,FALSE,"Aging Summary";#N/A,#N/A,FALSE,"Ratio Analysis";#N/A,#N/A,FALSE,"Test 120 Day Accts";#N/A,#N/A,FALSE,"Tickmarks"}</definedName>
    <definedName name="rejfe" hidden="1">#REF!</definedName>
    <definedName name="REJRFJEDFF" hidden="1">{#N/A,#N/A,FALSE,"Aging Summary";#N/A,#N/A,FALSE,"Ratio Analysis";#N/A,#N/A,FALSE,"Test 120 Day Accts";#N/A,#N/A,FALSE,"Tickmarks"}</definedName>
    <definedName name="reokferf" hidden="1">{#N/A,#N/A,FALSE,"Aging Summary";#N/A,#N/A,FALSE,"Ratio Analysis";#N/A,#N/A,FALSE,"Test 120 Day Accts";#N/A,#N/A,FALSE,"Tickmarks"}</definedName>
    <definedName name="Report_details" localSheetId="2">#REF!</definedName>
    <definedName name="Report_details" localSheetId="3">#REF!</definedName>
    <definedName name="Report_details">#REF!</definedName>
    <definedName name="repuestos" hidden="1">{#N/A,#N/A,FALSE,"Aging Summary";#N/A,#N/A,FALSE,"Ratio Analysis";#N/A,#N/A,FALSE,"Test 120 Day Accts";#N/A,#N/A,FALSE,"Tickmarks"}</definedName>
    <definedName name="RER" hidden="1">{#N/A,#N/A,FALSE,"Aging Summary";#N/A,#N/A,FALSE,"Ratio Analysis";#N/A,#N/A,FALSE,"Test 120 Day Accts";#N/A,#N/A,FALSE,"Tickmarks"}</definedName>
    <definedName name="rerere" hidden="1">{#N/A,#N/A,FALSE,"Aging Summary";#N/A,#N/A,FALSE,"Ratio Analysis";#N/A,#N/A,FALSE,"Test 120 Day Accts";#N/A,#N/A,FALSE,"Tickmarks"}</definedName>
    <definedName name="RERERERE" hidden="1">{#N/A,#N/A,FALSE,"Aging Summary";#N/A,#N/A,FALSE,"Ratio Analysis";#N/A,#N/A,FALSE,"Test 120 Day Accts";#N/A,#N/A,FALSE,"Tickmarks"}</definedName>
    <definedName name="rerererere" hidden="1">{#N/A,#N/A,FALSE,"Aging Summary";#N/A,#N/A,FALSE,"Ratio Analysis";#N/A,#N/A,FALSE,"Test 120 Day Accts";#N/A,#N/A,FALSE,"Tickmarks"}</definedName>
    <definedName name="rerewre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RERF" hidden="1">{#N/A,#N/A,FALSE,"Aging Summary";#N/A,#N/A,FALSE,"Ratio Analysis";#N/A,#N/A,FALSE,"Test 120 Day Accts";#N/A,#N/A,FALSE,"Tickmarks"}</definedName>
    <definedName name="rerr" hidden="1">{#N/A,#N/A,FALSE,"Aging Summary";#N/A,#N/A,FALSE,"Ratio Analysis";#N/A,#N/A,FALSE,"Test 120 Day Accts";#N/A,#N/A,FALSE,"Tickmarks"}</definedName>
    <definedName name="RERRE" hidden="1">{#N/A,#N/A,FALSE,"Aging Summary";#N/A,#N/A,FALSE,"Ratio Analysis";#N/A,#N/A,FALSE,"Test 120 Day Accts";#N/A,#N/A,FALSE,"Tickmarks"}</definedName>
    <definedName name="RERT" hidden="1">{#N/A,#N/A,FALSE,"Aging Summary";#N/A,#N/A,FALSE,"Ratio Analysis";#N/A,#N/A,FALSE,"Test 120 Day Accts";#N/A,#N/A,FALSE,"Tickmarks"}</definedName>
    <definedName name="rertrtyrt" hidden="1">{#N/A,#N/A,FALSE,"STRAD";#N/A,#N/A,FALSE,"BELGLO"}</definedName>
    <definedName name="RERW" hidden="1">{#N/A,#N/A,FALSE,"Aging Summary";#N/A,#N/A,FALSE,"Ratio Analysis";#N/A,#N/A,FALSE,"Test 120 Day Accts";#N/A,#N/A,FALSE,"Tickmarks"}</definedName>
    <definedName name="RES" hidden="1">{#N/A,#N/A,FALSE,"Aging Summary";#N/A,#N/A,FALSE,"Ratio Analysis";#N/A,#N/A,FALSE,"Test 120 Day Accts";#N/A,#N/A,FALSE,"Tickmarks"}</definedName>
    <definedName name="Residual_difference">#REF!</definedName>
    <definedName name="Resu" hidden="1">{"Schedule_IA",#N/A,FALSE,"I-A"}</definedName>
    <definedName name="RESULTADOS" hidden="1">1</definedName>
    <definedName name="Resultados_Capac_No_Satelital" hidden="1">{#N/A,#N/A,FALSE,"Aging Summary";#N/A,#N/A,FALSE,"Ratio Analysis";#N/A,#N/A,FALSE,"Test 120 Day Accts";#N/A,#N/A,FALSE,"Tickmarks"}</definedName>
    <definedName name="Resumen" hidden="1">{#N/A,#N/A,FALSE,"Aging Summary";#N/A,#N/A,FALSE,"Ratio Analysis";#N/A,#N/A,FALSE,"Test 120 Day Accts";#N/A,#N/A,FALSE,"Tickmarks"}</definedName>
    <definedName name="RESUMEN2" hidden="1">{#N/A,#N/A,FALSE,"CAPEX";#N/A,#N/A,FALSE,"PLAN";#N/A,#N/A,FALSE,"REV";#N/A,#N/A,FALSE,"CALOP";#N/A,#N/A,FALSE,"RESOP";#N/A,#N/A,FALSE,"PRES"}</definedName>
    <definedName name="reterfd" hidden="1">{#N/A,#N/A,FALSE,"STRAD";#N/A,#N/A,FALSE,"BELGLO"}</definedName>
    <definedName name="retertertertertert" hidden="1">{#N/A,#N/A,FALSE,"STRAD";#N/A,#N/A,FALSE,"BELGLO"}</definedName>
    <definedName name="reteter" hidden="1">{#N/A,#N/A,FALSE,"STRAD";#N/A,#N/A,FALSE,"BELGLO"}</definedName>
    <definedName name="rette" hidden="1">{#N/A,#N/A,FALSE,"Aging Summary";#N/A,#N/A,FALSE,"Ratio Analysis";#N/A,#N/A,FALSE,"Test 120 Day Accts";#N/A,#N/A,FALSE,"Tickmarks"}</definedName>
    <definedName name="retyh" hidden="1">{#N/A,#N/A,FALSE,"Aging Summary";#N/A,#N/A,FALSE,"Ratio Analysis";#N/A,#N/A,FALSE,"Test 120 Day Accts";#N/A,#N/A,FALSE,"Tickmarks"}</definedName>
    <definedName name="rew" hidden="1">{#N/A,#N/A,FALSE,"Aging Summary";#N/A,#N/A,FALSE,"Ratio Analysis";#N/A,#N/A,FALSE,"Test 120 Day Accts";#N/A,#N/A,FALSE,"Tickmarks"}</definedName>
    <definedName name="REWEDSD" hidden="1">{#N/A,#N/A,FALSE,"Aging Summary";#N/A,#N/A,FALSE,"Ratio Analysis";#N/A,#N/A,FALSE,"Test 120 Day Accts";#N/A,#N/A,FALSE,"Tickmarks"}</definedName>
    <definedName name="rewqe" hidden="1">#REF!</definedName>
    <definedName name="rewqrew" hidden="1">#REF!</definedName>
    <definedName name="rewqrw" hidden="1">#REF!</definedName>
    <definedName name="REWR" hidden="1">{#N/A,#N/A,FALSE,"Aging Summary";#N/A,#N/A,FALSE,"Ratio Analysis";#N/A,#N/A,FALSE,"Test 120 Day Accts";#N/A,#N/A,FALSE,"Tickmarks"}</definedName>
    <definedName name="rewrsd" hidden="1">{#N/A,#N/A,FALSE,"Aging Summary";#N/A,#N/A,FALSE,"Ratio Analysis";#N/A,#N/A,FALSE,"Test 120 Day Accts";#N/A,#N/A,FALSE,"Tickmarks"}</definedName>
    <definedName name="rfd" hidden="1">{#N/A,#N/A,FALSE,"Aging Summary";#N/A,#N/A,FALSE,"Ratio Analysis";#N/A,#N/A,FALSE,"Test 120 Day Accts";#N/A,#N/A,FALSE,"Tickmarks"}</definedName>
    <definedName name="rfdsfsfsf" hidden="1">{#N/A,#N/A,FALSE,"Aging Summary";#N/A,#N/A,FALSE,"Ratio Analysis";#N/A,#N/A,FALSE,"Test 120 Day Accts";#N/A,#N/A,FALSE,"Tickmarks"}</definedName>
    <definedName name="RFEJFAS" hidden="1">{#N/A,#N/A,FALSE,"Aging Summary";#N/A,#N/A,FALSE,"Ratio Analysis";#N/A,#N/A,FALSE,"Test 120 Day Accts";#N/A,#N/A,FALSE,"Tickmarks"}</definedName>
    <definedName name="rfere" hidden="1">{#N/A,#N/A,FALSE,"Aging Summary";#N/A,#N/A,FALSE,"Ratio Analysis";#N/A,#N/A,FALSE,"Test 120 Day Accts";#N/A,#N/A,FALSE,"Tickmarks"}</definedName>
    <definedName name="RFFF" hidden="1">{#N/A,#N/A,FALSE,"Aging Summary";#N/A,#N/A,FALSE,"Ratio Analysis";#N/A,#N/A,FALSE,"Test 120 Day Accts";#N/A,#N/A,FALSE,"Tickmarks"}</definedName>
    <definedName name="rfjsaf" hidden="1">{#N/A,#N/A,FALSE,"Aging Summary";#N/A,#N/A,FALSE,"Ratio Analysis";#N/A,#N/A,FALSE,"Test 120 Day Accts";#N/A,#N/A,FALSE,"Tickmarks"}</definedName>
    <definedName name="RFR" hidden="1">{#N/A,#N/A,FALSE,"Aging Summary";#N/A,#N/A,FALSE,"Ratio Analysis";#N/A,#N/A,FALSE,"Test 120 Day Accts";#N/A,#N/A,FALSE,"Tickmarks"}</definedName>
    <definedName name="rfrfrfr" hidden="1">#REF!</definedName>
    <definedName name="rfrkgr" hidden="1">{#N/A,#N/A,FALSE,"Aging Summary";#N/A,#N/A,FALSE,"Ratio Analysis";#N/A,#N/A,FALSE,"Test 120 Day Accts";#N/A,#N/A,FALSE,"Tickmarks"}</definedName>
    <definedName name="rgijgrig" hidden="1">#REF!</definedName>
    <definedName name="rgroeg" hidden="1">{#N/A,#N/A,FALSE,"Aging Summary";#N/A,#N/A,FALSE,"Ratio Analysis";#N/A,#N/A,FALSE,"Test 120 Day Accts";#N/A,#N/A,FALSE,"Tickmarks"}</definedName>
    <definedName name="rgsdfgsdfgsdfgsd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rhy" hidden="1">29</definedName>
    <definedName name="rijeire" hidden="1">{#N/A,#N/A,FALSE,"Aging Summary";#N/A,#N/A,FALSE,"Ratio Analysis";#N/A,#N/A,FALSE,"Test 120 Day Accts";#N/A,#N/A,FALSE,"Tickmarks"}</definedName>
    <definedName name="riwrw8" hidden="1">#REF!</definedName>
    <definedName name="rjwerdd" hidden="1">{#N/A,#N/A,FALSE,"Aging Summary";#N/A,#N/A,FALSE,"Ratio Analysis";#N/A,#N/A,FALSE,"Test 120 Day Accts";#N/A,#N/A,FALSE,"Tickmarks"}</definedName>
    <definedName name="rjwerwe" hidden="1">{#N/A,#N/A,FALSE,"Aging Summary";#N/A,#N/A,FALSE,"Ratio Analysis";#N/A,#N/A,FALSE,"Test 120 Day Accts";#N/A,#N/A,FALSE,"Tickmarks"}</definedName>
    <definedName name="rkewrw7" hidden="1">#REF!</definedName>
    <definedName name="rkjwrw43" hidden="1">#REF!</definedName>
    <definedName name="rkwer" hidden="1">#REF!</definedName>
    <definedName name="rkwerw87" hidden="1">#REF!</definedName>
    <definedName name="rkwr" hidden="1">#REF!</definedName>
    <definedName name="rkwr9w" hidden="1">#REF!</definedName>
    <definedName name="rkwrewre" hidden="1">#REF!</definedName>
    <definedName name="roeor" hidden="1">{#N/A,#N/A,FALSE,"Aging Summary";#N/A,#N/A,FALSE,"Ratio Analysis";#N/A,#N/A,FALSE,"Test 120 Day Accts";#N/A,#N/A,FALSE,"Tickmarks"}</definedName>
    <definedName name="roewkrowe" hidden="1">{#N/A,#N/A,FALSE,"Aging Summary";#N/A,#N/A,FALSE,"Ratio Analysis";#N/A,#N/A,FALSE,"Test 120 Day Accts";#N/A,#N/A,FALSE,"Tickmarks"}</definedName>
    <definedName name="rofkeofkerf" hidden="1">{#N/A,#N/A,FALSE,"Aging Summary";#N/A,#N/A,FALSE,"Ratio Analysis";#N/A,#N/A,FALSE,"Test 120 Day Accts";#N/A,#N/A,FALSE,"Tickmarks"}</definedName>
    <definedName name="rofrw" hidden="1">{#N/A,#N/A,FALSE,"Aging Summary";#N/A,#N/A,FALSE,"Ratio Analysis";#N/A,#N/A,FALSE,"Test 120 Day Accts";#N/A,#N/A,FALSE,"Tickmarks"}</definedName>
    <definedName name="rogkrog" hidden="1">#REF!</definedName>
    <definedName name="roiejro" hidden="1">{#N/A,#N/A,FALSE,"Aging Summary";#N/A,#N/A,FALSE,"Ratio Analysis";#N/A,#N/A,FALSE,"Test 120 Day Accts";#N/A,#N/A,FALSE,"Tickmarks"}</definedName>
    <definedName name="rokfw" hidden="1">{#N/A,#N/A,FALSE,"Aging Summary";#N/A,#N/A,FALSE,"Ratio Analysis";#N/A,#N/A,FALSE,"Test 120 Day Accts";#N/A,#N/A,FALSE,"Tickmarks"}</definedName>
    <definedName name="romcocr" hidden="1">{#N/A,#N/A,FALSE,"Aging Summary";#N/A,#N/A,FALSE,"Ratio Analysis";#N/A,#N/A,FALSE,"Test 120 Day Accts";#N/A,#N/A,FALSE,"Tickmarks"}</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qorq" hidden="1">#REF!</definedName>
    <definedName name="rota" hidden="1">{#N/A,#N/A,FALSE,"Rota Caja"}</definedName>
    <definedName name="row8r" hidden="1">#REF!</definedName>
    <definedName name="rower9" hidden="1">#REF!</definedName>
    <definedName name="rowgkwrg44" hidden="1">#REF!</definedName>
    <definedName name="rowirew8" hidden="1">#REF!</definedName>
    <definedName name="rowkerwe8" hidden="1">#REF!</definedName>
    <definedName name="rowrik" hidden="1">#REF!</definedName>
    <definedName name="rowrw8" hidden="1">#REF!</definedName>
    <definedName name="RoXAlign" hidden="1">#REF!</definedName>
    <definedName name="roxana" hidden="1">#REF!</definedName>
    <definedName name="RoXAppServ" hidden="1">#REF!</definedName>
    <definedName name="RoXBasketPrice" hidden="1">#REF!</definedName>
    <definedName name="RoXBasketType" hidden="1">#REF!</definedName>
    <definedName name="RoXBook" hidden="1">#REF!</definedName>
    <definedName name="RoXCurrency" hidden="1">#REF!</definedName>
    <definedName name="RoXDayCount" hidden="1">#REF!</definedName>
    <definedName name="RoXDecomp" hidden="1">#REF!</definedName>
    <definedName name="RoXDispAtt" hidden="1">#REF!</definedName>
    <definedName name="RoXEquality" hidden="1">#REF!</definedName>
    <definedName name="RoXExchange" hidden="1">#REF!</definedName>
    <definedName name="RoXExpandGreeks" hidden="1">#REF!</definedName>
    <definedName name="RoXFrequency" hidden="1">#REF!</definedName>
    <definedName name="RoXGroup" hidden="1">#REF!</definedName>
    <definedName name="RoXGroupBy" hidden="1">#REF!</definedName>
    <definedName name="RoXInstrClass" hidden="1">#REF!</definedName>
    <definedName name="RoXModelAccuracies" hidden="1">#REF!</definedName>
    <definedName name="RoXOtherScheduleType" hidden="1">#REF!</definedName>
    <definedName name="RoXPriceSource" hidden="1">#REF!</definedName>
    <definedName name="RoXQueryAtt" hidden="1">#REF!</definedName>
    <definedName name="RoXScApplyTo" hidden="1">#REF!</definedName>
    <definedName name="RoXScParam" hidden="1">#REF!</definedName>
    <definedName name="RoXScShift" hidden="1">#REF!</definedName>
    <definedName name="RoXScType" hidden="1">#REF!</definedName>
    <definedName name="RoXSetScheduleType" hidden="1">#REF!</definedName>
    <definedName name="RoXSort" hidden="1">#REF!</definedName>
    <definedName name="RoXSource" hidden="1">#REF!</definedName>
    <definedName name="RoXVolAbsDiff" hidden="1">#REF!</definedName>
    <definedName name="RoXVolBasketCalc" hidden="1">#REF!</definedName>
    <definedName name="RoXVolFixedFloat" hidden="1">#REF!</definedName>
    <definedName name="RoXVolImplBasis" hidden="1">#REF!</definedName>
    <definedName name="RoXVolSkew" hidden="1">#REF!</definedName>
    <definedName name="RoXYCBasis" hidden="1">#REF!</definedName>
    <definedName name="RoXYesNo" hidden="1">#REF!</definedName>
    <definedName name="RoXZeroPos" hidden="1">#REF!</definedName>
    <definedName name="rpeqllrq" hidden="1">#REF!</definedName>
    <definedName name="rpeworwe" hidden="1">#REF!</definedName>
    <definedName name="rplewprw" hidden="1">#REF!</definedName>
    <definedName name="rpqlrpl" hidden="1">#REF!</definedName>
    <definedName name="rqewrresa" hidden="1">{#N/A,#N/A,FALSE,"Aging Summary";#N/A,#N/A,FALSE,"Ratio Analysis";#N/A,#N/A,FALSE,"Test 120 Day Accts";#N/A,#N/A,FALSE,"Tickmarks"}</definedName>
    <definedName name="rr" hidden="1">#REF!</definedName>
    <definedName name="rre" hidden="1">{#N/A,#N/A,FALSE,"Aging Summary";#N/A,#N/A,FALSE,"Ratio Analysis";#N/A,#N/A,FALSE,"Test 120 Day Accts";#N/A,#N/A,FALSE,"Tickmarks"}</definedName>
    <definedName name="rrer" hidden="1">{#N/A,#N/A,FALSE,"Aging Summary";#N/A,#N/A,FALSE,"Ratio Analysis";#N/A,#N/A,FALSE,"Test 120 Day Accts";#N/A,#N/A,FALSE,"Tickmarks"}</definedName>
    <definedName name="RRF" hidden="1">{#N/A,#N/A,FALSE,"Aging Summary";#N/A,#N/A,FALSE,"Ratio Analysis";#N/A,#N/A,FALSE,"Test 120 Day Accts";#N/A,#N/A,FALSE,"Tickmarks"}</definedName>
    <definedName name="rrfdsdfsd" hidden="1">#REF!</definedName>
    <definedName name="RRFRF" hidden="1">{#N/A,#N/A,FALSE,"Aging Summary";#N/A,#N/A,FALSE,"Ratio Analysis";#N/A,#N/A,FALSE,"Test 120 Day Accts";#N/A,#N/A,FALSE,"Tickmarks"}</definedName>
    <definedName name="rrr" hidden="1">#REF!</definedName>
    <definedName name="rrrf" hidden="1">{#N/A,#N/A,FALSE,"Aging Summary";#N/A,#N/A,FALSE,"Ratio Analysis";#N/A,#N/A,FALSE,"Test 120 Day Accts";#N/A,#N/A,FALSE,"Tickmarks"}</definedName>
    <definedName name="rrrr" hidden="1">{#N/A,#N/A,FALSE,"Aging Summary";#N/A,#N/A,FALSE,"Ratio Analysis";#N/A,#N/A,FALSE,"Test 120 Day Accts";#N/A,#N/A,FALSE,"Tickmarks"}</definedName>
    <definedName name="rrrrrr" hidden="1">{#N/A,#N/A,FALSE,"OBLIG.S-CAPITAL"}</definedName>
    <definedName name="rrrrrrr" hidden="1">{#N/A,#N/A,FALSE,"Aging Summary";#N/A,#N/A,FALSE,"Ratio Analysis";#N/A,#N/A,FALSE,"Test 120 Day Accts";#N/A,#N/A,FALSE,"Tickmarks"}</definedName>
    <definedName name="rrrrrrrrrr" hidden="1">{#N/A,#N/A,FALSE,"Aging Summary";#N/A,#N/A,FALSE,"Ratio Analysis";#N/A,#N/A,FALSE,"Test 120 Day Accts";#N/A,#N/A,FALSE,"Tickmarks"}</definedName>
    <definedName name="rrrrrrrrrrrr" hidden="1">{#N/A,#N/A,FALSE,"Aging Summary";#N/A,#N/A,FALSE,"Ratio Analysis";#N/A,#N/A,FALSE,"Test 120 Day Accts";#N/A,#N/A,FALSE,"Tickmarks"}</definedName>
    <definedName name="rrrrrrrrrrrrrreeeeeeeeeeeeee" hidden="1">{#N/A,#N/A,FALSE,"Aging Summary";#N/A,#N/A,FALSE,"Ratio Analysis";#N/A,#N/A,FALSE,"Test 120 Day Accts";#N/A,#N/A,FALSE,"Tickmarks"}</definedName>
    <definedName name="rrrrrrrrrrrrrrr" hidden="1">{#N/A,#N/A,FALSE,"Aging Summary";#N/A,#N/A,FALSE,"Ratio Analysis";#N/A,#N/A,FALSE,"Test 120 Day Accts";#N/A,#N/A,FALSE,"Tickmarks"}</definedName>
    <definedName name="rrrrrrrrrrrrrrrr" hidden="1">{#N/A,#N/A,FALSE,"Aging Summary";#N/A,#N/A,FALSE,"Ratio Analysis";#N/A,#N/A,FALSE,"Test 120 Day Accts";#N/A,#N/A,FALSE,"Tickmarks"}</definedName>
    <definedName name="rrrrrrrrrrrrrrrrr" hidden="1">{#N/A,#N/A,FALSE,"Aging Summary";#N/A,#N/A,FALSE,"Ratio Analysis";#N/A,#N/A,FALSE,"Test 120 Day Accts";#N/A,#N/A,FALSE,"Tickmarks"}</definedName>
    <definedName name="rrrrrrrrrrrrrrrrrrr" hidden="1">{#N/A,#N/A,FALSE,"Aging Summary";#N/A,#N/A,FALSE,"Ratio Analysis";#N/A,#N/A,FALSE,"Test 120 Day Accts";#N/A,#N/A,FALSE,"Tickmarks"}</definedName>
    <definedName name="rrrtye" hidden="1">{#N/A,#N/A,FALSE,"Aging Summary";#N/A,#N/A,FALSE,"Ratio Analysis";#N/A,#N/A,FALSE,"Test 120 Day Accts";#N/A,#N/A,FALSE,"Tickmarks"}</definedName>
    <definedName name="RRT" hidden="1">{#N/A,#N/A,FALSE,"Aging Summary";#N/A,#N/A,FALSE,"Ratio Analysis";#N/A,#N/A,FALSE,"Test 120 Day Accts";#N/A,#N/A,FALSE,"Tickmarks"}</definedName>
    <definedName name="rrtr" hidden="1">{#N/A,#N/A,FALSE,"Aging Summary";#N/A,#N/A,FALSE,"Ratio Analysis";#N/A,#N/A,FALSE,"Test 120 Day Accts";#N/A,#N/A,FALSE,"Tickmarks"}</definedName>
    <definedName name="rrw" hidden="1">#REF!</definedName>
    <definedName name="RRWE" hidden="1">{#N/A,#N/A,FALSE,"Aging Summary";#N/A,#N/A,FALSE,"Ratio Analysis";#N/A,#N/A,FALSE,"Test 120 Day Accts";#N/A,#N/A,FALSE,"Tickmarks"}</definedName>
    <definedName name="RSDSDE" hidden="1">{#N/A,#N/A,FALSE,"Aging Summary";#N/A,#N/A,FALSE,"Ratio Analysis";#N/A,#N/A,FALSE,"Test 120 Day Accts";#N/A,#N/A,FALSE,"Tickmarks"}</definedName>
    <definedName name="rt" hidden="1">{#N/A,#N/A,FALSE,"STRAD";#N/A,#N/A,FALSE,"BELGLO"}</definedName>
    <definedName name="rtbvn" hidden="1">{#N/A,#N/A,FALSE,"Aging Summary";#N/A,#N/A,FALSE,"Ratio Analysis";#N/A,#N/A,FALSE,"Test 120 Day Accts";#N/A,#N/A,FALSE,"Tickmarks"}</definedName>
    <definedName name="Rtdos2001dat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er" hidden="1">{#N/A,#N/A,FALSE,"STRAD";#N/A,#N/A,FALSE,"BELGLO"}</definedName>
    <definedName name="rterterter" hidden="1">{#N/A,#N/A,FALSE,"STRAD";#N/A,#N/A,FALSE,"BELGLO"}</definedName>
    <definedName name="RTFV" hidden="1">{#N/A,#N/A,FALSE,"Aging Summary";#N/A,#N/A,FALSE,"Ratio Analysis";#N/A,#N/A,FALSE,"Test 120 Day Accts";#N/A,#N/A,FALSE,"Tickmarks"}</definedName>
    <definedName name="rt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jt" hidden="1">{#N/A,#N/A,FALSE,"STRAD";#N/A,#N/A,FALSE,"BELGLO"}</definedName>
    <definedName name="rtplrptl" hidden="1">{#N/A,#N/A,FALSE,"Aging Summary";#N/A,#N/A,FALSE,"Ratio Analysis";#N/A,#N/A,FALSE,"Test 120 Day Accts";#N/A,#N/A,FALSE,"Tickmarks"}</definedName>
    <definedName name="rtr" hidden="1">#REF!</definedName>
    <definedName name="rtrr" hidden="1">{#N/A,#N/A,FALSE,"Aging Summary";#N/A,#N/A,FALSE,"Ratio Analysis";#N/A,#N/A,FALSE,"Test 120 Day Accts";#N/A,#N/A,FALSE,"Tickmarks"}</definedName>
    <definedName name="RTRT" hidden="1">{#N/A,#N/A,FALSE,"Aging Summary";#N/A,#N/A,FALSE,"Ratio Analysis";#N/A,#N/A,FALSE,"Test 120 Day Accts";#N/A,#N/A,FALSE,"Tickmarks"}</definedName>
    <definedName name="RTT" hidden="1">{#N/A,#N/A,FALSE,"Aging Summary";#N/A,#N/A,FALSE,"Ratio Analysis";#N/A,#N/A,FALSE,"Test 120 Day Accts";#N/A,#N/A,FALSE,"Tickmarks"}</definedName>
    <definedName name="rtt5rt" hidden="1">{#N/A,#N/A,FALSE,"Aging Summary";#N/A,#N/A,FALSE,"Ratio Analysis";#N/A,#N/A,FALSE,"Test 120 Day Accts";#N/A,#N/A,FALSE,"Tickmarks"}</definedName>
    <definedName name="rttr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rttt" hidden="1">{#N/A,#N/A,FALSE,"Aging Summary";#N/A,#N/A,FALSE,"Ratio Analysis";#N/A,#N/A,FALSE,"Test 120 Day Accts";#N/A,#N/A,FALSE,"Tickmarks"}</definedName>
    <definedName name="RTTTT" hidden="1">{#N/A,#N/A,FALSE,"Aging Summary";#N/A,#N/A,FALSE,"Ratio Analysis";#N/A,#N/A,FALSE,"Test 120 Day Accts";#N/A,#N/A,FALSE,"Tickmarks"}</definedName>
    <definedName name="rturtue" hidden="1">{#N/A,#N/A,FALSE,"Aging Summary";#N/A,#N/A,FALSE,"Ratio Analysis";#N/A,#N/A,FALSE,"Test 120 Day Accts";#N/A,#N/A,FALSE,"Tickmarks"}</definedName>
    <definedName name="rt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yrtyrtyrt" hidden="1">{#N/A,#N/A,FALSE,"STRAD";#N/A,#N/A,FALSE,"BELGLO"}</definedName>
    <definedName name="rtyuij" hidden="1">{#N/A,#N/A,FALSE,"Aging Summary";#N/A,#N/A,FALSE,"Ratio Analysis";#N/A,#N/A,FALSE,"Test 120 Day Accts";#N/A,#N/A,FALSE,"Tickmarks"}</definedName>
    <definedName name="RTYY" hidden="1">{#N/A,#N/A,FALSE,"Aging Summary";#N/A,#N/A,FALSE,"Ratio Analysis";#N/A,#N/A,FALSE,"Test 120 Day Accts";#N/A,#N/A,FALSE,"Tickmarks"}</definedName>
    <definedName name="RubrosActivosList">[6]System!$AK$1:$AK$9</definedName>
    <definedName name="RubrosPasivosList">[6]System!$AL$1:$AL$2</definedName>
    <definedName name="ruiou" hidden="1">{#N/A,#N/A,FALSE,"Aging Summary";#N/A,#N/A,FALSE,"Ratio Analysis";#N/A,#N/A,FALSE,"Test 120 Day Accts";#N/A,#N/A,FALSE,"Tickmarks"}</definedName>
    <definedName name="RUTH" hidden="1">{#N/A,#N/A,FALSE,"Resultados_is";#N/A,#N/A,FALSE,"IngresosG_is";#N/A,#N/A,FALSE,"Ingresosp_is";#N/A,#N/A,FALSE,"Financiero_is";#N/A,#N/A,FALSE,"Estructura_is";#N/A,#N/A,FALSE,"EstructuraG_is";#N/A,#N/A,FALSE,"FComercio_is";#N/A,#N/A,FALSE,"Pbeneficios_is";#N/A,#N/A,FALSE,"Gerenciamiento_is";#N/A,#N/A,FALSE,"Desinv_is"}</definedName>
    <definedName name="RWD" hidden="1">{#N/A,#N/A,FALSE,"Aging Summary";#N/A,#N/A,FALSE,"Ratio Analysis";#N/A,#N/A,FALSE,"Test 120 Day Accts";#N/A,#N/A,FALSE,"Tickmarks"}</definedName>
    <definedName name="RWEEEEEE" hidden="1">{#N/A,#N/A,FALSE,"Aging Summary";#N/A,#N/A,FALSE,"Ratio Analysis";#N/A,#N/A,FALSE,"Test 120 Day Accts";#N/A,#N/A,FALSE,"Tickmarks"}</definedName>
    <definedName name="RWEERF" hidden="1">{#N/A,#N/A,FALSE,"Aging Summary";#N/A,#N/A,FALSE,"Ratio Analysis";#N/A,#N/A,FALSE,"Test 120 Day Accts";#N/A,#N/A,FALSE,"Tickmarks"}</definedName>
    <definedName name="RWEERQWEQS" hidden="1">{#N/A,#N/A,FALSE,"Aging Summary";#N/A,#N/A,FALSE,"Ratio Analysis";#N/A,#N/A,FALSE,"Test 120 Day Accts";#N/A,#N/A,FALSE,"Tickmarks"}</definedName>
    <definedName name="RWEFSDS" hidden="1">{#N/A,#N/A,FALSE,"Aging Summary";#N/A,#N/A,FALSE,"Ratio Analysis";#N/A,#N/A,FALSE,"Test 120 Day Accts";#N/A,#N/A,FALSE,"Tickmarks"}</definedName>
    <definedName name="rweqw" hidden="1">{#N/A,#N/A,FALSE,"Aging Summary";#N/A,#N/A,FALSE,"Ratio Analysis";#N/A,#N/A,FALSE,"Test 120 Day Accts";#N/A,#N/A,FALSE,"Tickmarks"}</definedName>
    <definedName name="rwerwer"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ewrwer" hidden="1">#REF!</definedName>
    <definedName name="RWERWWS" hidden="1">{#N/A,#N/A,FALSE,"Aging Summary";#N/A,#N/A,FALSE,"Ratio Analysis";#N/A,#N/A,FALSE,"Test 120 Day Accts";#N/A,#N/A,FALSE,"Tickmarks"}</definedName>
    <definedName name="rwet" hidden="1">{#N/A,#N/A,FALSE,"STRAD";#N/A,#N/A,FALSE,"BELGLO"}</definedName>
    <definedName name="RWEW" hidden="1">{#N/A,#N/A,FALSE,"Aging Summary";#N/A,#N/A,FALSE,"Ratio Analysis";#N/A,#N/A,FALSE,"Test 120 Day Accts";#N/A,#N/A,FALSE,"Tickmarks"}</definedName>
    <definedName name="rwjfwif" hidden="1">{#N/A,#N/A,FALSE,"Aging Summary";#N/A,#N/A,FALSE,"Ratio Analysis";#N/A,#N/A,FALSE,"Test 120 Day Accts";#N/A,#N/A,FALSE,"Tickmarks"}</definedName>
    <definedName name="rwokrw98" hidden="1">#REF!</definedName>
    <definedName name="rwor8w" hidden="1">#REF!</definedName>
    <definedName name="rworiw" hidden="1">#REF!</definedName>
    <definedName name="rworw8" hidden="1">#REF!</definedName>
    <definedName name="RWRDADAFD" hidden="1">{#N/A,#N/A,FALSE,"Aging Summary";#N/A,#N/A,FALSE,"Ratio Analysis";#N/A,#N/A,FALSE,"Test 120 Day Accts";#N/A,#N/A,FALSE,"Tickmarks"}</definedName>
    <definedName name="RWRW" hidden="1">{#N/A,#N/A,FALSE,"Aging Summary";#N/A,#N/A,FALSE,"Ratio Analysis";#N/A,#N/A,FALSE,"Test 120 Day Accts";#N/A,#N/A,FALSE,"Tickmarks"}</definedName>
    <definedName name="RWRWR" hidden="1">{#N/A,#N/A,FALSE,"Aging Summary";#N/A,#N/A,FALSE,"Ratio Analysis";#N/A,#N/A,FALSE,"Test 120 Day Accts";#N/A,#N/A,FALSE,"Tickmarks"}</definedName>
    <definedName name="RWTRWEFDD" hidden="1">{#N/A,#N/A,FALSE,"Aging Summary";#N/A,#N/A,FALSE,"Ratio Analysis";#N/A,#N/A,FALSE,"Test 120 Day Accts";#N/A,#N/A,FALSE,"Tickmarks"}</definedName>
    <definedName name="ryrtyty" hidden="1">{#N/A,#N/A,FALSE,"Aging Summary";#N/A,#N/A,FALSE,"Ratio Analysis";#N/A,#N/A,FALSE,"Test 120 Day Accts";#N/A,#N/A,FALSE,"Tickmarks"}</definedName>
    <definedName name="RYRY" hidden="1">{#N/A,#N/A,FALSE,"Aging Summary";#N/A,#N/A,FALSE,"Ratio Analysis";#N/A,#N/A,FALSE,"Test 120 Day Accts";#N/A,#N/A,FALSE,"Tickmarks"}</definedName>
    <definedName name="RYRYR" hidden="1">{#N/A,#N/A,FALSE,"Aging Summary";#N/A,#N/A,FALSE,"Ratio Analysis";#N/A,#N/A,FALSE,"Test 120 Day Accts";#N/A,#N/A,FALSE,"Tickmarks"}</definedName>
    <definedName name="RYYY" hidden="1">{#N/A,#N/A,FALSE,"Aging Summary";#N/A,#N/A,FALSE,"Ratio Analysis";#N/A,#N/A,FALSE,"Test 120 Day Accts";#N/A,#N/A,FALSE,"Tickmarks"}</definedName>
    <definedName name="S" hidden="1">#REF!,#REF!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[5]Lead!$I$1:$I$12</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0s" hidden="1">{#N/A,#N/A,FALSE,"BHA"}</definedName>
    <definedName name="s22s2s2" hidden="1">#REF!</definedName>
    <definedName name="s2s2s2s2" hidden="1">#REF!</definedName>
    <definedName name="sa" hidden="1">{#N/A,#N/A,FALSE,"Aging Summary";#N/A,#N/A,FALSE,"Ratio Analysis";#N/A,#N/A,FALSE,"Test 120 Day Accts";#N/A,#N/A,FALSE,"Tickmarks"}</definedName>
    <definedName name="saada" hidden="1">#REF!</definedName>
    <definedName name="SAD" hidden="1">{#N/A,#N/A,FALSE,"Aging Summary";#N/A,#N/A,FALSE,"Ratio Analysis";#N/A,#N/A,FALSE,"Test 120 Day Accts";#N/A,#N/A,FALSE,"Tickmarks"}</definedName>
    <definedName name="SADAD" hidden="1">{#N/A,#N/A,FALSE,"Aging Summary";#N/A,#N/A,FALSE,"Ratio Analysis";#N/A,#N/A,FALSE,"Test 120 Day Accts";#N/A,#N/A,FALSE,"Tickmarks"}</definedName>
    <definedName name="SADADA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sad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adasd" hidden="1">#REF!</definedName>
    <definedName name="sadasd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dd" hidden="1">#REF!</definedName>
    <definedName name="SADFAF" hidden="1">{#N/A,#N/A,FALSE,"Aging Summary";#N/A,#N/A,FALSE,"Ratio Analysis";#N/A,#N/A,FALSE,"Test 120 Day Accts";#N/A,#N/A,FALSE,"Tickmarks"}</definedName>
    <definedName name="sadsad" hidden="1">#REF!</definedName>
    <definedName name="SADSD" hidden="1">{#N/A,#N/A,FALSE,"Aging Summary";#N/A,#N/A,FALSE,"Ratio Analysis";#N/A,#N/A,FALSE,"Test 120 Day Accts";#N/A,#N/A,FALSE,"Tickmarks"}</definedName>
    <definedName name="SADX" hidden="1">{#N/A,#N/A,FALSE,"Aging Summary";#N/A,#N/A,FALSE,"Ratio Analysis";#N/A,#N/A,FALSE,"Test 120 Day Accts";#N/A,#N/A,FALSE,"Tickmarks"}</definedName>
    <definedName name="SAEASD" hidden="1">{#N/A,#N/A,FALSE,"Aging Summary";#N/A,#N/A,FALSE,"Ratio Analysis";#N/A,#N/A,FALSE,"Test 120 Day Accts";#N/A,#N/A,FALSE,"Tickmarks"}</definedName>
    <definedName name="SAEQESD" hidden="1">{#N/A,#N/A,FALSE,"Aging Summary";#N/A,#N/A,FALSE,"Ratio Analysis";#N/A,#N/A,FALSE,"Test 120 Day Accts";#N/A,#N/A,FALSE,"Tickmarks"}</definedName>
    <definedName name="SAJSL" hidden="1">{#N/A,#N/A,FALSE,"Aging Summary";#N/A,#N/A,FALSE,"Ratio Analysis";#N/A,#N/A,FALSE,"Test 120 Day Accts";#N/A,#N/A,FALSE,"Tickmarks"}</definedName>
    <definedName name="salk"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salva" hidden="1">{#N/A,#N/A,FALSE,"Resultados_is";#N/A,#N/A,FALSE,"IngresosG_is";#N/A,#N/A,FALSE,"Ingresosp_is";#N/A,#N/A,FALSE,"Financiero_is";#N/A,#N/A,FALSE,"Estructura_is";#N/A,#N/A,FALSE,"EstructuraG_is";#N/A,#N/A,FALSE,"FComercio_is";#N/A,#N/A,FALSE,"Pbeneficios_is";#N/A,#N/A,FALSE,"Gerenciamiento_is";#N/A,#N/A,FALSE,"Desinv_is"}</definedName>
    <definedName name="san" hidden="1">{#N/A,#N/A,FALSE,"SUBSIDIARIAS"}</definedName>
    <definedName name="sanluis" hidden="1">{#N/A,#N/A,FALSE,"Aging Summary";#N/A,#N/A,FALSE,"Ratio Analysis";#N/A,#N/A,FALSE,"Test 120 Day Accts";#N/A,#N/A,FALSE,"Tickmarks"}</definedName>
    <definedName name="SAPBEXdnldView" hidden="1">"3ZZI5I5Y186TQSV6E25JOBEQ0"</definedName>
    <definedName name="SAPBEXhrIndnt" hidden="1">3</definedName>
    <definedName name="SAPBEXrevision" hidden="1">1</definedName>
    <definedName name="SAPBEXsysID" hidden="1">"BWP"</definedName>
    <definedName name="SAPBEXwbID" hidden="1">"001JEBRJWQJHFCKWBJW25QE3K"</definedName>
    <definedName name="sapee" hidden="1">{#N/A,#N/A,FALSE,"Aging Summary";#N/A,#N/A,FALSE,"Ratio Analysis";#N/A,#N/A,FALSE,"Test 120 Day Accts";#N/A,#N/A,FALSE,"Tickmarks"}</definedName>
    <definedName name="SAPFuncF4Help" localSheetId="4" hidden="1">Main.SAPF4Help()</definedName>
    <definedName name="SAPFuncF4Help" hidden="1">Main.SAPF4Help()</definedName>
    <definedName name="SAPsysID" hidden="1">"708C5W7SBKP804JT78WJ0JNKI"</definedName>
    <definedName name="SAPwbID" hidden="1">"ARS"</definedName>
    <definedName name="SARA" hidden="1">{#N/A,#N/A,FALSE,"Aging Summary";#N/A,#N/A,FALSE,"Ratio Analysis";#N/A,#N/A,FALSE,"Test 120 Day Accts";#N/A,#N/A,FALSE,"Tickmarks"}</definedName>
    <definedName name="sas" hidden="1">43</definedName>
    <definedName name="sasa" hidden="1">{#N/A,#N/A,FALSE,"STRAD";#N/A,#N/A,FALSE,"BELGLO"}</definedName>
    <definedName name="SASAD" hidden="1">{#N/A,#N/A,FALSE,"Aging Summary";#N/A,#N/A,FALSE,"Ratio Analysis";#N/A,#N/A,FALSE,"Test 120 Day Accts";#N/A,#N/A,FALSE,"Tickmarks"}</definedName>
    <definedName name="sasas" hidden="1">{#N/A,#N/A,FALSE,"STRAD";#N/A,#N/A,FALSE,"BELGLO"}</definedName>
    <definedName name="SASDSAD" hidden="1">{#N/A,#N/A,FALSE,"Aging Summary";#N/A,#N/A,FALSE,"Ratio Analysis";#N/A,#N/A,FALSE,"Test 120 Day Accts";#N/A,#N/A,FALSE,"Tickmarks"}</definedName>
    <definedName name="SASSA" hidden="1">{#N/A,#N/A,FALSE,"Aging Summary";#N/A,#N/A,FALSE,"Ratio Analysis";#N/A,#N/A,FALSE,"Test 120 Day Accts";#N/A,#N/A,FALSE,"Tickmarks"}</definedName>
    <definedName name="SAXXX" hidden="1">{#N/A,#N/A,FALSE,"Aging Summary";#N/A,#N/A,FALSE,"Ratio Analysis";#N/A,#N/A,FALSE,"Test 120 Day Accts";#N/A,#N/A,FALSE,"Tickmarks"}</definedName>
    <definedName name="SÇSÇSP" hidden="1">{#N/A,#N/A,FALSE,"Aging Summary";#N/A,#N/A,FALSE,"Ratio Analysis";#N/A,#N/A,FALSE,"Test 120 Day Accts";#N/A,#N/A,FALSE,"Tickmarks"}</definedName>
    <definedName name="sd"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sdad" hidden="1">{#N/A,#N/A,FALSE,"Aging Summary";#N/A,#N/A,FALSE,"Ratio Analysis";#N/A,#N/A,FALSE,"Test 120 Day Accts";#N/A,#N/A,FALSE,"Tickmarks"}</definedName>
    <definedName name="SDADFS" hidden="1">{#N/A,#N/A,FALSE,"Aging Summary";#N/A,#N/A,FALSE,"Ratio Analysis";#N/A,#N/A,FALSE,"Test 120 Day Accts";#N/A,#N/A,FALSE,"Tickmarks"}</definedName>
    <definedName name="SDAF" hidden="1">{#N/A,#N/A,FALSE,"Aging Summary";#N/A,#N/A,FALSE,"Ratio Analysis";#N/A,#N/A,FALSE,"Test 120 Day Accts";#N/A,#N/A,FALSE,"Tickmarks"}</definedName>
    <definedName name="sdas" hidden="1">{#N/A,#N/A,FALSE,"Aging Summary";#N/A,#N/A,FALSE,"Ratio Analysis";#N/A,#N/A,FALSE,"Test 120 Day Accts";#N/A,#N/A,FALSE,"Tickmarks"}</definedName>
    <definedName name="sda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sdsa" hidden="1">1</definedName>
    <definedName name="sdass" hidden="1">#REF!</definedName>
    <definedName name="SDCCF" hidden="1">{#N/A,#N/A,FALSE,"Aging Summary";#N/A,#N/A,FALSE,"Ratio Analysis";#N/A,#N/A,FALSE,"Test 120 Day Accts";#N/A,#N/A,FALSE,"Tickmarks"}</definedName>
    <definedName name="sddd" hidden="1">{#N/A,#N/A,FALSE,"Aging Summary";#N/A,#N/A,FALSE,"Ratio Analysis";#N/A,#N/A,FALSE,"Test 120 Day Accts";#N/A,#N/A,FALSE,"Tickmarks"}</definedName>
    <definedName name="sdf" hidden="1">{"'DIFPRE'!$A$2:$M$54"}</definedName>
    <definedName name="SDFAADF" hidden="1">{#N/A,#N/A,FALSE,"Aging Summary";#N/A,#N/A,FALSE,"Ratio Analysis";#N/A,#N/A,FALSE,"Test 120 Day Accts";#N/A,#N/A,FALSE,"Tickmarks"}</definedName>
    <definedName name="sdflslfs" hidden="1">{#N/A,#N/A,FALSE,"Aging Summary";#N/A,#N/A,FALSE,"Ratio Analysis";#N/A,#N/A,FALSE,"Test 120 Day Accts";#N/A,#N/A,FALSE,"Tickmarks"}</definedName>
    <definedName name="sdfsd" hidden="1">{#N/A,#N/A,FALSE,"STRAD";#N/A,#N/A,FALSE,"BELGLO"}</definedName>
    <definedName name="sdfsdf" hidden="1">#REF!</definedName>
    <definedName name="sdg" hidden="1">{#N/A,#N/A,FALSE,"STRAD";#N/A,#N/A,FALSE,"BELGLO"}</definedName>
    <definedName name="SDKA" hidden="1">{#N/A,#N/A,FALSE,"Aging Summary";#N/A,#N/A,FALSE,"Ratio Analysis";#N/A,#N/A,FALSE,"Test 120 Day Accts";#N/A,#N/A,FALSE,"Tickmarks"}</definedName>
    <definedName name="SDS" hidden="1">{#N/A,#N/A,FALSE,"Aging Summary";#N/A,#N/A,FALSE,"Ratio Analysis";#N/A,#N/A,FALSE,"Test 120 Day Accts";#N/A,#N/A,FALSE,"Tickmarks"}</definedName>
    <definedName name="sdsad" hidden="1">#REF!</definedName>
    <definedName name="sdsd" hidden="1">{#N/A,#N/A,FALSE,"Aging Summary";#N/A,#N/A,FALSE,"Ratio Analysis";#N/A,#N/A,FALSE,"Test 120 Day Accts";#N/A,#N/A,FALSE,"Tickmarks"}</definedName>
    <definedName name="sdsdd" hidden="1">{#N/A,#N/A,FALSE,"balance";#N/A,#N/A,FALSE,"P&amp;L";#N/A,#N/A,FALSE,"Equity";#N/A,#N/A,FALSE,"cash flow";#N/A,#N/A,FALSE,"bienes uso";#N/A,#N/A,FALSE,"intangibles";#N/A,#N/A,FALSE,"P&amp;L MD&amp;A";#N/A,#N/A,FALSE,"breakdown";#N/A,#N/A,FALSE,"stat ratios"}</definedName>
    <definedName name="sdsds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sds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w" hidden="1">43</definedName>
    <definedName name="SDSS" hidden="1">{#N/A,#N/A,FALSE,"Aging Summary";#N/A,#N/A,FALSE,"Ratio Analysis";#N/A,#N/A,FALSE,"Test 120 Day Accts";#N/A,#N/A,FALSE,"Tickmarks"}</definedName>
    <definedName name="sdwd" hidden="1">#REF!</definedName>
    <definedName name="sdwdw" hidden="1">#REF!</definedName>
    <definedName name="s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EAS" hidden="1">{#N/A,#N/A,FALSE,"Aging Summary";#N/A,#N/A,FALSE,"Ratio Analysis";#N/A,#N/A,FALSE,"Test 120 Day Accts";#N/A,#N/A,FALSE,"Tickmarks"}</definedName>
    <definedName name="SEASDW" hidden="1">{#N/A,#N/A,FALSE,"Aging Summary";#N/A,#N/A,FALSE,"Ratio Analysis";#N/A,#N/A,FALSE,"Test 120 Day Accts";#N/A,#N/A,FALSE,"Tickmarks"}</definedName>
    <definedName name="se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ed1eee" hidden="1">{"'DIFPRE'!$A$2:$M$54"}</definedName>
    <definedName name="sedas" hidden="1">{#N/A,#N/A,FALSE,"Aging Summary";#N/A,#N/A,FALSE,"Ratio Analysis";#N/A,#N/A,FALSE,"Test 120 Day Accts";#N/A,#N/A,FALSE,"Tickmarks"}</definedName>
    <definedName name="SEEEEE" hidden="1">{#N/A,#N/A,FALSE,"Aging Summary";#N/A,#N/A,FALSE,"Ratio Analysis";#N/A,#N/A,FALSE,"Test 120 Day Accts";#N/A,#N/A,FALSE,"Tickmarks"}</definedName>
    <definedName name="sejda" hidden="1">{#N/A,#N/A,FALSE,"Aging Summary";#N/A,#N/A,FALSE,"Ratio Analysis";#N/A,#N/A,FALSE,"Test 120 Day Accts";#N/A,#N/A,FALSE,"Tickmarks"}</definedName>
    <definedName name="selección" hidden="1">{#N/A,#N/A,FALSE,"Aging Summary";#N/A,#N/A,FALSE,"Ratio Analysis";#N/A,#N/A,FALSE,"Test 120 Day Accts";#N/A,#N/A,FALSE,"Tickmarks"}</definedName>
    <definedName name="sencount" hidden="1">1</definedName>
    <definedName name="ser" hidden="1">{#N/A,#N/A,FALSE,"Aging Summary";#N/A,#N/A,FALSE,"Ratio Analysis";#N/A,#N/A,FALSE,"Test 120 Day Accts";#N/A,#N/A,FALSE,"Tickmarks"}</definedName>
    <definedName name="sers" hidden="1">{#N/A,#N/A,FALSE,"Aging Summary";#N/A,#N/A,FALSE,"Ratio Analysis";#N/A,#N/A,FALSE,"Test 120 Day Accts";#N/A,#N/A,FALSE,"Tickmarks"}</definedName>
    <definedName name="ses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SESSSS" hidden="1">{#N/A,#N/A,FALSE,"Aging Summary";#N/A,#N/A,FALSE,"Ratio Analysis";#N/A,#N/A,FALSE,"Test 120 Day Accts";#N/A,#N/A,FALSE,"Tickmarks"}</definedName>
    <definedName name="SF" hidden="1">{#N/A,#N/A,FALSE,"Aging Summary";#N/A,#N/A,FALSE,"Ratio Analysis";#N/A,#N/A,FALSE,"Test 120 Day Accts";#N/A,#N/A,FALSE,"Tickmarks"}</definedName>
    <definedName name="sfs" hidden="1">{#N/A,#N/A,FALSE,"Aging Summary";#N/A,#N/A,FALSE,"Ratio Analysis";#N/A,#N/A,FALSE,"Test 120 Day Accts";#N/A,#N/A,FALSE,"Tickmarks"}</definedName>
    <definedName name="SGAUORE" hidden="1">{#N/A,#N/A,FALSE,"Aging Summary";#N/A,#N/A,FALSE,"Ratio Analysis";#N/A,#N/A,FALSE,"Test 120 Day Accts";#N/A,#N/A,FALSE,"Tickmarks"}</definedName>
    <definedName name="SGDJ" hidden="1">{#N/A,#N/A,FALSE,"Aging Summary";#N/A,#N/A,FALSE,"Ratio Analysis";#N/A,#N/A,FALSE,"Test 120 Day Accts";#N/A,#N/A,FALSE,"Tickmarks"}</definedName>
    <definedName name="sghas" hidden="1">{#N/A,#N/A,FALSE,"Aging Summary";#N/A,#N/A,FALSE,"Ratio Analysis";#N/A,#N/A,FALSE,"Test 120 Day Accts";#N/A,#N/A,FALSE,"Tickmarks"}</definedName>
    <definedName name="SHAKLS" hidden="1">{#N/A,#N/A,FALSE,"Aging Summary";#N/A,#N/A,FALSE,"Ratio Analysis";#N/A,#N/A,FALSE,"Test 120 Day Accts";#N/A,#N/A,FALSE,"Tickmarks"}</definedName>
    <definedName name="shasd" hidden="1">{#N/A,#N/A,FALSE,"Aging Summary";#N/A,#N/A,FALSE,"Ratio Analysis";#N/A,#N/A,FALSE,"Test 120 Day Accts";#N/A,#N/A,FALSE,"Tickmarks"}</definedName>
    <definedName name="SHasj" hidden="1">{#N/A,#N/A,FALSE,"Aging Summary";#N/A,#N/A,FALSE,"Ratio Analysis";#N/A,#N/A,FALSE,"Test 120 Day Accts";#N/A,#N/A,FALSE,"Tickmarks"}</definedName>
    <definedName name="SHDA" hidden="1">{#N/A,#N/A,FALSE,"Aging Summary";#N/A,#N/A,FALSE,"Ratio Analysis";#N/A,#N/A,FALSE,"Test 120 Day Accts";#N/A,#N/A,FALSE,"Tickmarks"}</definedName>
    <definedName name="Sheet" hidden="1">10</definedName>
    <definedName name="sheet12" hidden="1">{"'原油分析'!$A$1:$W$13"}</definedName>
    <definedName name="sheet20" hidden="1">{"'原油分析'!$A$1:$W$13"}</definedName>
    <definedName name="sheet22" hidden="1">{"'原油分析'!$A$1:$W$13"}</definedName>
    <definedName name="sheet3" hidden="1">{"'原油分析'!$A$1:$W$13"}</definedName>
    <definedName name="sheras" hidden="1">{#N/A,#N/A,FALSE,"Aging Summary";#N/A,#N/A,FALSE,"Ratio Analysis";#N/A,#N/A,FALSE,"Test 120 Day Accts";#N/A,#N/A,FALSE,"Tickmarks"}</definedName>
    <definedName name="shet" hidden="1">{#N/A,#N/A,FALSE,"G&amp;A Summary";#N/A,#N/A,FALSE,"G&amp;A Narrative";#N/A,#N/A,FALSE,"Salaries &amp; Burden &amp; Tax";#N/A,#N/A,FALSE,"Living Acc &amp; Schooling";#N/A,#N/A,FALSE,"R&amp;R, Home &amp; Relo";#N/A,#N/A,FALSE,"Contract Labor";#N/A,#N/A,FALSE,"Business travel";#N/A,#N/A,FALSE,"Training";#N/A,#N/A,FALSE,"Miscellaneous Items";#N/A,#N/A,FALSE,"Fixed Assets Usage"}</definedName>
    <definedName name="shkas" hidden="1">{#N/A,#N/A,FALSE,"Aging Summary";#N/A,#N/A,FALSE,"Ratio Analysis";#N/A,#N/A,FALSE,"Test 120 Day Accts";#N/A,#N/A,FALSE,"Tickmarks"}</definedName>
    <definedName name="SHSJA" hidden="1">{#N/A,#N/A,FALSE,"Aging Summary";#N/A,#N/A,FALSE,"Ratio Analysis";#N/A,#N/A,FALSE,"Test 120 Day Accts";#N/A,#N/A,FALSE,"Tickmarks"}</definedName>
    <definedName name="SIFOOO" hidden="1">{#N/A,#N/A,FALSE,"Aging Summary";#N/A,#N/A,FALSE,"Ratio Analysis";#N/A,#N/A,FALSE,"Test 120 Day Accts";#N/A,#N/A,FALSE,"Tickmarks"}</definedName>
    <definedName name="SIGOOOOO" hidden="1">{#N/A,#N/A,FALSE,"Aging Summary";#N/A,#N/A,FALSE,"Ratio Analysis";#N/A,#N/A,FALSE,"Test 120 Day Accts";#N/A,#N/A,FALSE,"Tickmarks"}</definedName>
    <definedName name="sijqijsq" hidden="1">{#N/A,#N/A,FALSE,"Aging Summary";#N/A,#N/A,FALSE,"Ratio Analysis";#N/A,#N/A,FALSE,"Test 120 Day Accts";#N/A,#N/A,FALSE,"Tickmarks"}</definedName>
    <definedName name="silal" hidden="1">{#N/A,#N/A,FALSE,"Aging Summary";#N/A,#N/A,FALSE,"Ratio Analysis";#N/A,#N/A,FALSE,"Test 120 Day Accts";#N/A,#N/A,FALSE,"Tickmarks"}</definedName>
    <definedName name="silas" hidden="1">{#N/A,#N/A,FALSE,"Aging Summary";#N/A,#N/A,FALSE,"Ratio Analysis";#N/A,#N/A,FALSE,"Test 120 Day Accts";#N/A,#N/A,FALSE,"Tickmarks"}</definedName>
    <definedName name="sill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illa2" hidden="1">#REF!</definedName>
    <definedName name="silla3" hidden="1">{#N/A,#N/A,FALSE,"Aging Summary";#N/A,#N/A,FALSE,"Ratio Analysis";#N/A,#N/A,FALSE,"Test 120 Day Accts";#N/A,#N/A,FALSE,"Tickmarks"}</definedName>
    <definedName name="silla4" hidden="1">{#N/A,#N/A,FALSE,"Aging Summary";#N/A,#N/A,FALSE,"Ratio Analysis";#N/A,#N/A,FALSE,"Test 120 Day Accts";#N/A,#N/A,FALSE,"Tickmarks"}</definedName>
    <definedName name="silvana" hidden="1">1</definedName>
    <definedName name="silvina" hidden="1">{#N/A,#N/A,FALSE,"Aging Summary";#N/A,#N/A,FALSE,"Ratio Analysis";#N/A,#N/A,FALSE,"Test 120 Day Accts";#N/A,#N/A,FALSE,"Tickmarks"}</definedName>
    <definedName name="sisi" hidden="1">{#N/A,#N/A,FALSE,"Aging Summary";#N/A,#N/A,FALSE,"Ratio Analysis";#N/A,#N/A,FALSE,"Test 120 Day Accts";#N/A,#N/A,FALSE,"Tickmarks"}</definedName>
    <definedName name="SJADFAS" hidden="1">{#N/A,#N/A,FALSE,"Aging Summary";#N/A,#N/A,FALSE,"Ratio Analysis";#N/A,#N/A,FALSE,"Test 120 Day Accts";#N/A,#N/A,FALSE,"Tickmarks"}</definedName>
    <definedName name="sjdfarfr" hidden="1">{#N/A,#N/A,FALSE,"Aging Summary";#N/A,#N/A,FALSE,"Ratio Analysis";#N/A,#N/A,FALSE,"Test 120 Day Accts";#N/A,#N/A,FALSE,"Tickmarks"}</definedName>
    <definedName name="SJDIEF" hidden="1">{#N/A,#N/A,FALSE,"Aging Summary";#N/A,#N/A,FALSE,"Ratio Analysis";#N/A,#N/A,FALSE,"Test 120 Day Accts";#N/A,#N/A,FALSE,"Tickmarks"}</definedName>
    <definedName name="sjld" hidden="1">{#N/A,#N/A,FALSE,"Aging Summary";#N/A,#N/A,FALSE,"Ratio Analysis";#N/A,#N/A,FALSE,"Test 120 Day Accts";#N/A,#N/A,FALSE,"Tickmarks"}</definedName>
    <definedName name="sjleasd" hidden="1">{#N/A,#N/A,FALSE,"Aging Summary";#N/A,#N/A,FALSE,"Ratio Analysis";#N/A,#N/A,FALSE,"Test 120 Day Accts";#N/A,#N/A,FALSE,"Tickmarks"}</definedName>
    <definedName name="sjweras" hidden="1">{#N/A,#N/A,FALSE,"Aging Summary";#N/A,#N/A,FALSE,"Ratio Analysis";#N/A,#N/A,FALSE,"Test 120 Day Accts";#N/A,#N/A,FALSE,"Tickmarks"}</definedName>
    <definedName name="skdfuyer" hidden="1">{#N/A,#N/A,FALSE,"Aging Summary";#N/A,#N/A,FALSE,"Ratio Analysis";#N/A,#N/A,FALSE,"Test 120 Day Accts";#N/A,#N/A,FALSE,"Tickmarks"}</definedName>
    <definedName name="skfoskfds" hidden="1">{#N/A,#N/A,FALSE,"Aging Summary";#N/A,#N/A,FALSE,"Ratio Analysis";#N/A,#N/A,FALSE,"Test 120 Day Accts";#N/A,#N/A,FALSE,"Tickmarks"}</definedName>
    <definedName name="skjd33" hidden="1">{#N/A,#N/A,FALSE,"Aging Summary";#N/A,#N/A,FALSE,"Ratio Analysis";#N/A,#N/A,FALSE,"Test 120 Day Accts";#N/A,#N/A,FALSE,"Tickmarks"}</definedName>
    <definedName name="skqoksq" hidden="1">{#N/A,#N/A,FALSE,"Aging Summary";#N/A,#N/A,FALSE,"Ratio Analysis";#N/A,#N/A,FALSE,"Test 120 Day Accts";#N/A,#N/A,FALSE,"Tickmarks"}</definedName>
    <definedName name="skqw" hidden="1">{#N/A,#N/A,FALSE,"Aging Summary";#N/A,#N/A,FALSE,"Ratio Analysis";#N/A,#N/A,FALSE,"Test 120 Day Accts";#N/A,#N/A,FALSE,"Tickmarks"}</definedName>
    <definedName name="slkdfsdf" hidden="1">#REF!</definedName>
    <definedName name="SLWOL" hidden="1">{#N/A,#N/A,FALSE,"Aging Summary";#N/A,#N/A,FALSE,"Ratio Analysis";#N/A,#N/A,FALSE,"Test 120 Day Accts";#N/A,#N/A,FALSE,"Tickmarks"}</definedName>
    <definedName name="sñ" hidden="1">{#N/A,#N/A,FALSE,"Aging Summary";#N/A,#N/A,FALSE,"Ratio Analysis";#N/A,#N/A,FALSE,"Test 120 Day Accts";#N/A,#N/A,FALSE,"Tickmarks"}</definedName>
    <definedName name="sññsñs" hidden="1">{#N/A,#N/A,FALSE,"Aging Summary";#N/A,#N/A,FALSE,"Ratio Analysis";#N/A,#N/A,FALSE,"Test 120 Day Accts";#N/A,#N/A,FALSE,"Tickmarks"}</definedName>
    <definedName name="soc" hidden="1">{#N/A,#N/A,FALSE,"Hoja LLave";#N/A,#N/A,FALSE,"Portada";#N/A,#N/A,FALSE,"Nota 2";#N/A,#N/A,FALSE,"Anexo A";#N/A,#N/A,FALSE,"Est.Sit.Patr.";#N/A,#N/A,FALSE,"Cuadro I";#N/A,#N/A,FALSE,"Anexo F";#N/A,#N/A,FALSE,"E.E.P.N.";#N/A,#N/A,FALSE,"Resultados";#N/A,#N/A,FALSE,"E.V.C.C."}</definedName>
    <definedName name="sokdoksds" hidden="1">{#N/A,#N/A,FALSE,"Aging Summary";#N/A,#N/A,FALSE,"Ratio Analysis";#N/A,#N/A,FALSE,"Test 120 Day Accts";#N/A,#N/A,FALSE,"Tickmarks"}</definedName>
    <definedName name="SOL" hidden="1">{#N/A,#N/A,FALSE,"Aging Summary";#N/A,#N/A,FALSE,"Ratio Analysis";#N/A,#N/A,FALSE,"Test 120 Day Accts";#N/A,#N/A,FALSE,"Tickmarks"}</definedName>
    <definedName name="solver_adj" hidden="1">#REF!,#REF!</definedName>
    <definedName name="solver_lin" hidden="1">0</definedName>
    <definedName name="solver_num" hidden="1">0</definedName>
    <definedName name="solver_opt" hidden="1">#REF!</definedName>
    <definedName name="solver_typ" hidden="1">1</definedName>
    <definedName name="solver_val" hidden="1">0</definedName>
    <definedName name="somo" hidden="1">{#N/A,#N/A,FALSE,"Aging Summary";#N/A,#N/A,FALSE,"Ratio Analysis";#N/A,#N/A,FALSE,"Test 120 Day Accts";#N/A,#N/A,FALSE,"Tickmarks"}</definedName>
    <definedName name="sonia" hidden="1">{#N/A,#N/A,FALSE,"balance";#N/A,#N/A,FALSE,"resultados";#N/A,#N/A,FALSE,"patrimonio";#N/A,#N/A,FALSE,"bienes uso";#N/A,#N/A,FALSE,"art.64"}</definedName>
    <definedName name="soooooooooooo" hidden="1">{#N/A,#N/A,FALSE,"Aging Summary";#N/A,#N/A,FALSE,"Ratio Analysis";#N/A,#N/A,FALSE,"Test 120 Day Accts";#N/A,#N/A,FALSE,"Tickmarks"}</definedName>
    <definedName name="soqp" hidden="1">{#N/A,#N/A,FALSE,"Aging Summary";#N/A,#N/A,FALSE,"Ratio Analysis";#N/A,#N/A,FALSE,"Test 120 Day Accts";#N/A,#N/A,FALSE,"Tickmarks"}</definedName>
    <definedName name="sou" hidden="1">{#N/A,#N/A,FALSE,"Aging Summary";#N/A,#N/A,FALSE,"Ratio Analysis";#N/A,#N/A,FALSE,"Test 120 Day Accts";#N/A,#N/A,FALSE,"Tickmarks"}</definedName>
    <definedName name="sowmsoqms" hidden="1">{#N/A,#N/A,FALSE,"Aging Summary";#N/A,#N/A,FALSE,"Ratio Analysis";#N/A,#N/A,FALSE,"Test 120 Day Accts";#N/A,#N/A,FALSE,"Tickmarks"}</definedName>
    <definedName name="soyyyy" hidden="1">{#N/A,#N/A,FALSE,"Aging Summary";#N/A,#N/A,FALSE,"Ratio Analysis";#N/A,#N/A,FALSE,"Test 120 Day Accts";#N/A,#N/A,FALSE,"Tickmarks"}</definedName>
    <definedName name="sparta" hidden="1">{#N/A,#N/A,FALSE,"Aging Summary";#N/A,#N/A,FALSE,"Ratio Analysis";#N/A,#N/A,FALSE,"Test 120 Day Accts";#N/A,#N/A,FALSE,"Tickmarks"}</definedName>
    <definedName name="spkqpsq" hidden="1">{#N/A,#N/A,FALSE,"Aging Summary";#N/A,#N/A,FALSE,"Ratio Analysis";#N/A,#N/A,FALSE,"Test 120 Day Accts";#N/A,#N/A,FALSE,"Tickmarks"}</definedName>
    <definedName name="spqlsq" hidden="1">{#N/A,#N/A,FALSE,"Aging Summary";#N/A,#N/A,FALSE,"Ratio Analysis";#N/A,#N/A,FALSE,"Test 120 Day Accts";#N/A,#N/A,FALSE,"Tickmarks"}</definedName>
    <definedName name="spqqp" hidden="1">{#N/A,#N/A,FALSE,"Aging Summary";#N/A,#N/A,FALSE,"Ratio Analysis";#N/A,#N/A,FALSE,"Test 120 Day Accts";#N/A,#N/A,FALSE,"Tickmarks"}</definedName>
    <definedName name="sqosjq" hidden="1">{#N/A,#N/A,FALSE,"Aging Summary";#N/A,#N/A,FALSE,"Ratio Analysis";#N/A,#N/A,FALSE,"Test 120 Day Accts";#N/A,#N/A,FALSE,"Tickmarks"}</definedName>
    <definedName name="SQSFD" hidden="1">{#N/A,#N/A,FALSE,"Aging Summary";#N/A,#N/A,FALSE,"Ratio Analysis";#N/A,#N/A,FALSE,"Test 120 Day Accts";#N/A,#N/A,FALSE,"Tickmarks"}</definedName>
    <definedName name="sqsq" hidden="1">#REF!</definedName>
    <definedName name="sqsqws" hidden="1">#REF!</definedName>
    <definedName name="sqwisq" hidden="1">{#N/A,#N/A,FALSE,"Aging Summary";#N/A,#N/A,FALSE,"Ratio Analysis";#N/A,#N/A,FALSE,"Test 120 Day Accts";#N/A,#N/A,FALSE,"Tickmarks"}</definedName>
    <definedName name="sqwsqs" hidden="1">{#N/A,#N/A,FALSE,"Aging Summary";#N/A,#N/A,FALSE,"Ratio Analysis";#N/A,#N/A,FALSE,"Test 120 Day Accts";#N/A,#N/A,FALSE,"Tickmarks"}</definedName>
    <definedName name="sqwsqws" hidden="1">{#N/A,#N/A,TRUE,"INDICE";#N/A,#N/A,TRUE,"Variables";#N/A,#N/A,TRUE,"Cdro_Rtado";#N/A,#N/A,TRUE,"Patrim";#N/A,#N/A,TRUE,"Cash Flow";#N/A,#N/A,TRUE,"Cobranza";#N/A,#N/A,TRUE,"Resumen Gs.";#N/A,#N/A,TRUE,"Gs Comerc";#N/A,#N/A,TRUE,"Gs Administ";#N/A,#N/A,TRUE,"Gs Explot";#N/A,#N/A,TRUE,"Gs Personal";#N/A,#N/A,TRUE,"Inver."}</definedName>
    <definedName name="sre" hidden="1">#REF!</definedName>
    <definedName name="ss" hidden="1">{#N/A,#N/A,FALSE,"CAPEX";#N/A,#N/A,FALSE,"PLAN";#N/A,#N/A,FALSE,"REV";#N/A,#N/A,FALSE,"CALOP";#N/A,#N/A,FALSE,"RESOP";#N/A,#N/A,FALSE,"PRES"}</definedName>
    <definedName name="sss" hidden="1">#REF!</definedName>
    <definedName name="sssddd" hidden="1">{#N/A,#N/A,FALSE,"Aging Summary";#N/A,#N/A,FALSE,"Ratio Analysis";#N/A,#N/A,FALSE,"Test 120 Day Accts";#N/A,#N/A,FALSE,"Tickmarks"}</definedName>
    <definedName name="ssss" hidden="1">#REF!</definedName>
    <definedName name="SSSSDFFFGR" hidden="1">{#N/A,#N/A,FALSE,"Aging Summary";#N/A,#N/A,FALSE,"Ratio Analysis";#N/A,#N/A,FALSE,"Test 120 Day Accts";#N/A,#N/A,FALSE,"Tickmarks"}</definedName>
    <definedName name="sssss" hidden="1">{#N/A,#N/A,FALSE,"Aging Summary";#N/A,#N/A,FALSE,"Ratio Analysis";#N/A,#N/A,FALSE,"Test 120 Day Accts";#N/A,#N/A,FALSE,"Tickmarks"}</definedName>
    <definedName name="SSSSS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ssssss" hidden="1">#REF!</definedName>
    <definedName name="SSSSSSSS" hidden="1">{#N/A,#N/A,FALSE,"Aging Summary";#N/A,#N/A,FALSE,"Ratio Analysis";#N/A,#N/A,FALSE,"Test 120 Day Accts";#N/A,#N/A,FALSE,"Tickmarks"}</definedName>
    <definedName name="SSSSSSSSS" hidden="1">{#N/A,#N/A,FALSE,"Aging Summary";#N/A,#N/A,FALSE,"Ratio Analysis";#N/A,#N/A,FALSE,"Test 120 Day Accts";#N/A,#N/A,FALSE,"Tickmarks"}</definedName>
    <definedName name="SSSSSSSSSS" hidden="1">{#N/A,#N/A,FALSE,"Aging Summary";#N/A,#N/A,FALSE,"Ratio Analysis";#N/A,#N/A,FALSE,"Test 120 Day Accts";#N/A,#N/A,FALSE,"Tickmarks"}</definedName>
    <definedName name="SSSSSSSSSSS" hidden="1">{#N/A,#N/A,FALSE,"Aging Summary";#N/A,#N/A,FALSE,"Ratio Analysis";#N/A,#N/A,FALSE,"Test 120 Day Accts";#N/A,#N/A,FALSE,"Tickmarks"}</definedName>
    <definedName name="sssssssssssssssss" hidden="1">{#N/A,#N/A,FALSE,"Aging Summary";#N/A,#N/A,FALSE,"Ratio Analysis";#N/A,#N/A,FALSE,"Test 120 Day Accts";#N/A,#N/A,FALSE,"Tickmarks"}</definedName>
    <definedName name="Start" localSheetId="2">#REF!</definedName>
    <definedName name="Start" localSheetId="3">#REF!</definedName>
    <definedName name="Start">#REF!</definedName>
    <definedName name="STYE" hidden="1">{#N/A,#N/A,FALSE,"Aging Summary";#N/A,#N/A,FALSE,"Ratio Analysis";#N/A,#N/A,FALSE,"Test 120 Day Accts";#N/A,#N/A,FALSE,"Tickmarks"}</definedName>
    <definedName name="suer" hidden="1">{#N/A,#N/A,FALSE,"Aging Summary";#N/A,#N/A,FALSE,"Ratio Analysis";#N/A,#N/A,FALSE,"Test 120 Day Accts";#N/A,#N/A,FALSE,"Tickmarks"}</definedName>
    <definedName name="suirer" hidden="1">{#N/A,#N/A,FALSE,"Aging Summary";#N/A,#N/A,FALSE,"Ratio Analysis";#N/A,#N/A,FALSE,"Test 120 Day Accts";#N/A,#N/A,FALSE,"Tickmarks"}</definedName>
    <definedName name="sumari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sun" hidden="1">{#N/A,#N/A,FALSE,"SUBSIDIARIAS"}</definedName>
    <definedName name="super" hidden="1">#REF!</definedName>
    <definedName name="sw" hidden="1">{#N/A,#N/A,FALSE,"BHA"}</definedName>
    <definedName name="SWDAD" hidden="1">{#N/A,#N/A,FALSE,"Aging Summary";#N/A,#N/A,FALSE,"Ratio Analysis";#N/A,#N/A,FALSE,"Test 120 Day Accts";#N/A,#N/A,FALSE,"Tickmarks"}</definedName>
    <definedName name="sweee" hidden="1">{#N/A,#N/A,FALSE,"Aging Summary";#N/A,#N/A,FALSE,"Ratio Analysis";#N/A,#N/A,FALSE,"Test 120 Day Accts";#N/A,#N/A,FALSE,"Tickmarks"}</definedName>
    <definedName name="swf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wqewq" hidden="1">#REF!</definedName>
    <definedName name="swqsqs" hidden="1">{#N/A,#N/A,FALSE,"Aging Summary";#N/A,#N/A,FALSE,"Ratio Analysis";#N/A,#N/A,FALSE,"Test 120 Day Accts";#N/A,#N/A,FALSE,"Tickmarks"}</definedName>
    <definedName name="swsw" hidden="1">#REF!</definedName>
    <definedName name="swswsw" hidden="1">{#N/A,#N/A,FALSE,"Aging Summary";#N/A,#N/A,FALSE,"Ratio Analysis";#N/A,#N/A,FALSE,"Test 120 Day Accts";#N/A,#N/A,FALSE,"Tickmarks"}</definedName>
    <definedName name="swswswaq" hidden="1">{#N/A,#N/A,FALSE,"CAPEX";#N/A,#N/A,FALSE,"PLAN";#N/A,#N/A,FALSE,"REV";#N/A,#N/A,FALSE,"CALOP";#N/A,#N/A,FALSE,"RESOP";#N/A,#N/A,FALSE,"PRES"}</definedName>
    <definedName name="swswsws" hidden="1">{#N/A,#N/A,FALSE,"Aging Summary";#N/A,#N/A,FALSE,"Ratio Analysis";#N/A,#N/A,FALSE,"Test 120 Day Accts";#N/A,#N/A,FALSE,"Tickmarks"}</definedName>
    <definedName name="swswx" hidden="1">{#N/A,#N/A,FALSE,"Aging Summary";#N/A,#N/A,FALSE,"Ratio Analysis";#N/A,#N/A,FALSE,"Test 120 Day Accts";#N/A,#N/A,FALSE,"Tickmarks"}</definedName>
    <definedName name="Swvu.TO_PRINT." hidden="1">#REF!</definedName>
    <definedName name="swwfe" hidden="1">{#N/A,#N/A,FALSE,"Aging Summary";#N/A,#N/A,FALSE,"Ratio Analysis";#N/A,#N/A,FALSE,"Test 120 Day Accts";#N/A,#N/A,FALSE,"Tickmarks"}</definedName>
    <definedName name="syuea" hidden="1">{#N/A,#N/A,FALSE,"Aging Summary";#N/A,#N/A,FALSE,"Ratio Analysis";#N/A,#N/A,FALSE,"Test 120 Day Accts";#N/A,#N/A,FALSE,"Tickmarks"}</definedName>
    <definedName name="syuer" hidden="1">{#N/A,#N/A,FALSE,"Aging Summary";#N/A,#N/A,FALSE,"Ratio Analysis";#N/A,#N/A,FALSE,"Test 120 Day Accts";#N/A,#N/A,FALSE,"Tickmarks"}</definedName>
    <definedName name="t5t5t5t5t" hidden="1">{#N/A,#N/A,FALSE,"Aging Summary";#N/A,#N/A,FALSE,"Ratio Analysis";#N/A,#N/A,FALSE,"Test 120 Day Accts";#N/A,#N/A,FALSE,"Tickmarks"}</definedName>
    <definedName name="tadora" hidden="1">{#N/A,#N/A,FALSE,"Aging Summary";#N/A,#N/A,FALSE,"Ratio Analysis";#N/A,#N/A,FALSE,"Test 120 Day Accts";#N/A,#N/A,FALSE,"Tickmarks"}</definedName>
    <definedName name="tas">#REF!</definedName>
    <definedName name="tasa" localSheetId="2">#REF!</definedName>
    <definedName name="tasa" localSheetId="3">#REF!</definedName>
    <definedName name="tasa">#REF!</definedName>
    <definedName name="tax" hidden="1">{#N/A,#N/A,FALSE,"Aging Summary";#N/A,#N/A,FALSE,"Ratio Analysis";#N/A,#N/A,FALSE,"Test 120 Day Accts";#N/A,#N/A,FALSE,"Tickmarks"}</definedName>
    <definedName name="TELERGIPE" hidden="1">{#N/A,#N/A,FALSE,"4102";#N/A,#N/A,FALSE,"4800";#N/A,#N/A,FALSE,"4803";#N/A,#N/A,FALSE,"4801";#N/A,#N/A,FALSE,"4805";#N/A,#N/A,FALSE,"4808";#N/A,#N/A,FALSE,"4813";#N/A,#N/A,FALSE,"4816";#N/A,#N/A,FALSE,"4301"}</definedName>
    <definedName name="TempTotal" localSheetId="2">#REF!</definedName>
    <definedName name="TempTotal" localSheetId="3">#REF!</definedName>
    <definedName name="TempTotal">#REF!</definedName>
    <definedName name="tengo" hidden="1">{#N/A,#N/A,FALSE,"Aging Summary";#N/A,#N/A,FALSE,"Ratio Analysis";#N/A,#N/A,FALSE,"Test 120 Day Accts";#N/A,#N/A,FALSE,"Tickmarks"}</definedName>
    <definedName name="teokw" hidden="1">{#N/A,#N/A,FALSE,"Aging Summary";#N/A,#N/A,FALSE,"Ratio Analysis";#N/A,#N/A,FALSE,"Test 120 Day Accts";#N/A,#N/A,FALSE,"Tickmarks"}</definedName>
    <definedName name="tere" hidden="1">#REF!</definedName>
    <definedName name="terertretererter" hidden="1">{#N/A,#N/A,FALSE,"STRAD";#N/A,#N/A,FALSE,"BELGLO"}</definedName>
    <definedName name="termina" hidden="1">{#N/A,#N/A,FALSE,"Aging Summary";#N/A,#N/A,FALSE,"Ratio Analysis";#N/A,#N/A,FALSE,"Test 120 Day Accts";#N/A,#N/A,FALSE,"Tickmarks"}</definedName>
    <definedName name="tertertreter" hidden="1">{#N/A,#N/A,FALSE,"STRAD";#N/A,#N/A,FALSE,"BELGLO"}</definedName>
    <definedName name="tertretreterter" hidden="1">{#N/A,#N/A,FALSE,"STRAD";#N/A,#N/A,FALSE,"BELGLO"}</definedName>
    <definedName name="test" hidden="1">#REF!</definedName>
    <definedName name="testcapital" hidden="1">{"IT",#N/A,FALSE,"GRAPHS";"Services",#N/A,FALSE,"GRAPHS";"Subsurface",#N/A,FALSE,"GRAPHS";"Production",#N/A,FALSE,"GRAPHS";"Facilities",#N/A,FALSE,"GRAPHS";"Pipeline &amp; Terminal",#N/A,FALSE,"GRAPHS";"Safety",#N/A,FALSE,"GRAPHS";"Commercial",#N/A,FALSE,"GRAPHS"}</definedName>
    <definedName name="TET" hidden="1">{#N/A,#N/A,FALSE,"Aging Summary";#N/A,#N/A,FALSE,"Ratio Analysis";#N/A,#N/A,FALSE,"Test 120 Day Accts";#N/A,#N/A,FALSE,"Tickmarks"}</definedName>
    <definedName name="TextRefCopy1">#REF!</definedName>
    <definedName name="TextRefCopy10">[10]Conciliaciones!#REF!</definedName>
    <definedName name="TextRefCopy11">'[11]P-A Clientes'!#REF!</definedName>
    <definedName name="TextRefCopy13">'[11]P-A Clientes'!#REF!</definedName>
    <definedName name="TextRefCopy15">#REF!</definedName>
    <definedName name="TextRefCopy16">'[11]P-A Clientes'!#REF!</definedName>
    <definedName name="TextRefCopy17">'[11]P-A Clientes'!#REF!</definedName>
    <definedName name="TextRefCopy2" localSheetId="2">#REF!</definedName>
    <definedName name="TextRefCopy2" localSheetId="3">#REF!</definedName>
    <definedName name="TextRefCopy2">#REF!</definedName>
    <definedName name="TextRefCopy20">'[11]P-A Clientes'!#REF!</definedName>
    <definedName name="TextRefCopy21">'[11]P-A Clientes'!#REF!</definedName>
    <definedName name="TextRefCopy23">'[11]P-A Clientes'!#REF!</definedName>
    <definedName name="TextRefCopy25">'[11]P-A Clientes'!#REF!</definedName>
    <definedName name="TextRefCopy27">'[11]P-A Clientes'!#REF!</definedName>
    <definedName name="TextRefCopy29">'[11]P-A Clientes'!#REF!</definedName>
    <definedName name="TextRefCopy3">#REF!</definedName>
    <definedName name="TextRefCopy31">'[11]P-A Clientes'!#REF!</definedName>
    <definedName name="TextRefCopy33">'[11]P-A Clientes'!#REF!</definedName>
    <definedName name="TextRefCopy36">'[11]P-A Clientes'!#REF!</definedName>
    <definedName name="TextRefCopy37">'[11]P-A Clientes'!#REF!</definedName>
    <definedName name="TextRefCopy4" localSheetId="2">'[12]Cálculo Cía'!$P$3102</definedName>
    <definedName name="TextRefCopy4" localSheetId="3">'[12]Cálculo Cía'!$P$3102</definedName>
    <definedName name="TextRefCopy4">#REF!</definedName>
    <definedName name="TextRefCopy5">'[13]P-A Clientes'!#REF!</definedName>
    <definedName name="TextRefCopy6">#REF!</definedName>
    <definedName name="TextRefCopy7">#REF!</definedName>
    <definedName name="TextRefCopy8">[10]Conciliaciones!#REF!</definedName>
    <definedName name="TextRefCopy9">'[14]PBA GLOBAL Amortizaciones'!#REF!</definedName>
    <definedName name="TextRefCopyRangeCount" hidden="1">1</definedName>
    <definedName name="TGF" hidden="1">{#N/A,#N/A,FALSE,"Aging Summary";#N/A,#N/A,FALSE,"Ratio Analysis";#N/A,#N/A,FALSE,"Test 120 Day Accts";#N/A,#N/A,FALSE,"Tickmarks"}</definedName>
    <definedName name="tgg" hidden="1">{#N/A,#N/A,FALSE,"Aging Summary";#N/A,#N/A,FALSE,"Ratio Analysis";#N/A,#N/A,FALSE,"Test 120 Day Accts";#N/A,#N/A,FALSE,"Tickmarks"}</definedName>
    <definedName name="tgh" hidden="1">{#N/A,#N/A,FALSE,"Aging Summary";#N/A,#N/A,FALSE,"Ratio Analysis";#N/A,#N/A,FALSE,"Test 120 Day Accts";#N/A,#N/A,FALSE,"Tickmarks"}</definedName>
    <definedName name="THH" hidden="1">{#N/A,#N/A,FALSE,"Aging Summary";#N/A,#N/A,FALSE,"Ratio Analysis";#N/A,#N/A,FALSE,"Test 120 Day Accts";#N/A,#N/A,FALSE,"Tickmarks"}</definedName>
    <definedName name="thi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Threshold">#REF!</definedName>
    <definedName name="tia" hidden="1">{#N/A,#N/A,FALSE,"Aging Summary";#N/A,#N/A,FALSE,"Ratio Analysis";#N/A,#N/A,FALSE,"Test 120 Day Accts";#N/A,#N/A,FALSE,"Tickmarks"}</definedName>
    <definedName name="Tickmar" hidden="1">#REF!</definedName>
    <definedName name="Tickmark" hidden="1">#REF!</definedName>
    <definedName name="Tickmarks" hidden="1">#REF!</definedName>
    <definedName name="Tikmark" hidden="1">#REF!</definedName>
    <definedName name="Tilde" hidden="1">#REF!</definedName>
    <definedName name="Tildes" hidden="1">#REF!</definedName>
    <definedName name="tina" hidden="1">{#N/A,#N/A,FALSE,"Aging Summary";#N/A,#N/A,FALSE,"Ratio Analysis";#N/A,#N/A,FALSE,"Test 120 Day Accts";#N/A,#N/A,FALSE,"Tickmarks"}</definedName>
    <definedName name="tio" hidden="1">{#N/A,#N/A,FALSE,"Aging Summary";#N/A,#N/A,FALSE,"Ratio Analysis";#N/A,#N/A,FALSE,"Test 120 Day Accts";#N/A,#N/A,FALSE,"Tickmarks"}</definedName>
    <definedName name="titi" hidden="1">{#N/A,#N/A,FALSE,"Aging Summary";#N/A,#N/A,FALSE,"Ratio Analysis";#N/A,#N/A,FALSE,"Test 120 Day Accts";#N/A,#N/A,FALSE,"Tickmarks"}</definedName>
    <definedName name="titiitit" hidden="1">{#N/A,#N/A,FALSE,"Aging Summary";#N/A,#N/A,FALSE,"Ratio Analysis";#N/A,#N/A,FALSE,"Test 120 Day Accts";#N/A,#N/A,FALSE,"Tickmarks"}</definedName>
    <definedName name="Title" localSheetId="2">[15]Defaults!$A$20</definedName>
    <definedName name="Title" localSheetId="3">[15]Defaults!$A$20</definedName>
    <definedName name="Title">[16]Defaults!$A$20</definedName>
    <definedName name="titu" hidden="1">{#N/A,#N/A,FALSE,"balance";#N/A,#N/A,FALSE,"P&amp;L";#N/A,#N/A,FALSE,"Equity";#N/A,#N/A,FALSE,"cash flow";#N/A,#N/A,FALSE,"bienes uso";#N/A,#N/A,FALSE,"intangibles";#N/A,#N/A,FALSE,"P&amp;L MD&amp;A";#N/A,#N/A,FALSE,"breakdown";#N/A,#N/A,FALSE,"stat ratios"}</definedName>
    <definedName name="TJBHA" hidden="1">{#N/A,#N/A,FALSE,"BHA"}</definedName>
    <definedName name="tmbombt" hidden="1">{#N/A,#N/A,FALSE,"Aging Summary";#N/A,#N/A,FALSE,"Ratio Analysis";#N/A,#N/A,FALSE,"Test 120 Day Accts";#N/A,#N/A,FALSE,"Tickmarks"}</definedName>
    <definedName name="tmofd" hidden="1">{#N/A,#N/A,FALSE,"Aging Summary";#N/A,#N/A,FALSE,"Ratio Analysis";#N/A,#N/A,FALSE,"Test 120 Day Accts";#N/A,#N/A,FALSE,"Tickmarks"}</definedName>
    <definedName name="todas" hidden="1">{#N/A,#N/A,FALSE,"invoice ucc";#N/A,#N/A,FALSE,"asiento"}</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o" hidden="1">{#N/A,#N/A,FALSE,"Aging Summary";#N/A,#N/A,FALSE,"Ratio Analysis";#N/A,#N/A,FALSE,"Test 120 Day Accts";#N/A,#N/A,FALSE,"Tickmarks"}</definedName>
    <definedName name="todooo" hidden="1">{"'DIFPRE'!$A$2:$M$54"}</definedName>
    <definedName name="tpltgpt" hidden="1">#REF!</definedName>
    <definedName name="TRA" hidden="1">{#N/A,#N/A,FALSE,"Aging Summary";#N/A,#N/A,FALSE,"Ratio Analysis";#N/A,#N/A,FALSE,"Test 120 Day Accts";#N/A,#N/A,FALSE,"Tickmarks"}</definedName>
    <definedName name="TRAB" hidden="1">{#N/A,#N/A,FALSE,"Aging Summary";#N/A,#N/A,FALSE,"Ratio Analysis";#N/A,#N/A,FALSE,"Test 120 Day Accts";#N/A,#N/A,FALSE,"Tickmarks"}</definedName>
    <definedName name="trabajito" hidden="1">{#N/A,#N/A,FALSE,"Aging Summary";#N/A,#N/A,FALSE,"Ratio Analysis";#N/A,#N/A,FALSE,"Test 120 Day Accts";#N/A,#N/A,FALSE,"Tickmarks"}</definedName>
    <definedName name="trabajitos" hidden="1">{#N/A,#N/A,FALSE,"Aging Summary";#N/A,#N/A,FALSE,"Ratio Analysis";#N/A,#N/A,FALSE,"Test 120 Day Accts";#N/A,#N/A,FALSE,"Tickmarks"}</definedName>
    <definedName name="trabajo" localSheetId="2" hidden="1">{#N/A,#N/A,FALSE,"Aging Summary";#N/A,#N/A,FALSE,"Ratio Analysis";#N/A,#N/A,FALSE,"Test 120 Day Accts";#N/A,#N/A,FALSE,"Tickmarks"}</definedName>
    <definedName name="trabajo" localSheetId="3" hidden="1">{#N/A,#N/A,FALSE,"Aging Summary";#N/A,#N/A,FALSE,"Ratio Analysis";#N/A,#N/A,FALSE,"Test 120 Day Accts";#N/A,#N/A,FALSE,"Tickmarks"}</definedName>
    <definedName name="trabajo" localSheetId="0" hidden="1">{#N/A,#N/A,FALSE,"Aging Summary";#N/A,#N/A,FALSE,"Ratio Analysis";#N/A,#N/A,FALSE,"Test 120 Day Accts";#N/A,#N/A,FALSE,"Tickmarks"}</definedName>
    <definedName name="trabajo" hidden="1">{#N/A,#N/A,FALSE,"Aging Summary";#N/A,#N/A,FALSE,"Ratio Analysis";#N/A,#N/A,FALSE,"Test 120 Day Accts";#N/A,#N/A,FALSE,"Tickmarks"}</definedName>
    <definedName name="TRABAJO1" hidden="1">{#N/A,#N/A,FALSE,"Aging Summary";#N/A,#N/A,FALSE,"Ratio Analysis";#N/A,#N/A,FALSE,"Test 120 Day Accts";#N/A,#N/A,FALSE,"Tickmarks"}</definedName>
    <definedName name="trans" hidden="1">{"12plazos bs 3eros",#N/A,FALSE,"PRESENTACION BALANCE";"14nota   eoaf",#N/A,FALSE,"PRESENTACION BALANCE";"15operaciones",#N/A,FALSE,"PRESENTACION BALANCE";"13ventas financieros",#N/A,FALSE,"PRESENTACION BALANCE";"eoafconsol",#N/A,FALSE,"reseña";"Rdosconsol",#N/A,FALSE,"reseña";"bceconsol",#N/A,FALSE,"reseña";"22anexoh",#N/A,FALSE,"reseña";"21anexog",#N/A,FALSE,"reseña";"20anexof",#N/A,FALSE,"reseña";"19anexoe",#N/A,FALSE,"reseña";"17ANEXOC",#N/A,FALSE,"reseña";"17ANEXOC",#N/A,FALSE,"reseña";"18ANEXOD",#N/A,FALSE,"reseña";"16ANEXOA",#N/A,FALSE,"reseña";"12plazos bs 3eros",#N/A,FALSE,"reseña";"11nota6a8bscbio ctas por pagar prestamos",#N/A,FALSE,"reseña";"10nota otros creditos",#N/A,FALSE,"reseña";"9nota3y4",#N/A,FALSE,"reseña";"8nota2cont",#N/A,FALSE,"reseña";"1reseña",#N/A,FALSE,"reseña";"7eoaf",#N/A,FALSE,"reseña";"6patrimonioneto",#N/A,FALSE,"reseña";"5estadoresultados",#N/A,FALSE,"reseña";"4balancegral",#N/A,FALSE,"reseña";"3caratula",#N/A,FALSE,"reseña";"2reseña",#N/A,FALSE,"reseña";"81nota1",#N/A,FALSE,"PRESENTACION BALANCE"}</definedName>
    <definedName name="tre" hidden="1">{#N/A,#N/A,FALSE,"Aging Summary";#N/A,#N/A,FALSE,"Ratio Analysis";#N/A,#N/A,FALSE,"Test 120 Day Accts";#N/A,#N/A,FALSE,"Tickmarks"}</definedName>
    <definedName name="trece" hidden="1">{#N/A,#N/A,FALSE,"Aging Summary";#N/A,#N/A,FALSE,"Ratio Analysis";#N/A,#N/A,FALSE,"Test 120 Day Accts";#N/A,#N/A,FALSE,"Tickmarks"}</definedName>
    <definedName name="tret" hidden="1">{#N/A,#N/A,FALSE,"Aging Summary";#N/A,#N/A,FALSE,"Ratio Analysis";#N/A,#N/A,FALSE,"Test 120 Day Accts";#N/A,#N/A,FALSE,"Tickmarks"}</definedName>
    <definedName name="trewterw" hidden="1">{#N/A,#N/A,FALSE,"STRAD";#N/A,#N/A,FALSE,"BELGLO"}</definedName>
    <definedName name="trf" hidden="1">#REF!</definedName>
    <definedName name="trt" hidden="1">{#N/A,#N/A,FALSE,"Aging Summary";#N/A,#N/A,FALSE,"Ratio Analysis";#N/A,#N/A,FALSE,"Test 120 Day Accts";#N/A,#N/A,FALSE,"Tickmarks"}</definedName>
    <definedName name="trtff" hidden="1">{#N/A,#N/A,FALSE,"Aging Summary";#N/A,#N/A,FALSE,"Ratio Analysis";#N/A,#N/A,FALSE,"Test 120 Day Accts";#N/A,#N/A,FALSE,"Tickmarks"}</definedName>
    <definedName name="trtr" hidden="1">{#N/A,#N/A,FALSE,"Aging Summary";#N/A,#N/A,FALSE,"Ratio Analysis";#N/A,#N/A,FALSE,"Test 120 Day Accts";#N/A,#N/A,FALSE,"Tickmarks"}</definedName>
    <definedName name="trtrt" hidden="1">{#N/A,#N/A,FALSE,"Aging Summary";#N/A,#N/A,FALSE,"Ratio Analysis";#N/A,#N/A,FALSE,"Test 120 Day Accts";#N/A,#N/A,FALSE,"Tickmarks"}</definedName>
    <definedName name="TRTT" hidden="1">{#N/A,#N/A,FALSE,"Aging Summary";#N/A,#N/A,FALSE,"Ratio Analysis";#N/A,#N/A,FALSE,"Test 120 Day Accts";#N/A,#N/A,FALSE,"Tickmarks"}</definedName>
    <definedName name="trtyt" hidden="1">{#N/A,#N/A,FALSE,"Aging Summary";#N/A,#N/A,FALSE,"Ratio Analysis";#N/A,#N/A,FALSE,"Test 120 Day Accts";#N/A,#N/A,FALSE,"Tickmarks"}</definedName>
    <definedName name="TRWE" hidden="1">{#N/A,#N/A,FALSE,"Aging Summary";#N/A,#N/A,FALSE,"Ratio Analysis";#N/A,#N/A,FALSE,"Test 120 Day Accts";#N/A,#N/A,FALSE,"Tickmarks"}</definedName>
    <definedName name="try" hidden="1">#REF!</definedName>
    <definedName name="tryrtyyrtyrt" hidden="1">{#N/A,#N/A,FALSE,"STRAD";#N/A,#N/A,FALSE,"BELGLO"}</definedName>
    <definedName name="TRYY" hidden="1">{#N/A,#N/A,FALSE,"Aging Summary";#N/A,#N/A,FALSE,"Ratio Analysis";#N/A,#N/A,FALSE,"Test 120 Day Accts";#N/A,#N/A,FALSE,"Tickmarks"}</definedName>
    <definedName name="TSComerci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Comerciale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 hidden="1">{"custodia",#N/A,FALSE,"Encaje";"encajeprint",#N/A,FALSE,"Encaje"}</definedName>
    <definedName name="tterr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TTG" hidden="1">{#N/A,#N/A,FALSE,"Aging Summary";#N/A,#N/A,FALSE,"Ratio Analysis";#N/A,#N/A,FALSE,"Test 120 Day Accts";#N/A,#N/A,FALSE,"Tickmarks"}</definedName>
    <definedName name="ttgg" hidden="1">{#N/A,#N/A,FALSE,"Aging Summary";#N/A,#N/A,FALSE,"Ratio Analysis";#N/A,#N/A,FALSE,"Test 120 Day Accts";#N/A,#N/A,FALSE,"Tickmarks"}</definedName>
    <definedName name="ttr" hidden="1">{#N/A,#N/A,FALSE,"Aging Summary";#N/A,#N/A,FALSE,"Ratio Analysis";#N/A,#N/A,FALSE,"Test 120 Day Accts";#N/A,#N/A,FALSE,"Tickmarks"}</definedName>
    <definedName name="ttre" hidden="1">2</definedName>
    <definedName name="TTT" hidden="1">{#N/A,#N/A,FALSE,"Aging Summary";#N/A,#N/A,FALSE,"Ratio Analysis";#N/A,#N/A,FALSE,"Test 120 Day Accts";#N/A,#N/A,FALSE,"Tickmarks"}</definedName>
    <definedName name="TTTT" hidden="1">{#N/A,#N/A,FALSE,"Aging Summary";#N/A,#N/A,FALSE,"Ratio Analysis";#N/A,#N/A,FALSE,"Test 120 Day Accts";#N/A,#N/A,FALSE,"Tickmarks"}</definedName>
    <definedName name="TTTTRRR" hidden="1">{#N/A,#N/A,FALSE,"Aging Summary";#N/A,#N/A,FALSE,"Ratio Analysis";#N/A,#N/A,FALSE,"Test 120 Day Accts";#N/A,#N/A,FALSE,"Tickmarks"}</definedName>
    <definedName name="ttttt" hidden="1">{#N/A,#N/A,FALSE,"Aging Summary";#N/A,#N/A,FALSE,"Ratio Analysis";#N/A,#N/A,FALSE,"Test 120 Day Accts";#N/A,#N/A,FALSE,"Tickmarks"}</definedName>
    <definedName name="tttttt" hidden="1">{#N/A,#N/A,FALSE,"Aging Summary";#N/A,#N/A,FALSE,"Ratio Analysis";#N/A,#N/A,FALSE,"Test 120 Day Accts";#N/A,#N/A,FALSE,"Tickmarks"}</definedName>
    <definedName name="tttttttrrrr" hidden="1">#REF!</definedName>
    <definedName name="ttttttttt" hidden="1">{#N/A,#N/A,FALSE,"Aging Summary";#N/A,#N/A,FALSE,"Ratio Analysis";#N/A,#N/A,FALSE,"Test 120 Day Accts";#N/A,#N/A,FALSE,"Tickmarks"}</definedName>
    <definedName name="TTTTTTTTTTT" hidden="1">{#N/A,#N/A,FALSE,"Aging Summary";#N/A,#N/A,FALSE,"Ratio Analysis";#N/A,#N/A,FALSE,"Test 120 Day Accts";#N/A,#N/A,FALSE,"Tickmarks"}</definedName>
    <definedName name="tttttttttttt" hidden="1">{#N/A,#N/A,FALSE,"Aging Summary";#N/A,#N/A,FALSE,"Ratio Analysis";#N/A,#N/A,FALSE,"Test 120 Day Accts";#N/A,#N/A,FALSE,"Tickmarks"}</definedName>
    <definedName name="tttttttttttttt" hidden="1">{#N/A,#N/A,FALSE,"Aging Summary";#N/A,#N/A,FALSE,"Ratio Analysis";#N/A,#N/A,FALSE,"Test 120 Day Accts";#N/A,#N/A,FALSE,"Tickmarks"}</definedName>
    <definedName name="ttttttttttttttt" hidden="1">{#N/A,#N/A,FALSE,"Aging Summary";#N/A,#N/A,FALSE,"Ratio Analysis";#N/A,#N/A,FALSE,"Test 120 Day Accts";#N/A,#N/A,FALSE,"Tickmarks"}</definedName>
    <definedName name="tttttttttttttttt" hidden="1">{#N/A,#N/A,FALSE,"Aging Summary";#N/A,#N/A,FALSE,"Ratio Analysis";#N/A,#N/A,FALSE,"Test 120 Day Accts";#N/A,#N/A,FALSE,"Tickmarks"}</definedName>
    <definedName name="ttttttttttttttttt" hidden="1">{#N/A,#N/A,FALSE,"Aging Summary";#N/A,#N/A,FALSE,"Ratio Analysis";#N/A,#N/A,FALSE,"Test 120 Day Accts";#N/A,#N/A,FALSE,"Tickmarks"}</definedName>
    <definedName name="tttttttttttttttttt" hidden="1">{#N/A,#N/A,FALSE,"Aging Summary";#N/A,#N/A,FALSE,"Ratio Analysis";#N/A,#N/A,FALSE,"Test 120 Day Accts";#N/A,#N/A,FALSE,"Tickmarks"}</definedName>
    <definedName name="ttttttttttttttttttt" hidden="1">{#N/A,#N/A,FALSE,"Aging Summary";#N/A,#N/A,FALSE,"Ratio Analysis";#N/A,#N/A,FALSE,"Test 120 Day Accts";#N/A,#N/A,FALSE,"Tickmarks"}</definedName>
    <definedName name="tty" hidden="1">{#N/A,#N/A,FALSE,"Aging Summary";#N/A,#N/A,FALSE,"Ratio Analysis";#N/A,#N/A,FALSE,"Test 120 Day Accts";#N/A,#N/A,FALSE,"Tickmarks"}</definedName>
    <definedName name="tuii" hidden="1">{#N/A,#N/A,FALSE,"Aging Summary";#N/A,#N/A,FALSE,"Ratio Analysis";#N/A,#N/A,FALSE,"Test 120 Day Accts";#N/A,#N/A,FALSE,"Tickmarks"}</definedName>
    <definedName name="tututu" hidden="1">{#N/A,#N/A,FALSE,"Aging Summary";#N/A,#N/A,FALSE,"Ratio Analysis";#N/A,#N/A,FALSE,"Test 120 Day Accts";#N/A,#N/A,FALSE,"Tickmarks"}</definedName>
    <definedName name="tuyesd" hidden="1">{#N/A,#N/A,FALSE,"Aging Summary";#N/A,#N/A,FALSE,"Ratio Analysis";#N/A,#N/A,FALSE,"Test 120 Day Accts";#N/A,#N/A,FALSE,"Tickmarks"}</definedName>
    <definedName name="tuyio" hidden="1">{#N/A,#N/A,FALSE,"Aging Summary";#N/A,#N/A,FALSE,"Ratio Analysis";#N/A,#N/A,FALSE,"Test 120 Day Accts";#N/A,#N/A,FALSE,"Tickmarks"}</definedName>
    <definedName name="twotj" hidden="1">#REF!</definedName>
    <definedName name="twotkjw" hidden="1">#REF!</definedName>
    <definedName name="twtj" hidden="1">#REF!</definedName>
    <definedName name="t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tyanina" hidden="1">{#N/A,#N/A,FALSE,"Aging Summary";#N/A,#N/A,FALSE,"Ratio Analysis";#N/A,#N/A,FALSE,"Test 120 Day Accts";#N/A,#N/A,FALSE,"Tickmarks"}</definedName>
    <definedName name="TYGFT" hidden="1">{#N/A,#N/A,FALSE,"Aging Summary";#N/A,#N/A,FALSE,"Ratio Analysis";#N/A,#N/A,FALSE,"Test 120 Day Accts";#N/A,#N/A,FALSE,"Tickmarks"}</definedName>
    <definedName name="tyhh" hidden="1">{#N/A,#N/A,FALSE,"Aging Summary";#N/A,#N/A,FALSE,"Ratio Analysis";#N/A,#N/A,FALSE,"Test 120 Day Accts";#N/A,#N/A,FALSE,"Tickmarks"}</definedName>
    <definedName name="tyrrtwew" hidden="1">{#N/A,#N/A,FALSE,"STRAD";#N/A,#N/A,FALSE,"BELGLO"}</definedName>
    <definedName name="tyrtyrtyrt" hidden="1">{#N/A,#N/A,FALSE,"STRAD";#N/A,#N/A,FALSE,"BELGLO"}</definedName>
    <definedName name="TYRYR" hidden="1">{#N/A,#N/A,FALSE,"Aging Summary";#N/A,#N/A,FALSE,"Ratio Analysis";#N/A,#N/A,FALSE,"Test 120 Day Accts";#N/A,#N/A,FALSE,"Tickmarks"}</definedName>
    <definedName name="TYT" hidden="1">{#N/A,#N/A,FALSE,"Aging Summary";#N/A,#N/A,FALSE,"Ratio Analysis";#N/A,#N/A,FALSE,"Test 120 Day Accts";#N/A,#N/A,FALSE,"Tickmarks"}</definedName>
    <definedName name="tyty" hidden="1">{#N/A,#N/A,FALSE,"Aging Summary";#N/A,#N/A,FALSE,"Ratio Analysis";#N/A,#N/A,FALSE,"Test 120 Day Accts";#N/A,#N/A,FALSE,"Tickmarks"}</definedName>
    <definedName name="tytytyt" hidden="1">{#N/A,#N/A,FALSE,"Aging Summary";#N/A,#N/A,FALSE,"Ratio Analysis";#N/A,#N/A,FALSE,"Test 120 Day Accts";#N/A,#N/A,FALSE,"Tickmarks"}</definedName>
    <definedName name="tytytytytyty" hidden="1">{"'DIFPRE'!$A$2:$M$54"}</definedName>
    <definedName name="tytyuu" hidden="1">{#N/A,#N/A,FALSE,"Aging Summary";#N/A,#N/A,FALSE,"Ratio Analysis";#N/A,#N/A,FALSE,"Test 120 Day Accts";#N/A,#N/A,FALSE,"Tickmarks"}</definedName>
    <definedName name="TYU" hidden="1">{#N/A,#N/A,FALSE,"Aging Summary";#N/A,#N/A,FALSE,"Ratio Analysis";#N/A,#N/A,FALSE,"Test 120 Day Accts";#N/A,#N/A,FALSE,"Tickmarks"}</definedName>
    <definedName name="TYYY" hidden="1">{#N/A,#N/A,FALSE,"Aging Summary";#N/A,#N/A,FALSE,"Ratio Analysis";#N/A,#N/A,FALSE,"Test 120 Day Accts";#N/A,#N/A,FALSE,"Tickmarks"}</definedName>
    <definedName name="u" hidden="1">#REF!</definedName>
    <definedName name="u7u7u" hidden="1">{#N/A,#N/A,FALSE,"Aging Summary";#N/A,#N/A,FALSE,"Ratio Analysis";#N/A,#N/A,FALSE,"Test 120 Day Accts";#N/A,#N/A,FALSE,"Tickmarks"}</definedName>
    <definedName name="u7u7u7" hidden="1">{#N/A,#N/A,FALSE,"Aging Summary";#N/A,#N/A,FALSE,"Ratio Analysis";#N/A,#N/A,FALSE,"Test 120 Day Accts";#N/A,#N/A,FALSE,"Tickmarks"}</definedName>
    <definedName name="ucenuec" hidden="1">#REF!</definedName>
    <definedName name="uceuce" hidden="1">#REF!</definedName>
    <definedName name="ucneuce" hidden="1">#REF!</definedName>
    <definedName name="udanusd8" hidden="1">{#N/A,#N/A,FALSE,"Aging Summary";#N/A,#N/A,FALSE,"Ratio Analysis";#N/A,#N/A,FALSE,"Test 120 Day Accts";#N/A,#N/A,FALSE,"Tickmarks"}</definedName>
    <definedName name="udwquhdq" hidden="1">#REF!</definedName>
    <definedName name="ueirt" hidden="1">{#N/A,#N/A,FALSE,"Aging Summary";#N/A,#N/A,FALSE,"Ratio Analysis";#N/A,#N/A,FALSE,"Test 120 Day Accts";#N/A,#N/A,FALSE,"Tickmarks"}</definedName>
    <definedName name="uerse" hidden="1">{#N/A,#N/A,FALSE,"Aging Summary";#N/A,#N/A,FALSE,"Ratio Analysis";#N/A,#N/A,FALSE,"Test 120 Day Accts";#N/A,#N/A,FALSE,"Tickmarks"}</definedName>
    <definedName name="uff" hidden="1">{#N/A,#N/A,FALSE,"Aging Summary";#N/A,#N/A,FALSE,"Ratio Analysis";#N/A,#N/A,FALSE,"Test 120 Day Accts";#N/A,#N/A,FALSE,"Tickmarks"}</definedName>
    <definedName name="uffff" hidden="1">{#N/A,#N/A,FALSE,"Aging Summary";#N/A,#N/A,FALSE,"Ratio Analysis";#N/A,#N/A,FALSE,"Test 120 Day Accts";#N/A,#N/A,FALSE,"Tickmarks"}</definedName>
    <definedName name="ufhuwfew" hidden="1">{#N/A,#N/A,FALSE,"Aging Summary";#N/A,#N/A,FALSE,"Ratio Analysis";#N/A,#N/A,FALSE,"Test 120 Day Accts";#N/A,#N/A,FALSE,"Tickmarks"}</definedName>
    <definedName name="ufwhw" hidden="1">#REF!</definedName>
    <definedName name="uh" hidden="1">{#N/A,#N/A,FALSE,"Aging Summary";#N/A,#N/A,FALSE,"Ratio Analysis";#N/A,#N/A,FALSE,"Test 120 Day Accts";#N/A,#N/A,FALSE,"Tickmarks"}</definedName>
    <definedName name="UHG" hidden="1">{#N/A,#N/A,FALSE,"Aging Summary";#N/A,#N/A,FALSE,"Ratio Analysis";#N/A,#N/A,FALSE,"Test 120 Day Accts";#N/A,#N/A,FALSE,"Tickmarks"}</definedName>
    <definedName name="uhj" hidden="1">{#N/A,#N/A,FALSE,"Aging Summary";#N/A,#N/A,FALSE,"Ratio Analysis";#N/A,#N/A,FALSE,"Test 120 Day Accts";#N/A,#N/A,FALSE,"Tickmarks"}</definedName>
    <definedName name="UHJHJ" hidden="1">{#N/A,#N/A,FALSE,"Aging Summary";#N/A,#N/A,FALSE,"Ratio Analysis";#N/A,#N/A,FALSE,"Test 120 Day Accts";#N/A,#N/A,FALSE,"Tickmarks"}</definedName>
    <definedName name="ui"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UII" hidden="1">{#N/A,#N/A,FALSE,"Aging Summary";#N/A,#N/A,FALSE,"Ratio Analysis";#N/A,#N/A,FALSE,"Test 120 Day Accts";#N/A,#N/A,FALSE,"Tickmarks"}</definedName>
    <definedName name="uiii" hidden="1">{#N/A,#N/A,FALSE,"Aging Summary";#N/A,#N/A,FALSE,"Ratio Analysis";#N/A,#N/A,FALSE,"Test 120 Day Accts";#N/A,#N/A,FALSE,"Tickmarks"}</definedName>
    <definedName name="uiik" hidden="1">{#N/A,#N/A,FALSE,"Aging Summary";#N/A,#N/A,FALSE,"Ratio Analysis";#N/A,#N/A,FALSE,"Test 120 Day Accts";#N/A,#N/A,FALSE,"Tickmarks"}</definedName>
    <definedName name="UIKK" hidden="1">{#N/A,#N/A,FALSE,"Aging Summary";#N/A,#N/A,FALSE,"Ratio Analysis";#N/A,#N/A,FALSE,"Test 120 Day Accts";#N/A,#N/A,FALSE,"Tickmarks"}</definedName>
    <definedName name="UIO" hidden="1">{#N/A,#N/A,FALSE,"Aging Summary";#N/A,#N/A,FALSE,"Ratio Analysis";#N/A,#N/A,FALSE,"Test 120 Day Accts";#N/A,#N/A,FALSE,"Tickmarks"}</definedName>
    <definedName name="UIOÇKL" hidden="1">{#N/A,#N/A,FALSE,"Aging Summary";#N/A,#N/A,FALSE,"Ratio Analysis";#N/A,#N/A,FALSE,"Test 120 Day Accts";#N/A,#N/A,FALSE,"Tickmarks"}</definedName>
    <definedName name="uiooyttt" hidden="1">{#N/A,#N/A,FALSE,"Aging Summary";#N/A,#N/A,FALSE,"Ratio Analysis";#N/A,#N/A,FALSE,"Test 120 Day Accts";#N/A,#N/A,FALSE,"Tickmarks"}</definedName>
    <definedName name="uioy" hidden="1">{#N/A,#N/A,FALSE,"Aging Summary";#N/A,#N/A,FALSE,"Ratio Analysis";#N/A,#N/A,FALSE,"Test 120 Day Accts";#N/A,#N/A,FALSE,"Tickmarks"}</definedName>
    <definedName name="UIU" hidden="1">{#N/A,#N/A,FALSE,"Aging Summary";#N/A,#N/A,FALSE,"Ratio Analysis";#N/A,#N/A,FALSE,"Test 120 Day Accts";#N/A,#N/A,FALSE,"Tickmarks"}</definedName>
    <definedName name="uiui" hidden="1">{#N/A,#N/A,FALSE,"Aging Summary";#N/A,#N/A,FALSE,"Ratio Analysis";#N/A,#N/A,FALSE,"Test 120 Day Accts";#N/A,#N/A,FALSE,"Tickmarks"}</definedName>
    <definedName name="uiuiui" hidden="1">{#N/A,#N/A,FALSE,"Aging Summary";#N/A,#N/A,FALSE,"Ratio Analysis";#N/A,#N/A,FALSE,"Test 120 Day Accts";#N/A,#N/A,FALSE,"Tickmarks"}</definedName>
    <definedName name="uiyioy" hidden="1">{#N/A,#N/A,FALSE,"Aging Summary";#N/A,#N/A,FALSE,"Ratio Analysis";#N/A,#N/A,FALSE,"Test 120 Day Accts";#N/A,#N/A,FALSE,"Tickmarks"}</definedName>
    <definedName name="uiyrt" hidden="1">{#N/A,#N/A,FALSE,"Aging Summary";#N/A,#N/A,FALSE,"Ratio Analysis";#N/A,#N/A,FALSE,"Test 120 Day Accts";#N/A,#N/A,FALSE,"Tickmarks"}</definedName>
    <definedName name="UJ" hidden="1">{#N/A,#N/A,FALSE,"Aging Summary";#N/A,#N/A,FALSE,"Ratio Analysis";#N/A,#N/A,FALSE,"Test 120 Day Accts";#N/A,#N/A,FALSE,"Tickmarks"}</definedName>
    <definedName name="ujj" hidden="1">{#N/A,#N/A,FALSE,"Aging Summary";#N/A,#N/A,FALSE,"Ratio Analysis";#N/A,#N/A,FALSE,"Test 120 Day Accts";#N/A,#N/A,FALSE,"Tickmarks"}</definedName>
    <definedName name="ujjj" hidden="1">{#N/A,#N/A,FALSE,"Aging Summary";#N/A,#N/A,FALSE,"Ratio Analysis";#N/A,#N/A,FALSE,"Test 120 Day Accts";#N/A,#N/A,FALSE,"Tickmarks"}</definedName>
    <definedName name="UJJJJJJJ" hidden="1">{#N/A,#N/A,FALSE,"Aging Summary";#N/A,#N/A,FALSE,"Ratio Analysis";#N/A,#N/A,FALSE,"Test 120 Day Accts";#N/A,#N/A,FALSE,"Tickmarks"}</definedName>
    <definedName name="UL" hidden="1">{#N/A,#N/A,FALSE,"Aging Summary";#N/A,#N/A,FALSE,"Ratio Analysis";#N/A,#N/A,FALSE,"Test 120 Day Accts";#N/A,#N/A,FALSE,"Tickmarks"}</definedName>
    <definedName name="Umbral" hidden="1">#REF!</definedName>
    <definedName name="Umbral2" hidden="1">"AS2DocumentBrowse"</definedName>
    <definedName name="Umbraliva" hidden="1">"AS2DocumentBrowse"</definedName>
    <definedName name="una" hidden="1">{#N/A,#N/A,FALSE,"Aging Summary";#N/A,#N/A,FALSE,"Ratio Analysis";#N/A,#N/A,FALSE,"Test 120 Day Accts";#N/A,#N/A,FALSE,"Tickmarks"}</definedName>
    <definedName name="unamas" hidden="1">{#N/A,#N/A,FALSE,"Aging Summary";#N/A,#N/A,FALSE,"Ratio Analysis";#N/A,#N/A,FALSE,"Test 120 Day Accts";#N/A,#N/A,FALSE,"Tickmarks"}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ou" hidden="1">{#N/A,#N/A,FALSE,"Aging Summary";#N/A,#N/A,FALSE,"Ratio Analysis";#N/A,#N/A,FALSE,"Test 120 Day Accts";#N/A,#N/A,FALSE,"Tickmarks"}</definedName>
    <definedName name="unoun" hidden="1">{#N/A,#N/A,FALSE,"Aging Summary";#N/A,#N/A,FALSE,"Ratio Analysis";#N/A,#N/A,FALSE,"Test 120 Day Accts";#N/A,#N/A,FALSE,"Tickmarks"}</definedName>
    <definedName name="uololo" hidden="1">{#N/A,#N/A,FALSE,"Aging Summary";#N/A,#N/A,FALSE,"Ratio Analysis";#N/A,#N/A,FALSE,"Test 120 Day Accts";#N/A,#N/A,FALSE,"Tickmarks"}</definedName>
    <definedName name="UOO" hidden="1">{#N/A,#N/A,FALSE,"Aging Summary";#N/A,#N/A,FALSE,"Ratio Analysis";#N/A,#N/A,FALSE,"Test 120 Day Accts";#N/A,#N/A,FALSE,"Tickmarks"}</definedName>
    <definedName name="UOOJ" hidden="1">{#N/A,#N/A,FALSE,"Aging Summary";#N/A,#N/A,FALSE,"Ratio Analysis";#N/A,#N/A,FALSE,"Test 120 Day Accts";#N/A,#N/A,FALSE,"Tickmarks"}</definedName>
    <definedName name="UOUOO" hidden="1">{#N/A,#N/A,FALSE,"Aging Summary";#N/A,#N/A,FALSE,"Ratio Analysis";#N/A,#N/A,FALSE,"Test 120 Day Accts";#N/A,#N/A,FALSE,"Tickmarks"}</definedName>
    <definedName name="UQQB" hidden="1">{#N/A,#N/A,FALSE,"Aging Summary";#N/A,#N/A,FALSE,"Ratio Analysis";#N/A,#N/A,FALSE,"Test 120 Day Accts";#N/A,#N/A,FALSE,"Tickmarks"}</definedName>
    <definedName name="UQUQ" hidden="1">{#N/A,#N/A,FALSE,"Aging Summary";#N/A,#N/A,FALSE,"Ratio Analysis";#N/A,#N/A,FALSE,"Test 120 Day Accts";#N/A,#N/A,FALSE,"Tickmarks"}</definedName>
    <definedName name="uqwihdq3" hidden="1">#REF!</definedName>
    <definedName name="ushquwhsq" hidden="1">{#N/A,#N/A,FALSE,"Aging Summary";#N/A,#N/A,FALSE,"Ratio Analysis";#N/A,#N/A,FALSE,"Test 120 Day Accts";#N/A,#N/A,FALSE,"Tickmarks"}</definedName>
    <definedName name="uso" hidden="1">{#N/A,#N/A,FALSE,"balance";#N/A,#N/A,FALSE,"resultados";#N/A,#N/A,FALSE,"patrimonio";#N/A,#N/A,FALSE,"bienes uso";#N/A,#N/A,FALSE,"art.64"}</definedName>
    <definedName name="utyuu" hidden="1">{#N/A,#N/A,FALSE,"Aging Summary";#N/A,#N/A,FALSE,"Ratio Analysis";#N/A,#N/A,FALSE,"Test 120 Day Accts";#N/A,#N/A,FALSE,"Tickmarks"}</definedName>
    <definedName name="uu" hidden="1">{"'DIFPRE'!$A$2:$M$54"}</definedName>
    <definedName name="uuii" hidden="1">{#N/A,#N/A,FALSE,"Aging Summary";#N/A,#N/A,FALSE,"Ratio Analysis";#N/A,#N/A,FALSE,"Test 120 Day Accts";#N/A,#N/A,FALSE,"Tickmarks"}</definedName>
    <definedName name="uuj" hidden="1">{#N/A,#N/A,FALSE,"Aging Summary";#N/A,#N/A,FALSE,"Ratio Analysis";#N/A,#N/A,FALSE,"Test 120 Day Accts";#N/A,#N/A,FALSE,"Tickmarks"}</definedName>
    <definedName name="UUJJ" hidden="1">{#N/A,#N/A,FALSE,"Aging Summary";#N/A,#N/A,FALSE,"Ratio Analysis";#N/A,#N/A,FALSE,"Test 120 Day Accts";#N/A,#N/A,FALSE,"Tickmarks"}</definedName>
    <definedName name="uutyu" hidden="1">{#N/A,#N/A,FALSE,"Aging Summary";#N/A,#N/A,FALSE,"Ratio Analysis";#N/A,#N/A,FALSE,"Test 120 Day Accts";#N/A,#N/A,FALSE,"Tickmarks"}</definedName>
    <definedName name="uuu" hidden="1">{#N/A,#N/A,FALSE,"Aging Summary";#N/A,#N/A,FALSE,"Ratio Analysis";#N/A,#N/A,FALSE,"Test 120 Day Accts";#N/A,#N/A,FALSE,"Tickmarks"}</definedName>
    <definedName name="uuuu" hidden="1">#REF!</definedName>
    <definedName name="uuuuuu" hidden="1">{#N/A,#N/A,FALSE,"Aging Summary";#N/A,#N/A,FALSE,"Ratio Analysis";#N/A,#N/A,FALSE,"Test 120 Day Accts";#N/A,#N/A,FALSE,"Tickmarks"}</definedName>
    <definedName name="uuuuuuuu" hidden="1">{#N/A,#N/A,FALSE,"Aging Summary";#N/A,#N/A,FALSE,"Ratio Analysis";#N/A,#N/A,FALSE,"Test 120 Day Accts";#N/A,#N/A,FALSE,"Tickmarks"}</definedName>
    <definedName name="UUUUUUUUUU" hidden="1">{#N/A,#N/A,FALSE,"Aging Summary";#N/A,#N/A,FALSE,"Ratio Analysis";#N/A,#N/A,FALSE,"Test 120 Day Accts";#N/A,#N/A,FALSE,"Tickmarks"}</definedName>
    <definedName name="uuuuuuuuuuu" hidden="1">{#N/A,#N/A,FALSE,"Aging Summary";#N/A,#N/A,FALSE,"Ratio Analysis";#N/A,#N/A,FALSE,"Test 120 Day Accts";#N/A,#N/A,FALSE,"Tickmarks"}</definedName>
    <definedName name="uuuuuuuuuuuuu" hidden="1">{#N/A,#N/A,FALSE,"Aging Summary";#N/A,#N/A,FALSE,"Ratio Analysis";#N/A,#N/A,FALSE,"Test 120 Day Accts";#N/A,#N/A,FALSE,"Tickmarks"}</definedName>
    <definedName name="UUUUUUUUUUUUUU" hidden="1">{#N/A,#N/A,FALSE,"Aging Summary";#N/A,#N/A,FALSE,"Ratio Analysis";#N/A,#N/A,FALSE,"Test 120 Day Accts";#N/A,#N/A,FALSE,"Tickmarks"}</definedName>
    <definedName name="uuuuuuuuuuuuuuu" hidden="1">{#N/A,#N/A,FALSE,"Aging Summary";#N/A,#N/A,FALSE,"Ratio Analysis";#N/A,#N/A,FALSE,"Test 120 Day Accts";#N/A,#N/A,FALSE,"Tickmarks"}</definedName>
    <definedName name="uuuuuuuuuuuuuuuu" hidden="1">{#N/A,#N/A,FALSE,"Aging Summary";#N/A,#N/A,FALSE,"Ratio Analysis";#N/A,#N/A,FALSE,"Test 120 Day Accts";#N/A,#N/A,FALSE,"Tickmarks"}</definedName>
    <definedName name="uuuuuuuuuuuuuuuuu" hidden="1">{#N/A,#N/A,FALSE,"Aging Summary";#N/A,#N/A,FALSE,"Ratio Analysis";#N/A,#N/A,FALSE,"Test 120 Day Accts";#N/A,#N/A,FALSE,"Tickmarks"}</definedName>
    <definedName name="uuuuuuuuuuuuuuuuuu" hidden="1">{#N/A,#N/A,FALSE,"Aging Summary";#N/A,#N/A,FALSE,"Ratio Analysis";#N/A,#N/A,FALSE,"Test 120 Day Accts";#N/A,#N/A,FALSE,"Tickmarks"}</definedName>
    <definedName name="UUUUY" hidden="1">{#N/A,#N/A,FALSE,"Aging Summary";#N/A,#N/A,FALSE,"Ratio Analysis";#N/A,#N/A,FALSE,"Test 120 Day Accts";#N/A,#N/A,FALSE,"Tickmarks"}</definedName>
    <definedName name="UUUYU" hidden="1">{#N/A,#N/A,FALSE,"Aging Summary";#N/A,#N/A,FALSE,"Ratio Analysis";#N/A,#N/A,FALSE,"Test 120 Day Accts";#N/A,#N/A,FALSE,"Tickmarks"}</definedName>
    <definedName name="uuy" hidden="1">{#N/A,#N/A,FALSE,"Aging Summary";#N/A,#N/A,FALSE,"Ratio Analysis";#N/A,#N/A,FALSE,"Test 120 Day Accts";#N/A,#N/A,FALSE,"Tickmarks"}</definedName>
    <definedName name="uv" hidden="1">#REF!</definedName>
    <definedName name="uwfwf" hidden="1">#REF!</definedName>
    <definedName name="uwuwuw" hidden="1">{#N/A,#N/A,FALSE,"Aging Summary";#N/A,#N/A,FALSE,"Ratio Analysis";#N/A,#N/A,FALSE,"Test 120 Day Accts";#N/A,#N/A,FALSE,"Tickmarks"}</definedName>
    <definedName name="uyeas" hidden="1">{#N/A,#N/A,FALSE,"Aging Summary";#N/A,#N/A,FALSE,"Ratio Analysis";#N/A,#N/A,FALSE,"Test 120 Day Accts";#N/A,#N/A,FALSE,"Tickmarks"}</definedName>
    <definedName name="uyh" hidden="1">{#N/A,#N/A,FALSE,"Aging Summary";#N/A,#N/A,FALSE,"Ratio Analysis";#N/A,#N/A,FALSE,"Test 120 Day Accts";#N/A,#N/A,FALSE,"Tickmarks"}</definedName>
    <definedName name="uyii" hidden="1">{#N/A,#N/A,FALSE,"Aging Summary";#N/A,#N/A,FALSE,"Ratio Analysis";#N/A,#N/A,FALSE,"Test 120 Day Accts";#N/A,#N/A,FALSE,"Tickmarks"}</definedName>
    <definedName name="uyiop" hidden="1">{#N/A,#N/A,FALSE,"Aging Summary";#N/A,#N/A,FALSE,"Ratio Analysis";#N/A,#N/A,FALSE,"Test 120 Day Accts";#N/A,#N/A,FALSE,"Tickmarks"}</definedName>
    <definedName name="uyiuiu" hidden="1">{#N/A,#N/A,FALSE,"Aging Summary";#N/A,#N/A,FALSE,"Ratio Analysis";#N/A,#N/A,FALSE,"Test 120 Day Accts";#N/A,#N/A,FALSE,"Tickmarks"}</definedName>
    <definedName name="uyrff" hidden="1">{#N/A,#N/A,FALSE,"Aging Summary";#N/A,#N/A,FALSE,"Ratio Analysis";#N/A,#N/A,FALSE,"Test 120 Day Accts";#N/A,#N/A,FALSE,"Tickmarks"}</definedName>
    <definedName name="uyrr" hidden="1">{#N/A,#N/A,FALSE,"Aging Summary";#N/A,#N/A,FALSE,"Ratio Analysis";#N/A,#N/A,FALSE,"Test 120 Day Accts";#N/A,#N/A,FALSE,"Tickmarks"}</definedName>
    <definedName name="uyuu" hidden="1">{#N/A,#N/A,FALSE,"Aging Summary";#N/A,#N/A,FALSE,"Ratio Analysis";#N/A,#N/A,FALSE,"Test 120 Day Accts";#N/A,#N/A,FALSE,"Tickmarks"}</definedName>
    <definedName name="uyuyu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uyy" hidden="1">{#N/A,#N/A,FALSE,"Aging Summary";#N/A,#N/A,FALSE,"Ratio Analysis";#N/A,#N/A,FALSE,"Test 120 Day Accts";#N/A,#N/A,FALSE,"Tickmarks"}</definedName>
    <definedName name="UYYH" hidden="1">{#N/A,#N/A,FALSE,"Aging Summary";#N/A,#N/A,FALSE,"Ratio Analysis";#N/A,#N/A,FALSE,"Test 120 Day Accts";#N/A,#N/A,FALSE,"Tickmarks"}</definedName>
    <definedName name="uyyy" hidden="1">{#N/A,#N/A,FALSE,"Aging Summary";#N/A,#N/A,FALSE,"Ratio Analysis";#N/A,#N/A,FALSE,"Test 120 Day Accts";#N/A,#N/A,FALSE,"Tickmarks"}</definedName>
    <definedName name="vaaaa" hidden="1">{#N/A,#N/A,FALSE,"Aging Summary";#N/A,#N/A,FALSE,"Ratio Analysis";#N/A,#N/A,FALSE,"Test 120 Day Accts";#N/A,#N/A,FALSE,"Tickmarks"}</definedName>
    <definedName name="Vacaciones" hidden="1">{#N/A,#N/A,FALSE,"Aging Summary";#N/A,#N/A,FALSE,"Ratio Analysis";#N/A,#N/A,FALSE,"Test 120 Day Accts";#N/A,#N/A,FALSE,"Tickmarks"}</definedName>
    <definedName name="vale" hidden="1">{"Schedule_1B",#N/A,FALSE,"I-B"}</definedName>
    <definedName name="vavava" hidden="1">{#N/A,#N/A,FALSE,"Studies Manpower Summary";#N/A,#N/A,FALSE,"04_36 Studies Detail";#N/A,#N/A,FALSE,"04_36  Studies Narrative";#N/A,#N/A,FALSE,"05_36 Studies Detail ";#N/A,#N/A,FALSE,"05_36 Studies Narrative";#N/A,#N/A,FALSE,"Getuo Studies Detail";#N/A,#N/A,FALSE,"Getuo Studies Narrative";#N/A,#N/A,FALSE,"Laopu Studies Detail";#N/A,#N/A,FALSE,"Laopu Studies Narrative";#N/A,#N/A,FALSE,"27_11 Studies Detail ";#N/A,#N/A,FALSE,"27_11 Studies Narrative";#N/A,#N/A,FALSE,"15_35 Studies Detail";#N/A,#N/A,FALSE,"15_35  Studies Narrative "}</definedName>
    <definedName name="vb" hidden="1">{#N/A,#N/A,FALSE,"Aging Summary";#N/A,#N/A,FALSE,"Ratio Analysis";#N/A,#N/A,FALSE,"Test 120 Day Accts";#N/A,#N/A,FALSE,"Tickmarks"}</definedName>
    <definedName name="vbrurv" hidden="1">#REF!</definedName>
    <definedName name="vbubrr" hidden="1">#REF!</definedName>
    <definedName name="vbvb" hidden="1">{#N/A,#N/A,FALSE,"Aging Summary";#N/A,#N/A,FALSE,"Ratio Analysis";#N/A,#N/A,FALSE,"Test 120 Day Accts";#N/A,#N/A,FALSE,"Tickmarks"}</definedName>
    <definedName name="vcjwijw" hidden="1">#REF!</definedName>
    <definedName name="vcvcv" hidden="1">{#N/A,#N/A,FALSE,"Aging Summary";#N/A,#N/A,FALSE,"Ratio Analysis";#N/A,#N/A,FALSE,"Test 120 Day Accts";#N/A,#N/A,FALSE,"Tickmarks"}</definedName>
    <definedName name="vcvcvcvc" hidden="1">{#N/A,#N/A,FALSE,"Aging Summary";#N/A,#N/A,FALSE,"Ratio Analysis";#N/A,#N/A,FALSE,"Test 120 Day Accts";#N/A,#N/A,FALSE,"Tickmarks"}</definedName>
    <definedName name="vddddddddddddddddddddddd" hidden="1">{#N/A,#N/A,FALSE,"Aging Summary";#N/A,#N/A,FALSE,"Ratio Analysis";#N/A,#N/A,FALSE,"Test 120 Day Accts";#N/A,#N/A,FALSE,"Tickmarks"}</definedName>
    <definedName name="vdvdfv" hidden="1">{#N/A,#N/A,FALSE,"Aging Summary";#N/A,#N/A,FALSE,"Ratio Analysis";#N/A,#N/A,FALSE,"Test 120 Day Accts";#N/A,#N/A,FALSE,"Tickmarks"}</definedName>
    <definedName name="vdvfdv" hidden="1">{#N/A,#N/A,FALSE,"Aging Summary";#N/A,#N/A,FALSE,"Ratio Analysis";#N/A,#N/A,FALSE,"Test 120 Day Accts";#N/A,#N/A,FALSE,"Tickmarks"}</definedName>
    <definedName name="VDVFF" hidden="1">#REF!</definedName>
    <definedName name="VDVV" hidden="1">{#N/A,#N/A,FALSE,"Aging Summary";#N/A,#N/A,FALSE,"Ratio Analysis";#N/A,#N/A,FALSE,"Test 120 Day Accts";#N/A,#N/A,FALSE,"Tickmarks"}</definedName>
    <definedName name="VDVXV" hidden="1">{#N/A,#N/A,FALSE,"Aging Summary";#N/A,#N/A,FALSE,"Ratio Analysis";#N/A,#N/A,FALSE,"Test 120 Day Accts";#N/A,#N/A,FALSE,"Tickmarks"}</definedName>
    <definedName name="VE" hidden="1">{#N/A,#N/A,FALSE,"Aging Summary";#N/A,#N/A,FALSE,"Ratio Analysis";#N/A,#N/A,FALSE,"Test 120 Day Accts";#N/A,#N/A,FALSE,"Tickmarks"}</definedName>
    <definedName name="veeeee" hidden="1">{#N/A,#N/A,FALSE,"Aging Summary";#N/A,#N/A,FALSE,"Ratio Analysis";#N/A,#N/A,FALSE,"Test 120 Day Accts";#N/A,#N/A,FALSE,"Tickmarks"}</definedName>
    <definedName name="vehdkas" hidden="1">{#N/A,#N/A,FALSE,"Aging Summary";#N/A,#N/A,FALSE,"Ratio Analysis";#N/A,#N/A,FALSE,"Test 120 Day Accts";#N/A,#N/A,FALSE,"Tickmarks"}</definedName>
    <definedName name="veirjerv" hidden="1">{#N/A,#N/A,FALSE,"Aging Summary";#N/A,#N/A,FALSE,"Ratio Analysis";#N/A,#N/A,FALSE,"Test 120 Day Accts";#N/A,#N/A,FALSE,"Tickmarks"}</definedName>
    <definedName name="vekp" hidden="1">{#N/A,#N/A,FALSE,"Aging Summary";#N/A,#N/A,FALSE,"Ratio Analysis";#N/A,#N/A,FALSE,"Test 120 Day Accts";#N/A,#N/A,FALSE,"Tickmarks"}</definedName>
    <definedName name="Ventas" hidden="1">{"Monthly",#N/A,FALSE,"Phosphate Gross Profit";"Quarterly",#N/A,FALSE,"Phosphate Gross Profit"}</definedName>
    <definedName name="veorvoe" hidden="1">{#N/A,#N/A,FALSE,"Aging Summary";#N/A,#N/A,FALSE,"Ratio Analysis";#N/A,#N/A,FALSE,"Test 120 Day Accts";#N/A,#N/A,FALSE,"Tickmarks"}</definedName>
    <definedName name="ver" hidden="1">{#N/A,#N/A,FALSE,"Aging Summary";#N/A,#N/A,FALSE,"Ratio Analysis";#N/A,#N/A,FALSE,"Test 120 Day Accts";#N/A,#N/A,FALSE,"Tickmarks"}</definedName>
    <definedName name="vergqr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i" hidden="1">{#N/A,#N/A,FALSE,"Aging Summary";#N/A,#N/A,FALSE,"Ratio Analysis";#N/A,#N/A,FALSE,"Test 120 Day Accts";#N/A,#N/A,FALSE,"Tickmarks"}</definedName>
    <definedName name="vero" hidden="1">#REF!</definedName>
    <definedName name="vero1" hidden="1">{#N/A,#N/A,FALSE,"Aging Summary";#N/A,#N/A,FALSE,"Ratio Analysis";#N/A,#N/A,FALSE,"Test 120 Day Accts";#N/A,#N/A,FALSE,"Tickmarks"}</definedName>
    <definedName name="VERO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RON" hidden="1">#REF!</definedName>
    <definedName name="vez" hidden="1">{#N/A,#N/A,FALSE,"Aging Summary";#N/A,#N/A,FALSE,"Ratio Analysis";#N/A,#N/A,FALSE,"Test 120 Day Accts";#N/A,#N/A,FALSE,"Tickmarks"}</definedName>
    <definedName name="vfvfv" hidden="1">{#N/A,#N/A,FALSE,"Aging Summary";#N/A,#N/A,FALSE,"Ratio Analysis";#N/A,#N/A,FALSE,"Test 120 Day Accts";#N/A,#N/A,FALSE,"Tickmarks"}</definedName>
    <definedName name="vfvfvfvfv" hidden="1">{#N/A,#N/A,FALSE,"Aging Summary";#N/A,#N/A,FALSE,"Ratio Analysis";#N/A,#N/A,FALSE,"Test 120 Day Accts";#N/A,#N/A,FALSE,"Tickmarks"}</definedName>
    <definedName name="vgg" hidden="1">{#N/A,#N/A,FALSE,"Aging Summary";#N/A,#N/A,FALSE,"Ratio Analysis";#N/A,#N/A,FALSE,"Test 120 Day Accts";#N/A,#N/A,FALSE,"Tickmarks"}</definedName>
    <definedName name="viaje" hidden="1">{#N/A,#N/A,FALSE,"Aging Summary";#N/A,#N/A,FALSE,"Ratio Analysis";#N/A,#N/A,FALSE,"Test 120 Day Accts";#N/A,#N/A,FALSE,"Tickmarks"}</definedName>
    <definedName name="viaje1" hidden="1">{#N/A,#N/A,FALSE,"Aging Summary";#N/A,#N/A,FALSE,"Ratio Analysis";#N/A,#N/A,FALSE,"Test 120 Day Accts";#N/A,#N/A,FALSE,"Tickmarks"}</definedName>
    <definedName name="viaje2" hidden="1">{#N/A,#N/A,FALSE,"Aging Summary";#N/A,#N/A,FALSE,"Ratio Analysis";#N/A,#N/A,FALSE,"Test 120 Day Accts";#N/A,#N/A,FALSE,"Tickmarks"}</definedName>
    <definedName name="viaje3" hidden="1">{#N/A,#N/A,FALSE,"Aging Summary";#N/A,#N/A,FALSE,"Ratio Analysis";#N/A,#N/A,FALSE,"Test 120 Day Accts";#N/A,#N/A,FALSE,"Tickmarks"}</definedName>
    <definedName name="viaje4" hidden="1">{#N/A,#N/A,FALSE,"Aging Summary";#N/A,#N/A,FALSE,"Ratio Analysis";#N/A,#N/A,FALSE,"Test 120 Day Accts";#N/A,#N/A,FALSE,"Tickmarks"}</definedName>
    <definedName name="viaje5" hidden="1">{"balanço dolares",#N/A,FALSE,"SIGADR$";"AUT BAL REAIS",#N/A,FALSE,"SIGADR$";"QUOCIENTES REAIS",#N/A,FALSE,"QUOCIENTES";"JUNH QUOCI DOLARES",#N/A,FALSE,"QUOCIENTES"}</definedName>
    <definedName name="viaje6" hidden="1">{#N/A,#N/A,FALSE,"Aging Summary";#N/A,#N/A,FALSE,"Ratio Analysis";#N/A,#N/A,FALSE,"Test 120 Day Accts";#N/A,#N/A,FALSE,"Tickmarks"}</definedName>
    <definedName name="viaje7" hidden="1">{#N/A,#N/A,FALSE,"Aging Summary";#N/A,#N/A,FALSE,"Ratio Analysis";#N/A,#N/A,FALSE,"Test 120 Day Accts";#N/A,#N/A,FALSE,"Tickmarks"}</definedName>
    <definedName name="viaje8" hidden="1">{"'DIFPRE'!$A$2:$M$54"}</definedName>
    <definedName name="vicky" hidden="1">{"custodia",#N/A,FALSE,"Encaje";"encajeprint",#N/A,FALSE,"Encaje"}</definedName>
    <definedName name="viene6" hidden="1">{"'DIFPRE'!$A$2:$M$54"}</definedName>
    <definedName name="viiiiasdniad" hidden="1">{#N/A,#N/A,FALSE,"Aging Summary";#N/A,#N/A,FALSE,"Ratio Analysis";#N/A,#N/A,FALSE,"Test 120 Day Accts";#N/A,#N/A,FALSE,"Tickmarks"}</definedName>
    <definedName name="viiviv" hidden="1">#REF!</definedName>
    <definedName name="vivi" hidden="1">1</definedName>
    <definedName name="viwkvwv" hidden="1">{"'DIFPRE'!$A$2:$M$54"}</definedName>
    <definedName name="vkfmvkfv" hidden="1">{#N/A,#N/A,FALSE,"Aging Summary";#N/A,#N/A,FALSE,"Ratio Analysis";#N/A,#N/A,FALSE,"Test 120 Day Accts";#N/A,#N/A,FALSE,"Tickmarks"}</definedName>
    <definedName name="vkove" hidden="1">#REF!</definedName>
    <definedName name="vkve" hidden="1">#REF!</definedName>
    <definedName name="vmirvmer" hidden="1">#REF!</definedName>
    <definedName name="vmmv" hidden="1">#REF!</definedName>
    <definedName name="vnnvnv" hidden="1">{#N/A,#N/A,FALSE,"Aging Summary";#N/A,#N/A,FALSE,"Ratio Analysis";#N/A,#N/A,FALSE,"Test 120 Day Accts";#N/A,#N/A,FALSE,"Tickmarks"}</definedName>
    <definedName name="vnwoeinvw" hidden="1">#REF!</definedName>
    <definedName name="voekve" hidden="1">#REF!</definedName>
    <definedName name="voila" hidden="1">{#N/A,#N/A,FALSE,"Wyniki"}</definedName>
    <definedName name="voila2" hidden="1">{#N/A,#N/A,FALSE,"Wyniki"}</definedName>
    <definedName name="VOLVIIIII" hidden="1">{#N/A,#N/A,FALSE,"Aging Summary";#N/A,#N/A,FALSE,"Ratio Analysis";#N/A,#N/A,FALSE,"Test 120 Day Accts";#N/A,#N/A,FALSE,"Tickmarks"}</definedName>
    <definedName name="vonvoiewnv" hidden="1">{#N/A,#N/A,FALSE,"Aging Summary";#N/A,#N/A,FALSE,"Ratio Analysis";#N/A,#N/A,FALSE,"Test 120 Day Accts";#N/A,#N/A,FALSE,"Tickmarks"}</definedName>
    <definedName name="VOY" hidden="1">{#N/A,#N/A,FALSE,"Aging Summary";#N/A,#N/A,FALSE,"Ratio Analysis";#N/A,#N/A,FALSE,"Test 120 Day Accts";#N/A,#N/A,FALSE,"Tickmarks"}</definedName>
    <definedName name="VPLDS" hidden="1">#REF!</definedName>
    <definedName name="vrekvoe" hidden="1">{#N/A,#N/A,FALSE,"Aging Summary";#N/A,#N/A,FALSE,"Ratio Analysis";#N/A,#N/A,FALSE,"Test 120 Day Accts";#N/A,#N/A,FALSE,"Tickmarks"}</definedName>
    <definedName name="vreookg" hidden="1">{#N/A,#N/A,FALSE,"Aging Summary";#N/A,#N/A,FALSE,"Ratio Analysis";#N/A,#N/A,FALSE,"Test 120 Day Accts";#N/A,#N/A,FALSE,"Tickmarks"}</definedName>
    <definedName name="vrevne" hidden="1">{#N/A,#N/A,FALSE,"Aging Summary";#N/A,#N/A,FALSE,"Ratio Analysis";#N/A,#N/A,FALSE,"Test 120 Day Accts";#N/A,#N/A,FALSE,"Tickmarks"}</definedName>
    <definedName name="vri" hidden="1">{#N/A,#N/A,FALSE,"Aging Summary";#N/A,#N/A,FALSE,"Ratio Analysis";#N/A,#N/A,FALSE,"Test 120 Day Accts";#N/A,#N/A,FALSE,"Tickmarks"}</definedName>
    <definedName name="vrmorm" hidden="1">{#N/A,#N/A,FALSE,"Aging Summary";#N/A,#N/A,FALSE,"Ratio Analysis";#N/A,#N/A,FALSE,"Test 120 Day Accts";#N/A,#N/A,FALSE,"Tickmarks"}</definedName>
    <definedName name="vsdf" hidden="1">{#N/A,#N/A,FALSE,"SUBSIDIARIAS"}</definedName>
    <definedName name="VSDFCXC" hidden="1">{#N/A,#N/A,FALSE,"Aging Summary";#N/A,#N/A,FALSE,"Ratio Analysis";#N/A,#N/A,FALSE,"Test 120 Day Accts";#N/A,#N/A,FALSE,"Tickmarks"}</definedName>
    <definedName name="VSDXCV" hidden="1">{#N/A,#N/A,FALSE,"Aging Summary";#N/A,#N/A,FALSE,"Ratio Analysis";#N/A,#N/A,FALSE,"Test 120 Day Accts";#N/A,#N/A,FALSE,"Tickmarks"}</definedName>
    <definedName name="vtmomtv" hidden="1">{#N/A,#N/A,FALSE,"Aging Summary";#N/A,#N/A,FALSE,"Ratio Analysis";#N/A,#N/A,FALSE,"Test 120 Day Accts";#N/A,#N/A,FALSE,"Tickmarks"}</definedName>
    <definedName name="vv" hidden="1">{#N/A,#N/A,FALSE,"BHA"}</definedName>
    <definedName name="vvv" hidden="1">{#N/A,#N/A,FALSE,"Aging Summary";#N/A,#N/A,FALSE,"Ratio Analysis";#N/A,#N/A,FALSE,"Test 120 Day Accts";#N/A,#N/A,FALSE,"Tickmarks"}</definedName>
    <definedName name="VVVLV" hidden="1">#REF!</definedName>
    <definedName name="VVVVVV" hidden="1">{#N/A,#N/A,FALSE,"Aging Summary";#N/A,#N/A,FALSE,"Ratio Analysis";#N/A,#N/A,FALSE,"Test 120 Day Accts";#N/A,#N/A,FALSE,"Tickmarks"}</definedName>
    <definedName name="VVVVVVVVVV" hidden="1">{#N/A,#N/A,FALSE,"Aging Summary";#N/A,#N/A,FALSE,"Ratio Analysis";#N/A,#N/A,FALSE,"Test 120 Day Accts";#N/A,#N/A,FALSE,"Tickmarks"}</definedName>
    <definedName name="VVVVVVVVVVVVV" hidden="1">{#N/A,#N/A,FALSE,"Aging Summary";#N/A,#N/A,FALSE,"Ratio Analysis";#N/A,#N/A,FALSE,"Test 120 Day Accts";#N/A,#N/A,FALSE,"Tickmarks"}</definedName>
    <definedName name="VXDVDV" hidden="1">{#N/A,#N/A,FALSE,"Aging Summary";#N/A,#N/A,FALSE,"Ratio Analysis";#N/A,#N/A,FALSE,"Test 120 Day Accts";#N/A,#N/A,FALSE,"Tickmarks"}</definedName>
    <definedName name="VXVDFVV" hidden="1">{#N/A,#N/A,FALSE,"Aging Summary";#N/A,#N/A,FALSE,"Ratio Analysis";#N/A,#N/A,FALSE,"Test 120 Day Accts";#N/A,#N/A,FALSE,"Tickmarks"}</definedName>
    <definedName name="w" hidden="1">#REF!</definedName>
    <definedName name="w.a" hidden="1">{#N/A,#N/A,FALSE,"Aging Summary";#N/A,#N/A,FALSE,"Ratio Analysis";#N/A,#N/A,FALSE,"Test 120 Day Accts";#N/A,#N/A,FALSE,"Tickmarks"}</definedName>
    <definedName name="w.a.t.a." hidden="1">{#N/A,#N/A,FALSE,"Aging Summary";#N/A,#N/A,FALSE,"Ratio Analysis";#N/A,#N/A,FALSE,"Test 120 Day Accts";#N/A,#N/A,FALSE,"Tickmarks"}</definedName>
    <definedName name="w.aata" hidden="1">{#N/A,#N/A,FALSE,"Aging Summary";#N/A,#N/A,FALSE,"Ratio Analysis";#N/A,#N/A,FALSE,"Test 120 Day Accts";#N/A,#N/A,FALSE,"Tickmarks"}</definedName>
    <definedName name="w_n_r" hidden="1">{#N/A,#N/A,FALSE,"Aging Summary";#N/A,#N/A,FALSE,"Ratio Analysis";#N/A,#N/A,FALSE,"Test 120 Day Accts";#N/A,#N/A,FALSE,"Tickmarks"}</definedName>
    <definedName name="wa" hidden="1">#REF!</definedName>
    <definedName name="wAaaTA" hidden="1">{#N/A,#N/A,FALSE,"Aging Summary";#N/A,#N/A,FALSE,"Ratio Analysis";#N/A,#N/A,FALSE,"Test 120 Day Accts";#N/A,#N/A,FALSE,"Tickmarks"}</definedName>
    <definedName name="wAaTA" hidden="1">{#N/A,#N/A,FALSE,"Aging Summary";#N/A,#N/A,FALSE,"Ratio Analysis";#N/A,#N/A,FALSE,"Test 120 Day Accts";#N/A,#N/A,FALSE,"Tickmarks"}</definedName>
    <definedName name="waattaa" hidden="1">{#N/A,#N/A,FALSE,"Aging Summary";#N/A,#N/A,FALSE,"Ratio Analysis";#N/A,#N/A,FALSE,"Test 120 Day Accts";#N/A,#N/A,FALSE,"Tickmarks"}</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VNTY"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cewcw" hidden="1">{#N/A,#N/A,FALSE,"Aging Summary";#N/A,#N/A,FALSE,"Ratio Analysis";#N/A,#N/A,FALSE,"Test 120 Day Accts";#N/A,#N/A,FALSE,"Tickmarks"}</definedName>
    <definedName name="wd" hidden="1">#REF!</definedName>
    <definedName name="wdhqjkdq" hidden="1">#REF!</definedName>
    <definedName name="wdowkdw" hidden="1">#REF!</definedName>
    <definedName name="wdqij" hidden="1">{#N/A,#N/A,FALSE,"Aging Summary";#N/A,#N/A,FALSE,"Ratio Analysis";#N/A,#N/A,FALSE,"Test 120 Day Accts";#N/A,#N/A,FALSE,"Tickmarks"}</definedName>
    <definedName name="wdqjd" hidden="1">{#N/A,#N/A,FALSE,"Aging Summary";#N/A,#N/A,FALSE,"Ratio Analysis";#N/A,#N/A,FALSE,"Test 120 Day Accts";#N/A,#N/A,FALSE,"Tickmarks"}</definedName>
    <definedName name="WDSD" hidden="1">{#N/A,#N/A,FALSE,"Aging Summary";#N/A,#N/A,FALSE,"Ratio Analysis";#N/A,#N/A,FALSE,"Test 120 Day Accts";#N/A,#N/A,FALSE,"Tickmarks"}</definedName>
    <definedName name="we" hidden="1">{#N/A,#N/A,FALSE,"Aging Summary";#N/A,#N/A,FALSE,"Ratio Analysis";#N/A,#N/A,FALSE,"Test 120 Day Accts";#N/A,#N/A,FALSE,"Tickmarks"}</definedName>
    <definedName name="web" hidden="1">{#N/A,#N/A,FALSE,"balance";#N/A,#N/A,FALSE,"resultados";#N/A,#N/A,FALSE,"p.neto";#N/A,#N/A,FALSE,"bienes uso";#N/A,#N/A,FALSE,"art.64";#N/A,#N/A,FALSE,"intangibles"}</definedName>
    <definedName name="WED" hidden="1">#REF!</definedName>
    <definedName name="wedwf" hidden="1">{#N/A,#N/A,FALSE,"Aging Summary";#N/A,#N/A,FALSE,"Ratio Analysis";#N/A,#N/A,FALSE,"Test 120 Day Accts";#N/A,#N/A,FALSE,"Tickmarks"}</definedName>
    <definedName name="wee" hidden="1">{#N/A,#N/A,FALSE,"Aging Summary";#N/A,#N/A,FALSE,"Ratio Analysis";#N/A,#N/A,FALSE,"Test 120 Day Accts";#N/A,#N/A,FALSE,"Tickmarks"}</definedName>
    <definedName name="WEEE" hidden="1">{#N/A,#N/A,FALSE,"Aging Summary";#N/A,#N/A,FALSE,"Ratio Analysis";#N/A,#N/A,FALSE,"Test 120 Day Accts";#N/A,#N/A,FALSE,"Tickmarks"}</definedName>
    <definedName name="WEEEE" hidden="1">{#N/A,#N/A,FALSE,"Aging Summary";#N/A,#N/A,FALSE,"Ratio Analysis";#N/A,#N/A,FALSE,"Test 120 Day Accts";#N/A,#N/A,FALSE,"Tickmarks"}</definedName>
    <definedName name="weeeeeeeeee" hidden="1">{#N/A,#N/A,FALSE,"Aging Summary";#N/A,#N/A,FALSE,"Ratio Analysis";#N/A,#N/A,FALSE,"Test 120 Day Accts";#N/A,#N/A,FALSE,"Tickmarks"}</definedName>
    <definedName name="wefewf" hidden="1">{#N/A,#N/A,FALSE,"Aging Summary";#N/A,#N/A,FALSE,"Ratio Analysis";#N/A,#N/A,FALSE,"Test 120 Day Accts";#N/A,#N/A,FALSE,"Tickmarks"}</definedName>
    <definedName name="wefhewf" hidden="1">#REF!</definedName>
    <definedName name="wefrwqer" hidden="1">#REF!</definedName>
    <definedName name="wefwelkfp" hidden="1">{#N/A,#N/A,FALSE,"Aging Summary";#N/A,#N/A,FALSE,"Ratio Analysis";#N/A,#N/A,FALSE,"Test 120 Day Accts";#N/A,#N/A,FALSE,"Tickmarks"}</definedName>
    <definedName name="wefwf" hidden="1">{#N/A,#N/A,FALSE,"Aging Summary";#N/A,#N/A,FALSE,"Ratio Analysis";#N/A,#N/A,FALSE,"Test 120 Day Accts";#N/A,#N/A,FALSE,"Tickmarks"}</definedName>
    <definedName name="wehsdad" hidden="1">{#N/A,#N/A,FALSE,"Aging Summary";#N/A,#N/A,FALSE,"Ratio Analysis";#N/A,#N/A,FALSE,"Test 120 Day Accts";#N/A,#N/A,FALSE,"Tickmarks"}</definedName>
    <definedName name="weijtw" hidden="1">#REF!</definedName>
    <definedName name="weijw" hidden="1">#REF!</definedName>
    <definedName name="weijwegw34534" hidden="1">#REF!</definedName>
    <definedName name="weiojt" hidden="1">#REF!</definedName>
    <definedName name="wejfiwjefw" hidden="1">{#N/A,#N/A,FALSE,"Aging Summary";#N/A,#N/A,FALSE,"Ratio Analysis";#N/A,#N/A,FALSE,"Test 120 Day Accts";#N/A,#N/A,FALSE,"Tickmarks"}</definedName>
    <definedName name="wejrw5" hidden="1">#REF!</definedName>
    <definedName name="wekjowd" hidden="1">#REF!</definedName>
    <definedName name="wekwe" hidden="1">#REF!</definedName>
    <definedName name="weofokwf" hidden="1">{#N/A,#N/A,FALSE,"Aging Summary";#N/A,#N/A,FALSE,"Ratio Analysis";#N/A,#N/A,FALSE,"Test 120 Day Accts";#N/A,#N/A,FALSE,"Tickmarks"}</definedName>
    <definedName name="weoijgwpgjgw" hidden="1">#REF!</definedName>
    <definedName name="weojf3" hidden="1">#REF!</definedName>
    <definedName name="weokfowf" hidden="1">{#N/A,#N/A,FALSE,"Aging Summary";#N/A,#N/A,FALSE,"Ratio Analysis";#N/A,#N/A,FALSE,"Test 120 Day Accts";#N/A,#N/A,FALSE,"Tickmarks"}</definedName>
    <definedName name="weoow" hidden="1">{#N/A,#N/A,FALSE,"Aging Summary";#N/A,#N/A,FALSE,"Ratio Analysis";#N/A,#N/A,FALSE,"Test 120 Day Accts";#N/A,#N/A,FALSE,"Tickmarks"}</definedName>
    <definedName name="wepfwf´" hidden="1">#REF!</definedName>
    <definedName name="weqe" hidden="1">{#N/A,#N/A,FALSE,"Aging Summary";#N/A,#N/A,FALSE,"Ratio Analysis";#N/A,#N/A,FALSE,"Test 120 Day Accts";#N/A,#N/A,FALSE,"Tickmarks"}</definedName>
    <definedName name="wer" hidden="1">{#N/A,#N/A,FALSE,"Aging Summary";#N/A,#N/A,FALSE,"Ratio Analysis";#N/A,#N/A,FALSE,"Test 120 Day Accts";#N/A,#N/A,FALSE,"Tickmarks"}</definedName>
    <definedName name="WERER" hidden="1">{#N/A,#N/A,FALSE,"Aging Summary";#N/A,#N/A,FALSE,"Ratio Analysis";#N/A,#N/A,FALSE,"Test 120 Day Accts";#N/A,#N/A,FALSE,"Tickmarks"}</definedName>
    <definedName name="wertj"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we" hidden="1">{#N/A,#N/A,FALSE,"Aging Summary";#N/A,#N/A,FALSE,"Ratio Analysis";#N/A,#N/A,FALSE,"Test 120 Day Accts";#N/A,#N/A,FALSE,"Tickmarks"}</definedName>
    <definedName name="wew" hidden="1">{#N/A,#N/A,FALSE,"Aging Summary";#N/A,#N/A,FALSE,"Ratio Analysis";#N/A,#N/A,FALSE,"Test 120 Day Accts";#N/A,#N/A,FALSE,"Tickmarks"}</definedName>
    <definedName name="wewe" hidden="1">{#N/A,#N/A,FALSE,"Aging Summary";#N/A,#N/A,FALSE,"Ratio Analysis";#N/A,#N/A,FALSE,"Test 120 Day Accts";#N/A,#N/A,FALSE,"Tickmarks"}</definedName>
    <definedName name="wewee" hidden="1">{#N/A,#N/A,FALSE,"Aging Summary";#N/A,#N/A,FALSE,"Ratio Analysis";#N/A,#N/A,FALSE,"Test 120 Day Accts";#N/A,#N/A,FALSE,"Tickmarks"}</definedName>
    <definedName name="wewewe" hidden="1">{#N/A,#N/A,FALSE,"Aging Summary";#N/A,#N/A,FALSE,"Ratio Analysis";#N/A,#N/A,FALSE,"Test 120 Day Accts";#N/A,#N/A,FALSE,"Tickmarks"}</definedName>
    <definedName name="WEWQW" hidden="1">{#N/A,#N/A,FALSE,"Aging Summary";#N/A,#N/A,FALSE,"Ratio Analysis";#N/A,#N/A,FALSE,"Test 120 Day Accts";#N/A,#N/A,FALSE,"Tickmarks"}</definedName>
    <definedName name="WEWSD" hidden="1">{#N/A,#N/A,FALSE,"Aging Summary";#N/A,#N/A,FALSE,"Ratio Analysis";#N/A,#N/A,FALSE,"Test 120 Day Accts";#N/A,#N/A,FALSE,"Tickmarks"}</definedName>
    <definedName name="wewwe" hidden="1">{#N/A,#N/A,FALSE,"Aging Summary";#N/A,#N/A,FALSE,"Ratio Analysis";#N/A,#N/A,FALSE,"Test 120 Day Accts";#N/A,#N/A,FALSE,"Tickmarks"}</definedName>
    <definedName name="wf´wpfw" hidden="1">{#N/A,#N/A,FALSE,"Aging Summary";#N/A,#N/A,FALSE,"Ratio Analysis";#N/A,#N/A,FALSE,"Test 120 Day Accts";#N/A,#N/A,FALSE,"Tickmarks"}</definedName>
    <definedName name="WFCE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wfewefp" hidden="1">#REF!</definedName>
    <definedName name="wffffff" hidden="1">{#N/A,#N/A,FALSE,"Aging Summary";#N/A,#N/A,FALSE,"Ratio Analysis";#N/A,#N/A,FALSE,"Test 120 Day Accts";#N/A,#N/A,FALSE,"Tickmarks"}</definedName>
    <definedName name="wfpwkfw" hidden="1">{#N/A,#N/A,FALSE,"Aging Summary";#N/A,#N/A,FALSE,"Ratio Analysis";#N/A,#N/A,FALSE,"Test 120 Day Accts";#N/A,#N/A,FALSE,"Tickmarks"}</definedName>
    <definedName name="wfsd" hidden="1">{#N/A,#N/A,FALSE,"Aging Summary";#N/A,#N/A,FALSE,"Ratio Analysis";#N/A,#N/A,FALSE,"Test 120 Day Accts";#N/A,#N/A,FALSE,"Tickmarks"}</definedName>
    <definedName name="wfwe" hidden="1">{"Schedule_1D",#N/A,FALSE,"I-D"}</definedName>
    <definedName name="wfwfwfw" hidden="1">#REF!</definedName>
    <definedName name="whedsa" hidden="1">{#N/A,#N/A,FALSE,"Aging Summary";#N/A,#N/A,FALSE,"Ratio Analysis";#N/A,#N/A,FALSE,"Test 120 Day Accts";#N/A,#N/A,FALSE,"Tickmarks"}</definedName>
    <definedName name="wiegjwigw" hidden="1">#REF!</definedName>
    <definedName name="wiiiii" hidden="1">{"'DIFPRE'!$A$2:$M$54"}</definedName>
    <definedName name="wjeqjeoq" hidden="1">{#N/A,#N/A,FALSE,"Aging Summary";#N/A,#N/A,FALSE,"Ratio Analysis";#N/A,#N/A,FALSE,"Test 120 Day Accts";#N/A,#N/A,FALSE,"Tickmarks"}</definedName>
    <definedName name="wjfw" hidden="1">#REF!</definedName>
    <definedName name="wjkeq" hidden="1">{#N/A,#N/A,FALSE,"Aging Summary";#N/A,#N/A,FALSE,"Ratio Analysis";#N/A,#N/A,FALSE,"Test 120 Day Accts";#N/A,#N/A,FALSE,"Tickmarks"}</definedName>
    <definedName name="wkcowc" hidden="1">#REF!</definedName>
    <definedName name="wkedpwkde" hidden="1">{#N/A,#N/A,FALSE,"Aging Summary";#N/A,#N/A,FALSE,"Ratio Analysis";#N/A,#N/A,FALSE,"Test 120 Day Accts";#N/A,#N/A,FALSE,"Tickmarks"}</definedName>
    <definedName name="wkefkjwf" hidden="1">{#N/A,#N/A,FALSE,"Aging Summary";#N/A,#N/A,FALSE,"Ratio Analysis";#N/A,#N/A,FALSE,"Test 120 Day Accts";#N/A,#N/A,FALSE,"Tickmarks"}</definedName>
    <definedName name="wkeofkwf" hidden="1">{#N/A,#N/A,FALSE,"Aging Summary";#N/A,#N/A,FALSE,"Ratio Analysis";#N/A,#N/A,FALSE,"Test 120 Day Accts";#N/A,#N/A,FALSE,"Tickmarks"}</definedName>
    <definedName name="wkfwkfw" hidden="1">{#N/A,#N/A,FALSE,"Aging Summary";#N/A,#N/A,FALSE,"Ratio Analysis";#N/A,#N/A,FALSE,"Test 120 Day Accts";#N/A,#N/A,FALSE,"Tickmarks"}</definedName>
    <definedName name="wkgw4" hidden="1">#REF!</definedName>
    <definedName name="wlfewf" hidden="1">{#N/A,#N/A,FALSE,"Aging Summary";#N/A,#N/A,FALSE,"Ratio Analysis";#N/A,#N/A,FALSE,"Test 120 Day Accts";#N/A,#N/A,FALSE,"Tickmarks"}</definedName>
    <definedName name="wm" hidden="1">{#N/A,#N/A,FALSE,"Aging Summary";#N/A,#N/A,FALSE,"Ratio Analysis";#N/A,#N/A,FALSE,"Test 120 Day Accts";#N/A,#N/A,FALSE,"Tickmarks"}</definedName>
    <definedName name="wnffwnfew" hidden="1">{#N/A,#N/A,FALSE,"Aging Summary";#N/A,#N/A,FALSE,"Ratio Analysis";#N/A,#N/A,FALSE,"Test 120 Day Accts";#N/A,#N/A,FALSE,"Tickmarks"}</definedName>
    <definedName name="WNQU" hidden="1">{#N/A,#N/A,FALSE,"Aging Summary";#N/A,#N/A,FALSE,"Ratio Analysis";#N/A,#N/A,FALSE,"Test 120 Day Accts";#N/A,#N/A,FALSE,"Tickmarks"}</definedName>
    <definedName name="wnr." hidden="1">{#N/A,#N/A,FALSE,"Aging Summary";#N/A,#N/A,FALSE,"Ratio Analysis";#N/A,#N/A,FALSE,"Test 120 Day Accts";#N/A,#N/A,FALSE,"Tickmarks"}</definedName>
    <definedName name="wnr...as" hidden="1">{#N/A,#N/A,FALSE,"Aging Summary";#N/A,#N/A,FALSE,"Ratio Analysis";#N/A,#N/A,FALSE,"Test 120 Day Accts";#N/A,#N/A,FALSE,"Tickmarks"}</definedName>
    <definedName name="wnr._A" hidden="1">{#N/A,#N/A,FALSE,"Aging Summary";#N/A,#N/A,FALSE,"Ratio Analysis";#N/A,#N/A,FALSE,"Test 120 Day Accts";#N/A,#N/A,FALSE,"Tickmarks"}</definedName>
    <definedName name="wnr.a.t" hidden="1">{#N/A,#N/A,FALSE,"Aging Summary";#N/A,#N/A,FALSE,"Ratio Analysis";#N/A,#N/A,FALSE,"Test 120 Day Accts";#N/A,#N/A,FALSE,"Tickmarks"}</definedName>
    <definedName name="wnr_A" hidden="1">{#N/A,#N/A,FALSE,"Aging Summary";#N/A,#N/A,FALSE,"Ratio Analysis";#N/A,#N/A,FALSE,"Test 120 Day Accts";#N/A,#N/A,FALSE,"Tickmarks"}</definedName>
    <definedName name="wnr_AA" hidden="1">{#N/A,#N/A,FALSE,"Aging Summary";#N/A,#N/A,FALSE,"Ratio Analysis";#N/A,#N/A,FALSE,"Test 120 Day Accts";#N/A,#N/A,FALSE,"Tickmarks"}</definedName>
    <definedName name="wnr_aata." hidden="1">{#N/A,#N/A,FALSE,"Aging Summary";#N/A,#N/A,FALSE,"Ratio Analysis";#N/A,#N/A,FALSE,"Test 120 Day Accts";#N/A,#N/A,FALSE,"Tickmarks"}</definedName>
    <definedName name="wnr_ata" hidden="1">{#N/A,#N/A,FALSE,"Aging Summary";#N/A,#N/A,FALSE,"Ratio Analysis";#N/A,#N/A,FALSE,"Test 120 Day Accts";#N/A,#N/A,FALSE,"Tickmarks"}</definedName>
    <definedName name="wnraattaa..__aa" hidden="1">{#N/A,#N/A,FALSE,"Aging Summary";#N/A,#N/A,FALSE,"Ratio Analysis";#N/A,#N/A,FALSE,"Test 120 Day Accts";#N/A,#N/A,FALSE,"Tickmarks"}</definedName>
    <definedName name="wnraawnr" hidden="1">{#N/A,#N/A,FALSE,"Aging Summary";#N/A,#N/A,FALSE,"Ratio Analysis";#N/A,#N/A,FALSE,"Test 120 Day Accts";#N/A,#N/A,FALSE,"Tickmarks"}</definedName>
    <definedName name="wnrasd" hidden="1">{#N/A,#N/A,FALSE,"Aging Summary";#N/A,#N/A,FALSE,"Ratio Analysis";#N/A,#N/A,FALSE,"Test 120 Day Accts";#N/A,#N/A,FALSE,"Tickmarks"}</definedName>
    <definedName name="wnrata" hidden="1">{#N/A,#N/A,FALSE,"Aging Summary";#N/A,#N/A,FALSE,"Ratio Analysis";#N/A,#N/A,FALSE,"Test 120 Day Accts";#N/A,#N/A,FALSE,"Tickmarks"}</definedName>
    <definedName name="wnratata" hidden="1">{#N/A,#N/A,FALSE,"Aging Summary";#N/A,#N/A,FALSE,"Ratio Analysis";#N/A,#N/A,FALSE,"Test 120 Day Accts";#N/A,#N/A,FALSE,"Tickmarks"}</definedName>
    <definedName name="wnrta" hidden="1">{#N/A,#N/A,FALSE,"Aging Summary";#N/A,#N/A,FALSE,"Ratio Analysis";#N/A,#N/A,FALSE,"Test 120 Day Accts";#N/A,#N/A,FALSE,"Tickmarks"}</definedName>
    <definedName name="wnrttaa" hidden="1">{#N/A,#N/A,FALSE,"Aging Summary";#N/A,#N/A,FALSE,"Ratio Analysis";#N/A,#N/A,FALSE,"Test 120 Day Accts";#N/A,#N/A,FALSE,"Tickmarks"}</definedName>
    <definedName name="wnrttt" hidden="1">{#N/A,#N/A,FALSE,"Aging Summary";#N/A,#N/A,FALSE,"Ratio Analysis";#N/A,#N/A,FALSE,"Test 120 Day Accts";#N/A,#N/A,FALSE,"Tickmarks"}</definedName>
    <definedName name="wnrwnr" hidden="1">{#N/A,#N/A,FALSE,"Aging Summary";#N/A,#N/A,FALSE,"Ratio Analysis";#N/A,#N/A,FALSE,"Test 120 Day Accts";#N/A,#N/A,FALSE,"Tickmarks"}</definedName>
    <definedName name="wodkwo" hidden="1">#REF!</definedName>
    <definedName name="woefowkef" hidden="1">{#N/A,#N/A,FALSE,"Aging Summary";#N/A,#N/A,FALSE,"Ratio Analysis";#N/A,#N/A,FALSE,"Test 120 Day Accts";#N/A,#N/A,FALSE,"Tickmarks"}</definedName>
    <definedName name="wofejwf" hidden="1">#REF!</definedName>
    <definedName name="wofj3" hidden="1">#REF!</definedName>
    <definedName name="wofkwf" hidden="1">{#N/A,#N/A,FALSE,"Aging Summary";#N/A,#N/A,FALSE,"Ratio Analysis";#N/A,#N/A,FALSE,"Test 120 Day Accts";#N/A,#N/A,FALSE,"Tickmarks"}</definedName>
    <definedName name="wofkwoekfw" hidden="1">{#N/A,#N/A,FALSE,"Aging Summary";#N/A,#N/A,FALSE,"Ratio Analysis";#N/A,#N/A,FALSE,"Test 120 Day Accts";#N/A,#N/A,FALSE,"Tickmarks"}</definedName>
    <definedName name="woijgw" hidden="1">#REF!</definedName>
    <definedName name="wokgw3" hidden="1">#REF!</definedName>
    <definedName name="worijtw8" hidden="1">#REF!</definedName>
    <definedName name="wperow" hidden="1">{#N/A,#N/A,FALSE,"Aging Summary";#N/A,#N/A,FALSE,"Ratio Analysis";#N/A,#N/A,FALSE,"Test 120 Day Accts";#N/A,#N/A,FALSE,"Tickmarks"}</definedName>
    <definedName name="wpflwpflwf" hidden="1">{#N/A,#N/A,FALSE,"Aging Summary";#N/A,#N/A,FALSE,"Ratio Analysis";#N/A,#N/A,FALSE,"Test 120 Day Accts";#N/A,#N/A,FALSE,"Tickmarks"}</definedName>
    <definedName name="wpfwfew" hidden="1">{#N/A,#N/A,FALSE,"Aging Summary";#N/A,#N/A,FALSE,"Ratio Analysis";#N/A,#N/A,FALSE,"Test 120 Day Accts";#N/A,#N/A,FALSE,"Tickmarks"}</definedName>
    <definedName name="wplfpwf" hidden="1">{#N/A,#N/A,FALSE,"Aging Summary";#N/A,#N/A,FALSE,"Ratio Analysis";#N/A,#N/A,FALSE,"Test 120 Day Accts";#N/A,#N/A,FALSE,"Tickmarks"}</definedName>
    <definedName name="wppew" hidden="1">#REF!</definedName>
    <definedName name="wpwp" hidden="1">{#N/A,#N/A,FALSE,"Aging Summary";#N/A,#N/A,FALSE,"Ratio Analysis";#N/A,#N/A,FALSE,"Test 120 Day Accts";#N/A,#N/A,FALSE,"Tickmarks"}</definedName>
    <definedName name="wpwpwpw" hidden="1">{#N/A,#N/A,FALSE,"Aging Summary";#N/A,#N/A,FALSE,"Ratio Analysis";#N/A,#N/A,FALSE,"Test 120 Day Accts";#N/A,#N/A,FALSE,"Tickmarks"}</definedName>
    <definedName name="wqdew" hidden="1">#REF!</definedName>
    <definedName name="WQEQEWEW" hidden="1">{#N/A,#N/A,FALSE,"Aging Summary";#N/A,#N/A,FALSE,"Ratio Analysis";#N/A,#N/A,FALSE,"Test 120 Day Accts";#N/A,#N/A,FALSE,"Tickmarks"}</definedName>
    <definedName name="wqerq" hidden="1">#REF!</definedName>
    <definedName name="WQEWQSS" hidden="1">{#N/A,#N/A,FALSE,"Aging Summary";#N/A,#N/A,FALSE,"Ratio Analysis";#N/A,#N/A,FALSE,"Test 120 Day Accts";#N/A,#N/A,FALSE,"Tickmarks"}</definedName>
    <definedName name="WQJRE" hidden="1">{#N/A,#N/A,FALSE,"Aging Summary";#N/A,#N/A,FALSE,"Ratio Analysis";#N/A,#N/A,FALSE,"Test 120 Day Accts";#N/A,#N/A,FALSE,"Tickmarks"}</definedName>
    <definedName name="wqkdqd" hidden="1">{#N/A,#N/A,FALSE,"Aging Summary";#N/A,#N/A,FALSE,"Ratio Analysis";#N/A,#N/A,FALSE,"Test 120 Day Accts";#N/A,#N/A,FALSE,"Tickmarks"}</definedName>
    <definedName name="wqoqk" hidden="1">{#N/A,#N/A,FALSE,"Aging Summary";#N/A,#N/A,FALSE,"Ratio Analysis";#N/A,#N/A,FALSE,"Test 120 Day Accts";#N/A,#N/A,FALSE,"Tickmarks"}</definedName>
    <definedName name="wqpdqd" hidden="1">#REF!</definedName>
    <definedName name="wqw" hidden="1">{#N/A,#N/A,FALSE,"Aging Summary";#N/A,#N/A,FALSE,"Ratio Analysis";#N/A,#N/A,FALSE,"Test 120 Day Accts";#N/A,#N/A,FALSE,"Tickmarks"}</definedName>
    <definedName name="wqwqw" hidden="1">{#N/A,#N/A,FALSE,"Aging Summary";#N/A,#N/A,FALSE,"Ratio Analysis";#N/A,#N/A,FALSE,"Test 120 Day Accts";#N/A,#N/A,FALSE,"Tickmarks"}</definedName>
    <definedName name="WQWW" hidden="1">{#N/A,#N/A,FALSE,"Aging Summary";#N/A,#N/A,FALSE,"Ratio Analysis";#N/A,#N/A,FALSE,"Test 120 Day Accts";#N/A,#N/A,FALSE,"Tickmarks"}</definedName>
    <definedName name="WR" hidden="1">{#N/A,#N/A,FALSE,"Aging Summary";#N/A,#N/A,FALSE,"Ratio Analysis";#N/A,#N/A,FALSE,"Test 120 Day Accts";#N/A,#N/A,FALSE,"Tickmarks"}</definedName>
    <definedName name="WREDF" hidden="1">{#N/A,#N/A,FALSE,"Aging Summary";#N/A,#N/A,FALSE,"Ratio Analysis";#N/A,#N/A,FALSE,"Test 120 Day Accts";#N/A,#N/A,FALSE,"Tickmarks"}</definedName>
    <definedName name="wrer" hidden="1">{#N/A,#N/A,FALSE,"Aging Summary";#N/A,#N/A,FALSE,"Ratio Analysis";#N/A,#N/A,FALSE,"Test 120 Day Accts";#N/A,#N/A,FALSE,"Tickmarks"}</definedName>
    <definedName name="WRERE" hidden="1">{#N/A,#N/A,FALSE,"Aging Summary";#N/A,#N/A,FALSE,"Ratio Analysis";#N/A,#N/A,FALSE,"Test 120 Day Accts";#N/A,#N/A,FALSE,"Tickmarks"}</definedName>
    <definedName name="wriwrw" hidden="1">#REF!</definedName>
    <definedName name="wrn" hidden="1">{#N/A,#N/A,FALSE,"Aging Summary";#N/A,#N/A,FALSE,"Ratio Analysis";#N/A,#N/A,FALSE,"Test 120 Day Accts";#N/A,#N/A,FALSE,"Tickmarks"}</definedName>
    <definedName name="wrn.1." hidden="1">{#N/A,#N/A,FALSE,"Urea"}</definedName>
    <definedName name="wrn.11." hidden="1">{#N/A,#N/A,FALSE,"Departmental Cost"}</definedName>
    <definedName name="wrn.1996." hidden="1">{#N/A,#N/A,FALSE,"Total";#N/A,#N/A,FALSE,"Accid.";#N/A,#N/A,FALSE,"Previsional";#N/A,#N/A,FALSE,"Vida ind.";#N/A,#N/A,FALSE,"Colectivo"}</definedName>
    <definedName name="wrn.1998._.Day._.Rates." hidden="1">{#N/A,#N/A,FALSE,"04_36  Day rates";#N/A,#N/A,FALSE,"05_36  Day rates";#N/A,#N/A,FALSE,"Getuo  Day rates";#N/A,#N/A,FALSE,"Laopu  Day rates";#N/A,#N/A,FALSE,"27_11  Day rates";#N/A,#N/A,FALSE,"15_35 Day Rates"}</definedName>
    <definedName name="wrn.480." hidden="1">{#N/A,#N/A,FALSE,"4102";#N/A,#N/A,FALSE,"4800";#N/A,#N/A,FALSE,"4803";#N/A,#N/A,FALSE,"4801";#N/A,#N/A,FALSE,"4805";#N/A,#N/A,FALSE,"4808";#N/A,#N/A,FALSE,"4813";#N/A,#N/A,FALSE,"4816";#N/A,#N/A,FALSE,"4301"}</definedName>
    <definedName name="wrn.AA." hidden="1">{#N/A,#N/A,FALSE,"Inventario Contable"}</definedName>
    <definedName name="wrn.ACTIVO." hidden="1">{#N/A,#N/A,FALSE,"CAJA Y BANCOS";#N/A,#N/A,FALSE,"RENTA FIJA";#N/A,#N/A,FALSE,"PRESTAMOS DLLS.";#N/A,#N/A,FALSE,"ARREN. FINAN.";#N/A,#N/A,FALSE,"CONSUMO";#N/A,#N/A,FALSE,"T.D.C.";#N/A,#N/A,FALSE,"HIPOTECARIOS";#N/A,#N/A,FALSE,"OTROS PRESTAMOS";#N/A,#N/A,FALSE,"INMOB. Y ACTIVO FIJO";#N/A,#N/A,FALSE,"REPORTOS ";#N/A,#N/A,FALSE,"ACCIONES";#N/A,#N/A,FALSE,"FIDEIC Y CART. VAL.";#N/A,#N/A,FALSE,"ADJUDICADOS";#N/A,#N/A,FALSE,"PAGOS ANT. Y OTROS";#N/A,#N/A,FALSE,"CARGOS DIFERIDOS";#N/A,#N/A,FALSE,"DEUDORES DIVERSOS"}</definedName>
    <definedName name="wrn.administracion." hidden="1">{#N/A,#N/A,FALSE,"CARATULA GENERAL";#N/A,#N/A,FALSE,"GSxDIRECCION";#N/A,#N/A,FALSE,"Caratula";#N/A,#N/A,FALSE,"GSxCTRO";#N/A,#N/A,FALSE,"GsAdm.Centr";#N/A,#N/A,FALSE,"Dir.Gral";#N/A,#N/A,FALSE,"AdmyFzas";#N/A,#N/A,FALSE,"Sistemas";#N/A,#N/A,FALSE,"RRHH"}</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GRAPHS." hidden="1">{"IT",#N/A,FALSE,"GRAPHS";"Services",#N/A,FALSE,"GRAPHS";"Subsurface",#N/A,FALSE,"GRAPHS";"Production",#N/A,FALSE,"GRAPHS";"Facilities",#N/A,FALSE,"GRAPHS";"Pipeline &amp; Terminal",#N/A,FALSE,"GRAPHS";"Safety",#N/A,FALSE,"GRAPHS";"Commercial",#N/A,FALSE,"GRAPHS"}</definedName>
    <definedName name="wrn.ALL._.GRAPHS.2" hidden="1">{"IT",#N/A,FALSE,"GRAPHS";"Services",#N/A,FALSE,"GRAPHS";"Subsurface",#N/A,FALSE,"GRAPHS";"Production",#N/A,FALSE,"GRAPHS";"Facilities",#N/A,FALSE,"GRAPHS";"Pipeline &amp; Terminal",#N/A,FALSE,"GRAPHS";"Safety",#N/A,FALSE,"GRAPHS";"Commercial",#N/A,FALSE,"GRAPHS"}</definedName>
    <definedName name="wrn.AQC." hidden="1">{#N/A,#N/A,TRUE,"Portada";#N/A,#N/A,TRUE,"Resumen";"Grafico de Colocaciones",#N/A,TRUE,"Colocac";"Grafico Coloc rel con Tasa",#N/A,TRUE,"Coloc Tasas";"Grafico Coloc por Plazo",#N/A,TRUE,"Coloc Plazos";#N/A,#N/A,TRUE,"Coloc x plazo (Caps)";#N/A,#N/A,TRUE,"Coloc x plazo (Caps) Garba";#N/A,#N/A,TRUE,"Coloc x plazo (Caps) Compu";#N/A,#N/A,TRUE,"Compras";"Gráfico Compras 1",#N/A,TRUE,"Compras_gr1";"Grafico Compras 2",#N/A,TRUE,"Compras_gr2";"Grafico Compras 3",#N/A,TRUE,"Compras_gr3";#N/A,#N/A,TRUE,"Atrasos";#N/A,#N/A,TRUE,"Atr_ptf";#N/A,#N/A,TRUE,"Atr Rel LPD";#N/A,#N/A,TRUE,"Mora x Casa";#N/A,#N/A,TRUE,"Mora x Segmento";#N/A,#N/A,TRUE,"Incob";#N/A,#N/A,TRUE,"Incob_res";#N/A,#N/A,TRUE,"Incob_suc1";#N/A,#N/A,TRUE,"Incob_seg1";#N/A,#N/A,TRUE,"Flujos";#N/A,#N/A,TRUE,"Flujo S Mes de Pago";#N/A,#N/A,TRUE,"Cob_MesOrig";#N/A,#N/A,TRUE,"Evoluc Mora";#N/A,#N/A,TRUE,"Mora_suc";#N/A,#N/A,TRUE,"Mora_seg"}</definedName>
    <definedName name="wrn.AQC._.Mensual." hidden="1">{"prom_mutu",#N/A,FALSE,"graf_prom_coloc";"prom_colu",#N/A,FALSE,"graf_prom_coloc"}</definedName>
    <definedName name="wrn.AUT._.ANALISE._.DESP." hidden="1">{"balanço dolares",#N/A,FALSE,"SIGADR$";"AUT BAL REAIS",#N/A,FALSE,"SIGADR$";"QUOCIENTES REAIS",#N/A,FALSE,"QUOCIENTES";"JUNH QUOCI DOLARES",#N/A,FALSE,"QUOCIENTES"}</definedName>
    <definedName name="wrn.AUT._.DESPESAS." hidden="1">{"AUT ANALISE DESP",#N/A,TRUE,"AN.DESP. MR$"}</definedName>
    <definedName name="wrn.BALANCE." hidden="1">{#N/A,#N/A,FALSE,"BAN3Q96"}</definedName>
    <definedName name="wrn.balance._.detallado." hidden="1">{#N/A,#N/A,FALSE,"11) Det. Balance"}</definedName>
    <definedName name="wrn.BALANCE._.LOCAL." hidden="1">{"12plazos bs 3eros",#N/A,FALSE,"PRESENTACION BALANCE";"14nota   eoaf",#N/A,FALSE,"PRESENTACION BALANCE";"15operaciones",#N/A,FALSE,"PRESENTACION BALANCE";"13ventas financieros",#N/A,FALSE,"PRESENTACION BALANCE";"eoafconsol",#N/A,FALSE,"reseña";"Rdosconsol",#N/A,FALSE,"reseña";"bceconsol",#N/A,FALSE,"reseña";"22anexoh",#N/A,FALSE,"reseña";"21anexog",#N/A,FALSE,"reseña";"20anexof",#N/A,FALSE,"reseña";"19anexoe",#N/A,FALSE,"reseña";"17ANEXOC",#N/A,FALSE,"reseña";"17ANEXOC",#N/A,FALSE,"reseña";"18ANEXOD",#N/A,FALSE,"reseña";"16ANEXOA",#N/A,FALSE,"reseña";"12plazos bs 3eros",#N/A,FALSE,"reseña";"11nota6a8bscbio ctas por pagar prestamos",#N/A,FALSE,"reseña";"10nota otros creditos",#N/A,FALSE,"reseña";"9nota3y4",#N/A,FALSE,"reseña";"8nota2cont",#N/A,FALSE,"reseña";"1reseña",#N/A,FALSE,"reseña";"7eoaf",#N/A,FALSE,"reseña";"6patrimonioneto",#N/A,FALSE,"reseña";"5estadoresultados",#N/A,FALSE,"reseña";"4balancegral",#N/A,FALSE,"reseña";"3caratula",#N/A,FALSE,"reseña";"2reseña",#N/A,FALSE,"reseña";"81nota1",#N/A,FALSE,"PRESENTACION BALANCE"}</definedName>
    <definedName name="wrn.Balances." hidden="1">{#N/A,#N/A,FALSE,"Hoja LLave";#N/A,#N/A,FALSE,"Portada";#N/A,#N/A,FALSE,"Nota 2";#N/A,#N/A,FALSE,"Anexo A";#N/A,#N/A,FALSE,"Est.Sit.Patr.";#N/A,#N/A,FALSE,"Cuadro I";#N/A,#N/A,FALSE,"Anexo F";#N/A,#N/A,FALSE,"E.E.P.N.";#N/A,#N/A,FALSE,"Resultados";#N/A,#N/A,FALSE,"E.V.C.C."}</definedName>
    <definedName name="wrn.base1997" hidden="1">{#N/A,#N/A,FALSE,"Aging Summary";#N/A,#N/A,FALSE,"Ratio Analysis";#N/A,#N/A,FALSE,"Test 120 Day Accts";#N/A,#N/A,FALSE,"Tickmarks"}</definedName>
    <definedName name="wrn.Basic._.Reports." hidden="1">{#N/A,#N/A,FALSE,"CAP 1";#N/A,#N/A,FALSE,"Proj Summ 1"}</definedName>
    <definedName name="WRN.BHA" hidden="1">{#N/A,#N/A,FALSE,"BHA"}</definedName>
    <definedName name="wrn.bha." hidden="1">{#N/A,#N/A,FALSE,"BHA"}</definedName>
    <definedName name="wrn.Bienes._.de._.Uso." hidden="1">{"Datos Bs. de Uso",#N/A,TRUE,"Datos";"proceso buso",#N/A,TRUE,"Proceso"}</definedName>
    <definedName name="wrn.Block._.04._.36._.Budget." hidden="1">{#N/A,#N/A,FALSE,"0436 SUMMARY";#N/A,#N/A,FALSE,"G&amp;A Narrative";#N/A,#N/A,FALSE,"GA DETAIL";#N/A,#N/A,FALSE,"04_36 GG DETAIL";#N/A,#N/A,FALSE,"04_36 Drilling Detail";#N/A,#N/A,FALSE,"04_36  Drilling Narrative";#N/A,#N/A,FALSE,"04_36 ENGINEERI";#N/A,#N/A,FALSE,"ENG NARRATIVE";#N/A,#N/A,FALSE,"04_36 TRAINING";#N/A,#N/A,FALSE,"TRAIN NARRATIVE"}</definedName>
    <definedName name="wrn.Block._.05_36._.Budget." hidden="1">{#N/A,#N/A,TRUE,"05_36 Summary";#N/A,#N/A,TRUE,"05_36 GG DETAIL ";#N/A,#N/A,TRUE,"05_36 GG Narrative";#N/A,#N/A,TRUE,"05_36 Drilling Detail";#N/A,#N/A,TRUE,"05_36 Drilling Narrative";#N/A,#N/A,TRUE,"05_36 Studies Detail ";#N/A,#N/A,TRUE,"05_36 Studies Narrative";#N/A,#N/A,TRUE,"05_36 Training";#N/A,#N/A,TRUE,"05_36 Training Narrative ";#N/A,#N/A,TRUE,"05_36 G&amp;A Summary";#N/A,#N/A,TRUE,"05_36 G&amp;A  Narrative";#N/A,#N/A,TRUE,"JMC Meetings";#N/A,#N/A,TRUE,"05_36  Day rates"}</definedName>
    <definedName name="wrn.Block._.15_35._.98._.Budget." hidden="1">{#N/A,#N/A,FALSE,"Block 15_35 Summary";#N/A,#N/A,FALSE,"JMC Meetings";#N/A,#N/A,FALSE,"OVERHEAD";#N/A,#N/A,FALSE,"G&amp;A Summary";#N/A,#N/A,FALSE,"15_35 Training Detail";#N/A,#N/A,FALSE,"15_35 GG Detail";#N/A,#N/A,FALSE,"15_35 GG Narrative";#N/A,#N/A,FALSE,"15_35 Drilling Detail";#N/A,#N/A,FALSE,"15_35  Drilling Narrative ";#N/A,#N/A,FALSE,"15-35 Engineer Detail";#N/A,#N/A,FALSE,"15_35 Engineer Narrative";#N/A,#N/A,FALSE,"15_35 Training Detail";#N/A,#N/A,FALSE,"15_35 Training Narrative";#N/A,#N/A,FALSE,"15_35 DayRate Table"}</definedName>
    <definedName name="wrn.Block._.26_06." hidden="1">{#N/A,#N/A,FALSE,"26_06 Drilling Detail";#N/A,#N/A,FALSE,"Block 26_06 Summary";#N/A,#N/A,FALSE,"26_06 Drilling Detail";#N/A,#N/A,FALSE,"26_06  Drilling Narrative ";#N/A,#N/A,FALSE,"26_06 GG  DETAIL";#N/A,#N/A,FALSE,"26_06 GG Narrative";#N/A,#N/A,FALSE,"26_06 Studies Detail";#N/A,#N/A,FALSE,"26_06  Studies Narrative ";#N/A,#N/A,FALSE,"26_06 Training";#N/A,#N/A,FALSE,"26_06 Training Narrative";#N/A,#N/A,FALSE,"26_06 G&amp;A Summary";#N/A,#N/A,FALSE,"26_06 G&amp;A Narrative";#N/A,#N/A,FALSE,"26_06 Day Rates";#N/A,#N/A,FALSE,"26_06 JMC Meetings";#N/A,#N/A,FALSE,"Time Allocation";#N/A,#N/A,FALSE,"26_06 GG Narrative";#N/A,#N/A,FALSE,"26_06  Studies Narrative "}</definedName>
    <definedName name="wrn.Block._.27_11._.98._.Budget." hidden="1">{#N/A,#N/A,FALSE,"Block 27_11 Summary";#N/A,#N/A,FALSE,"G&amp;A Summary";#N/A,#N/A,FALSE,"JMC Meetings";#N/A,#N/A,FALSE,"27_11 GG Detail";#N/A,#N/A,FALSE,"27_11 GG Narrative";#N/A,#N/A,FALSE,"27_11 Drilling Detail ";#N/A,#N/A,FALSE,"27_11 Drilling Narrative";#N/A,#N/A,FALSE,"27_11 Engineer Detail";#N/A,#N/A,FALSE,"27_11 Engineer Narrative";#N/A,#N/A,FALSE,"27_11 Training Detail";#N/A,#N/A,FALSE,"27_11 Training Narrative"}</definedName>
    <definedName name="wrn.BONITO1." hidden="1">{#N/A,#N/A,FALSE,"Rtdos. Extraordinarios";#N/A,#N/A,FALSE,"Aportación Rtdos. I.Global";#N/A,#N/A,FALSE,"Participación en Beneficios";#N/A,#N/A,FALSE,"Rtdos. Puesta Equivalencia";#N/A,#N/A,FALSE,"Ingr. y Gtos. Empresas Grupo";#N/A,#N/A,FALSE,"Sociedades Apéndice";#N/A,#N/A,FALSE,"Fondo de Comercio"}</definedName>
    <definedName name="wrn.BONITO2." hidden="1">{#N/A,#N/A,FALSE,"Préstamos a Largo Plazo";#N/A,#N/A,FALSE,"Cuentas con Emp. del Grupo";#N/A,#N/A,FALSE,"Inmov. Material";#N/A,#N/A,FALSE,"Inv. Financieras Temporales";#N/A,#N/A,FALSE,"Movimiento de Reservas";#N/A,#N/A,FALSE,"Obligaciones";#N/A,#N/A,FALSE,"Socios Externos";#N/A,#N/A,FALSE,"Inmovilizado inmaterial";#N/A,#N/A,FALSE,"Fondos Própios"}</definedName>
    <definedName name="wrn.bs_print."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bsheet." hidden="1">{#N/A,#N/A,FALSE,"BSHEET"}</definedName>
    <definedName name="wrn.bsprint." hidden="1">{#N/A,#N/A,FALSE,"03070001";#N/A,#N/A,FALSE,"03070002";#N/A,#N/A,FALSE,"03090003";#N/A,#N/A,FALSE,"23190001";#N/A,#N/A,FALSE,"24470001"}</definedName>
    <definedName name="wrn.BUDGET_96." hidden="1">{#N/A,#N/A,TRUE,"econ_budget";#N/A,#N/A,TRUE,"budget";#N/A,#N/A,TRUE,"proy96 long dist";#N/A,#N/A,TRUE,"long dist";#N/A,#N/A,TRUE,"warehouse"}</definedName>
    <definedName name="wrn.CAPITAL." hidden="1">{#N/A,#N/A,FALSE,"RES. CAPITAL";#N/A,#N/A,FALSE,"SUPERAVIT"}</definedName>
    <definedName name="wrn.CHQ._.Compulsories." hidden="1">{#N/A,#N/A,TRUE,"Start Here";#N/A,#N/A,TRUE,"Title";#N/A,#N/A,TRUE,"TS ";#N/A,#N/A,TRUE,"WP";#N/A,#N/A,TRUE,"IE1 ";#N/A,#N/A,TRUE,"IE2 ";#N/A,#N/A,TRUE,"Rev1 ";#N/A,#N/A,TRUE,"Rev2 ";#N/A,#N/A,TRUE,"Rev3 ";#N/A,#N/A,TRUE,"GP1 ";#N/A,#N/A,TRUE,"GP2 ";#N/A,#N/A,TRUE,"Exp1 ";#N/A,#N/A,TRUE,"Exp2 ";#N/A,#N/A,TRUE,"Exp3 ";#N/A,#N/A,TRUE,"GIM ";#N/A,#N/A,TRUE,"Res ";#N/A,#N/A,TRUE,"Solutions";#N/A,#N/A,TRUE,"EBO 1"}</definedName>
    <definedName name="wrn.CNM._.BUDGET." hidden="1">{#N/A,#N/A,FALSE,"CNM BUDGET EVIAN";#N/A,#N/A,FALSE,"CNM BUDGET BA"}</definedName>
    <definedName name="wrn.COMA2813." hidden="1">{#N/A,#N/A,FALSE,"ESPATR";#N/A,#N/A,FALSE,"ESPATR 2";#N/A,#N/A,FALSE,"ESPATR 3";#N/A,#N/A,FALSE,"ESTRES";#N/A,#N/A,FALSE,"CTASORDEN";#N/A,#N/A,FALSE,"EEPN1";#N/A,#N/A,FALSE,"ESTORIG";#N/A,#N/A,FALSE,"ESTORIG 2";#N/A,#N/A,FALSE,"ANEXOA";#N/A,#N/A,FALSE,"ANEXOB";#N/A,#N/A,FALSE,"ANEXOB (2)";#N/A,#N/A,FALSE,"ANEXOC";#N/A,#N/A,FALSE,"ANEXOD";#N/A,#N/A,FALSE,"ANEXOE";#N/A,#N/A,FALSE,"ANEXOF";#N/A,#N/A,FALSE,"ANEXOG";#N/A,#N/A,FALSE,"ANEXOH";#N/A,#N/A,FALSE,"ANEXOI";#N/A,#N/A,FALSE,"ANEXOJ";#N/A,#N/A,FALSE,"ANEXOK";#N/A,#N/A,FALSE,"ANEXOL";#N/A,#N/A,FALSE,"ANEXON"}</definedName>
    <definedName name="wrn.Comparativo." hidden="1">{#N/A,#N/A,TRUE,"ComparativoII"}</definedName>
    <definedName name="wrn.consejo." hidden="1">{#N/A,#N/A,FALSE,"Rdos_96_97 (N)";#N/A,#N/A,FALSE,"Rdos_96_97";#N/A,#N/A,FALSE,"Gestión Agosto 97 Abv.";#N/A,#N/A,FALSE,"Resultados Agosto 97 (2)";#N/A,#N/A,FALSE,"Margenes Agost97  Abv sin prov.";#N/A,#N/A,FALSE,"Margenes Agosto97 Abv.";#N/A,#N/A,FALSE,"Carat Balance (2)";#N/A,#N/A,FALSE,"Bal Consol Agosto  97";#N/A,#N/A,FALSE,"Carat EE.FF";#N/A,#N/A,FALSE,"Carat Balance";#N/A,#N/A,FALSE,"Carat Cascada";#N/A,#N/A,FALSE,"Carat Margenes";#N/A,#N/A,FALSE,"Balance Agosto  97";#N/A,#N/A,FALSE,"Margenes Agosto 97"}</definedName>
    <definedName name="wrn.Consejo._.Santillana." hidden="1">{#N/A,#N/A,FALSE,"Resultados_is";#N/A,#N/A,FALSE,"IngresosG_is";#N/A,#N/A,FALSE,"Ingresosp_is";#N/A,#N/A,FALSE,"Financiero_is";#N/A,#N/A,FALSE,"Estructura_is";#N/A,#N/A,FALSE,"EstructuraG_is";#N/A,#N/A,FALSE,"FComercio_is";#N/A,#N/A,FALSE,"Pbeneficios_is";#N/A,#N/A,FALSE,"Gerenciamiento_is";#N/A,#N/A,FALSE,"Desinv_is"}</definedName>
    <definedName name="wrn.Control._.de._.metas._.2004." hidden="1">{"depositos1",#N/A,FALSE,"CONSOLID";"depositos2-cantidades",#N/A,FALSE,"CONSOLID";"planes sueldos3",#N/A,FALSE,"CONSOLID";"JUBILADOS4",#N/A,FALSE,"CONSOLID";"consolidado banca de consumo 5",#N/A,FALSE,"CONSOLID";"PMOS CONSUMO -SALDOS 6",#N/A,FALSE,"CONSOLID";"prod transaccionales cantidades",#N/A,FALSE,"CONSOLID";"prod transaccionales continuacion",#N/A,FALSE,"CONSOLID";"consolidado de banca empresa",#N/A,FALSE,"CONSOLID";"pmos banca empresa- saldos",#N/A,FALSE,"CONSOLID";"datos adicionales tarjetas",#N/A,FALSE,"CONSOLID";"tarjetas continuacion",#N/A,FALSE,"CONSOLID"}</definedName>
    <definedName name="wrn.Costo._.de._.Ventas." hidden="1">{"costo de ventas",#N/A,FALSE,"Anexo de Costo"}</definedName>
    <definedName name="wrn.costs._.incurred." hidden="1">{#N/A,#N/A,FALSE,"Costs_Incurred";#N/A,#N/A,FALSE,"1999-Total";#N/A,#N/A,FALSE,"1999_International";#N/A,#N/A,FALSE,"Oryx International Exploration ";#N/A,#N/A,FALSE,"1999_Reconciliation"}</definedName>
    <definedName name="wrn.CUADROD._.TESA." hidden="1">{#N/A,#N/A,FALSE,"Participaciones";#N/A,#N/A,FALSE,"Gastos Distribuir";#N/A,#N/A,FALSE,"Fondo de Comercio";#N/A,#N/A,FALSE,"Cuentas deudoras y acreedoras";#N/A,#N/A,FALSE,"Prov. Riesgos y gastos";#N/A,#N/A,FALSE,"Préstamos Vencimientos";#N/A,#N/A,FALSE,"Préstamos formato TESA";#N/A,#N/A,FALSE,"Información Swap´s";#N/A,#N/A,FALSE,"Tipos de prestamos";#N/A,#N/A,FALSE,"Obligaciones Vencimientos";#N/A,#N/A,FALSE,"Obligaciones Movimiento";#N/A,#N/A,FALSE,"Coste Financiero Obligaciones";#N/A,#N/A,FALSE,"Coef. Amortizacion";#N/A,#N/A,FALSE,"Venta de Participaciones";#N/A,#N/A,FALSE,"Admones. Pcas.";#N/A,#N/A,FALSE,"Acreedores diversos";#N/A,#N/A,FALSE,"Ingresos y Gastos emp. grupo";#N/A,#N/A,FALSE,"Invovilizado Amortizado";#N/A,#N/A,FALSE,"Ingresos y gastos extraord.";#N/A,#N/A,FALSE,"Personal Categorías y Lineas";#N/A,#N/A,FALSE,"Cotizaciones";#N/A,#N/A,FALSE,"Desglose Inst. Telefónicas";#N/A,#N/A,FALSE,"Inmovilizado Inmaterial";#N/A,#N/A,FALSE,"Inmovilizado Material";#N/A,#N/A,FALSE,"Impuestos antic. y diferidos";#N/A,#N/A,FALSE,"Diferencias de cambio"}</definedName>
    <definedName name="wrn.cuadros." hidden="1">{"anex_I",#N/A,FALSE,"Anexos";#N/A,#N/A,FALSE,"Carát 12_97";"ESP",#N/A,FALSE,"eecc";"rdo",#N/A,FALSE,"eecc";"evpn98",#N/A,FALSE,"eecc";"evpn97",#N/A,FALSE,"eecc";"anex_II",#N/A,FALSE,"Anexos";"anex_III",#N/A,FALSE,"Anexos";"anex_IV",#N/A,FALSE,"Anexos";"anex_V",#N/A,FALSE,"Anexos";"anex_VI",#N/A,FALSE,"Anexos";"anex_VII",#N/A,FALSE,"Anexos"}</definedName>
    <definedName name="wrn.Cuenta._.Conjunta." hidden="1">{"c",#N/A,FALSE,"C";"1$",#N/A,FALSE,"EOAF$";"2$",#N/A,FALSE,"CBCE$";"3$",#N/A,FALSE,"EERR$";"4$",#N/A,FALSE,"CPRO$";"5$",#N/A,FALSE,"OTCO$";"6$",#N/A,FALSE,"INCA$";"7$",#N/A,FALSE,"BUSO $";"8$",#N/A,FALSE,"AFES$";"1U$S",#N/A,FALSE,"EOAFU$S";"2U$S",#N/A,FALSE,"CBCEU$S";"3U$S",#N/A,FALSE,"EERRU$S";"4U$S",#N/A,FALSE,"CPROU$S";"5U$S",#N/A,FALSE,"INCAU$S";"6U$S",#N/A,FALSE,"OTCOU$S";"7U$S",#N/A,FALSE,"BUSO U$S";"8U$S",#N/A,FALSE,"AFESU$S";"9U$S",#N/A,FALSE,"DETAU$S";"10U$S",#N/A,FALSE,"RESIU$S"}</definedName>
    <definedName name="wrn.Data._.Sheet._.Continuation." hidden="1">{"Data Sheet Continuation",#N/A,FALSE,"Data Sheet"}</definedName>
    <definedName name="wrn.DEMONST._.RESULTADOS." hidden="1">{"RESULTADOS REAIS",#N/A,FALSE,"Dem.Res.R$";"RESULTADOS DOLARES",#N/A,FALSE,"Dem.Res.US$";"PERCENTUAIS REAIS",#N/A,FALSE,"Percentuais R$";"PERCENTUAIS DOLARES",#N/A,FALSE,"Percentuais US$"}</definedName>
    <definedName name="wrn.Drilling._.Detail._.and._.Narrative." hidden="1">{#N/A,#N/A,FALSE,"Drilling Manpower Summary";#N/A,#N/A,FALSE,"04_36 Drilling Detail";#N/A,#N/A,FALSE,"04_36  Drilling Narrative";#N/A,#N/A,FALSE,"05_36 Drilling Detail ";#N/A,#N/A,FALSE,"05_36 Drilling Narrative";#N/A,#N/A,FALSE,"Getuo Drilling Detail";#N/A,#N/A,FALSE,"Getuo Drilling Narrative";#N/A,#N/A,FALSE,"27_11 Drilling Detail ";#N/A,#N/A,FALSE,"27_11 Drilling Narrative";#N/A,#N/A,FALSE,"15_35 Drilling Detail"}</definedName>
    <definedName name="wrn.EDOMASAPOYOS." hidden="1">{#N/A,#N/A,FALSE,"EDO. DE RESULTADOS";#N/A,#N/A,FALSE,"CAMBIOS";#N/A,#N/A,FALSE,"COM - VTA";#N/A,#N/A,FALSE,"DIVIDENDOS";#N/A,#N/A,FALSE,"OTROS ING. DE OP.";#N/A,#N/A,FALSE,"GASTOS DE PERSONAL";#N/A,#N/A,FALSE,"RENTAS";#N/A,#N/A,FALSE,"OTROS GASTOS";#N/A,#N/A,FALSE,"DEP. Y AMO.";#N/A,#N/A,FALSE,"OTROS PROD."}</definedName>
    <definedName name="wrn.Esquema._.de._.Convenio." hidden="1">{#N/A,#N/A,TRUE,"Tapa 1";#N/A,#N/A,TRUE,"Tapa 2"}</definedName>
    <definedName name="wrn.estados._.contables." hidden="1">{#N/A,#N/A,FALSE,"balance";#N/A,#N/A,FALSE,"resultados";#N/A,#N/A,FALSE,"p.neto";#N/A,#N/A,FALSE,"bienes uso";#N/A,#N/A,FALSE,"art.64";#N/A,#N/A,FALSE,"intangibles"}</definedName>
    <definedName name="wrn.ESTRATIFICACIONE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wrn.EVOLUCION." hidden="1">{#N/A,#N/A,FALSE,"Individual";#N/A,#N/A,FALSE,"Colectivo";#N/A,#N/A,FALSE,"Accidentes";#N/A,#N/A,FALSE,"Previsional";#N/A,#N/A,FALSE,"Total"}</definedName>
    <definedName name="wrn.Expense._.Performance._.by._.Quarter." hidden="1">{#N/A,#N/A,FALSE,"Exp_perf_BU"}</definedName>
    <definedName name="wrn.EXTRAORDINARIOS." hidden="1">{#N/A,#N/A,FALSE,"ING. EXT."}</definedName>
    <definedName name="wrn.factura." hidden="1">{#N/A,#N/A,FALSE,"invoice ucc";#N/A,#N/A,FALSE,"asiento"}</definedName>
    <definedName name="wrn.fc1998." hidden="1">{"car",#N/A,FALSE,"Cara";"memoria",#N/A,FALSE,"Memoria";"infoaudi",#N/A,FALSE,"INFOAUDI";"com",#N/A,FALSE,"COM";"bal",#N/A,FALSE,"BAL";"res",#N/A,FALSE,"RES";"evo",#N/A,FALSE,"EVO";"oaf",#N/A,FALSE,"OAF";"notas",#N/A,FALSE,"NOT";"0I",#N/A,FALSE,"OI";"II",#N/A,FALSE,"II";"III",#N/A,FALSE,"III";"infoaudi",#N/A,FALSE,"INFOAUDI"}</definedName>
    <definedName name="wrn.flash." hidden="1">{"original",#N/A,TRUE,"flashcaneurope";"expeur",#N/A,TRUE,"EXPEUR";"ventesloceur",#N/A,TRUE,"VENTESLOCEUR";"candib",#N/A,TRUE,"flashcandib";"expedib",#N/A,TRUE,"EXPEDIB";"venteslocdib",#N/A,TRUE,"venteslocdib"}</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RVGL_AG." hidden="1">{"frvgl_ag",#N/A,FALSE,"FRPRINT";"frvgl_domestic",#N/A,FALSE,"FRPRINT";"frvgl_int_sales",#N/A,FALSE,"FRPRINT"}</definedName>
    <definedName name="wrn.FullSECDeck." hidden="1">{#N/A,#N/A,FALSE,"WW Sector";#N/A,#N/A,FALSE,"IOT Sector MI";#N/A,#N/A,FALSE,"QuickView1";#N/A,#N/A,FALSE,"QuickView2";#N/A,#N/A,FALSE,"Forecast Summary";#N/A,#N/A,FALSE,"WWBrandRev";#N/A,#N/A,FALSE,"AGBrandRev";#N/A,#N/A,FALSE,"NEBrandRev";#N/A,#N/A,FALSE,"SEBrandRev";#N/A,#N/A,FALSE,"APBrandRev";#N/A,#N/A,FALSE,"WWBrandGP";#N/A,#N/A,FALSE,"Unassigned";#N/A,#N/A,FALSE,"Industry Revenue";#N/A,#N/A,FALSE,"Industry GP";#N/A,#N/A,FALSE,"Revenue Traffic";#N/A,#N/A,FALSE,"Revenue Traffic YTD";#N/A,#N/A,FALSE,"RevTraffic_SD";#N/A,#N/A,FALSE,"GP_Traffic";#N/A,#N/A,FALSE,"GP_Traffic QTQ";#N/A,#N/A,FALSE,"GPTraffic_SD ";#N/A,#N/A,FALSE,"ConsecQtrChart"}</definedName>
    <definedName name="wrn.G._.and._.G._.Detail._.Plus._.Narrative." hidden="1">{#N/A,#N/A,FALSE,"G and G Manpower Summary";#N/A,#N/A,FALSE,"04_36 GG DETAIL";#N/A,#N/A,FALSE,"04_36  NARRATIVE";#N/A,#N/A,FALSE,"05_36 GG DETAIL ";#N/A,#N/A,FALSE,"05_36 Narrative";#N/A,#N/A,FALSE,"Getuo GG DETAIL ";#N/A,#N/A,FALSE,"Getuo Narrative";#N/A,#N/A,FALSE,"Laopu GG DETAIL";#N/A,#N/A,FALSE,"Laopu Narrative";#N/A,#N/A,FALSE,"27_11 GG DETAIL";#N/A,#N/A,FALSE,"27_11 Narrative";#N/A,#N/A,FALSE,"2_1 Appraisal GG DETAIL";#N/A,#N/A,FALSE,"2_1 Appraisal Narrative"}</definedName>
    <definedName name="wrn.GA._.Detail._.and._.Narrative." hidden="1">{#N/A,#N/A,FALSE,"G&amp;A Summary";#N/A,#N/A,FALSE,"G&amp;A Narrative";#N/A,#N/A,FALSE,"Salaries &amp; Burden &amp; Tax";#N/A,#N/A,FALSE,"Living Acc &amp; Schooling";#N/A,#N/A,FALSE,"R&amp;R, Home &amp; Relo";#N/A,#N/A,FALSE,"Contract Labor";#N/A,#N/A,FALSE,"Business travel";#N/A,#N/A,FALSE,"Training";#N/A,#N/A,FALSE,"Miscellaneous Items";#N/A,#N/A,FALSE,"Fixed Assets Usage"}</definedName>
    <definedName name="wrn.gastos." hidden="1">{#N/A,#N/A,FALSE,"PERSONAL";#N/A,#N/A,FALSE,"explotación";#N/A,#N/A,FALSE,"generales"}</definedName>
    <definedName name="wrn.Geo._.Final._.Report." hidden="1">{"Data Sheet Header",#N/A,TRUE,"Data Sheet";"Data Sheet Continuation",#N/A,TRUE,"Data Sheet"}</definedName>
    <definedName name="wrn.Getuo._.98._.Block._.Budget." hidden="1">{#N/A,#N/A,FALSE,"Getuo Summary";#N/A,#N/A,FALSE,"G&amp;A Summary";#N/A,#N/A,FALSE,"Time Allocation";#N/A,#N/A,FALSE,"Overhead";#N/A,#N/A,FALSE,"Getuo GG DETAIL ";#N/A,#N/A,FALSE,"Getuo G&amp;G Narrative";#N/A,#N/A,FALSE,"Getuo Drilling Detail";#N/A,#N/A,FALSE,"Getuo Drilling Narrative";#N/A,#N/A,FALSE,"Getuo Studies Detail";#N/A,#N/A,FALSE,"Getuo Studies Narrative";#N/A,#N/A,FALSE,"Getuo Training ";#N/A,#N/A,FALSE,"Dayrate Table"}</definedName>
    <definedName name="wrn.Global._.Sales._.and._.Distibution." hidden="1">{#N/A,#N/A,FALSE,"Title";#N/A,#N/A,FALSE,"Setting";#N/A,#N/A,FALSE,"Comm";#N/A,#N/A,FALSE,"Distr";#N/A,#N/A,FALSE,"FSS";#N/A,#N/A,FALSE,"FSS";#N/A,#N/A,FALSE,"Pub";#N/A,#N/A,FALSE,"SMB";#N/A,#N/A,FALSE,"BP";#N/A,#N/A,FALSE,"IBMcom";#N/A,#N/A,FALSE,"Core";#N/A,#N/A,FALSE,"CGR Trends";#N/A,#N/A,FALSE,"Non Brand Plan";#N/A,#N/A,FALSE,"ER By Unit";#N/A,#N/A,FALSE,"Qtrly Skews";#N/A,#N/A,FALSE,"Rev and SG&amp;A By Unit";#N/A,#N/A,FALSE,"Rev Per HC"}</definedName>
    <definedName name="wrn.GRAFICOS."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wrn.Gráficos." hidden="1">{"Gráfico s i pag 1",#N/A,FALSE,"Distrib Cobros s i";"Gráfico s i pag 2",#N/A,FALSE,"Distrib Cobros s i";"Gráfico s ii pag 1",#N/A,FALSE,"Distrib Cobros s ii";"Gráfico s ii pag 2",#N/A,FALSE,"Distrib Cobros s ii"}</definedName>
    <definedName name="wrn.Gross._.Profit._.Report." hidden="1">{"Monthly",#N/A,FALSE,"Phosphate Gross Profit";"Quarterly",#N/A,FALSE,"Phosphate Gross Profit"}</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S." hidden="1">{"CAR",#N/A,FALSE,"Caratula";"LOB10",#N/A,FALSE,"Mes";"LOB12",#N/A,FALSE,"Mes";"LOB14",#N/A,FALSE,"Mes";"LOB35",#N/A,FALSE,"Mes";"TOTEL",#N/A,FALSE,"Mes";"LOB80",#N/A,FALSE,"Mes";"LOB82",#N/A,FALSE,"Mes";"LOB87",#N/A,FALSE,"Mes";"LOB88",#N/A,FALSE,"Mes"}</definedName>
    <definedName name="wrn.IMPRESAC." hidden="1">{"CAR-A",#N/A,FALSE,"Caratula";"LOB10A",#N/A,FALSE,"Acum";"LOB12A",#N/A,FALSE,"Acum";"LOB14A",#N/A,FALSE,"Acum";"LOB35A",#N/A,FALSE,"Acum";"TOTELA",#N/A,FALSE,"Acum";"LOB80A",#N/A,FALSE,"Acum";"LOB82A",#N/A,FALSE,"Acum";"LOB87A",#N/A,FALSE,"Acum";"LOB88A",#N/A,FALSE,"Acum"}</definedName>
    <definedName name="wrn.impresion._.1." hidden="1">{"maq y eq",#N/A,TRUE,"Maq y Eq";"rodados",#N/A,TRUE,"Rodados"}</definedName>
    <definedName name="wrn.Indices._.y._.Separadores." hidden="1">{#N/A,#N/A,FALSE,"INDICE";#N/A,#N/A,FALSE,"Anexo I";#N/A,#N/A,FALSE,"Anexo II";#N/A,#N/A,FALSE,"Anexo II descr";#N/A,#N/A,FALSE,"Anexo III";#N/A,#N/A,FALSE,"Anexo III descr"}</definedName>
    <definedName name="wrn.INFMES." hidden="1">{#N/A,#N/A,FALSE,"ENERGIA";#N/A,#N/A,FALSE,"PERDIDAS";#N/A,#N/A,FALSE,"CLIENTES";#N/A,#N/A,FALSE,"ESTADO";#N/A,#N/A,FALSE,"TECNICA"}</definedName>
    <definedName name="wrn.INFO." hidden="1">{#N/A,#N/A,FALSE,"Variables";#N/A,#N/A,FALSE,"Patrim"}</definedName>
    <definedName name="wrn.INFORME._.0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DE._.GESTION." hidden="1">{#N/A,#N/A,TRUE,"INDICE";#N/A,#N/A,TRUE,"Variables";#N/A,#N/A,TRUE,"Cdro_Rtado";#N/A,#N/A,TRUE,"Patrim";#N/A,#N/A,TRUE,"Cash Flow";#N/A,#N/A,TRUE,"Vtas. U_Fís";#N/A,#N/A,TRUE,"Vtas. $";#N/A,#N/A,TRUE,"Cobranza";#N/A,#N/A,TRUE,"Resumen Gs.";#N/A,#N/A,TRUE,"Gs Comerc";#N/A,#N/A,TRUE,"Gs Administ";#N/A,#N/A,TRUE,"Gs Explot";#N/A,#N/A,TRUE,"Gs Personal";#N/A,#N/A,TRUE,"Inver."}</definedName>
    <definedName name="wrn.Informe._.mensual." hidden="1">{#N/A,#N/A,FALSE,"Carátula Rtados. Gestión (2)";#N/A,#N/A,FALSE,"Carátula EE.FF.  (1)";#N/A,#N/A,FALSE,"Gestión Marzo'98 Abv (3)";#N/A,#N/A,FALSE,"Rtdos. Cías. 97 - 98 (4)";#N/A,#N/A,FALSE,"Resultados Gestión Marzo'98 (5)";#N/A,#N/A,FALSE,"Carátula Rtados. Margenes (6)";#N/A,#N/A,FALSE,"Márgenes Marzo'98 Abv. (7)";#N/A,#N/A,FALSE,"Carátula Balance  (8)";#N/A,#N/A,FALSE,"B. P. Equivalencia Marzo'98 (9)";#N/A,#N/A,FALSE,"Carátula Balance  (10)";#N/A,#N/A,FALSE,"B. Consolidado Marzo'98 (11)";#N/A,#N/A,FALSE,"Márgenes Marzo'98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PPTO97." hidden="1">{#N/A,#N/A,FALSE,"P_97Ppto";#N/A,#N/A,FALSE,"Resultados_97Ppto";#N/A,#N/A,FALSE,"CTC_97Ppt";#N/A,#N/A,FALSE,"TASA_97Ppt";#N/A,#N/A,FALSE,"PERU_97Ppt";#N/A,#N/A,FALSE,"CANTV_97Ppt";#N/A,#N/A,FALSE,"TLD_97Ppt";#N/A,#N/A,FALSE,"ROMANIA_97Ppt";#N/A,#N/A,FALSE,"RParticipadas_97Ppt";#N/A,#N/A,FALSE,"Gerenciamiento_97Ppt";#N/A,#N/A,FALSE,"Financiero_97Ppt";#N/A,#N/A,FALSE,"Estructura_97Ppt";#N/A,#N/A,FALSE,"INetos_97Ppt";#N/A,#N/A,FALSE,"Desinv_97Ppt";#N/A,#N/A,FALSE,"FComercio_97Ppt"}</definedName>
    <definedName name="wrn.INFORME._.SEPA_P." hidden="1">{#N/A,#N/A,FALSE,"PR_09_P";#N/A,#N/A,FALSE,"P_09_P3";#N/A,#N/A,FALSE,"PR_09_P1";#N/A,#N/A,FALSE,"Res_márgenes_09_P";#N/A,#N/A,FALSE,"PR_09";#N/A,#N/A,FALSE,"Resultados_09_P";#N/A,#N/A,FALSE,"Pbeneficios_09_P";#N/A,#N/A,FALSE,"CTC_09_P";#N/A,#N/A,FALSE,"TASA_09_P";#N/A,#N/A,FALSE,"TPerú_09_P";#N/A,#N/A,FALSE,"CANTV_09_P";#N/A,#N/A,FALSE,"TLD_09_P";#N/A,#N/A,FALSE,"RUMANIA_09_P";#N/A,#N/A,FALSE,"Gerenciamiento_09_P";#N/A,#N/A,FALSE,"Financiero_09_P";#N/A,#N/A,FALSE,"Estructura_09_P";#N/A,#N/A,FALSE,"Desinv_09_P";#N/A,#N/A,FALSE,"FComercio_09_P"}</definedName>
    <definedName name="wrn.Informe._.Tablasy._.y._.Cuadros." hidden="1">{"Estado de Cobranzas pag 1",#N/A,FALSE,"RESUMEN";"Estado de Cobranzas pag 2",#N/A,FALSE,"RESUMEN";"Estado de Cobranzas pag 3",#N/A,FALSE,"RESUMEN"}</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_.and._.Results." hidden="1">{"Input Data",#N/A,FALSE,"Input &amp; Results";"Results",#N/A,FALSE,"Input &amp; Results"}</definedName>
    <definedName name="wrn.INTERNA._.CNB._.Y._.CONTABLE." hidden="1">{#N/A,#N/A,FALSE,"EDO. RES. INT";#N/A,#N/A,FALSE,"EDO. RES. CNB";#N/A,#N/A,FALSE,"EDO. RES. CONT."}</definedName>
    <definedName name="wrn.Laopu._.Block._.98._.Budget." hidden="1">{#N/A,#N/A,FALSE,"Laopu Summary";#N/A,#N/A,FALSE,"Laopu G&amp;A Summary";#N/A,#N/A,FALSE,"Laopu G&amp;A Narrative";#N/A,#N/A,FALSE,"Time Allocation";#N/A,#N/A,FALSE,"Laopu Overhead";#N/A,#N/A,FALSE,"Laopu GG Detail";#N/A,#N/A,FALSE,"Laopu G&amp;G Narrative";#N/A,#N/A,FALSE,"Laopu Studies Detail";#N/A,#N/A,FALSE,"Laopu Studies Narrative";#N/A,#N/A,FALSE,"Lapou Training";#N/A,#N/A,FALSE,"Laopu Training Narrative";#N/A,#N/A,FALSE,"Laopu  Day rates";#N/A,#N/A,FALSE,"JMC Meetings";#N/A,#N/A,FALSE,"Laopu Overhead"}</definedName>
    <definedName name="wrn.Laura." hidden="1">{"custodia",#N/A,FALSE,"Encaje";"encajeprint",#N/A,FALSE,"Encaje"}</definedName>
    <definedName name="wrn.Main_Stats." hidden="1">{"JVSumm_Report",#N/A,FALSE,"JV Summ";"Newman_Report",#N/A,FALSE,"Output - 7";"Yandi_Report",#N/A,FALSE,"Output - 8"}</definedName>
    <definedName name="wrn.MARINA." hidden="1">{#N/A,#N/A,FALSE,"STRAD";#N/A,#N/A,FALSE,"BELGLO"}</definedName>
    <definedName name="wrn.menadżer._.widoków." hidden="1">{#N/A,#N/A,FALSE,"Wyniki"}</definedName>
    <definedName name="wrn.MENSUAL." hidden="1">{#N/A,#N/A,FALSE,"LLAVE";#N/A,#N/A,FALSE,"EERR";#N/A,#N/A,FALSE,"ESP";#N/A,#N/A,FALSE,"EOAF";#N/A,#N/A,FALSE,"CASH";#N/A,#N/A,FALSE,"FINANZAS";#N/A,#N/A,FALSE,"DEUDA";#N/A,#N/A,FALSE,"INVERSION";#N/A,#N/A,FALSE,"PERSONAL"}</definedName>
    <definedName name="wrn.MENSUAL._.Y._.TRIMESTRAL." hidden="1">{#N/A,#N/A,FALSE,"EDO. RES. CNB";#N/A,#N/A,FALSE,"TRIMESTRAL"}</definedName>
    <definedName name="wrn.Merged._.reserves." hidden="1">{#N/A,#N/A,FALSE,"Footnote merged reserves";#N/A,#N/A,FALSE,"mergerworksheet";#N/A,#N/A,FALSE,"Merged variance"}</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delo."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ota." hidden="1">{#N/A,#N/A,FALSE,"Rota Caja"}</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Nov.del._.Día._.Empresas." hidden="1">{"car1",#N/A,FALSE,"CA";"sg1",#N/A,FALSE,"SP-SS";"ham1",#N/A,FALSE,"HA";"ens1",#N/A,FALSE,"ENS";"eder1",#N/A,FALSE,"EDER";"cpb1",#N/A,FALSE,"CPB";"tra1",#N/A,FALSE,"TRANS";"abal1",#N/A,FALSE,"AB";"alap",#N/A,FALSE,"AL"}</definedName>
    <definedName name="wrn.OBLIGACIONES." hidden="1">{#N/A,#N/A,FALSE,"OBLIG.S-CAPITAL"}</definedName>
    <definedName name="wrn.ogpp." hidden="1">{#N/A,#N/A,FALSE,"OGPP1"}</definedName>
    <definedName name="wrn.Oxy._.Daily._.Report." hidden="1">{"GEO Report",#N/A,FALSE,"Data Sheet";"OXY Daily Report",#N/A,FALSE,"Data Sheet"}</definedName>
    <definedName name="wrn.Paquet.._.Conso.._.P.E.." hidden="1">{#N/A,#N/A,FALSE,"DeudAcre";#N/A,#N/A,FALSE,"Compvta";#N/A,#N/A,FALSE,"Ajust.IM";#N/A,#N/A,FALSE,"Ajust.Exi";#N/A,#N/A,FALSE,"Ajust.Div";#N/A,#N/A,FALSE,"Ajust.IF"}</definedName>
    <definedName name="wrn.Paquet.._.Conso.I.G.." hidden="1">{#N/A,#N/A,FALSE,"Datos";#N/A,#N/A,FALSE,"PartCap";#N/A,#N/A,FALSE,"Gtos-II";#N/A,#N/A,FALSE,"Inm.Mat1";#N/A,#N/A,FALSE,"Inm.Mat2";#N/A,#N/A,FALSE,"Inm.Fin";#N/A,#N/A,FALSE,"DeudAcre";#N/A,#N/A,FALSE,"Exist.Prov";#N/A,#N/A,FALSE,"Patrim.";#N/A,#N/A,FALSE,"IaD ";#N/A,#N/A,FALSE,"IptoSdes1";#N/A,#N/A,FALSE,"IptoSdes2";#N/A,#N/A,FALSE,"Ajust.IM";#N/A,#N/A,FALSE,"Ajust.Exi";#N/A,#N/A,FALSE,"Ajust.Div";#N/A,#N/A,FALSE,"Ajust.IF";#N/A,#N/A,FALSE,"Compvta";#N/A,#N/A,FALSE,"Avales";#N/A,#N/A,FALSE,"Conting.";#N/A,#N/A,FALSE,"Otra infor.1";#N/A,#N/A,FALSE,"Otra infor.2"}</definedName>
    <definedName name="wrn.PASIVO." hidden="1">{#N/A,#N/A,FALSE,"DEP. VISTA CON INT.";#N/A,#N/A,FALSE,"CTA. MAESTRA";#N/A,#N/A,FALSE,"DEP. PLAZO MENUDEO";#N/A,#N/A,FALSE,"FONDOS";#N/A,#N/A,FALSE,"DEP. EN DLLS.";#N/A,#N/A,FALSE,"DEUDA EN DLLS";#N/A,#N/A,FALSE,"PREST. INT.";#N/A,#N/A,FALSE,"REPORTOS";#N/A,#N/A,FALSE,"OTROS DEP.";#N/A,#N/A,FALSE,"ACREEDORES DIVERSOS"}</definedName>
    <definedName name="wrn.pipetally." hidden="1">{#N/A,#N/A,FALSE,"5""DP  "}</definedName>
    <definedName name="wrn.Planillas." hidden="1">{"Planilla",#N/A,FALSE,"MOV HAC"}</definedName>
    <definedName name="wrn.PM8._.table." hidden="1">{#N/A,#N/A,FALSE,"PM8 table"}</definedName>
    <definedName name="wrn.Precio._.Venta." hidden="1">{#N/A,#N/A,FALSE,"Venta"}</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S." hidden="1">{"Index",#N/A,FALSE,"Index"}</definedName>
    <definedName name="wrn.Print_Index." hidden="1">{"Index",#N/A,FALSE,"Index"}</definedName>
    <definedName name="wrn.Productivity." hidden="1">{#N/A,#N/A,FALSE,"Productivity"}</definedName>
    <definedName name="wrn.PROGRAMA._.EMBARQUES." hidden="1">{#N/A,#N/A,FALSE,"Hoja1";#N/A,#N/A,FALSE,"Hoja1"}</definedName>
    <definedName name="wrn.propios." hidden="1">{#N/A,#N/A,TRUE,"total";#N/A,#N/A,TRUE,"veronica";#N/A,#N/A,TRUE,"pia";#N/A,#N/A,TRUE,"eva";#N/A,#N/A,TRUE,"laura";#N/A,#N/A,TRUE,"marisol";#N/A,#N/A,TRUE,"nadia";#N/A,#N/A,TRUE,"susana";#N/A,#N/A,TRUE,"barge g3";#N/A,#N/A,TRUE,"plate";#N/A,#N/A,TRUE,"fatima";#N/A,#N/A,TRUE,"abbeymarine";#N/A,#N/A,TRUE,"cavalier";#N/A,#N/A,TRUE,"tank barge V-XI";#N/A,#N/A,TRUE,"dry barges-cavalierII-III";#N/A,#N/A,TRUE,"barge g2 ";#N/A,#N/A,TRUE,"rosario";#N/A,#N/A,TRUE,"charteados";#N/A,#N/A,TRUE,"administrativo";#N/A,#N/A,TRUE,"summary"}</definedName>
    <definedName name="wrn.PRUEBA." hidden="1">{#N/A,#N/A,TRUE,"proy96 long dist";#N/A,#N/A,TRUE,"warehouse"}</definedName>
    <definedName name="wrn.PSG._.East._.Report." hidden="1">{#N/A,#N/A,FALSE,"Start";#N/A,#N/A,FALSE,"PSG EAST ACTIVITY";#N/A,#N/A,FALSE,"PSG GI EAST Trend";#N/A,#N/A,FALSE,"East Activity MBF"}</definedName>
    <definedName name="wrn.PSG._.Summary._.Report." hidden="1">{#N/A,#N/A,FALSE,"Start";#N/A,#N/A,FALSE,"PSG Summary Activity";#N/A,#N/A,FALSE,"DMO GI TREND";#N/A,#N/A,FALSE,"PSG Activity Mix - CM";#N/A,#N/A,FALSE,"PSG Activity Mix - YTD";#N/A,#N/A,FALSE,"YTD GI DETAIL ROLL-UPS";#N/A,#N/A,FALSE,"CM GI DETAIL ROLL-UPS"}</definedName>
    <definedName name="wrn.PSG._.West." hidden="1">{#N/A,#N/A,FALSE,"Start";#N/A,#N/A,FALSE,"PSG West Activity";#N/A,#N/A,FALSE,"PSG GI WEST Trend";#N/A,#N/A,FALSE,"PSG Removals WEST Trend"}</definedName>
    <definedName name="wrn.Pyramid." hidden="1">{#N/A,#N/A,FALSE,"Pyramid"}</definedName>
    <definedName name="wrn.REPORT." hidden="1">{#N/A,#N/A,FALSE,"Total";#N/A,#N/A,FALSE,"S 109.426";#N/A,#N/A,FALSE,"S 105.312";#N/A,#N/A,FALSE,"S 109.637";#N/A,#N/A,FALSE,"S 109.926";#N/A,#N/A,FALSE,"S 108.707";#N/A,#N/A,FALSE,"S 108.230";#N/A,#N/A,FALSE,"S 109.350";#N/A,#N/A,FALSE,"976.127.770";#N/A,#N/A,FALSE,"976.127.760";#N/A,#N/A,FALSE,"500.092.850";#N/A,#N/A,FALSE,"976.252.070";#N/A,#N/A,FALSE,"S-110.026";#N/A,#N/A,FALSE,"976.252.080";#N/A,#N/A,FALSE,"465.274.800";#N/A,#N/A,FALSE,"Substrato";#N/A,#N/A,FALSE,"465.520.710"}</definedName>
    <definedName name="wrn.reporte."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wrn.Reserves." hidden="1">{#N/A,#N/A,FALSE,"Reserves";#N/A,#N/A,FALSE,"Devon"}</definedName>
    <definedName name="wrn.Resumen." hidden="1">{#N/A,#N/A,FALSE,"CAPEX";#N/A,#N/A,FALSE,"PLAN";#N/A,#N/A,FALSE,"REV";#N/A,#N/A,FALSE,"CALOP";#N/A,#N/A,FALSE,"RESOP";#N/A,#N/A,FALSE,"PRES"}</definedName>
    <definedName name="wrn.ROADSHOW." hidden="1">{#N/A,#N/A,FALSE,"Rdos_96_97  Abv.";#N/A,#N/A,FALSE,"Rdos_96_97";#N/A,#N/A,FALSE,"Gestión Julio 97 Abv.";#N/A,#N/A,FALSE,"Gestión Julio 97 Abv.";#N/A,#N/A,FALSE,"Margenes Julio97  Abv sin prov.";#N/A,#N/A,FALSE,"Margenes Julio 97 Abv.";#N/A,#N/A,FALSE,"Carat Balance (2)";#N/A,#N/A,FALSE,"Bal Consol Julio  97";#N/A,#N/A,FALSE,"Carat EE.FF";#N/A,#N/A,FALSE,"Carat Balance";#N/A,#N/A,FALSE,"Carat Cascada";#N/A,#N/A,FALSE,"Carat Margenes";#N/A,#N/A,FALSE,"Balance Julio  97";#N/A,#N/A,FALSE,"Margenes Julio 97";#N/A,#N/A,FALSE,"Resultados Julio 97 (2)"}</definedName>
    <definedName name="wrn.SAR._.Interco._.0403.xls." hidden="1">{#N/A,#N/A,FALSE,"Interc-11";#N/A,#N/A,FALSE,"Roy+Inter-11"}</definedName>
    <definedName name="wrn.Schedule_1A." hidden="1">{"Schedule_IA",#N/A,FALSE,"I-A"}</definedName>
    <definedName name="wrn.schedule_1Aa." hidden="1">{"Schedule_IA",#N/A,FALSE,"I-A"}</definedName>
    <definedName name="wrn.Schedule_1B." hidden="1">{"Schedule_1B",#N/A,FALSE,"I-B"}</definedName>
    <definedName name="wrn.Schedule_1C." hidden="1">{"Schedule_1C",#N/A,FALSE,"I-C"}</definedName>
    <definedName name="wrn.Schedule_1D." hidden="1">{"Schedule_1D",#N/A,FALSE,"I-D"}</definedName>
    <definedName name="wrn.Schedule_I." hidden="1">{"Schedule_I",#N/A,FALSE,"I"}</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ing._.data." hidden="1">{#N/A,#N/A,FALSE,"Standing data"}</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udies._.98._.Detail._.and._.Narrative." hidden="1">{#N/A,#N/A,FALSE,"Studies Manpower Summary";#N/A,#N/A,FALSE,"04_36 Studies Detail";#N/A,#N/A,FALSE,"04_36  Studies Narrative";#N/A,#N/A,FALSE,"05_36 Studies Detail ";#N/A,#N/A,FALSE,"05_36 Studies Narrative";#N/A,#N/A,FALSE,"Getuo Studies Detail";#N/A,#N/A,FALSE,"Getuo Studies Narrative";#N/A,#N/A,FALSE,"Laopu Studies Detail";#N/A,#N/A,FALSE,"Laopu Studies Narrative";#N/A,#N/A,FALSE,"27_11 Studies Detail ";#N/A,#N/A,FALSE,"27_11 Studies Narrative";#N/A,#N/A,FALSE,"15_35 Studies Detail";#N/A,#N/A,FALSE,"15_35  Studies Narrative "}</definedName>
    <definedName name="wrn.SUBSIDIARIAS." hidden="1">{#N/A,#N/A,FALSE,"SUBSIDIARIAS"}</definedName>
    <definedName name="wrn.subsidios._.pendientes._.de._.utilización." hidden="1">{#N/A,#N/A,FALSE,"subsidios"}</definedName>
    <definedName name="wrn.Supplemental_Reports." hidden="1">{#N/A,#N/A,FALSE,"Report Data";#N/A,#N/A,FALSE,"COMP POOL";#N/A,#N/A,FALSE,"COMP POOL NB95";#N/A,#N/A,FALSE,"COMP POOL NB94"}</definedName>
    <definedName name="wrn.Tarifario._.Oficial." hidden="1">{#N/A,#N/A,FALSE,"carat";#N/A,#N/A,FALSE,"PARIDAD.XLS";#N/A,#N/A,FALSE,"ind";#N/A,#N/A,FALSE,"indice";#N/A,#N/A,FALSE,"TELEFONÍA ";#N/A,#N/A,FALSE,"DDI";#N/A,#N/A,FALSE,"OPERADORA";#N/A,#N/A,FALSE,"INMAR-FO";#N/A,#N/A,FALSE,"INMAR-$";#N/A,#N/A,FALSE,"Horario";#N/A,#N/A,FALSE,"PULSOS.XLS";#N/A,#N/A,FALSE,"Telex";#N/A,#N/A,FALSE,"datos";#N/A,#N/A,FALSE,"sivd";#N/A,#N/A,FALSE,"sivd temp";#N/A,#N/A,FALSE,"Internet";#N/A,#N/A,FALSE,"Sei  FO";#N/A,#N/A,FALSE,"SEI $";#N/A,#N/A,FALSE,"Sei Temp";#N/A,#N/A,FALSE,"Frame R";#N/A,#N/A,FALSE,"VSAT";#N/A,#N/A,FALSE,"PAPO";#N/A,#N/A,FALSE,"Tar Canales";#N/A,#N/A,FALSE,"sva";#N/A,#N/A,FALSE,"SDITemp";#N/A,#N/A,FALSE,"rtv"}</definedName>
    <definedName name="wrn.Tarifario_Complementario." hidden="1">{#N/A,#N/A,FALSE,"INFORM.COMPLEMENTARIA";#N/A,#N/A,FALSE,"Otras Tarifas";#N/A,#N/A,FALSE,"Region";#N/A,#N/A,FALSE,"Front";#N/A,#N/A,FALSE,"Tarif Espec";#N/A,#N/A,FALSE,"Tarje";#N/A,#N/A,FALSE,"argdir";#N/A,#N/A,FALSE,"INMAR-miniMFO";#N/A,#N/A,FALSE,"INMAR-miniM$";#N/A,#N/A,FALSE,"Planes Dto";#N/A,#N/A,FALSE,"plus";#N/A,#N/A,FALSE,"preferencial";#N/A,#N/A,FALSE,"llamadas libres";#N/A,#N/A,FALSE,"Grupos Países";#N/A,#N/A,FALSE,"ELITE";#N/A,#N/A,FALSE,"SEI";#N/A,#N/A,FALSE,"SIVD1";#N/A,#N/A,FALSE,"Tarif Comparat";#N/A,#N/A,FALSE,"h.nor ";#N/A,#N/A,FALSE,"h.supered";#N/A,#N/A,FALSE,"h.red"}</definedName>
    <definedName name="wrn.Tarifario_Oficial." hidden="1">{#N/A,#N/A,FALSE,"carat";#N/A,#N/A,FALSE,"PARIDAD.XLS";#N/A,#N/A,FALSE,"ind";#N/A,#N/A,FALSE,"indice";#N/A,#N/A,FALSE,"TELEFONÍA";#N/A,#N/A,FALSE,"DDI";#N/A,#N/A,FALSE,"OPERADORA";#N/A,#N/A,FALSE,"INMAR-FO";#N/A,#N/A,FALSE,"INMAR-$";#N/A,#N/A,FALSE,"Horario";#N/A,#N/A,FALSE,"PULSOS.XLS";#N/A,#N/A,FALSE,"Telex";#N/A,#N/A,FALSE,"datos";#N/A,#N/A,FALSE,"sivd";#N/A,#N/A,FALSE,"sivd temp";#N/A,#N/A,FALSE,"Internet";#N/A,#N/A,FALSE,"Sei  FO";#N/A,#N/A,FALSE,"SEI $";#N/A,#N/A,FALSE,"Sei Temp";#N/A,#N/A,FALSE,"Frame R";#N/A,#N/A,FALSE,"VSAT";#N/A,#N/A,FALSE,"PAPO";#N/A,#N/A,FALSE,"Tar Canales";#N/A,#N/A,FALSE,"sva";#N/A,#N/A,FALSE,"SDITemp";#N/A,#N/A,FALSE,"rtv"}</definedName>
    <definedName name="wrn.TELEFONICA." hidden="1">{#N/A,#N/A,FALSE,"Balances";#N/A,#N/A,FALSE,"ANEX-1";#N/A,#N/A,FALSE,"ANEX.2";#N/A,#N/A,FALSE,"ANEX-3";#N/A,#N/A,FALSE,"ANEX.4";#N/A,#N/A,FALSE,"ANEX-5";#N/A,#N/A,FALSE,"ANEX-7 (último)";#N/A,#N/A,FALSE,"ANEX-6"}</definedName>
    <definedName name="wrn.Telefonica1." hidden="1">{#N/A,#N/A,FALSE,"Balances";#N/A,#N/A,FALSE,"ANEX-3";#N/A,#N/A,FALSE,"ANEX-7 (último)";#N/A,#N/A,FALSE,"CTC-96";#N/A,#N/A,FALSE,"PERU-96";#N/A,#N/A,FALSE,"TLD-96";#N/A,#N/A,FALSE,"TISA-96";#N/A,#N/A,FALSE,"Inversiones 1996";#N/A,#N/A,FALSE,"ANEX.2";#N/A,#N/A,FALSE,"ANEX-5"}</definedName>
    <definedName name="wrn.TESA." hidden="1">{#N/A,#N/A,FALSE,"Diferencias de cambio";#N/A,#N/A,FALSE,"Personal Categorías y Lineas";#N/A,#N/A,FALSE,"Impuestos antic. y diferidos";#N/A,#N/A,FALSE,"Inmovilizado Material";#N/A,#N/A,FALSE,"Inmovilizado Inmaterial";#N/A,#N/A,FALSE,"Desglose Inst. Telefónicas";#N/A,#N/A,FALSE,"Cotizaciones";#N/A,#N/A,FALSE,"Ingresos y Gastos emp. grupo";#N/A,#N/A,FALSE,"Acreedores diversos";#N/A,#N/A,FALSE,"Admones. Pcas.";#N/A,#N/A,FALSE,"Venta de Participaciones";#N/A,#N/A,FALSE,"Coef. Amortizacion";#N/A,#N/A,FALSE,"Ingresos distribuir";#N/A,#N/A,FALSE,"Clientes";#N/A,#N/A,FALSE,"Socios Externos Movimiento";#N/A,#N/A,FALSE,"Coste Financiero Obligaciones";#N/A,#N/A,FALSE,"Obligaciones Movimiento";#N/A,#N/A,FALSE,"Obligaciones Vencimientos";#N/A,#N/A,FALSE,"Tipos de prestamos";#N/A,#N/A,FALSE,"Información Swap´s";#N/A,#N/A,FALSE,"Préstamos formato TESA";#N/A,#N/A,FALSE,"Préstamos Vencimientos";#N/A,#N/A,FALSE,"Prov. Riesgos y gastos";#N/A,#N/A,FALSE,"Cuentas deudoras y acreedoras";#N/A,#N/A,FALSE,"Fondo de Comercio";#N/A,#N/A,FALSE,"Gastos Distribuir";#N/A,#N/A,FALSE,"Participaciones";#N/A,#N/A,FALSE,"Ingresos y gastos extraord.";#N/A,#N/A,FALSE,"Invovilizado Amortizado";#N/A,#N/A,FALSE,"Fondos Própios";#N/A,#N/A,FALSE,"Movimiento de Reservas";#N/A,#N/A,FALSE,"Diferencias de cambio";#N/A,#N/A,FALSE,"Socios Externos"}</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ptrial." hidden="1">{"toptrial",#N/A,TRUE,"toptrial";"adjustment",#N/A,TRUE,"toptrial";"voucher",#N/A,TRUE,"toptrial"}</definedName>
    <definedName name="wrn.total" hidden="1">{"TOTCIAA",#N/A,FALSE,"Acum";"TOTCIA",#N/A,FALSE,"Mes"}</definedName>
    <definedName name="wrn.TOTAL." hidden="1">{"TOTCIAA",#N/A,FALSE,"Acum";"TOTCIA",#N/A,FALSE,"Mes"}</definedName>
    <definedName name="wrn.Training._.Block._.Budget._.1998." hidden="1">{#N/A,#N/A,FALSE,"04_36 Training";#N/A,#N/A,FALSE,"05_36 Training";#N/A,#N/A,FALSE,"Lapou Training";#N/A,#N/A,FALSE,"Getuo Training ";#N/A,#N/A,FALSE,"27_11 Training";#N/A,#N/A,FALSE,"15_35 Training"}</definedName>
    <definedName name="wrn.tuto." hidden="1">{#N/A,#N/A,TRUE,"Sit.Patrim.";#N/A,#N/A,TRUE,"Pat.Neto";#N/A,#N/A,TRUE,"Est.Result.";#N/A,#N/A,TRUE,"Est Resul Gestional";#N/A,#N/A,TRUE,"Ventas";#N/A,#N/A,TRUE,"Ventas Grandes volumen";#N/A,#N/A,TRUE,"Venta Grandes $";#N/A,#N/A,TRUE,"Cantidad de clientes";#N/A,#N/A,TRUE,"CostoVentas";#N/A,#N/A,TRUE,"Gastos";#N/A,#N/A,TRUE,"Anexo H";#N/A,#N/A,TRUE,"Ot.Ingresos";#N/A,#N/A,TRUE,"E.O.A.F.";#N/A,#N/A,TRUE,"Rec.Humanos";#N/A,#N/A,TRUE,"Inversiones";#N/A,#N/A,TRUE,"Contingencias"}</definedName>
    <definedName name="wrn.UDIS." hidden="1">{#N/A,#N/A,FALSE,"UDIS SEPT 96"}</definedName>
    <definedName name="wrn.upi." hidden="1">{#N/A,#N/A,TRUE,"adamas";#N/A,#N/A,TRUE,"sun upi";#N/A,#N/A,TRUE,"ming he";#N/A,#N/A,TRUE,"n.liberita";#N/A,#N/A,TRUE,"kite";#N/A,#N/A,TRUE,"vicky";#N/A,#N/A,TRUE,"athina";#N/A,#N/A,TRUE,"raven";#N/A,#N/A,TRUE,"heidemar";#N/A,#N/A,TRUE,"acina";#N/A,#N/A,TRUE,"centauros";#N/A,#N/A,TRUE,"harrier";#N/A,#N/A,TRUE,"daqing";#N/A,#N/A,TRUE,"alkman";#N/A,#N/A,TRUE,"upi"}</definedName>
    <definedName name="wrn1.history" hidden="1">{#N/A,#N/A,FALSE,"model"}</definedName>
    <definedName name="wrn3.histroic" hidden="1">{#N/A,#N/A,FALSE,"model"}</definedName>
    <definedName name="wrnaa" hidden="1">{#N/A,#N/A,FALSE,"Aging Summary";#N/A,#N/A,FALSE,"Ratio Analysis";#N/A,#N/A,FALSE,"Test 120 Day Accts";#N/A,#N/A,FALSE,"Tickmarks"}</definedName>
    <definedName name="wrnm." hidden="1">{"toptrial",#N/A,TRUE,"toptrial";"adjustment",#N/A,TRUE,"toptrial";"voucher",#N/A,TRUE,"toptrial"}</definedName>
    <definedName name="wrorw8" hidden="1">#REF!</definedName>
    <definedName name="WRWEWR" hidden="1">{#N/A,#N/A,FALSE,"Aging Summary";#N/A,#N/A,FALSE,"Ratio Analysis";#N/A,#N/A,FALSE,"Test 120 Day Accts";#N/A,#N/A,FALSE,"Tickmarks"}</definedName>
    <definedName name="WRWR" hidden="1">{#N/A,#N/A,FALSE,"Aging Summary";#N/A,#N/A,FALSE,"Ratio Analysis";#N/A,#N/A,FALSE,"Test 120 Day Accts";#N/A,#N/A,FALSE,"Tickmarks"}</definedName>
    <definedName name="ws" hidden="1">{#N/A,#N/A,FALSE,"LLAVE";#N/A,#N/A,FALSE,"EERR";#N/A,#N/A,FALSE,"ESP";#N/A,#N/A,FALSE,"EOAF";#N/A,#N/A,FALSE,"CASH";#N/A,#N/A,FALSE,"FINANZAS";#N/A,#N/A,FALSE,"DEUDA";#N/A,#N/A,FALSE,"INVERSION";#N/A,#N/A,FALSE,"PERSONAL"}</definedName>
    <definedName name="wsa" hidden="1">{#N/A,#N/A,FALSE,"Aging Summary";#N/A,#N/A,FALSE,"Ratio Analysis";#N/A,#N/A,FALSE,"Test 120 Day Accts";#N/A,#N/A,FALSE,"Tickmarks"}</definedName>
    <definedName name="wsfaasdf" hidden="1">#REF!</definedName>
    <definedName name="wss" hidden="1">#REF!</definedName>
    <definedName name="wswswswsw" hidden="1">{#N/A,#N/A,FALSE,"Aging Summary";#N/A,#N/A,FALSE,"Ratio Analysis";#N/A,#N/A,FALSE,"Test 120 Day Accts";#N/A,#N/A,FALSE,"Tickmarks"}</definedName>
    <definedName name="wt4oitj" hidden="1">#REF!</definedName>
    <definedName name="wtok" hidden="1">#REF!</definedName>
    <definedName name="wtok2" hidden="1">#REF!</definedName>
    <definedName name="wvu.TO_PRIN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ww" hidden="1">{#N/A,#N/A,FALSE,"balance";#N/A,#N/A,FALSE,"resultados";#N/A,#N/A,FALSE,"p.neto";#N/A,#N/A,FALSE,"bienes uso";#N/A,#N/A,FALSE,"art.64";#N/A,#N/A,FALSE,"intangibles"}</definedName>
    <definedName name="wwa" hidden="1">{#N/A,#N/A,FALSE,"Aging Summary";#N/A,#N/A,FALSE,"Ratio Analysis";#N/A,#N/A,FALSE,"Test 120 Day Accts";#N/A,#N/A,FALSE,"Tickmarks"}</definedName>
    <definedName name="wwaa" hidden="1">{#N/A,#N/A,FALSE,"Aging Summary";#N/A,#N/A,FALSE,"Ratio Analysis";#N/A,#N/A,FALSE,"Test 120 Day Accts";#N/A,#N/A,FALSE,"Tickmarks"}</definedName>
    <definedName name="wwaatt" hidden="1">{#N/A,#N/A,FALSE,"Aging Summary";#N/A,#N/A,FALSE,"Ratio Analysis";#N/A,#N/A,FALSE,"Test 120 Day Accts";#N/A,#N/A,FALSE,"Tickmarks"}</definedName>
    <definedName name="wwaattaa" hidden="1">{#N/A,#N/A,FALSE,"Aging Summary";#N/A,#N/A,FALSE,"Ratio Analysis";#N/A,#N/A,FALSE,"Test 120 Day Accts";#N/A,#N/A,FALSE,"Tickmarks"}</definedName>
    <definedName name="wwaattaa." hidden="1">{#N/A,#N/A,FALSE,"Aging Summary";#N/A,#N/A,FALSE,"Ratio Analysis";#N/A,#N/A,FALSE,"Test 120 Day Accts";#N/A,#N/A,FALSE,"Tickmarks"}</definedName>
    <definedName name="WWE" hidden="1">{#N/A,#N/A,FALSE,"Aging Summary";#N/A,#N/A,FALSE,"Ratio Analysis";#N/A,#N/A,FALSE,"Test 120 Day Accts";#N/A,#N/A,FALSE,"Tickmarks"}</definedName>
    <definedName name="wwnnrr" hidden="1">{#N/A,#N/A,FALSE,"Aging Summary";#N/A,#N/A,FALSE,"Ratio Analysis";#N/A,#N/A,FALSE,"Test 120 Day Accts";#N/A,#N/A,FALSE,"Tickmarks"}</definedName>
    <definedName name="wwnnrr.." hidden="1">{#N/A,#N/A,FALSE,"Aging Summary";#N/A,#N/A,FALSE,"Ratio Analysis";#N/A,#N/A,FALSE,"Test 120 Day Accts";#N/A,#N/A,FALSE,"Tickmarks"}</definedName>
    <definedName name="wwnnrr__AA" hidden="1">{#N/A,#N/A,FALSE,"Aging Summary";#N/A,#N/A,FALSE,"Ratio Analysis";#N/A,#N/A,FALSE,"Test 120 Day Accts";#N/A,#N/A,FALSE,"Tickmarks"}</definedName>
    <definedName name="wwnnrraa" hidden="1">{#N/A,#N/A,FALSE,"Aging Summary";#N/A,#N/A,FALSE,"Ratio Analysis";#N/A,#N/A,FALSE,"Test 120 Day Accts";#N/A,#N/A,FALSE,"Tickmarks"}</definedName>
    <definedName name="wwnnrraatt" hidden="1">{#N/A,#N/A,FALSE,"Aging Summary";#N/A,#N/A,FALSE,"Ratio Analysis";#N/A,#N/A,FALSE,"Test 120 Day Accts";#N/A,#N/A,FALSE,"Tickmarks"}</definedName>
    <definedName name="wwq" hidden="1">{#N/A,#N/A,FALSE,"Aging Summary";#N/A,#N/A,FALSE,"Ratio Analysis";#N/A,#N/A,FALSE,"Test 120 Day Accts";#N/A,#N/A,FALSE,"Tickmarks"}</definedName>
    <definedName name="wwsw" hidden="1">{#N/A,#N/A,FALSE,"Aging Summary";#N/A,#N/A,FALSE,"Ratio Analysis";#N/A,#N/A,FALSE,"Test 120 Day Accts";#N/A,#N/A,FALSE,"Tickmarks"}</definedName>
    <definedName name="www" hidden="1">{#N/A,#N/A,FALSE,"Aging Summary";#N/A,#N/A,FALSE,"Ratio Analysis";#N/A,#N/A,FALSE,"Test 120 Day Accts";#N/A,#N/A,FALSE,"Tickmarks"}</definedName>
    <definedName name="wwwaaa" hidden="1">{#N/A,#N/A,FALSE,"Aging Summary";#N/A,#N/A,FALSE,"Ratio Analysis";#N/A,#N/A,FALSE,"Test 120 Day Accts";#N/A,#N/A,FALSE,"Tickmarks"}</definedName>
    <definedName name="WWWE" hidden="1">{#N/A,#N/A,FALSE,"Aging Summary";#N/A,#N/A,FALSE,"Ratio Analysis";#N/A,#N/A,FALSE,"Test 120 Day Accts";#N/A,#N/A,FALSE,"Tickmarks"}</definedName>
    <definedName name="wwwss" hidden="1">#REF!</definedName>
    <definedName name="wwwsss" hidden="1">{#N/A,#N/A,FALSE,"Aging Summary";#N/A,#N/A,FALSE,"Ratio Analysis";#N/A,#N/A,FALSE,"Test 120 Day Accts";#N/A,#N/A,FALSE,"Tickmarks"}</definedName>
    <definedName name="wwww" hidden="1">{#N/A,#N/A,FALSE,"Aging Summary";#N/A,#N/A,FALSE,"Ratio Analysis";#N/A,#N/A,FALSE,"Test 120 Day Accts";#N/A,#N/A,FALSE,"Tickmarks"}</definedName>
    <definedName name="wwwwaaaa" hidden="1">{#N/A,#N/A,FALSE,"Aging Summary";#N/A,#N/A,FALSE,"Ratio Analysis";#N/A,#N/A,FALSE,"Test 120 Day Accts";#N/A,#N/A,FALSE,"Tickmarks"}</definedName>
    <definedName name="WWWWE" hidden="1">{#N/A,#N/A,FALSE,"Aging Summary";#N/A,#N/A,FALSE,"Ratio Analysis";#N/A,#N/A,FALSE,"Test 120 Day Accts";#N/A,#N/A,FALSE,"Tickmarks"}</definedName>
    <definedName name="wwwww" hidden="1">{#N/A,#N/A,FALSE,"Aging Summary";#N/A,#N/A,FALSE,"Ratio Analysis";#N/A,#N/A,FALSE,"Test 120 Day Accts";#N/A,#N/A,FALSE,"Tickmarks"}</definedName>
    <definedName name="wwwwwww" hidden="1">{#N/A,#N/A,FALSE,"Aging Summary";#N/A,#N/A,FALSE,"Ratio Analysis";#N/A,#N/A,FALSE,"Test 120 Day Accts";#N/A,#N/A,FALSE,"Tickmarks"}</definedName>
    <definedName name="wwwwwwwooooooooo" hidden="1">{#N/A,#N/A,FALSE,"Aging Summary";#N/A,#N/A,FALSE,"Ratio Analysis";#N/A,#N/A,FALSE,"Test 120 Day Accts";#N/A,#N/A,FALSE,"Tickmarks"}</definedName>
    <definedName name="wwwwwwwww" hidden="1">{#N/A,#N/A,FALSE,"Aging Summary";#N/A,#N/A,FALSE,"Ratio Analysis";#N/A,#N/A,FALSE,"Test 120 Day Accts";#N/A,#N/A,FALSE,"Tickmarks"}</definedName>
    <definedName name="wwwwwwwwww" hidden="1">{#N/A,#N/A,FALSE,"Aging Summary";#N/A,#N/A,FALSE,"Ratio Analysis";#N/A,#N/A,FALSE,"Test 120 Day Accts";#N/A,#N/A,FALSE,"Tickmarks"}</definedName>
    <definedName name="wwwwwwwwwwa" hidden="1">{#N/A,#N/A,FALSE,"Aging Summary";#N/A,#N/A,FALSE,"Ratio Analysis";#N/A,#N/A,FALSE,"Test 120 Day Accts";#N/A,#N/A,FALSE,"Tickmarks"}</definedName>
    <definedName name="wwwwwwwwwww" hidden="1">{#N/A,#N/A,FALSE,"Aging Summary";#N/A,#N/A,FALSE,"Ratio Analysis";#N/A,#N/A,FALSE,"Test 120 Day Accts";#N/A,#N/A,FALSE,"Tickmarks"}</definedName>
    <definedName name="WWWWWWWWWWWW" hidden="1">{#N/A,#N/A,FALSE,"Aging Summary";#N/A,#N/A,FALSE,"Ratio Analysis";#N/A,#N/A,FALSE,"Test 120 Day Accts";#N/A,#N/A,FALSE,"Tickmarks"}</definedName>
    <definedName name="wwwwwwwwwwwww" hidden="1">{#N/A,#N/A,FALSE,"Aging Summary";#N/A,#N/A,FALSE,"Ratio Analysis";#N/A,#N/A,FALSE,"Test 120 Day Accts";#N/A,#N/A,FALSE,"Tickmarks"}</definedName>
    <definedName name="wwwwwwwwwwwwwww" hidden="1">{#N/A,#N/A,FALSE,"Aging Summary";#N/A,#N/A,FALSE,"Ratio Analysis";#N/A,#N/A,FALSE,"Test 120 Day Accts";#N/A,#N/A,FALSE,"Tickmarks"}</definedName>
    <definedName name="wwwwwwwwwwwwwwwwww" hidden="1">{#N/A,#N/A,FALSE,"Aging Summary";#N/A,#N/A,FALSE,"Ratio Analysis";#N/A,#N/A,FALSE,"Test 120 Day Accts";#N/A,#N/A,FALSE,"Tickmarks"}</definedName>
    <definedName name="wwwwwwwwwwwwwwwwwwwwwwwwwwwwwwwwwwwwwwwwwwwwwwwwwwww" hidden="1">#REF!</definedName>
    <definedName name="wxwc"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x" hidden="1">{#N/A,#N/A,FALSE,"OBLIG.S-CAPITAL"}</definedName>
    <definedName name="xadc" hidden="1">{#N/A,#N/A,FALSE,"Aging Summary";#N/A,#N/A,FALSE,"Ratio Analysis";#N/A,#N/A,FALSE,"Test 120 Day Accts";#N/A,#N/A,FALSE,"Tickmarks"}</definedName>
    <definedName name="XADSF" hidden="1">{#N/A,#N/A,FALSE,"Aging Summary";#N/A,#N/A,FALSE,"Ratio Analysis";#N/A,#N/A,FALSE,"Test 120 Day Accts";#N/A,#N/A,FALSE,"Tickmarks"}</definedName>
    <definedName name="XAHDSESD" hidden="1">{#N/A,#N/A,FALSE,"Aging Summary";#N/A,#N/A,FALSE,"Ratio Analysis";#N/A,#N/A,FALSE,"Test 120 Day Accts";#N/A,#N/A,FALSE,"Tickmarks"}</definedName>
    <definedName name="XAXCZ" hidden="1">{#N/A,#N/A,FALSE,"Aging Summary";#N/A,#N/A,FALSE,"Ratio Analysis";#N/A,#N/A,FALSE,"Test 120 Day Accts";#N/A,#N/A,FALSE,"Tickmarks"}</definedName>
    <definedName name="xc" hidden="1">#REF!</definedName>
    <definedName name="xciece" hidden="1">#REF!</definedName>
    <definedName name="xdrrr" hidden="1">#REF!</definedName>
    <definedName name="xdsds" hidden="1">{#N/A,#N/A,FALSE,"Aging Summary";#N/A,#N/A,FALSE,"Ratio Analysis";#N/A,#N/A,FALSE,"Test 120 Day Accts";#N/A,#N/A,FALSE,"Tickmarks"}</definedName>
    <definedName name="xiemxiw" hidden="1">{#N/A,#N/A,FALSE,"Aging Summary";#N/A,#N/A,FALSE,"Ratio Analysis";#N/A,#N/A,FALSE,"Test 120 Day Accts";#N/A,#N/A,FALSE,"Tickmarks"}</definedName>
    <definedName name="xiewxiw" hidden="1">{#N/A,#N/A,FALSE,"Aging Summary";#N/A,#N/A,FALSE,"Ratio Analysis";#N/A,#N/A,FALSE,"Test 120 Day Accts";#N/A,#N/A,FALSE,"Tickmarks"}</definedName>
    <definedName name="xijqw" hidden="1">#REF!</definedName>
    <definedName name="xiwqcq" hidden="1">#REF!</definedName>
    <definedName name="xjey1" hidden="1">#REF!</definedName>
    <definedName name="xkwkdw" hidden="1">{#N/A,#N/A,FALSE,"Aging Summary";#N/A,#N/A,FALSE,"Ratio Analysis";#N/A,#N/A,FALSE,"Test 120 Day Accts";#N/A,#N/A,FALSE,"Tickmarks"}</definedName>
    <definedName name="xllxlx" hidden="1">{#N/A,#N/A,FALSE,"03070001";#N/A,#N/A,FALSE,"03070002";#N/A,#N/A,FALSE,"03090003";#N/A,#N/A,FALSE,"23190001";#N/A,#N/A,FALSE,"24470001"}</definedName>
    <definedName name="xmeoxmex" hidden="1">{#N/A,#N/A,FALSE,"Aging Summary";#N/A,#N/A,FALSE,"Ratio Analysis";#N/A,#N/A,FALSE,"Test 120 Day Accts";#N/A,#N/A,FALSE,"Tickmarks"}</definedName>
    <definedName name="xmxxx" hidden="1">{#N/A,#N/A,FALSE,"Aging Summary";#N/A,#N/A,FALSE,"Ratio Analysis";#N/A,#N/A,FALSE,"Test 120 Day Accts";#N/A,#N/A,FALSE,"Tickmarks"}</definedName>
    <definedName name="xnmexinw" hidden="1">{#N/A,#N/A,FALSE,"Aging Summary";#N/A,#N/A,FALSE,"Ratio Analysis";#N/A,#N/A,FALSE,"Test 120 Day Accts";#N/A,#N/A,FALSE,"Tickmarks"}</definedName>
    <definedName name="xoooooooooppp" hidden="1">{#N/A,#N/A,FALSE,"Aging Summary";#N/A,#N/A,FALSE,"Ratio Analysis";#N/A,#N/A,FALSE,"Test 120 Day Accts";#N/A,#N/A,FALSE,"Tickmarks"}</definedName>
    <definedName name="xqkxoq" hidden="1">{#N/A,#N/A,FALSE,"Aging Summary";#N/A,#N/A,FALSE,"Ratio Analysis";#N/A,#N/A,FALSE,"Test 120 Day Accts";#N/A,#N/A,FALSE,"Tickmarks"}</definedName>
    <definedName name="xqnwixq" hidden="1">{#N/A,#N/A,FALSE,"Aging Summary";#N/A,#N/A,FALSE,"Ratio Analysis";#N/A,#N/A,FALSE,"Test 120 Day Accts";#N/A,#N/A,FALSE,"Tickmarks"}</definedName>
    <definedName name="xqnxi" hidden="1">{#N/A,#N/A,FALSE,"Aging Summary";#N/A,#N/A,FALSE,"Ratio Analysis";#N/A,#N/A,FALSE,"Test 120 Day Accts";#N/A,#N/A,FALSE,"Tickmarks"}</definedName>
    <definedName name="xqoxq" hidden="1">{#N/A,#N/A,FALSE,"Aging Summary";#N/A,#N/A,FALSE,"Ratio Analysis";#N/A,#N/A,FALSE,"Test 120 Day Accts";#N/A,#N/A,FALSE,"Tickmarks"}</definedName>
    <definedName name="xqwnxi" hidden="1">{#N/A,#N/A,FALSE,"Aging Summary";#N/A,#N/A,FALSE,"Ratio Analysis";#N/A,#N/A,FALSE,"Test 120 Day Accts";#N/A,#N/A,FALSE,"Tickmarks"}</definedName>
    <definedName name="xqwnxq" hidden="1">{#N/A,#N/A,FALSE,"Aging Summary";#N/A,#N/A,FALSE,"Ratio Analysis";#N/A,#N/A,FALSE,"Test 120 Day Accts";#N/A,#N/A,FALSE,"Tickmarks"}</definedName>
    <definedName name="xqwxmq" hidden="1">{#N/A,#N/A,FALSE,"Aging Summary";#N/A,#N/A,FALSE,"Ratio Analysis";#N/A,#N/A,FALSE,"Test 120 Day Accts";#N/A,#N/A,FALSE,"Tickmarks"}</definedName>
    <definedName name="xqwxq" hidden="1">{#N/A,#N/A,FALSE,"Aging Summary";#N/A,#N/A,FALSE,"Ratio Analysis";#N/A,#N/A,FALSE,"Test 120 Day Accts";#N/A,#N/A,FALSE,"Tickmarks"}</definedName>
    <definedName name="xqxqx" hidden="1">{#N/A,#N/A,FALSE,"Aging Summary";#N/A,#N/A,FALSE,"Ratio Analysis";#N/A,#N/A,FALSE,"Test 120 Day Accts";#N/A,#N/A,FALSE,"Tickmarks"}</definedName>
    <definedName name="xqxwqxq" hidden="1">{#N/A,#N/A,FALSE,"Aging Summary";#N/A,#N/A,FALSE,"Ratio Analysis";#N/A,#N/A,FALSE,"Test 120 Day Accts";#N/A,#N/A,FALSE,"Tickmarks"}</definedName>
    <definedName name="xr" hidden="1">#REF!</definedName>
    <definedName name="xref" hidden="1">#REF!</definedName>
    <definedName name="XREF_COLUMN_1" localSheetId="2" hidden="1">#REF!</definedName>
    <definedName name="XREF_COLUMN_1" localSheetId="3" hidden="1">#REF!</definedName>
    <definedName name="XREF_COLUMN_1" hidden="1">'[17]EEPN|3'!#REF!</definedName>
    <definedName name="XREF_COLUMN_10" localSheetId="2" hidden="1">#REF!</definedName>
    <definedName name="XREF_COLUMN_10" localSheetId="3" hidden="1">#REF!</definedName>
    <definedName name="XREF_COLUMN_10" hidden="1">#REF!</definedName>
    <definedName name="XREF_COLUMN_11" hidden="1">#REF!</definedName>
    <definedName name="XREF_COLUMN_12" hidden="1">#REF!</definedName>
    <definedName name="XREF_COLUMN_13" hidden="1">'[18]2.1.01.02.01.06'!#REF!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04" hidden="1">#N/A</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8" hidden="1">#REF!</definedName>
    <definedName name="XREF_COLUMN_79" hidden="1">#REF!</definedName>
    <definedName name="XREF_COLUMN_8" hidden="1">#REF!</definedName>
    <definedName name="XREF_COLUMN_80" hidden="1">#REF!</definedName>
    <definedName name="XREF_COLUMN_81" hidden="1">#REF!</definedName>
    <definedName name="XREF_COLUMN_82" hidden="1">#REF!</definedName>
    <definedName name="XREF_COLUMN_83" hidden="1">#REF!</definedName>
    <definedName name="XREF_COLUMN_84" hidden="1">#REF!</definedName>
    <definedName name="XREF_COLUMN_85" hidden="1">#REF!</definedName>
    <definedName name="XREF_COLUMN_86" hidden="1">#REF!</definedName>
    <definedName name="XREF_COLUMN_87" hidden="1">#REF!</definedName>
    <definedName name="XREF_COLUMN_9" hidden="1">'[18]2.1.01.02.01.05'!#REF!</definedName>
    <definedName name="XRefActiveRow" localSheetId="2" hidden="1">#REF!</definedName>
    <definedName name="XRefActiveRow" localSheetId="3" hidden="1">#REF!</definedName>
    <definedName name="XRefActiveRow" hidden="1">#REF!</definedName>
    <definedName name="xrefc" hidden="1">#REF!</definedName>
    <definedName name="xrefcc" hidden="1">#REF!</definedName>
    <definedName name="xrefcccc" hidden="1">#REF!</definedName>
    <definedName name="xrefcccr" hidden="1">66</definedName>
    <definedName name="XRefColumnsCount" localSheetId="2" hidden="1">1</definedName>
    <definedName name="XRefColumnsCount" localSheetId="3" hidden="1">1</definedName>
    <definedName name="XRefColumnsCount" hidden="1">2</definedName>
    <definedName name="XRefCopy1" localSheetId="2" hidden="1">#REF!</definedName>
    <definedName name="XRefCopy1" localSheetId="3" hidden="1">#REF!</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[19]XREF!#REF!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#REF!</definedName>
    <definedName name="XRefCopy15" localSheetId="2" hidden="1">'[20]713-002}2'!#REF!</definedName>
    <definedName name="XRefCopy15" localSheetId="3" hidden="1">'[20]713-002}2'!#REF!</definedName>
    <definedName name="XRefCopy15" hidden="1">'[18]2.1.01.02.01.06'!#REF!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8" hidden="1">#REF!</definedName>
    <definedName name="XRefCopy158Row" hidden="1">#REF!</definedName>
    <definedName name="XRefCopy159" hidden="1">#REF!</definedName>
    <definedName name="XRefCopy159Row" hidden="1">#REF!</definedName>
    <definedName name="XRefCopy15Row" hidden="1">#REF!</definedName>
    <definedName name="XRefCopy16" localSheetId="2" hidden="1">'[13]P-A Clientes'!#REF!</definedName>
    <definedName name="XRefCopy16" localSheetId="3" hidden="1">'[13]P-A Clientes'!#REF!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2Row" hidden="1">#REF!</definedName>
    <definedName name="XRefCopy163" hidden="1">#REF!</definedName>
    <definedName name="XRefCopy163Row" hidden="1">#REF!</definedName>
    <definedName name="XRefCopy164" hidden="1">#REF!</definedName>
    <definedName name="XRefCopy164Row" hidden="1">#REF!</definedName>
    <definedName name="XRefCopy165" hidden="1">#REF!</definedName>
    <definedName name="XRefCopy165Row"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8Row" hidden="1">#REF!</definedName>
    <definedName name="XRefCopy169" hidden="1">#REF!</definedName>
    <definedName name="XRefCopy169Row" hidden="1">#REF!</definedName>
    <definedName name="XRefCopy16Row" hidden="1">#REF!</definedName>
    <definedName name="XRefCopy17" localSheetId="2" hidden="1">'[20]713-002}2'!#REF!</definedName>
    <definedName name="XRefCopy17" localSheetId="3" hidden="1">'[20]713-002}2'!#REF!</definedName>
    <definedName name="XRefCopy17" hidden="1">'[18]2.1.01.02.01.05'!#REF!</definedName>
    <definedName name="XRefCopy170" hidden="1">#REF!</definedName>
    <definedName name="XRefCopy170Row"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'[13]P-A Clientes'!#REF!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localSheetId="2" hidden="1">'[13]P-A Clientes'!#REF!</definedName>
    <definedName name="XRefCopy19" localSheetId="3" hidden="1">'[13]P-A Clientes'!#REF!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9Row" hidden="1">#REF!</definedName>
    <definedName name="XRefCopy19Row" hidden="1">#REF!</definedName>
    <definedName name="XRefCopy1Row" localSheetId="2" hidden="1">#REF!</definedName>
    <definedName name="XRefCopy1Row" localSheetId="3" hidden="1">#REF!</definedName>
    <definedName name="XRefCopy1Row" hidden="1">#REF!</definedName>
    <definedName name="XRefCopy2" hidden="1">[10]Conciliaciones!#REF!</definedName>
    <definedName name="XRefCopy20" localSheetId="2" hidden="1">'[13]P-A Clientes'!#REF!</definedName>
    <definedName name="XRefCopy20" localSheetId="3" hidden="1">'[13]P-A Clientes'!#REF!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3Row" hidden="1">#REF!</definedName>
    <definedName name="XRefCopy204" hidden="1">#REF!</definedName>
    <definedName name="XRefCopy204Row" hidden="1">#REF!</definedName>
    <definedName name="XRefCopy205" hidden="1">#REF!</definedName>
    <definedName name="XRefCopy205Row" hidden="1">#REF!</definedName>
    <definedName name="XRefCopy206"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localSheetId="2" hidden="1">'[13]P-A Clientes'!#REF!</definedName>
    <definedName name="XRefCopy21" localSheetId="3" hidden="1">'[13]P-A Clientes'!#REF!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5Row"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8Row" hidden="1">#REF!</definedName>
    <definedName name="XRefCopy219" hidden="1">#REF!</definedName>
    <definedName name="XRefCopy219Row" hidden="1">#REF!</definedName>
    <definedName name="XRefCopy21Row" hidden="1">#REF!</definedName>
    <definedName name="XRefCopy22" localSheetId="2" hidden="1">'[13]P-A Clientes'!#REF!</definedName>
    <definedName name="XRefCopy22" localSheetId="3" hidden="1">'[13]P-A Clientes'!#REF!</definedName>
    <definedName name="XRefCopy22" hidden="1">#REF!</definedName>
    <definedName name="XRefCopy220" hidden="1">#REF!</definedName>
    <definedName name="XRefCopy220Row" hidden="1">#REF!</definedName>
    <definedName name="XRefCopy221" hidden="1">#REF!</definedName>
    <definedName name="XRefCopy221Row" hidden="1">#REF!</definedName>
    <definedName name="XRefCopy222" hidden="1">#REF!</definedName>
    <definedName name="XRefCopy222Row" hidden="1">#REF!</definedName>
    <definedName name="XRefCopy223" hidden="1">#REF!</definedName>
    <definedName name="XRefCopy223Row" hidden="1">#REF!</definedName>
    <definedName name="XRefCopy224" hidden="1">#REF!</definedName>
    <definedName name="XRefCopy224Row" hidden="1">#REF!</definedName>
    <definedName name="XRefCopy225" hidden="1">#REF!</definedName>
    <definedName name="XRefCopy225Row" hidden="1">#REF!</definedName>
    <definedName name="XRefCopy226" hidden="1">#REF!</definedName>
    <definedName name="XRefCopy226Row" hidden="1">#REF!</definedName>
    <definedName name="XRefCopy227" hidden="1">#REF!</definedName>
    <definedName name="XRefCopy227Row" hidden="1">#REF!</definedName>
    <definedName name="XRefCopy228" hidden="1">#REF!</definedName>
    <definedName name="XRefCopy228Row" hidden="1">#REF!</definedName>
    <definedName name="XRefCopy229" hidden="1">#REF!</definedName>
    <definedName name="XRefCopy229Row" hidden="1">#REF!</definedName>
    <definedName name="XRefCopy22Row" hidden="1">#REF!</definedName>
    <definedName name="XRefCopy23" localSheetId="2" hidden="1">'[13]P-A Clientes'!#REF!</definedName>
    <definedName name="XRefCopy23" localSheetId="3" hidden="1">'[13]P-A Clientes'!#REF!</definedName>
    <definedName name="XRefCopy23" hidden="1">#REF!</definedName>
    <definedName name="XRefCopy230" hidden="1">#REF!</definedName>
    <definedName name="XRefCopy230Row" hidden="1">#REF!</definedName>
    <definedName name="XRefCopy231" hidden="1">#REF!</definedName>
    <definedName name="XRefCopy231Row" hidden="1">#REF!</definedName>
    <definedName name="XRefCopy232" hidden="1">#REF!</definedName>
    <definedName name="XRefCopy232Row" hidden="1">#REF!</definedName>
    <definedName name="XRefCopy233" hidden="1">#REF!</definedName>
    <definedName name="XRefCopy233Row" hidden="1">#REF!</definedName>
    <definedName name="XRefCopy234" hidden="1">#REF!</definedName>
    <definedName name="XRefCopy234Row" hidden="1">#REF!</definedName>
    <definedName name="XRefCopy235" hidden="1">#REF!</definedName>
    <definedName name="XRefCopy235Row" hidden="1">#REF!</definedName>
    <definedName name="XRefCopy236" hidden="1">#REF!</definedName>
    <definedName name="XRefCopy236Row" hidden="1">#REF!</definedName>
    <definedName name="XRefCopy237" hidden="1">#REF!</definedName>
    <definedName name="XRefCopy237Row" hidden="1">#REF!</definedName>
    <definedName name="XRefCopy238" hidden="1">#REF!</definedName>
    <definedName name="XRefCopy238Row" hidden="1">#REF!</definedName>
    <definedName name="XRefCopy239" hidden="1">#REF!</definedName>
    <definedName name="XRefCopy239Row" hidden="1">#REF!</definedName>
    <definedName name="XRefCopy23Row" hidden="1">[21]XREF!#REF!</definedName>
    <definedName name="XRefCopy24" localSheetId="2" hidden="1">'[13]P-A Clientes'!#REF!</definedName>
    <definedName name="XRefCopy24" localSheetId="3" hidden="1">'[13]P-A Clientes'!#REF!</definedName>
    <definedName name="XRefCopy24" hidden="1">#REF!</definedName>
    <definedName name="XRefCopy240" hidden="1">#REF!</definedName>
    <definedName name="XRefCopy240Row" hidden="1">#REF!</definedName>
    <definedName name="XRefCopy241" hidden="1">#REF!</definedName>
    <definedName name="XRefCopy241Row" hidden="1">#REF!</definedName>
    <definedName name="XRefCopy242" hidden="1">#REF!</definedName>
    <definedName name="XRefCopy242Row" hidden="1">#REF!</definedName>
    <definedName name="XRefCopy243" hidden="1">#REF!</definedName>
    <definedName name="XRefCopy243Row" hidden="1">#REF!</definedName>
    <definedName name="XRefCopy244" hidden="1">#REF!</definedName>
    <definedName name="XRefCopy244Row" hidden="1">#REF!</definedName>
    <definedName name="XRefCopy245" hidden="1">#REF!</definedName>
    <definedName name="XRefCopy245Row" hidden="1">#REF!</definedName>
    <definedName name="XRefCopy246" hidden="1">#REF!</definedName>
    <definedName name="XRefCopy246Row" hidden="1">#REF!</definedName>
    <definedName name="XRefCopy247" hidden="1">#REF!</definedName>
    <definedName name="XRefCopy247Row" hidden="1">#REF!</definedName>
    <definedName name="XRefCopy248" hidden="1">#REF!</definedName>
    <definedName name="XRefCopy248Row" hidden="1">#REF!</definedName>
    <definedName name="XRefCopy249" hidden="1">#REF!</definedName>
    <definedName name="XRefCopy249Row" hidden="1">#REF!</definedName>
    <definedName name="XRefCopy24Row" hidden="1">[21]XREF!#REF!</definedName>
    <definedName name="XRefCopy25" localSheetId="2" hidden="1">'[13]P-A Clientes'!#REF!</definedName>
    <definedName name="XRefCopy25" localSheetId="3" hidden="1">'[13]P-A Clientes'!#REF!</definedName>
    <definedName name="XRefCopy25" hidden="1">#REF!</definedName>
    <definedName name="XRefCopy250" hidden="1">#REF!</definedName>
    <definedName name="XRefCopy250Row" hidden="1">#REF!</definedName>
    <definedName name="XRefCopy251" hidden="1">#REF!</definedName>
    <definedName name="XRefCopy251Row" hidden="1">#REF!</definedName>
    <definedName name="XRefCopy252" hidden="1">#REF!</definedName>
    <definedName name="XRefCopy252Row" hidden="1">#REF!</definedName>
    <definedName name="XRefCopy253" hidden="1">#REF!</definedName>
    <definedName name="XRefCopy253Row" hidden="1">#REF!</definedName>
    <definedName name="XRefCopy254" hidden="1">#REF!</definedName>
    <definedName name="XRefCopy254Row" hidden="1">#REF!</definedName>
    <definedName name="XRefCopy255" hidden="1">#REF!</definedName>
    <definedName name="XRefCopy255Row" hidden="1">#REF!</definedName>
    <definedName name="XRefCopy256" hidden="1">#REF!</definedName>
    <definedName name="XRefCopy256Row" hidden="1">#REF!</definedName>
    <definedName name="XRefCopy257" hidden="1">#REF!</definedName>
    <definedName name="XRefCopy257Row" hidden="1">#REF!</definedName>
    <definedName name="XRefCopy258" hidden="1">#REF!</definedName>
    <definedName name="XRefCopy258Row" hidden="1">#REF!</definedName>
    <definedName name="XRefCopy259" hidden="1">#REF!</definedName>
    <definedName name="XRefCopy259Row" hidden="1">#REF!</definedName>
    <definedName name="XRefCopy25Row" hidden="1">[21]XREF!#REF!</definedName>
    <definedName name="XRefCopy26" localSheetId="2" hidden="1">'[13]P-A Clientes'!#REF!</definedName>
    <definedName name="XRefCopy26" localSheetId="3" hidden="1">'[13]P-A Clientes'!#REF!</definedName>
    <definedName name="XRefCopy26" hidden="1">#REF!</definedName>
    <definedName name="XRefCopy260" hidden="1">#REF!</definedName>
    <definedName name="XRefCopy260Row" hidden="1">#REF!</definedName>
    <definedName name="XRefCopy261" hidden="1">#REF!</definedName>
    <definedName name="XRefCopy261Row" hidden="1">#REF!</definedName>
    <definedName name="XRefCopy262" hidden="1">#REF!</definedName>
    <definedName name="XRefCopy262Row" hidden="1">#REF!</definedName>
    <definedName name="XRefCopy263" hidden="1">#REF!</definedName>
    <definedName name="XRefCopy263Row" hidden="1">#REF!</definedName>
    <definedName name="XRefCopy264" hidden="1">#REF!</definedName>
    <definedName name="XRefCopy264Row" hidden="1">#REF!</definedName>
    <definedName name="XRefCopy265" hidden="1">#REF!</definedName>
    <definedName name="XRefCopy265Row" hidden="1">#REF!</definedName>
    <definedName name="XRefCopy266" hidden="1">#REF!</definedName>
    <definedName name="XRefCopy266Row" hidden="1">#REF!</definedName>
    <definedName name="XRefCopy267" hidden="1">#REF!</definedName>
    <definedName name="XRefCopy267Row" hidden="1">#REF!</definedName>
    <definedName name="XRefCopy268" hidden="1">#REF!</definedName>
    <definedName name="XRefCopy268Row" hidden="1">#REF!</definedName>
    <definedName name="XRefCopy269" hidden="1">#REF!</definedName>
    <definedName name="XRefCopy269Row" hidden="1">#REF!</definedName>
    <definedName name="XRefCopy26Row" hidden="1">[21]XREF!#REF!</definedName>
    <definedName name="XRefCopy27" hidden="1">#REF!</definedName>
    <definedName name="XRefCopy270" hidden="1">#REF!</definedName>
    <definedName name="XRefCopy270Row" hidden="1">#REF!</definedName>
    <definedName name="XRefCopy271" hidden="1">#REF!</definedName>
    <definedName name="XRefCopy271Row"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[21]XREF!#REF!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[21]XREF!#REF!</definedName>
    <definedName name="XRefCopy29" localSheetId="2" hidden="1">#REF!</definedName>
    <definedName name="XRefCopy29" localSheetId="3"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 hidden="1">#REF!</definedName>
    <definedName name="XRefCopy296Row" hidden="1">#REF!</definedName>
    <definedName name="XRefCopy297" hidden="1">#REF!</definedName>
    <definedName name="XRefCopy297Row" hidden="1">#REF!</definedName>
    <definedName name="XRefCopy298" hidden="1">#REF!</definedName>
    <definedName name="XRefCopy298Row" hidden="1">#REF!</definedName>
    <definedName name="XRefCopy299" hidden="1">#REF!</definedName>
    <definedName name="XRefCopy299Row" hidden="1">#REF!</definedName>
    <definedName name="XRefCopy29Row" hidden="1">[21]XREF!#REF!</definedName>
    <definedName name="XRefCopy2Row" localSheetId="2" hidden="1">[22]XREF!#REF!</definedName>
    <definedName name="XRefCopy2Row" localSheetId="3" hidden="1">[22]XREF!#REF!</definedName>
    <definedName name="XRefCopy2Row" hidden="1">#REF!</definedName>
    <definedName name="XRefCopy3" localSheetId="2" hidden="1">[23]MMA!#REF!</definedName>
    <definedName name="XRefCopy3" localSheetId="3" hidden="1">[23]MMA!#REF!</definedName>
    <definedName name="XRefCopy3" hidden="1">#REF!</definedName>
    <definedName name="XRefCopy30" hidden="1">#REF!</definedName>
    <definedName name="XRefCopy300" hidden="1">#REF!</definedName>
    <definedName name="XRefCopy300Row" hidden="1">#REF!</definedName>
    <definedName name="XRefCopy301" hidden="1">#REF!</definedName>
    <definedName name="XRefCopy301Row" hidden="1">#REF!</definedName>
    <definedName name="XRefCopy302" hidden="1">#REF!</definedName>
    <definedName name="XRefCopy302Row" hidden="1">#REF!</definedName>
    <definedName name="XRefCopy303" hidden="1">#REF!</definedName>
    <definedName name="XRefCopy303Row" hidden="1">#REF!</definedName>
    <definedName name="XRefCopy304" hidden="1">#REF!</definedName>
    <definedName name="XRefCopy304Row" hidden="1">#REF!</definedName>
    <definedName name="XRefCopy305" hidden="1">#REF!</definedName>
    <definedName name="XRefCopy305Row" hidden="1">#REF!</definedName>
    <definedName name="XRefCopy306" hidden="1">#REF!</definedName>
    <definedName name="XRefCopy306Row" hidden="1">#REF!</definedName>
    <definedName name="XRefCopy307" hidden="1">#REF!</definedName>
    <definedName name="XRefCopy307Row" hidden="1">#REF!</definedName>
    <definedName name="XRefCopy308" hidden="1">#REF!</definedName>
    <definedName name="XRefCopy308Row" hidden="1">#REF!</definedName>
    <definedName name="XRefCopy309" hidden="1">#REF!</definedName>
    <definedName name="XRefCopy309Row" hidden="1">#REF!</definedName>
    <definedName name="XRefCopy30Row" hidden="1">[21]XREF!#REF!</definedName>
    <definedName name="XRefCopy31" hidden="1">#REF!</definedName>
    <definedName name="XRefCopy310"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 hidden="1">#REF!</definedName>
    <definedName name="XRefCopy313Row" hidden="1">#REF!</definedName>
    <definedName name="XRefCopy314" hidden="1">#REF!</definedName>
    <definedName name="XRefCopy314Row" hidden="1">#REF!</definedName>
    <definedName name="XRefCopy315" hidden="1">#REF!</definedName>
    <definedName name="XRefCopy315Row" hidden="1">#REF!</definedName>
    <definedName name="XRefCopy316" hidden="1">#REF!</definedName>
    <definedName name="XRefCopy316Row" hidden="1">#REF!</definedName>
    <definedName name="XRefCopy317" hidden="1">#REF!</definedName>
    <definedName name="XRefCopy317Row" hidden="1">#REF!</definedName>
    <definedName name="XRefCopy318" hidden="1">#REF!</definedName>
    <definedName name="XRefCopy318Row" hidden="1">#REF!</definedName>
    <definedName name="XRefCopy319" hidden="1">#REF!</definedName>
    <definedName name="XRefCopy319Row" hidden="1">#REF!</definedName>
    <definedName name="XRefCopy31Row" hidden="1">#REF!</definedName>
    <definedName name="XRefCopy32" hidden="1">#REF!</definedName>
    <definedName name="XRefCopy320" hidden="1">#REF!</definedName>
    <definedName name="XRefCopy320Row" hidden="1">#REF!</definedName>
    <definedName name="XRefCopy321" hidden="1">#REF!</definedName>
    <definedName name="XRefCopy321Row" hidden="1">#REF!</definedName>
    <definedName name="XRefCopy322" hidden="1">#REF!</definedName>
    <definedName name="XRefCopy322Row" hidden="1">#REF!</definedName>
    <definedName name="XRefCopy323" hidden="1">#REF!</definedName>
    <definedName name="XRefCopy323Row" hidden="1">#REF!</definedName>
    <definedName name="XRefCopy324" hidden="1">#REF!</definedName>
    <definedName name="XRefCopy324Row" hidden="1">#REF!</definedName>
    <definedName name="XRefCopy325" hidden="1">#REF!</definedName>
    <definedName name="XRefCopy325Row" hidden="1">#REF!</definedName>
    <definedName name="XRefCopy326" hidden="1">#REF!</definedName>
    <definedName name="XRefCopy326Row" hidden="1">#REF!</definedName>
    <definedName name="XRefCopy327" hidden="1">#REF!</definedName>
    <definedName name="XRefCopy327Row" hidden="1">#REF!</definedName>
    <definedName name="XRefCopy328" hidden="1">#REF!</definedName>
    <definedName name="XRefCopy328Row" hidden="1">#REF!</definedName>
    <definedName name="XRefCopy329" hidden="1">#REF!</definedName>
    <definedName name="XRefCopy329Row" hidden="1">#REF!</definedName>
    <definedName name="XRefCopy32Row" hidden="1">[21]XREF!#REF!</definedName>
    <definedName name="XRefCopy33" hidden="1">#REF!</definedName>
    <definedName name="XRefCopy330" hidden="1">#REF!</definedName>
    <definedName name="XRefCopy330Row" hidden="1">#REF!</definedName>
    <definedName name="XRefCopy331" hidden="1">#REF!</definedName>
    <definedName name="XRefCopy331Row" hidden="1">#REF!</definedName>
    <definedName name="XRefCopy332" hidden="1">#REF!</definedName>
    <definedName name="XRefCopy332Row" hidden="1">#REF!</definedName>
    <definedName name="XRefCopy333" hidden="1">#REF!</definedName>
    <definedName name="XRefCopy333Row" hidden="1">#REF!</definedName>
    <definedName name="XRefCopy334" hidden="1">#REF!</definedName>
    <definedName name="XRefCopy334Row" hidden="1">#REF!</definedName>
    <definedName name="XRefCopy335" hidden="1">#REF!</definedName>
    <definedName name="XRefCopy335Row" hidden="1">#REF!</definedName>
    <definedName name="XRefCopy336" hidden="1">#REF!</definedName>
    <definedName name="XRefCopy336Row" hidden="1">#REF!</definedName>
    <definedName name="XRefCopy337" hidden="1">#REF!</definedName>
    <definedName name="XRefCopy337Row" hidden="1">#REF!</definedName>
    <definedName name="XRefCopy338" hidden="1">#REF!</definedName>
    <definedName name="XRefCopy338Row" hidden="1">#REF!</definedName>
    <definedName name="XRefCopy339" hidden="1">#REF!</definedName>
    <definedName name="XRefCopy339Row" hidden="1">#REF!</definedName>
    <definedName name="XRefCopy33Row" hidden="1">#REF!</definedName>
    <definedName name="XRefCopy34" hidden="1">#REF!</definedName>
    <definedName name="XRefCopy340" hidden="1">#REF!</definedName>
    <definedName name="XRefCopy340Row" hidden="1">#REF!</definedName>
    <definedName name="XRefCopy341" hidden="1">#REF!</definedName>
    <definedName name="XRefCopy341Row" hidden="1">#REF!</definedName>
    <definedName name="XRefCopy342" hidden="1">#REF!</definedName>
    <definedName name="XRefCopy342Row" hidden="1">#REF!</definedName>
    <definedName name="XRefCopy343" hidden="1">#REF!</definedName>
    <definedName name="XRefCopy343Row" hidden="1">#REF!</definedName>
    <definedName name="XRefCopy344" hidden="1">#REF!</definedName>
    <definedName name="XRefCopy344Row" hidden="1">#REF!</definedName>
    <definedName name="XRefCopy345" hidden="1">#REF!</definedName>
    <definedName name="XRefCopy345Row" hidden="1">#REF!</definedName>
    <definedName name="XRefCopy346" hidden="1">#REF!</definedName>
    <definedName name="XRefCopy346Row" hidden="1">#REF!</definedName>
    <definedName name="XRefCopy347" hidden="1">#REF!</definedName>
    <definedName name="XRefCopy347Row" hidden="1">#REF!</definedName>
    <definedName name="XRefCopy348" hidden="1">#REF!</definedName>
    <definedName name="XRefCopy348Row" hidden="1">#REF!</definedName>
    <definedName name="XRefCopy349" hidden="1">#REF!</definedName>
    <definedName name="XRefCopy349Row" hidden="1">#REF!</definedName>
    <definedName name="XRefCopy34Row" hidden="1">#REF!</definedName>
    <definedName name="XRefCopy35" hidden="1">#REF!</definedName>
    <definedName name="XRefCopy350" hidden="1">#REF!</definedName>
    <definedName name="XRefCopy350Row" hidden="1">#REF!</definedName>
    <definedName name="XRefCopy351" hidden="1">#REF!</definedName>
    <definedName name="XRefCopy351Row" hidden="1">#REF!</definedName>
    <definedName name="XRefCopy352" hidden="1">#REF!</definedName>
    <definedName name="XRefCopy352Row" hidden="1">#REF!</definedName>
    <definedName name="XRefCopy353" hidden="1">#REF!</definedName>
    <definedName name="XRefCopy353Row" hidden="1">#REF!</definedName>
    <definedName name="XRefCopy354" hidden="1">#REF!</definedName>
    <definedName name="XRefCopy354Row" hidden="1">#REF!</definedName>
    <definedName name="XRefCopy355" hidden="1">#REF!</definedName>
    <definedName name="XRefCopy355Row" hidden="1">#REF!</definedName>
    <definedName name="XRefCopy356" hidden="1">#REF!</definedName>
    <definedName name="XRefCopy356Row" hidden="1">#REF!</definedName>
    <definedName name="XRefCopy357" hidden="1">#REF!</definedName>
    <definedName name="XRefCopy357Row" hidden="1">#REF!</definedName>
    <definedName name="XRefCopy358" hidden="1">#REF!</definedName>
    <definedName name="XRefCopy358Row" hidden="1">#REF!</definedName>
    <definedName name="XRefCopy359" hidden="1">#REF!</definedName>
    <definedName name="XRefCopy359Row" hidden="1">#REF!</definedName>
    <definedName name="XRefCopy35Row" hidden="1">[21]XREF!#REF!</definedName>
    <definedName name="XRefCopy36" hidden="1">#REF!</definedName>
    <definedName name="XRefCopy360" hidden="1">#REF!</definedName>
    <definedName name="XRefCopy360Row" hidden="1">#REF!</definedName>
    <definedName name="XRefCopy361" hidden="1">#REF!</definedName>
    <definedName name="XRefCopy361Row" hidden="1">#REF!</definedName>
    <definedName name="XRefCopy362" hidden="1">#REF!</definedName>
    <definedName name="XRefCopy362Row" hidden="1">#REF!</definedName>
    <definedName name="XRefCopy363" hidden="1">#REF!</definedName>
    <definedName name="XRefCopy363Row" hidden="1">#REF!</definedName>
    <definedName name="XRefCopy364" hidden="1">#REF!</definedName>
    <definedName name="XRefCopy364Row" hidden="1">#REF!</definedName>
    <definedName name="XRefCopy365" hidden="1">#REF!</definedName>
    <definedName name="XRefCopy365Row" hidden="1">#REF!</definedName>
    <definedName name="XRefCopy366" hidden="1">#REF!</definedName>
    <definedName name="XRefCopy366Row" hidden="1">#REF!</definedName>
    <definedName name="XRefCopy367" hidden="1">#REF!</definedName>
    <definedName name="XRefCopy367Row" hidden="1">#REF!</definedName>
    <definedName name="XRefCopy368" hidden="1">#REF!</definedName>
    <definedName name="XRefCopy368Row" hidden="1">#REF!</definedName>
    <definedName name="XRefCopy369" hidden="1">#REF!</definedName>
    <definedName name="XRefCopy369Row" hidden="1">#REF!</definedName>
    <definedName name="XRefCopy36Row" hidden="1">#REF!</definedName>
    <definedName name="XRefCopy37" hidden="1">#REF!</definedName>
    <definedName name="XRefCopy370" hidden="1">#REF!</definedName>
    <definedName name="XRefCopy370Row" hidden="1">#REF!</definedName>
    <definedName name="XRefCopy371" hidden="1">#REF!</definedName>
    <definedName name="XRefCopy371Row" hidden="1">#REF!</definedName>
    <definedName name="XRefCopy372" hidden="1">#REF!</definedName>
    <definedName name="XRefCopy372Row" hidden="1">#REF!</definedName>
    <definedName name="XRefCopy373" hidden="1">#REF!</definedName>
    <definedName name="XRefCopy373Row" hidden="1">#REF!</definedName>
    <definedName name="XRefCopy374" hidden="1">#REF!</definedName>
    <definedName name="XRefCopy374Row" hidden="1">#REF!</definedName>
    <definedName name="XRefCopy375" hidden="1">#REF!</definedName>
    <definedName name="XRefCopy375Row" hidden="1">#REF!</definedName>
    <definedName name="XRefCopy376" hidden="1">#REF!</definedName>
    <definedName name="XRefCopy376Row" hidden="1">#REF!</definedName>
    <definedName name="XRefCopy377" hidden="1">#REF!</definedName>
    <definedName name="XRefCopy377Row" hidden="1">#REF!</definedName>
    <definedName name="XRefCopy378" hidden="1">#REF!</definedName>
    <definedName name="XRefCopy378Row" hidden="1">#REF!</definedName>
    <definedName name="XRefCopy379" hidden="1">#REF!</definedName>
    <definedName name="XRefCopy379Row" hidden="1">#REF!</definedName>
    <definedName name="XRefCopy37Row" hidden="1">#REF!</definedName>
    <definedName name="XRefCopy38" hidden="1">#REF!</definedName>
    <definedName name="XRefCopy380" hidden="1">#REF!</definedName>
    <definedName name="XRefCopy380Row" hidden="1">#REF!</definedName>
    <definedName name="XRefCopy381" hidden="1">#REF!</definedName>
    <definedName name="XRefCopy381Row" hidden="1">#REF!</definedName>
    <definedName name="XRefCopy382" hidden="1">#REF!</definedName>
    <definedName name="XRefCopy382Row" hidden="1">#REF!</definedName>
    <definedName name="XRefCopy383" hidden="1">#REF!</definedName>
    <definedName name="XRefCopy383Row" hidden="1">#REF!</definedName>
    <definedName name="XRefCopy384" hidden="1">#REF!</definedName>
    <definedName name="XRefCopy384Row" hidden="1">#REF!</definedName>
    <definedName name="XRefCopy385" hidden="1">#REF!</definedName>
    <definedName name="XRefCopy385Row" hidden="1">#REF!</definedName>
    <definedName name="XRefCopy386" hidden="1">#REF!</definedName>
    <definedName name="XRefCopy386Row" hidden="1">#REF!</definedName>
    <definedName name="XRefCopy387" hidden="1">#REF!</definedName>
    <definedName name="XRefCopy387Row" hidden="1">#REF!</definedName>
    <definedName name="XRefCopy388" hidden="1">#REF!</definedName>
    <definedName name="XRefCopy388Row" hidden="1">#REF!</definedName>
    <definedName name="XRefCopy389" hidden="1">#REF!</definedName>
    <definedName name="XRefCopy389Row" hidden="1">#REF!</definedName>
    <definedName name="XRefCopy38Row" hidden="1">[21]XREF!#REF!</definedName>
    <definedName name="XRefCopy39" hidden="1">#REF!</definedName>
    <definedName name="XRefCopy390" hidden="1">#REF!</definedName>
    <definedName name="XRefCopy390Row" hidden="1">#REF!</definedName>
    <definedName name="XRefCopy391" hidden="1">#REF!</definedName>
    <definedName name="XRefCopy391Row" hidden="1">#REF!</definedName>
    <definedName name="XRefCopy392" hidden="1">#REF!</definedName>
    <definedName name="XRefCopy392Row" hidden="1">#REF!</definedName>
    <definedName name="XRefCopy393" hidden="1">#REF!</definedName>
    <definedName name="XRefCopy393Row" hidden="1">#REF!</definedName>
    <definedName name="XRefCopy394" hidden="1">#REF!</definedName>
    <definedName name="XRefCopy394Row" hidden="1">#REF!</definedName>
    <definedName name="XRefCopy395" hidden="1">#REF!</definedName>
    <definedName name="XRefCopy395Row" hidden="1">#REF!</definedName>
    <definedName name="XRefCopy396Row" hidden="1">#REF!</definedName>
    <definedName name="XRefCopy397" hidden="1">#REF!</definedName>
    <definedName name="XRefCopy397Row" hidden="1">#REF!</definedName>
    <definedName name="XRefCopy398Row" hidden="1">#REF!</definedName>
    <definedName name="XRefCopy399Row" hidden="1">#REF!</definedName>
    <definedName name="XRefCopy39Row" hidden="1">[21]XREF!#REF!</definedName>
    <definedName name="XRefCopy3Row" localSheetId="2" hidden="1">#REF!</definedName>
    <definedName name="XRefCopy3Row" localSheetId="3" hidden="1">#REF!</definedName>
    <definedName name="XRefCopy3Row" hidden="1">#REF!</definedName>
    <definedName name="XRefCopy4" hidden="1">#REF!</definedName>
    <definedName name="XRefCopy40" hidden="1">#REF!</definedName>
    <definedName name="XRefCopy400Row" hidden="1">#REF!</definedName>
    <definedName name="XRefCopy401Row" hidden="1">#REF!</definedName>
    <definedName name="XRefCopy402Row" hidden="1">#REF!</definedName>
    <definedName name="XRefCopy403Row" hidden="1">#REF!</definedName>
    <definedName name="XRefCopy404Row" hidden="1">#REF!</definedName>
    <definedName name="XRefCopy405" hidden="1">#REF!</definedName>
    <definedName name="XRefCopy405Row" hidden="1">#REF!</definedName>
    <definedName name="XRefCopy406Row" hidden="1">#REF!</definedName>
    <definedName name="XRefCopy407" hidden="1">#REF!</definedName>
    <definedName name="XRefCopy407Row" hidden="1">#REF!</definedName>
    <definedName name="XRefCopy408" hidden="1">#REF!</definedName>
    <definedName name="XRefCopy408Row" hidden="1">#REF!</definedName>
    <definedName name="XRefCopy409" hidden="1">#REF!</definedName>
    <definedName name="XRefCopy409Row" hidden="1">#REF!</definedName>
    <definedName name="XRefCopy40Row" hidden="1">#REF!</definedName>
    <definedName name="XRefCopy41" hidden="1">#REF!</definedName>
    <definedName name="XRefCopy410" hidden="1">#REF!</definedName>
    <definedName name="XRefCopy410Row" hidden="1">#REF!</definedName>
    <definedName name="XRefCopy411" hidden="1">#REF!</definedName>
    <definedName name="XRefCopy411Row" hidden="1">#REF!</definedName>
    <definedName name="XRefCopy412" hidden="1">#REF!</definedName>
    <definedName name="XRefCopy412Row" hidden="1">#REF!</definedName>
    <definedName name="XRefCopy413" hidden="1">#REF!</definedName>
    <definedName name="XRefCopy413Row" hidden="1">#REF!</definedName>
    <definedName name="XRefCopy414" hidden="1">#REF!</definedName>
    <definedName name="XRefCopy414Row" hidden="1">#REF!</definedName>
    <definedName name="XRefCopy415" hidden="1">#REF!</definedName>
    <definedName name="XRefCopy415Row" hidden="1">#REF!</definedName>
    <definedName name="XRefCopy416" hidden="1">#REF!</definedName>
    <definedName name="XRefCopy416Row" hidden="1">#REF!</definedName>
    <definedName name="XRefCopy417" hidden="1">#REF!</definedName>
    <definedName name="XRefCopy417Row" hidden="1">#REF!</definedName>
    <definedName name="XRefCopy418" hidden="1">#REF!</definedName>
    <definedName name="XRefCopy418Row" hidden="1">#REF!</definedName>
    <definedName name="XRefCopy419" hidden="1">#REF!</definedName>
    <definedName name="XRefCopy419Row" hidden="1">#REF!</definedName>
    <definedName name="XRefCopy41Row" localSheetId="2" hidden="1">[13]XREF!#REF!</definedName>
    <definedName name="XRefCopy41Row" localSheetId="3" hidden="1">[13]XREF!#REF!</definedName>
    <definedName name="XRefCopy41Row" hidden="1">#REF!</definedName>
    <definedName name="XRefCopy42" hidden="1">'[18]2.1.01.02.01.06'!#REF!</definedName>
    <definedName name="XRefCopy420" hidden="1">#REF!</definedName>
    <definedName name="XRefCopy420Row" hidden="1">#REF!</definedName>
    <definedName name="XRefCopy421" hidden="1">#REF!</definedName>
    <definedName name="XRefCopy421Row" hidden="1">#REF!</definedName>
    <definedName name="XRefCopy422" hidden="1">#REF!</definedName>
    <definedName name="XRefCopy422Row" hidden="1">#REF!</definedName>
    <definedName name="XRefCopy423" hidden="1">#REF!</definedName>
    <definedName name="XRefCopy423Row" hidden="1">#REF!</definedName>
    <definedName name="XRefCopy424" hidden="1">#REF!</definedName>
    <definedName name="XRefCopy424Row" hidden="1">#REF!</definedName>
    <definedName name="XRefCopy425" hidden="1">#REF!</definedName>
    <definedName name="XRefCopy425Row" hidden="1">#REF!</definedName>
    <definedName name="XRefCopy426" hidden="1">#REF!</definedName>
    <definedName name="XRefCopy426Row" hidden="1">#REF!</definedName>
    <definedName name="XRefCopy427" hidden="1">#REF!</definedName>
    <definedName name="XRefCopy427Row" hidden="1">#REF!</definedName>
    <definedName name="XRefCopy428" hidden="1">#REF!</definedName>
    <definedName name="XRefCopy428Row" hidden="1">#REF!</definedName>
    <definedName name="XRefCopy429" hidden="1">#REF!</definedName>
    <definedName name="XRefCopy429Row" hidden="1">#REF!</definedName>
    <definedName name="XRefCopy42Row" hidden="1">#REF!</definedName>
    <definedName name="XRefCopy43" hidden="1">#REF!</definedName>
    <definedName name="XRefCopy430" hidden="1">#REF!</definedName>
    <definedName name="XRefCopy430Row" hidden="1">#REF!</definedName>
    <definedName name="XRefCopy431" hidden="1">#REF!</definedName>
    <definedName name="XRefCopy431Row" hidden="1">#REF!</definedName>
    <definedName name="XRefCopy432" hidden="1">#REF!</definedName>
    <definedName name="XRefCopy432Row" hidden="1">#REF!</definedName>
    <definedName name="XRefCopy433" hidden="1">#REF!</definedName>
    <definedName name="XRefCopy433Row" hidden="1">#REF!</definedName>
    <definedName name="XRefCopy434" hidden="1">#REF!</definedName>
    <definedName name="XRefCopy434Row" hidden="1">#REF!</definedName>
    <definedName name="XRefCopy435" hidden="1">#REF!</definedName>
    <definedName name="XRefCopy435Row" hidden="1">#REF!</definedName>
    <definedName name="XRefCopy436" hidden="1">#REF!</definedName>
    <definedName name="XRefCopy436Row" hidden="1">#REF!</definedName>
    <definedName name="XRefCopy437" hidden="1">#REF!</definedName>
    <definedName name="XRefCopy437Row" hidden="1">#REF!</definedName>
    <definedName name="XRefCopy438" hidden="1">#REF!</definedName>
    <definedName name="XRefCopy438Row" hidden="1">#REF!</definedName>
    <definedName name="XRefCopy439" hidden="1">#REF!</definedName>
    <definedName name="XRefCopy439Row" hidden="1">#REF!</definedName>
    <definedName name="XRefCopy43Row" hidden="1">[21]XREF!#REF!</definedName>
    <definedName name="XRefCopy44" hidden="1">#REF!</definedName>
    <definedName name="XRefCopy440" hidden="1">#REF!</definedName>
    <definedName name="XRefCopy440Row" hidden="1">#REF!</definedName>
    <definedName name="XRefCopy441" hidden="1">#REF!</definedName>
    <definedName name="XRefCopy441Row" hidden="1">#REF!</definedName>
    <definedName name="XRefCopy442" hidden="1">#REF!</definedName>
    <definedName name="XRefCopy442Row" hidden="1">#REF!</definedName>
    <definedName name="XRefCopy443" hidden="1">#REF!</definedName>
    <definedName name="XRefCopy443Row" hidden="1">#REF!</definedName>
    <definedName name="XRefCopy444" hidden="1">#REF!</definedName>
    <definedName name="XRefCopy444Row" hidden="1">#REF!</definedName>
    <definedName name="XRefCopy445" hidden="1">#REF!</definedName>
    <definedName name="XRefCopy445Row" hidden="1">#REF!</definedName>
    <definedName name="XRefCopy446" hidden="1">#REF!</definedName>
    <definedName name="XRefCopy446Row" hidden="1">#REF!</definedName>
    <definedName name="XRefCopy447" hidden="1">#REF!</definedName>
    <definedName name="XRefCopy447Row" hidden="1">#REF!</definedName>
    <definedName name="XRefCopy448" hidden="1">#REF!</definedName>
    <definedName name="XRefCopy448Row" hidden="1">#REF!</definedName>
    <definedName name="XRefCopy449" hidden="1">#REF!</definedName>
    <definedName name="XRefCopy449Row" hidden="1">#REF!</definedName>
    <definedName name="XRefCopy44Row" hidden="1">#REF!</definedName>
    <definedName name="XRefCopy45" hidden="1">#REF!</definedName>
    <definedName name="XRefCopy450" hidden="1">#REF!</definedName>
    <definedName name="XRefCopy450Row" hidden="1">#REF!</definedName>
    <definedName name="XRefCopy451" hidden="1">#REF!</definedName>
    <definedName name="XRefCopy451Row" hidden="1">#REF!</definedName>
    <definedName name="XRefCopy452" hidden="1">#REF!</definedName>
    <definedName name="XRefCopy452Row" hidden="1">#REF!</definedName>
    <definedName name="XRefCopy453" hidden="1">#REF!</definedName>
    <definedName name="XRefCopy453Row" hidden="1">#REF!</definedName>
    <definedName name="XRefCopy454" hidden="1">#REF!</definedName>
    <definedName name="XRefCopy454Row" hidden="1">#REF!</definedName>
    <definedName name="XRefCopy455" hidden="1">#REF!</definedName>
    <definedName name="XRefCopy455Row" hidden="1">#REF!</definedName>
    <definedName name="XRefCopy456" hidden="1">#REF!</definedName>
    <definedName name="XRefCopy456Row" hidden="1">#REF!</definedName>
    <definedName name="XRefCopy457" hidden="1">#REF!</definedName>
    <definedName name="XRefCopy457Row" hidden="1">#REF!</definedName>
    <definedName name="XRefCopy458" hidden="1">#REF!</definedName>
    <definedName name="XRefCopy458Row" hidden="1">#REF!</definedName>
    <definedName name="XRefCopy459" hidden="1">#REF!</definedName>
    <definedName name="XRefCopy459Row" hidden="1">#REF!</definedName>
    <definedName name="XRefCopy45Row" hidden="1">#REF!</definedName>
    <definedName name="XRefCopy46" hidden="1">#REF!</definedName>
    <definedName name="XRefCopy460" hidden="1">#REF!</definedName>
    <definedName name="XRefCopy460Row" hidden="1">#REF!</definedName>
    <definedName name="XRefCopy461" hidden="1">#REF!</definedName>
    <definedName name="XRefCopy461Row" hidden="1">#REF!</definedName>
    <definedName name="XRefCopy462" hidden="1">#REF!</definedName>
    <definedName name="XRefCopy462Row" hidden="1">#REF!</definedName>
    <definedName name="XRefCopy463" hidden="1">#REF!</definedName>
    <definedName name="XRefCopy463Row" hidden="1">#REF!</definedName>
    <definedName name="XRefCopy464" hidden="1">#REF!</definedName>
    <definedName name="XRefCopy464Row" hidden="1">#REF!</definedName>
    <definedName name="XRefCopy465" hidden="1">#REF!</definedName>
    <definedName name="XRefCopy465Row" hidden="1">#REF!</definedName>
    <definedName name="XRefCopy466" hidden="1">#REF!</definedName>
    <definedName name="XRefCopy466Row" hidden="1">#REF!</definedName>
    <definedName name="XRefCopy467" hidden="1">#REF!</definedName>
    <definedName name="XRefCopy467Row" hidden="1">#REF!</definedName>
    <definedName name="XRefCopy468" hidden="1">#REF!</definedName>
    <definedName name="XRefCopy468Row" hidden="1">#REF!</definedName>
    <definedName name="XRefCopy469" hidden="1">#REF!</definedName>
    <definedName name="XRefCopy469Row" hidden="1">#REF!</definedName>
    <definedName name="XRefCopy46Row" hidden="1">#REF!</definedName>
    <definedName name="XRefCopy47" hidden="1">#REF!</definedName>
    <definedName name="XRefCopy470" hidden="1">#REF!</definedName>
    <definedName name="XRefCopy470Row" hidden="1">#REF!</definedName>
    <definedName name="XRefCopy471" hidden="1">#REF!</definedName>
    <definedName name="XRefCopy471Row" hidden="1">#REF!</definedName>
    <definedName name="XRefCopy472" hidden="1">#REF!</definedName>
    <definedName name="XRefCopy472Row" hidden="1">#REF!</definedName>
    <definedName name="XRefCopy473" hidden="1">#REF!</definedName>
    <definedName name="XRefCopy473Row" hidden="1">#REF!</definedName>
    <definedName name="XRefCopy474" hidden="1">#REF!</definedName>
    <definedName name="XRefCopy474Row" hidden="1">#REF!</definedName>
    <definedName name="XRefCopy475" hidden="1">#REF!</definedName>
    <definedName name="XRefCopy475Row" hidden="1">#REF!</definedName>
    <definedName name="XRefCopy476" hidden="1">#REF!</definedName>
    <definedName name="XRefCopy476Row" hidden="1">#REF!</definedName>
    <definedName name="XRefCopy477" hidden="1">#REF!</definedName>
    <definedName name="XRefCopy477Row" hidden="1">#REF!</definedName>
    <definedName name="XRefCopy478" hidden="1">#REF!</definedName>
    <definedName name="XRefCopy478Row" hidden="1">#REF!</definedName>
    <definedName name="XRefCopy479" hidden="1">#REF!</definedName>
    <definedName name="XRefCopy479Row" hidden="1">#REF!</definedName>
    <definedName name="XRefCopy47Row" hidden="1">[21]XREF!#REF!</definedName>
    <definedName name="XRefCopy48" hidden="1">#REF!</definedName>
    <definedName name="XRefCopy480" hidden="1">#REF!</definedName>
    <definedName name="XRefCopy480Row" hidden="1">#REF!</definedName>
    <definedName name="XRefCopy481" hidden="1">#REF!</definedName>
    <definedName name="XRefCopy481Row" hidden="1">#REF!</definedName>
    <definedName name="XRefCopy482" hidden="1">#REF!</definedName>
    <definedName name="XRefCopy482Row" hidden="1">#REF!</definedName>
    <definedName name="XRefCopy483" hidden="1">#REF!</definedName>
    <definedName name="XRefCopy483Row" hidden="1">#REF!</definedName>
    <definedName name="XRefCopy484" hidden="1">#REF!</definedName>
    <definedName name="XRefCopy484Row" hidden="1">#REF!</definedName>
    <definedName name="XRefCopy485" hidden="1">#REF!</definedName>
    <definedName name="XRefCopy485Row" hidden="1">#REF!</definedName>
    <definedName name="XRefCopy486" hidden="1">#REF!</definedName>
    <definedName name="XRefCopy486Row" hidden="1">#REF!</definedName>
    <definedName name="XRefCopy487" hidden="1">#REF!</definedName>
    <definedName name="XRefCopy487Row" hidden="1">#REF!</definedName>
    <definedName name="XRefCopy488" hidden="1">#REF!</definedName>
    <definedName name="XRefCopy488Row" hidden="1">#REF!</definedName>
    <definedName name="XRefCopy489" hidden="1">#REF!</definedName>
    <definedName name="XRefCopy489Row" hidden="1">#REF!</definedName>
    <definedName name="XRefCopy48Row" hidden="1">#REF!</definedName>
    <definedName name="XRefCopy49" hidden="1">#REF!</definedName>
    <definedName name="XRefCopy490" hidden="1">#REF!</definedName>
    <definedName name="XRefCopy490Row" hidden="1">#REF!</definedName>
    <definedName name="XRefCopy491" hidden="1">#REF!</definedName>
    <definedName name="XRefCopy491Row" hidden="1">#REF!</definedName>
    <definedName name="XRefCopy492" hidden="1">#REF!</definedName>
    <definedName name="XRefCopy492Row" hidden="1">#REF!</definedName>
    <definedName name="XRefCopy493" hidden="1">#REF!</definedName>
    <definedName name="XRefCopy493Row" hidden="1">#REF!</definedName>
    <definedName name="XRefCopy494" hidden="1">#REF!</definedName>
    <definedName name="XRefCopy494Row" hidden="1">#REF!</definedName>
    <definedName name="XRefCopy495" hidden="1">#REF!</definedName>
    <definedName name="XRefCopy495Row" hidden="1">#REF!</definedName>
    <definedName name="XRefCopy496" hidden="1">#REF!</definedName>
    <definedName name="XRefCopy496Row" hidden="1">#REF!</definedName>
    <definedName name="XRefCopy497" hidden="1">#REF!</definedName>
    <definedName name="XRefCopy497Row" hidden="1">#REF!</definedName>
    <definedName name="XRefCopy498" hidden="1">#REF!</definedName>
    <definedName name="XRefCopy498Row" hidden="1">#REF!</definedName>
    <definedName name="XRefCopy499" hidden="1">#REF!</definedName>
    <definedName name="XRefCopy499Row" hidden="1">#REF!</definedName>
    <definedName name="XRefCopy49Row" hidden="1">[21]XREF!#REF!</definedName>
    <definedName name="XRefCopy4Row" localSheetId="2" hidden="1">#REF!</definedName>
    <definedName name="XRefCopy4Row" localSheetId="3" hidden="1">#REF!</definedName>
    <definedName name="XRefCopy4Row" hidden="1">#REF!</definedName>
    <definedName name="XRefCopy5" localSheetId="2" hidden="1">#REF!</definedName>
    <definedName name="XRefCopy5" localSheetId="3" hidden="1">#REF!</definedName>
    <definedName name="XRefCopy5" hidden="1">[24]Intereses!#REF!</definedName>
    <definedName name="XRefCopy50" hidden="1">#REF!</definedName>
    <definedName name="XRefCopy500Row" hidden="1">#REF!</definedName>
    <definedName name="XRefCopy501Row" hidden="1">#REF!</definedName>
    <definedName name="XRefCopy502" hidden="1">#REF!</definedName>
    <definedName name="XRefCopy502Row" hidden="1">#REF!</definedName>
    <definedName name="XRefCopy503" hidden="1">#REF!</definedName>
    <definedName name="XRefCopy503Row" hidden="1">#REF!</definedName>
    <definedName name="XRefCopy504" hidden="1">#REF!</definedName>
    <definedName name="XRefCopy504Row" hidden="1">#REF!</definedName>
    <definedName name="XRefCopy505" hidden="1">#REF!</definedName>
    <definedName name="XRefCopy505Row" hidden="1">#REF!</definedName>
    <definedName name="XRefCopy506" hidden="1">#REF!</definedName>
    <definedName name="XRefCopy506Row" hidden="1">#REF!</definedName>
    <definedName name="XRefCopy507" hidden="1">#REF!</definedName>
    <definedName name="XRefCopy507Row" hidden="1">#REF!</definedName>
    <definedName name="XRefCopy508" hidden="1">#REF!</definedName>
    <definedName name="XRefCopy508Row" hidden="1">#REF!</definedName>
    <definedName name="XRefCopy509" hidden="1">#REF!</definedName>
    <definedName name="XRefCopy509Row" hidden="1">#REF!</definedName>
    <definedName name="XRefCopy50Row" hidden="1">[21]XREF!#REF!</definedName>
    <definedName name="XRefCopy51" hidden="1">#REF!</definedName>
    <definedName name="XRefCopy510" hidden="1">#REF!</definedName>
    <definedName name="XRefCopy510Row" hidden="1">#REF!</definedName>
    <definedName name="XRefCopy511" hidden="1">#REF!</definedName>
    <definedName name="XRefCopy511Row" hidden="1">#REF!</definedName>
    <definedName name="XRefCopy512" hidden="1">#REF!</definedName>
    <definedName name="XRefCopy512Row" hidden="1">#REF!</definedName>
    <definedName name="XRefCopy513" hidden="1">#REF!</definedName>
    <definedName name="XRefCopy513Row" hidden="1">#REF!</definedName>
    <definedName name="XRefCopy514" hidden="1">#REF!</definedName>
    <definedName name="XRefCopy514Row" hidden="1">#REF!</definedName>
    <definedName name="XRefCopy515" hidden="1">#REF!</definedName>
    <definedName name="XRefCopy515Row" hidden="1">#REF!</definedName>
    <definedName name="XRefCopy516" hidden="1">#REF!</definedName>
    <definedName name="XRefCopy516Row" hidden="1">#REF!</definedName>
    <definedName name="XRefCopy517" hidden="1">#REF!</definedName>
    <definedName name="XRefCopy517Row" hidden="1">#REF!</definedName>
    <definedName name="XRefCopy518" hidden="1">#REF!</definedName>
    <definedName name="XRefCopy518Row" hidden="1">#REF!</definedName>
    <definedName name="XRefCopy519" hidden="1">#REF!</definedName>
    <definedName name="XRefCopy519Row" hidden="1">#REF!</definedName>
    <definedName name="XRefCopy51Row" hidden="1">[21]XREF!#REF!</definedName>
    <definedName name="XRefCopy52" hidden="1">#REF!</definedName>
    <definedName name="XRefCopy520" hidden="1">#REF!</definedName>
    <definedName name="XRefCopy520Row" hidden="1">#REF!</definedName>
    <definedName name="XRefCopy521" hidden="1">#REF!</definedName>
    <definedName name="XRefCopy521Row" hidden="1">#REF!</definedName>
    <definedName name="XRefCopy522" hidden="1">#REF!</definedName>
    <definedName name="XRefCopy522Row" hidden="1">#REF!</definedName>
    <definedName name="XRefCopy523" hidden="1">#REF!</definedName>
    <definedName name="XRefCopy523Row" hidden="1">#REF!</definedName>
    <definedName name="XRefCopy524" hidden="1">#REF!</definedName>
    <definedName name="XRefCopy524Row" hidden="1">#REF!</definedName>
    <definedName name="XRefCopy525" hidden="1">#REF!</definedName>
    <definedName name="XRefCopy525Row" hidden="1">#REF!</definedName>
    <definedName name="XRefCopy526" hidden="1">#REF!</definedName>
    <definedName name="XRefCopy527" hidden="1">#REF!</definedName>
    <definedName name="XRefCopy528" hidden="1">#REF!</definedName>
    <definedName name="XRefCopy529" hidden="1">#REF!</definedName>
    <definedName name="XRefCopy52Row" hidden="1">[21]XREF!#REF!</definedName>
    <definedName name="XRefCopy53" hidden="1">#REF!</definedName>
    <definedName name="XRefCopy530" hidden="1">#REF!</definedName>
    <definedName name="XRefCopy531" hidden="1">#REF!</definedName>
    <definedName name="XRefCopy532" hidden="1">#REF!</definedName>
    <definedName name="XRefCopy533" hidden="1">#REF!</definedName>
    <definedName name="XRefCopy534" hidden="1">#REF!</definedName>
    <definedName name="XRefCopy535" hidden="1">#REF!</definedName>
    <definedName name="XRefCopy536" hidden="1">#REF!</definedName>
    <definedName name="XRefCopy537" hidden="1">#REF!</definedName>
    <definedName name="XRefCopy538" hidden="1">#REF!</definedName>
    <definedName name="XRefCopy539" hidden="1">#REF!</definedName>
    <definedName name="XRefCopy53Row" hidden="1">[21]XREF!#REF!</definedName>
    <definedName name="XRefCopy54" hidden="1">#REF!</definedName>
    <definedName name="XRefCopy540" hidden="1">#REF!</definedName>
    <definedName name="XRefCopy541" hidden="1">#REF!</definedName>
    <definedName name="XRefCopy542" hidden="1">#REF!</definedName>
    <definedName name="XRefCopy543" hidden="1">#REF!</definedName>
    <definedName name="XRefCopy544" hidden="1">#REF!</definedName>
    <definedName name="XRefCopy545" hidden="1">#REF!</definedName>
    <definedName name="XRefCopy546" hidden="1">#REF!</definedName>
    <definedName name="XRefCopy547" hidden="1">#REF!</definedName>
    <definedName name="XRefCopy548" hidden="1">#REF!</definedName>
    <definedName name="XRefCopy549" hidden="1">#REF!</definedName>
    <definedName name="XRefCopy54Row" hidden="1">[21]XREF!#REF!</definedName>
    <definedName name="XRefCopy55" hidden="1">#REF!</definedName>
    <definedName name="XRefCopy550" hidden="1">#REF!</definedName>
    <definedName name="XRefCopy551" hidden="1">#REF!</definedName>
    <definedName name="XRefCopy552" hidden="1">#REF!</definedName>
    <definedName name="XRefCopy553" hidden="1">#REF!</definedName>
    <definedName name="XRefCopy554" hidden="1">#REF!</definedName>
    <definedName name="XRefCopy555" hidden="1">#REF!</definedName>
    <definedName name="XRefCopy556" hidden="1">#REF!</definedName>
    <definedName name="XRefCopy557" hidden="1">#REF!</definedName>
    <definedName name="XRefCopy558" hidden="1">#REF!</definedName>
    <definedName name="XRefCopy559" hidden="1">#REF!</definedName>
    <definedName name="XRefCopy55Row" hidden="1">[21]XREF!#REF!</definedName>
    <definedName name="XRefCopy56" hidden="1">#REF!</definedName>
    <definedName name="XRefCopy560" hidden="1">#REF!</definedName>
    <definedName name="XRefCopy561" hidden="1">#REF!</definedName>
    <definedName name="XRefCopy562" hidden="1">#REF!</definedName>
    <definedName name="XRefCopy563" hidden="1">#REF!</definedName>
    <definedName name="XRefCopy564" hidden="1">#REF!</definedName>
    <definedName name="XRefCopy565" hidden="1">#REF!</definedName>
    <definedName name="XRefCopy566" hidden="1">#REF!</definedName>
    <definedName name="XRefCopy567" hidden="1">#REF!</definedName>
    <definedName name="XRefCopy568" hidden="1">#REF!</definedName>
    <definedName name="XRefCopy569" hidden="1">#REF!</definedName>
    <definedName name="XRefCopy56Row" hidden="1">[21]XREF!#REF!</definedName>
    <definedName name="XRefCopy57" hidden="1">#REF!</definedName>
    <definedName name="XRefCopy570" hidden="1">#REF!</definedName>
    <definedName name="XRefCopy571" hidden="1">#REF!</definedName>
    <definedName name="XRefCopy573Row" hidden="1">#REF!</definedName>
    <definedName name="XRefCopy577" hidden="1">#REF!</definedName>
    <definedName name="XRefCopy57Row" hidden="1">[21]XREF!#REF!</definedName>
    <definedName name="XRefCopy58" hidden="1">#REF!</definedName>
    <definedName name="XRefCopy58Row" hidden="1">[21]XREF!#REF!</definedName>
    <definedName name="XRefCopy59" hidden="1">#REF!</definedName>
    <definedName name="XRefCopy59Row" hidden="1">[21]XREF!#REF!</definedName>
    <definedName name="XRefCopy5Row" localSheetId="2" hidden="1">#REF!</definedName>
    <definedName name="XRefCopy5Row" localSheetId="3" hidden="1">#REF!</definedName>
    <definedName name="XRefCopy5Row" hidden="1">[24]XREF!#REF!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localSheetId="2" hidden="1">#REF!</definedName>
    <definedName name="XRefCopy6Row" localSheetId="3" hidden="1">#REF!</definedName>
    <definedName name="XRefCopy6Row" hidden="1">[24]XREF!#REF!</definedName>
    <definedName name="XRefCopy7" hidden="1">'[25]GAN-3|1 Prev Inc'!#REF!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localSheetId="2" hidden="1">#REF!</definedName>
    <definedName name="XRefCopy7Row" localSheetId="3" hidden="1">#REF!</definedName>
    <definedName name="XRefCopy7Row" hidden="1">#REF!</definedName>
    <definedName name="XRefCopy8" hidden="1">'[25]GAN-3|1 Prev Inc'!#REF!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localSheetId="2" hidden="1">#REF!</definedName>
    <definedName name="XRefCopy8Row" localSheetId="3"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p" hidden="1">#REF!</definedName>
    <definedName name="XRefCopy9Row" localSheetId="2" hidden="1">#REF!</definedName>
    <definedName name="XRefCopy9Row" localSheetId="3" hidden="1">#REF!</definedName>
    <definedName name="XRefCopy9Row" hidden="1">#REF!</definedName>
    <definedName name="XRefCopyRangeCount" localSheetId="2" hidden="1">1</definedName>
    <definedName name="XRefCopyRangeCount" localSheetId="3" hidden="1">1</definedName>
    <definedName name="XRefCopyRangeCount" hidden="1">2</definedName>
    <definedName name="XRefCopyRangeCount2" hidden="1">6</definedName>
    <definedName name="xreff" hidden="1">12</definedName>
    <definedName name="xreffff" hidden="1">#REF!</definedName>
    <definedName name="xrefffff" hidden="1">#REF!</definedName>
    <definedName name="xreffffffff" hidden="1">#REF!</definedName>
    <definedName name="xrefi" hidden="1">#REF!</definedName>
    <definedName name="xrefp" hidden="1">#REF!</definedName>
    <definedName name="xrefpas" hidden="1">#REF!</definedName>
    <definedName name="XRefPaste1" hidden="1">#REF!</definedName>
    <definedName name="XRefPaste10" localSheetId="2" hidden="1">[13]Clientes!#REF!</definedName>
    <definedName name="XRefPaste10" localSheetId="3" hidden="1">[13]Clientes!#REF!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localSheetId="2" hidden="1">[13]Clientes!#REF!</definedName>
    <definedName name="XRefPaste11" localSheetId="3" hidden="1">[13]Clientes!#REF!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[13]Clientes!#REF!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localSheetId="2" hidden="1">[13]Clientes!#REF!</definedName>
    <definedName name="XRefPaste14" localSheetId="3" hidden="1">[13]Clientes!#REF!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[21]XREF!#REF!</definedName>
    <definedName name="XREFPASTE15ROW1"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localSheetId="2" hidden="1">[22]XREF!#REF!</definedName>
    <definedName name="XRefPaste1Row" localSheetId="3" hidden="1">[22]XREF!#REF!</definedName>
    <definedName name="XRefPaste1Row" hidden="1">#REF!</definedName>
    <definedName name="XRefPaste2" hidden="1">[24]Intereses!#REF!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[21]XREF!#REF!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[21]XREF!#REF!</definedName>
    <definedName name="XRefPaste22" hidden="1">[13]Clientes!#REF!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[21]XREF!#REF!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[21]XREF!#REF!</definedName>
    <definedName name="XRefPaste24" hidden="1">[13]Clientes!#REF!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[21]XREF!#REF!</definedName>
    <definedName name="XRefPaste25" hidden="1">[13]Clientes!#REF!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 hidden="1">#REF!</definedName>
    <definedName name="XRefPaste257Row" hidden="1">#REF!</definedName>
    <definedName name="XRefPaste258" hidden="1">#REF!</definedName>
    <definedName name="XRefPaste258Row" hidden="1">#REF!</definedName>
    <definedName name="XRefPaste259" hidden="1">#REF!</definedName>
    <definedName name="XRefPaste259Row" hidden="1">#REF!</definedName>
    <definedName name="XRefPaste25Row" hidden="1">[24]XREF!#REF!</definedName>
    <definedName name="XRefPaste26" hidden="1">#REF!</definedName>
    <definedName name="XRefPaste260" hidden="1">#REF!</definedName>
    <definedName name="XRefPaste260Row" hidden="1">#REF!</definedName>
    <definedName name="XRefPaste261" hidden="1">#REF!</definedName>
    <definedName name="XRefPaste261Row" hidden="1">#REF!</definedName>
    <definedName name="XRefPaste262" hidden="1">#REF!</definedName>
    <definedName name="XRefPaste262Row" hidden="1">#REF!</definedName>
    <definedName name="XRefPaste263" hidden="1">#REF!</definedName>
    <definedName name="XRefPaste263Row" hidden="1">#REF!</definedName>
    <definedName name="XRefPaste264" hidden="1">#REF!</definedName>
    <definedName name="XRefPaste264Row" hidden="1">#REF!</definedName>
    <definedName name="XRefPaste265" hidden="1">#REF!</definedName>
    <definedName name="XRefPaste265Row" hidden="1">#REF!</definedName>
    <definedName name="XRefPaste266" hidden="1">#REF!</definedName>
    <definedName name="XRefPaste266Row" hidden="1">#REF!</definedName>
    <definedName name="XRefPaste267" hidden="1">#REF!</definedName>
    <definedName name="XRefPaste267Row" hidden="1">#REF!</definedName>
    <definedName name="XRefPaste268" hidden="1">#REF!</definedName>
    <definedName name="XRefPaste268Row" hidden="1">#REF!</definedName>
    <definedName name="XRefPaste269" hidden="1">#REF!</definedName>
    <definedName name="XRefPaste269Row" hidden="1">#REF!</definedName>
    <definedName name="XRefPaste26Row" localSheetId="2" hidden="1">#REF!</definedName>
    <definedName name="XRefPaste26Row" localSheetId="3" hidden="1">#REF!</definedName>
    <definedName name="XRefPaste26Row" hidden="1">[24]XREF!#REF!</definedName>
    <definedName name="XRefPaste27" hidden="1">[13]Clientes!#REF!</definedName>
    <definedName name="XRefPaste270" hidden="1">#REF!</definedName>
    <definedName name="XRefPaste270Row" hidden="1">#REF!</definedName>
    <definedName name="XRefPaste271" hidden="1">#REF!</definedName>
    <definedName name="XRefPaste271Row" hidden="1">#REF!</definedName>
    <definedName name="XRefPaste272" hidden="1">#REF!</definedName>
    <definedName name="XRefPaste272Row" hidden="1">#REF!</definedName>
    <definedName name="XRefPaste273" hidden="1">#REF!</definedName>
    <definedName name="XRefPaste273Row" hidden="1">#REF!</definedName>
    <definedName name="XRefPaste274" hidden="1">#REF!</definedName>
    <definedName name="XRefPaste274Row" hidden="1">#REF!</definedName>
    <definedName name="XRefPaste275" hidden="1">#REF!</definedName>
    <definedName name="XRefPaste275Row" hidden="1">#REF!</definedName>
    <definedName name="XRefPaste276" hidden="1">#REF!</definedName>
    <definedName name="XRefPaste276Row" hidden="1">#REF!</definedName>
    <definedName name="XRefPaste277" hidden="1">#REF!</definedName>
    <definedName name="XRefPaste277Row" hidden="1">#REF!</definedName>
    <definedName name="XRefPaste278" hidden="1">#REF!</definedName>
    <definedName name="XRefPaste278Row" hidden="1">#REF!</definedName>
    <definedName name="XRefPaste279" hidden="1">#REF!</definedName>
    <definedName name="XRefPaste279Row" hidden="1">#REF!</definedName>
    <definedName name="XRefPaste27Row" hidden="1">[24]XREF!#REF!</definedName>
    <definedName name="XRefPaste28" hidden="1">[13]Clientes!#REF!</definedName>
    <definedName name="XRefPaste280" hidden="1">#REF!</definedName>
    <definedName name="XRefPaste280Row" hidden="1">#REF!</definedName>
    <definedName name="XRefPaste281" hidden="1">#REF!</definedName>
    <definedName name="XRefPaste281Row" hidden="1">#REF!</definedName>
    <definedName name="XRefPaste282" hidden="1">#REF!</definedName>
    <definedName name="XRefPaste282Row" hidden="1">#REF!</definedName>
    <definedName name="XRefPaste283" hidden="1">#REF!</definedName>
    <definedName name="XRefPaste283Row" hidden="1">#REF!</definedName>
    <definedName name="XRefPaste284" hidden="1">#REF!</definedName>
    <definedName name="XRefPaste284Row" hidden="1">#REF!</definedName>
    <definedName name="XRefPaste285" hidden="1">#REF!</definedName>
    <definedName name="XRefPaste285Row" hidden="1">#REF!</definedName>
    <definedName name="XRefPaste286" hidden="1">#REF!</definedName>
    <definedName name="XRefPaste286Row" hidden="1">#REF!</definedName>
    <definedName name="XRefPaste287" hidden="1">#REF!</definedName>
    <definedName name="XRefPaste287Row" hidden="1">#REF!</definedName>
    <definedName name="XRefPaste288" hidden="1">#REF!</definedName>
    <definedName name="XRefPaste288Row" hidden="1">#REF!</definedName>
    <definedName name="XRefPaste289" hidden="1">#REF!</definedName>
    <definedName name="XRefPaste289Row" hidden="1">#REF!</definedName>
    <definedName name="XRefPaste28Row" hidden="1">[21]XREF!#REF!</definedName>
    <definedName name="XRefPaste29" hidden="1">[13]Clientes!#REF!</definedName>
    <definedName name="XRefPaste290" hidden="1">#REF!</definedName>
    <definedName name="XRefPaste290Row" hidden="1">#REF!</definedName>
    <definedName name="XRefPaste291" hidden="1">#REF!</definedName>
    <definedName name="XRefPaste291Row" hidden="1">#REF!</definedName>
    <definedName name="XRefPaste292" hidden="1">#REF!</definedName>
    <definedName name="XRefPaste292Row" hidden="1">#REF!</definedName>
    <definedName name="XRefPaste293Row" hidden="1">#REF!</definedName>
    <definedName name="XRefPaste294Row" hidden="1">#REF!</definedName>
    <definedName name="XRefPaste295Row" hidden="1">#REF!</definedName>
    <definedName name="XRefPaste296Row" hidden="1">#REF!</definedName>
    <definedName name="XRefPaste297Row" hidden="1">#REF!</definedName>
    <definedName name="XRefPaste298" hidden="1">#REF!</definedName>
    <definedName name="XRefPaste298Row" hidden="1">#REF!</definedName>
    <definedName name="XRefPaste299" hidden="1">#REF!</definedName>
    <definedName name="XRefPaste299Row" hidden="1">#REF!</definedName>
    <definedName name="XRefPaste29Row" localSheetId="2" hidden="1">[26]XREF!#REF!</definedName>
    <definedName name="XRefPaste29Row" localSheetId="3" hidden="1">[26]XREF!#REF!</definedName>
    <definedName name="XRefPaste29Row" hidden="1">[21]XREF!#REF!</definedName>
    <definedName name="XRefPaste2Row" localSheetId="2" hidden="1">#REF!</definedName>
    <definedName name="XRefPaste2Row" localSheetId="3" hidden="1">#REF!</definedName>
    <definedName name="XRefPaste2Row" hidden="1">#REF!</definedName>
    <definedName name="XRefPaste3" hidden="1">#REF!</definedName>
    <definedName name="XRefPaste30" hidden="1">[13]Clientes!#REF!</definedName>
    <definedName name="XRefPaste300Row" hidden="1">#REF!</definedName>
    <definedName name="XRefPaste301" hidden="1">#REF!</definedName>
    <definedName name="XRefPaste301Row" hidden="1">#REF!</definedName>
    <definedName name="XRefPaste302Row" hidden="1">#REF!</definedName>
    <definedName name="XRefPaste303Row" hidden="1">#REF!</definedName>
    <definedName name="XRefPaste304" hidden="1">#REF!</definedName>
    <definedName name="XRefPaste304Row" hidden="1">#REF!</definedName>
    <definedName name="XRefPaste30Row" localSheetId="2" hidden="1">#REF!</definedName>
    <definedName name="XRefPaste30Row" localSheetId="3" hidden="1">#REF!</definedName>
    <definedName name="XRefPaste30Row" hidden="1">[21]XREF!#REF!</definedName>
    <definedName name="XRefPaste31" hidden="1">#REF!</definedName>
    <definedName name="XRefPaste311" hidden="1">#REF!</definedName>
    <definedName name="XRefPaste311Row" hidden="1">#REF!</definedName>
    <definedName name="XRefPaste312" hidden="1">#REF!</definedName>
    <definedName name="XRefPaste312Row" hidden="1">#REF!</definedName>
    <definedName name="XRefPaste31Row" localSheetId="2" hidden="1">[27]XREF!#REF!</definedName>
    <definedName name="XRefPaste31Row" localSheetId="3" hidden="1">[27]XREF!#REF!</definedName>
    <definedName name="XRefPaste31Row" hidden="1">[21]XREF!#REF!</definedName>
    <definedName name="XRefPaste32" hidden="1">#REF!</definedName>
    <definedName name="XRefPaste321" hidden="1">#REF!</definedName>
    <definedName name="XRefPaste321Row" hidden="1">#REF!</definedName>
    <definedName name="XRefPaste322" hidden="1">#REF!</definedName>
    <definedName name="XRefPaste322Row" hidden="1">#REF!</definedName>
    <definedName name="XRefPaste323" hidden="1">#REF!</definedName>
    <definedName name="XRefPaste323Row" hidden="1">#REF!</definedName>
    <definedName name="XRefPaste329" hidden="1">#REF!</definedName>
    <definedName name="XRefPaste32Row" hidden="1">[21]XREF!#REF!</definedName>
    <definedName name="XRefPaste33" hidden="1">#REF!</definedName>
    <definedName name="XRefPaste33Row" hidden="1">[21]XREF!#REF!</definedName>
    <definedName name="XRefPaste34" hidden="1">#REF!</definedName>
    <definedName name="XRefPaste34Row" hidden="1">[21]XREF!#REF!</definedName>
    <definedName name="XRefPaste35" hidden="1">#REF!</definedName>
    <definedName name="XRefPaste35Row" hidden="1">[21]XREF!#REF!</definedName>
    <definedName name="XRefPaste36" hidden="1">#REF!</definedName>
    <definedName name="XRefPaste361" hidden="1">#REF!</definedName>
    <definedName name="XRefPaste364" hidden="1">#REF!</definedName>
    <definedName name="XRefPaste367" hidden="1">#REF!</definedName>
    <definedName name="XRefPaste367Row" hidden="1">#REF!</definedName>
    <definedName name="XRefPaste368" hidden="1">#REF!</definedName>
    <definedName name="XRefPaste368Row" hidden="1">#REF!</definedName>
    <definedName name="XRefPaste369" hidden="1">#REF!</definedName>
    <definedName name="XRefPaste369Row" hidden="1">#REF!</definedName>
    <definedName name="XRefPaste36Row" hidden="1">[21]XREF!#REF!</definedName>
    <definedName name="XRefPaste37" hidden="1">#REF!</definedName>
    <definedName name="XRefPaste371" hidden="1">#REF!</definedName>
    <definedName name="XRefPaste371Row" hidden="1">#REF!</definedName>
    <definedName name="XRefPaste372" hidden="1">#REF!</definedName>
    <definedName name="XRefPaste372Row" hidden="1">#REF!</definedName>
    <definedName name="XRefPaste373" hidden="1">#REF!</definedName>
    <definedName name="XRefPaste373Row" hidden="1">#REF!</definedName>
    <definedName name="XRefPaste374" hidden="1">#REF!</definedName>
    <definedName name="XRefPaste374Row" hidden="1">#REF!</definedName>
    <definedName name="XRefPaste375" hidden="1">#REF!</definedName>
    <definedName name="XRefPaste375Row" hidden="1">#REF!</definedName>
    <definedName name="XRefPaste376" hidden="1">#REF!</definedName>
    <definedName name="XRefPaste376Row" hidden="1">#REF!</definedName>
    <definedName name="XRefPaste377" hidden="1">#REF!</definedName>
    <definedName name="XRefPaste377Row" hidden="1">#REF!</definedName>
    <definedName name="XRefPaste378" hidden="1">#REF!</definedName>
    <definedName name="XRefPaste378Row" hidden="1">#REF!</definedName>
    <definedName name="XRefPaste379" hidden="1">#REF!</definedName>
    <definedName name="XRefPaste379Row" hidden="1">#REF!</definedName>
    <definedName name="XRefPaste37Row" hidden="1">[21]XREF!#REF!</definedName>
    <definedName name="XRefPaste38" hidden="1">#REF!</definedName>
    <definedName name="XRefPaste380" hidden="1">#REF!</definedName>
    <definedName name="XRefPaste381" hidden="1">#REF!</definedName>
    <definedName name="XRefPaste381Row" hidden="1">#REF!</definedName>
    <definedName name="XRefPaste382" hidden="1">#REF!</definedName>
    <definedName name="XRefPaste382Row" hidden="1">#REF!</definedName>
    <definedName name="XRefPaste383" hidden="1">#REF!</definedName>
    <definedName name="XRefPaste383Row" hidden="1">#REF!</definedName>
    <definedName name="XRefPaste384" hidden="1">#REF!</definedName>
    <definedName name="XRefPaste384Row" hidden="1">#REF!</definedName>
    <definedName name="XRefPaste385" hidden="1">#REF!</definedName>
    <definedName name="XRefPaste385Row" hidden="1">#REF!</definedName>
    <definedName name="XRefPaste386" hidden="1">#REF!</definedName>
    <definedName name="XRefPaste386Row" hidden="1">#REF!</definedName>
    <definedName name="XRefPaste387" hidden="1">#REF!</definedName>
    <definedName name="XRefPaste387Row" hidden="1">#REF!</definedName>
    <definedName name="XRefPaste388" hidden="1">#REF!</definedName>
    <definedName name="XRefPaste388Row" hidden="1">#REF!</definedName>
    <definedName name="XRefPaste389" hidden="1">#REF!</definedName>
    <definedName name="XRefPaste389Row" hidden="1">#REF!</definedName>
    <definedName name="XRefPaste38Row" hidden="1">[21]XREF!#REF!</definedName>
    <definedName name="XRefPaste39" hidden="1">#REF!</definedName>
    <definedName name="XRefPaste391" hidden="1">#REF!</definedName>
    <definedName name="XRefPaste391Row" hidden="1">#REF!</definedName>
    <definedName name="XRefPaste392" hidden="1">#REF!</definedName>
    <definedName name="XRefPaste392Row" hidden="1">#REF!</definedName>
    <definedName name="XRefPaste393" hidden="1">#REF!</definedName>
    <definedName name="XRefPaste393Row" hidden="1">#REF!</definedName>
    <definedName name="XRefPaste394" hidden="1">#REF!</definedName>
    <definedName name="XRefPaste394Row" hidden="1">#REF!</definedName>
    <definedName name="XRefPaste395" hidden="1">#REF!</definedName>
    <definedName name="XRefPaste395Row" hidden="1">#REF!</definedName>
    <definedName name="XRefPaste396" hidden="1">#REF!</definedName>
    <definedName name="XRefPaste396Row" hidden="1">#REF!</definedName>
    <definedName name="XRefPaste397" hidden="1">#REF!</definedName>
    <definedName name="XRefPaste397Row" hidden="1">#REF!</definedName>
    <definedName name="XRefPaste398" hidden="1">#REF!</definedName>
    <definedName name="XRefPaste398Row" hidden="1">#REF!</definedName>
    <definedName name="XRefPaste399" hidden="1">#REF!</definedName>
    <definedName name="XRefPaste399Row" hidden="1">#REF!</definedName>
    <definedName name="XRefPaste39Row" hidden="1">[21]XREF!#REF!</definedName>
    <definedName name="XRefPaste3Row" localSheetId="2" hidden="1">#REF!</definedName>
    <definedName name="XRefPaste3Row" localSheetId="3" hidden="1">#REF!</definedName>
    <definedName name="XRefPaste3Row" hidden="1">#REF!</definedName>
    <definedName name="XRefPaste4" hidden="1">#REF!</definedName>
    <definedName name="XRefPaste40" hidden="1">#REF!</definedName>
    <definedName name="XRefPaste401Row" hidden="1">#REF!</definedName>
    <definedName name="XRefPaste402" hidden="1">#REF!</definedName>
    <definedName name="XRefPaste402Row" hidden="1">#REF!</definedName>
    <definedName name="XRefPaste403" hidden="1">#REF!</definedName>
    <definedName name="XRefPaste403Row" hidden="1">#REF!</definedName>
    <definedName name="XRefPaste404" hidden="1">#REF!</definedName>
    <definedName name="XRefPaste404Row" hidden="1">#REF!</definedName>
    <definedName name="XRefPaste405" hidden="1">#REF!</definedName>
    <definedName name="XRefPaste405Row" hidden="1">#REF!</definedName>
    <definedName name="XRefPaste406" hidden="1">#REF!</definedName>
    <definedName name="XRefPaste406Row" hidden="1">#REF!</definedName>
    <definedName name="XRefPaste407" hidden="1">#REF!</definedName>
    <definedName name="XRefPaste407Row" hidden="1">#REF!</definedName>
    <definedName name="XRefPaste408Row" hidden="1">#REF!</definedName>
    <definedName name="XRefPaste409" hidden="1">#REF!</definedName>
    <definedName name="XRefPaste409Row" hidden="1">#REF!</definedName>
    <definedName name="XRefPaste40Row" hidden="1">[21]XREF!#REF!</definedName>
    <definedName name="XRefPaste41" hidden="1">#REF!</definedName>
    <definedName name="XRefPaste411Row" hidden="1">#REF!</definedName>
    <definedName name="XRefPaste412" hidden="1">#REF!</definedName>
    <definedName name="XRefPaste412Row" hidden="1">#REF!</definedName>
    <definedName name="XRefPaste413" hidden="1">#REF!</definedName>
    <definedName name="XRefPaste413Row" hidden="1">#REF!</definedName>
    <definedName name="XRefPaste414" hidden="1">#REF!</definedName>
    <definedName name="XRefPaste414Row" hidden="1">#REF!</definedName>
    <definedName name="XRefPaste415" hidden="1">#REF!</definedName>
    <definedName name="XRefPaste415Row" hidden="1">#REF!</definedName>
    <definedName name="XRefPaste416" hidden="1">#REF!</definedName>
    <definedName name="XRefPaste416Row" hidden="1">#REF!</definedName>
    <definedName name="XRefPaste417" hidden="1">#REF!</definedName>
    <definedName name="XRefPaste417Row" hidden="1">#REF!</definedName>
    <definedName name="XRefPaste418" hidden="1">#REF!</definedName>
    <definedName name="XRefPaste418Row" hidden="1">#REF!</definedName>
    <definedName name="XRefPaste419" hidden="1">#REF!</definedName>
    <definedName name="XRefPaste419Row" hidden="1">#REF!</definedName>
    <definedName name="XRefPaste41Row" hidden="1">[21]XREF!#REF!</definedName>
    <definedName name="XRefPaste42" hidden="1">#REF!</definedName>
    <definedName name="XRefPaste421" hidden="1">#REF!</definedName>
    <definedName name="XRefPaste421Row" hidden="1">#REF!</definedName>
    <definedName name="XRefPaste422" hidden="1">#REF!</definedName>
    <definedName name="XRefPaste422Row" hidden="1">#REF!</definedName>
    <definedName name="XRefPaste423" hidden="1">#REF!</definedName>
    <definedName name="XRefPaste423Row" hidden="1">#REF!</definedName>
    <definedName name="XRefPaste424" hidden="1">#REF!</definedName>
    <definedName name="XRefPaste424Row" hidden="1">#REF!</definedName>
    <definedName name="XRefPaste425" hidden="1">#REF!</definedName>
    <definedName name="XRefPaste425Row" hidden="1">#REF!</definedName>
    <definedName name="XRefPaste426" hidden="1">#REF!</definedName>
    <definedName name="XRefPaste426Row" hidden="1">#REF!</definedName>
    <definedName name="XRefPaste427" hidden="1">#REF!</definedName>
    <definedName name="XRefPaste427Row" hidden="1">#REF!</definedName>
    <definedName name="XRefPaste428" hidden="1">#REF!</definedName>
    <definedName name="XRefPaste428Row" hidden="1">#REF!</definedName>
    <definedName name="XRefPaste429" hidden="1">#REF!</definedName>
    <definedName name="XRefPaste429Row" hidden="1">#REF!</definedName>
    <definedName name="XRefPaste42Row" hidden="1">[21]XREF!#REF!</definedName>
    <definedName name="XRefPaste43" hidden="1">#REF!</definedName>
    <definedName name="XRefPaste431Row" hidden="1">#REF!</definedName>
    <definedName name="XRefPaste432" hidden="1">#REF!</definedName>
    <definedName name="XRefPaste432Row" hidden="1">#REF!</definedName>
    <definedName name="XRefPaste433" hidden="1">#REF!</definedName>
    <definedName name="XRefPaste433Row" hidden="1">#REF!</definedName>
    <definedName name="XRefPaste434" hidden="1">#REF!</definedName>
    <definedName name="XRefPaste434Row" hidden="1">#REF!</definedName>
    <definedName name="XRefPaste435" hidden="1">#REF!</definedName>
    <definedName name="XRefPaste435Row" hidden="1">#REF!</definedName>
    <definedName name="XRefPaste436" hidden="1">#REF!</definedName>
    <definedName name="XRefPaste436Row" hidden="1">#REF!</definedName>
    <definedName name="XRefPaste437" hidden="1">#REF!</definedName>
    <definedName name="XRefPaste437Row" hidden="1">#REF!</definedName>
    <definedName name="XRefPaste438" hidden="1">#REF!</definedName>
    <definedName name="XRefPaste438Row" hidden="1">#REF!</definedName>
    <definedName name="XRefPaste439" hidden="1">#REF!</definedName>
    <definedName name="XRefPaste439Row" hidden="1">#REF!</definedName>
    <definedName name="XRefPaste43Row" hidden="1">[21]XREF!#REF!</definedName>
    <definedName name="XRefPaste44" hidden="1">#REF!</definedName>
    <definedName name="XRefPaste441Row" hidden="1">#REF!</definedName>
    <definedName name="XRefPaste442" hidden="1">#REF!</definedName>
    <definedName name="XRefPaste442Row" hidden="1">#REF!</definedName>
    <definedName name="XRefPaste443" hidden="1">#REF!</definedName>
    <definedName name="XRefPaste443Row" hidden="1">#REF!</definedName>
    <definedName name="XRefPaste444" hidden="1">#REF!</definedName>
    <definedName name="XRefPaste444Row" hidden="1">#REF!</definedName>
    <definedName name="XRefPaste445" hidden="1">#REF!</definedName>
    <definedName name="XRefPaste445Row" hidden="1">#REF!</definedName>
    <definedName name="XRefPaste446" hidden="1">#REF!</definedName>
    <definedName name="XRefPaste446Row" hidden="1">#REF!</definedName>
    <definedName name="XRefPaste447" hidden="1">#REF!</definedName>
    <definedName name="XRefPaste447Row" hidden="1">#REF!</definedName>
    <definedName name="XRefPaste448" hidden="1">#REF!</definedName>
    <definedName name="XRefPaste448Row" hidden="1">#REF!</definedName>
    <definedName name="XRefPaste449" hidden="1">#REF!</definedName>
    <definedName name="XRefPaste449Row" hidden="1">#REF!</definedName>
    <definedName name="XRefPaste44Row" hidden="1">[21]XREF!#REF!</definedName>
    <definedName name="XRefPaste45" hidden="1">#REF!</definedName>
    <definedName name="XRefPaste451Row" hidden="1">#REF!</definedName>
    <definedName name="XRefPaste452" hidden="1">#REF!</definedName>
    <definedName name="XRefPaste452Row" hidden="1">#REF!</definedName>
    <definedName name="XRefPaste453" hidden="1">#REF!</definedName>
    <definedName name="XRefPaste453Row" hidden="1">#REF!</definedName>
    <definedName name="XRefPaste454" hidden="1">#REF!</definedName>
    <definedName name="XRefPaste454Row" hidden="1">#REF!</definedName>
    <definedName name="XRefPaste455" hidden="1">#REF!</definedName>
    <definedName name="XRefPaste455Row" hidden="1">#REF!</definedName>
    <definedName name="XRefPaste456" hidden="1">#REF!</definedName>
    <definedName name="XRefPaste456Row" hidden="1">#REF!</definedName>
    <definedName name="XRefPaste457" hidden="1">#REF!</definedName>
    <definedName name="XRefPaste457Row" hidden="1">#REF!</definedName>
    <definedName name="XRefPaste458" hidden="1">#REF!</definedName>
    <definedName name="XRefPaste458Row" hidden="1">#REF!</definedName>
    <definedName name="XRefPaste459" hidden="1">#REF!</definedName>
    <definedName name="XRefPaste459Row" hidden="1">#REF!</definedName>
    <definedName name="XRefPaste45Row" hidden="1">[21]XREF!#REF!</definedName>
    <definedName name="XRefPaste46" hidden="1">#REF!</definedName>
    <definedName name="XRefPaste461Row" hidden="1">#REF!</definedName>
    <definedName name="XRefPaste462" hidden="1">#REF!</definedName>
    <definedName name="XRefPaste462Row" hidden="1">#REF!</definedName>
    <definedName name="XRefPaste463" hidden="1">#REF!</definedName>
    <definedName name="XRefPaste463Row" hidden="1">#REF!</definedName>
    <definedName name="XRefPaste464" hidden="1">#REF!</definedName>
    <definedName name="XRefPaste464Row" hidden="1">#REF!</definedName>
    <definedName name="XRefPaste465" hidden="1">#REF!</definedName>
    <definedName name="XRefPaste465Row" hidden="1">#REF!</definedName>
    <definedName name="XRefPaste466" hidden="1">#REF!</definedName>
    <definedName name="XRefPaste466Row" hidden="1">#REF!</definedName>
    <definedName name="XRefPaste467" hidden="1">#REF!</definedName>
    <definedName name="XRefPaste467Row" hidden="1">#REF!</definedName>
    <definedName name="XRefPaste468" hidden="1">#REF!</definedName>
    <definedName name="XRefPaste468Row" hidden="1">#REF!</definedName>
    <definedName name="XRefPaste469" hidden="1">#REF!</definedName>
    <definedName name="XRefPaste469Row" hidden="1">#REF!</definedName>
    <definedName name="XRefPaste46Row" hidden="1">[21]XREF!#REF!</definedName>
    <definedName name="XRefPaste47" hidden="1">#REF!</definedName>
    <definedName name="XRefPaste471Row" hidden="1">#REF!</definedName>
    <definedName name="XRefPaste472" hidden="1">#REF!</definedName>
    <definedName name="XRefPaste472Row" hidden="1">#REF!</definedName>
    <definedName name="XRefPaste473" hidden="1">#REF!</definedName>
    <definedName name="XRefPaste473Row" hidden="1">#REF!</definedName>
    <definedName name="XRefPaste474" hidden="1">#REF!</definedName>
    <definedName name="XRefPaste474Row" hidden="1">#REF!</definedName>
    <definedName name="XRefPaste475" hidden="1">#REF!</definedName>
    <definedName name="XRefPaste475Row" hidden="1">#REF!</definedName>
    <definedName name="XRefPaste476" hidden="1">#REF!</definedName>
    <definedName name="XRefPaste476Row" hidden="1">#REF!</definedName>
    <definedName name="XRefPaste477" hidden="1">#REF!</definedName>
    <definedName name="XRefPaste477Row" hidden="1">#REF!</definedName>
    <definedName name="XRefPaste478" hidden="1">#REF!</definedName>
    <definedName name="XRefPaste478Row" hidden="1">#REF!</definedName>
    <definedName name="XRefPaste479" hidden="1">#REF!</definedName>
    <definedName name="XRefPaste479Row" hidden="1">#REF!</definedName>
    <definedName name="XRefPaste47Row" localSheetId="2" hidden="1">[13]XREF!#REF!</definedName>
    <definedName name="XRefPaste47Row" localSheetId="3" hidden="1">[13]XREF!#REF!</definedName>
    <definedName name="XRefPaste47Row" hidden="1">[21]XREF!#REF!</definedName>
    <definedName name="XRefPaste48" hidden="1">#REF!</definedName>
    <definedName name="XRefPaste481Row" hidden="1">#REF!</definedName>
    <definedName name="XRefPaste482" hidden="1">#REF!</definedName>
    <definedName name="XRefPaste482Row" hidden="1">#REF!</definedName>
    <definedName name="XRefPaste483" hidden="1">#REF!</definedName>
    <definedName name="XRefPaste483Row" hidden="1">#REF!</definedName>
    <definedName name="XRefPaste484" hidden="1">#REF!</definedName>
    <definedName name="XRefPaste484Row" hidden="1">#REF!</definedName>
    <definedName name="XRefPaste485" hidden="1">#REF!</definedName>
    <definedName name="XRefPaste485Row" hidden="1">#REF!</definedName>
    <definedName name="XRefPaste486" hidden="1">#REF!</definedName>
    <definedName name="XRefPaste486Row" hidden="1">#REF!</definedName>
    <definedName name="XRefPaste487" hidden="1">#REF!</definedName>
    <definedName name="XRefPaste487Row" hidden="1">#REF!</definedName>
    <definedName name="XRefPaste488" hidden="1">#REF!</definedName>
    <definedName name="XRefPaste488Row" hidden="1">#REF!</definedName>
    <definedName name="XRefPaste489" hidden="1">#REF!</definedName>
    <definedName name="XRefPaste489Row" hidden="1">#REF!</definedName>
    <definedName name="XRefPaste48Row" hidden="1">#REF!</definedName>
    <definedName name="XRefPaste49" hidden="1">#REF!</definedName>
    <definedName name="XRefPaste491Row" hidden="1">#REF!</definedName>
    <definedName name="XRefPaste492" hidden="1">#REF!</definedName>
    <definedName name="XRefPaste492Row" hidden="1">#REF!</definedName>
    <definedName name="XRefPaste493" hidden="1">#REF!</definedName>
    <definedName name="XRefPaste493Row" hidden="1">#REF!</definedName>
    <definedName name="XRefPaste494" hidden="1">#REF!</definedName>
    <definedName name="XRefPaste494Row" hidden="1">#REF!</definedName>
    <definedName name="XRefPaste495" hidden="1">#REF!</definedName>
    <definedName name="XRefPaste495Row" hidden="1">#REF!</definedName>
    <definedName name="XRefPaste496" hidden="1">#REF!</definedName>
    <definedName name="XRefPaste496Row" hidden="1">#REF!</definedName>
    <definedName name="XRefPaste497" hidden="1">#REF!</definedName>
    <definedName name="XRefPaste497Row" hidden="1">#REF!</definedName>
    <definedName name="XRefPaste498" hidden="1">#REF!</definedName>
    <definedName name="XRefPaste498Row" hidden="1">#REF!</definedName>
    <definedName name="XRefPaste499" hidden="1">#REF!</definedName>
    <definedName name="XRefPaste499Row" hidden="1">#REF!</definedName>
    <definedName name="XRefPaste49Row" hidden="1">#REF!</definedName>
    <definedName name="XRefPaste4Row" localSheetId="2" hidden="1">#REF!</definedName>
    <definedName name="XRefPaste4Row" localSheetId="3" hidden="1">#REF!</definedName>
    <definedName name="XRefPaste4Row" hidden="1">#REF!</definedName>
    <definedName name="XRefPaste5" localSheetId="2" hidden="1">'[28]1. OPs'!#REF!</definedName>
    <definedName name="XRefPaste5" localSheetId="3" hidden="1">'[28]1. OPs'!#REF!</definedName>
    <definedName name="XRefPaste5" hidden="1">#REF!</definedName>
    <definedName name="XRefPaste50" hidden="1">#REF!</definedName>
    <definedName name="XRefPaste501Row" hidden="1">#REF!</definedName>
    <definedName name="XRefPaste502" hidden="1">#REF!</definedName>
    <definedName name="XRefPaste502Row" hidden="1">#REF!</definedName>
    <definedName name="XRefPaste503" hidden="1">#REF!</definedName>
    <definedName name="XRefPaste503Row" hidden="1">#REF!</definedName>
    <definedName name="XRefPaste504" hidden="1">#REF!</definedName>
    <definedName name="XRefPaste504Row" hidden="1">#REF!</definedName>
    <definedName name="XRefPaste505" hidden="1">#REF!</definedName>
    <definedName name="XRefPaste506" hidden="1">#REF!</definedName>
    <definedName name="XRefPaste507" hidden="1">#REF!</definedName>
    <definedName name="XRefPaste508" hidden="1">#REF!</definedName>
    <definedName name="XRefPaste509"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localSheetId="2" hidden="1">[29]TPO!#REF!</definedName>
    <definedName name="XRefPaste6" localSheetId="3" hidden="1">[29]TPO!#REF!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localSheetId="2" hidden="1">[27]XREF!#REF!</definedName>
    <definedName name="XRefPaste7Row" localSheetId="3" hidden="1">[27]XREF!#REF!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localSheetId="2" hidden="1">12</definedName>
    <definedName name="XRefPasteRangeCount" localSheetId="3" hidden="1">12</definedName>
    <definedName name="XRefPasteRangeCount" hidden="1">2</definedName>
    <definedName name="xs" hidden="1">{#N/A,#N/A,FALSE,"ENERGIA";#N/A,#N/A,FALSE,"PERDIDAS";#N/A,#N/A,FALSE,"CLIENTES";#N/A,#N/A,FALSE,"ESTADO";#N/A,#N/A,FALSE,"TECNICA"}</definedName>
    <definedName name="xsa" hidden="1">{#N/A,#N/A,FALSE,"LLAVE";#N/A,#N/A,FALSE,"EERR";#N/A,#N/A,FALSE,"ESP";#N/A,#N/A,FALSE,"EOAF";#N/A,#N/A,FALSE,"CASH";#N/A,#N/A,FALSE,"FINANZAS";#N/A,#N/A,FALSE,"DEUDA";#N/A,#N/A,FALSE,"INVERSION";#N/A,#N/A,FALSE,"PERSONAL"}</definedName>
    <definedName name="xsc" hidden="1">#REF!</definedName>
    <definedName name="xsort2" hidden="1">#REF!</definedName>
    <definedName name="xssxsxs" hidden="1">{#N/A,#N/A,FALSE,"Aging Summary";#N/A,#N/A,FALSE,"Ratio Analysis";#N/A,#N/A,FALSE,"Test 120 Day Accts";#N/A,#N/A,FALSE,"Tickmarks"}</definedName>
    <definedName name="xsxsxs" hidden="1">{"'DIFPRE'!$A$2:$M$54"}</definedName>
    <definedName name="xuxhquh" hidden="1">#REF!</definedName>
    <definedName name="xv" hidden="1">{"'DIFPRE'!$A$2:$M$54"}</definedName>
    <definedName name="XVXVSCV" hidden="1">{#N/A,#N/A,FALSE,"Aging Summary";#N/A,#N/A,FALSE,"Ratio Analysis";#N/A,#N/A,FALSE,"Test 120 Day Accts";#N/A,#N/A,FALSE,"Tickmarks"}</definedName>
    <definedName name="xwniqnxq" hidden="1">{#N/A,#N/A,FALSE,"Aging Summary";#N/A,#N/A,FALSE,"Ratio Analysis";#N/A,#N/A,FALSE,"Test 120 Day Accts";#N/A,#N/A,FALSE,"Tickmarks"}</definedName>
    <definedName name="xwnwiq" hidden="1">{#N/A,#N/A,FALSE,"Aging Summary";#N/A,#N/A,FALSE,"Ratio Analysis";#N/A,#N/A,FALSE,"Test 120 Day Accts";#N/A,#N/A,FALSE,"Tickmarks"}</definedName>
    <definedName name="xwo" hidden="1">#REF!</definedName>
    <definedName name="xwqnxi" hidden="1">{#N/A,#N/A,FALSE,"Aging Summary";#N/A,#N/A,FALSE,"Ratio Analysis";#N/A,#N/A,FALSE,"Test 120 Day Accts";#N/A,#N/A,FALSE,"Tickmarks"}</definedName>
    <definedName name="XX" hidden="1">{#N/A,#N/A,FALSE,"LLAVE";#N/A,#N/A,FALSE,"EERR";#N/A,#N/A,FALSE,"ESP";#N/A,#N/A,FALSE,"EOAF";#N/A,#N/A,FALSE,"CASH";#N/A,#N/A,FALSE,"FINANZAS";#N/A,#N/A,FALSE,"DEUDA";#N/A,#N/A,FALSE,"INVERSION";#N/A,#N/A,FALSE,"PERSONAL"}</definedName>
    <definedName name="XXASDADF" hidden="1">{#N/A,#N/A,FALSE,"Aging Summary";#N/A,#N/A,FALSE,"Ratio Analysis";#N/A,#N/A,FALSE,"Test 120 Day Accts";#N/A,#N/A,FALSE,"Tickmarks"}</definedName>
    <definedName name="xxccc" hidden="1">#REF!</definedName>
    <definedName name="xxx" hidden="1">#REF!</definedName>
    <definedName name="xxxno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nom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 hidden="1">1</definedName>
    <definedName name="XXXXL" hidden="1">#REF!</definedName>
    <definedName name="XXXXX" hidden="1">0</definedName>
    <definedName name="XXXXXX" hidden="1">{#N/A,#N/A,FALSE,"Aging Summary";#N/A,#N/A,FALSE,"Ratio Analysis";#N/A,#N/A,FALSE,"Test 120 Day Accts";#N/A,#N/A,FALSE,"Tickmarks"}</definedName>
    <definedName name="xxxxxxx" hidden="1">#REF!</definedName>
    <definedName name="XXXXXXXX" hidden="1">{#N/A,#N/A,FALSE,"Aging Summary";#N/A,#N/A,FALSE,"Ratio Analysis";#N/A,#N/A,FALSE,"Test 120 Day Accts";#N/A,#N/A,FALSE,"Tickmarks"}</definedName>
    <definedName name="XXXXXXXXXX" hidden="1">#REF!</definedName>
    <definedName name="XXXXXXXXXXX" hidden="1">{#N/A,#N/A,FALSE,"Aging Summary";#N/A,#N/A,FALSE,"Ratio Analysis";#N/A,#N/A,FALSE,"Test 120 Day Accts";#N/A,#N/A,FALSE,"Tickmarks"}</definedName>
    <definedName name="XXXXXXXXXXXXX" hidden="1">{#N/A,#N/A,FALSE,"Aging Summary";#N/A,#N/A,FALSE,"Ratio Analysis";#N/A,#N/A,FALSE,"Test 120 Day Accts";#N/A,#N/A,FALSE,"Tickmarks"}</definedName>
    <definedName name="XXXXXXXXXXXXXXX" hidden="1">{#N/A,#N/A,FALSE,"Aging Summary";#N/A,#N/A,FALSE,"Ratio Analysis";#N/A,#N/A,FALSE,"Test 120 Day Accts";#N/A,#N/A,FALSE,"Tickmarks"}</definedName>
    <definedName name="XXXXXXXXXXXXXXXXX" hidden="1">{#N/A,#N/A,FALSE,"Aging Summary";#N/A,#N/A,FALSE,"Ratio Analysis";#N/A,#N/A,FALSE,"Test 120 Day Accts";#N/A,#N/A,FALSE,"Tickmarks"}</definedName>
    <definedName name="XXXXXXXXXXXXXXXXXXX" hidden="1">{#N/A,#N/A,FALSE,"Aging Summary";#N/A,#N/A,FALSE,"Ratio Analysis";#N/A,#N/A,FALSE,"Test 120 Day Accts";#N/A,#N/A,FALSE,"Tickmarks"}</definedName>
    <definedName name="XXXXXXXXXXXXXXXXXXXXXX" hidden="1">{#N/A,#N/A,FALSE,"Aging Summary";#N/A,#N/A,FALSE,"Ratio Analysis";#N/A,#N/A,FALSE,"Test 120 Day Accts";#N/A,#N/A,FALSE,"Tickmarks"}</definedName>
    <definedName name="XZCSXD" hidden="1">{#N/A,#N/A,FALSE,"Aging Summary";#N/A,#N/A,FALSE,"Ratio Analysis";#N/A,#N/A,FALSE,"Test 120 Day Accts";#N/A,#N/A,FALSE,"Tickmarks"}</definedName>
    <definedName name="XZZZZZZZZZZZZZZZZZZ" hidden="1">{#N/A,#N/A,FALSE,"Aging Summary";#N/A,#N/A,FALSE,"Ratio Analysis";#N/A,#N/A,FALSE,"Test 120 Day Accts";#N/A,#N/A,FALSE,"Tickmarks"}</definedName>
    <definedName name="y" hidden="1">#REF!</definedName>
    <definedName name="y66y6y" hidden="1">{#N/A,#N/A,FALSE,"Aging Summary";#N/A,#N/A,FALSE,"Ratio Analysis";#N/A,#N/A,FALSE,"Test 120 Day Accts";#N/A,#N/A,FALSE,"Tickmarks"}</definedName>
    <definedName name="y6y6y6" hidden="1">{#N/A,#N/A,FALSE,"Aging Summary";#N/A,#N/A,FALSE,"Ratio Analysis";#N/A,#N/A,FALSE,"Test 120 Day Accts";#N/A,#N/A,FALSE,"Tickmarks"}</definedName>
    <definedName name="y6y6y6y" hidden="1">{#N/A,#N/A,FALSE,"Aging Summary";#N/A,#N/A,FALSE,"Ratio Analysis";#N/A,#N/A,FALSE,"Test 120 Day Accts";#N/A,#N/A,FALSE,"Tickmarks"}</definedName>
    <definedName name="yaaa" hidden="1">{#N/A,#N/A,FALSE,"Aging Summary";#N/A,#N/A,FALSE,"Ratio Analysis";#N/A,#N/A,FALSE,"Test 120 Day Accts";#N/A,#N/A,FALSE,"Tickmarks"}</definedName>
    <definedName name="yaaaaaaa" hidden="1">{#N/A,#N/A,FALSE,"Aging Summary";#N/A,#N/A,FALSE,"Ratio Analysis";#N/A,#N/A,FALSE,"Test 120 Day Accts";#N/A,#N/A,FALSE,"Tickmarks"}</definedName>
    <definedName name="yafue1" hidden="1">{#N/A,#N/A,FALSE,"Aging Summary";#N/A,#N/A,FALSE,"Ratio Analysis";#N/A,#N/A,FALSE,"Test 120 Day Accts";#N/A,#N/A,FALSE,"Tickmarks"}</definedName>
    <definedName name="yafue3"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yafue4" hidden="1">{#N/A,#N/A,FALSE,"Aging Summary";#N/A,#N/A,FALSE,"Ratio Analysis";#N/A,#N/A,FALSE,"Test 120 Day Accts";#N/A,#N/A,FALSE,"Tickmarks"}</definedName>
    <definedName name="yafue5" hidden="1">{#N/A,#N/A,FALSE,"Aging Summary";#N/A,#N/A,FALSE,"Ratio Analysis";#N/A,#N/A,FALSE,"Test 120 Day Accts";#N/A,#N/A,FALSE,"Tickmarks"}</definedName>
    <definedName name="yafue6" hidden="1">{#N/A,#N/A,FALSE,"Aging Summary";#N/A,#N/A,FALSE,"Ratio Analysis";#N/A,#N/A,FALSE,"Test 120 Day Accts";#N/A,#N/A,FALSE,"Tickmarks"}</definedName>
    <definedName name="yafue7" hidden="1">{#N/A,#N/A,FALSE,"Aging Summary";#N/A,#N/A,FALSE,"Ratio Analysis";#N/A,#N/A,FALSE,"Test 120 Day Accts";#N/A,#N/A,FALSE,"Tickmarks"}</definedName>
    <definedName name="yafue8" hidden="1">{#N/A,#N/A,FALSE,"Aging Summary";#N/A,#N/A,FALSE,"Ratio Analysis";#N/A,#N/A,FALSE,"Test 120 Day Accts";#N/A,#N/A,FALSE,"Tickmarks"}</definedName>
    <definedName name="yafue9" hidden="1">{#N/A,#N/A,FALSE,"Aging Summary";#N/A,#N/A,FALSE,"Ratio Analysis";#N/A,#N/A,FALSE,"Test 120 Day Accts";#N/A,#N/A,FALSE,"Tickmarks"}</definedName>
    <definedName name="yafuee" hidden="1">{#N/A,#N/A,FALSE,"Aging Summary";#N/A,#N/A,FALSE,"Ratio Analysis";#N/A,#N/A,FALSE,"Test 120 Day Accts";#N/A,#N/A,FALSE,"Tickmarks"}</definedName>
    <definedName name="yafye2" hidden="1">{#N/A,#N/A,FALSE,"Aging Summary";#N/A,#N/A,FALSE,"Ratio Analysis";#N/A,#N/A,FALSE,"Test 120 Day Accts";#N/A,#N/A,FALSE,"Tickmarks"}</definedName>
    <definedName name="yani" hidden="1">#REF!</definedName>
    <definedName name="Year" localSheetId="2">[15]Defaults!$C$22</definedName>
    <definedName name="Year" localSheetId="3">[15]Defaults!$C$22</definedName>
    <definedName name="Year">[16]Defaults!$C$22</definedName>
    <definedName name="yeepppp" hidden="1">{#N/A,#N/A,FALSE,"Aging Summary";#N/A,#N/A,FALSE,"Ratio Analysis";#N/A,#N/A,FALSE,"Test 120 Day Accts";#N/A,#N/A,FALSE,"Tickmarks"}</definedName>
    <definedName name="y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YGG" hidden="1">{#N/A,#N/A,FALSE,"Aging Summary";#N/A,#N/A,FALSE,"Ratio Analysis";#N/A,#N/A,FALSE,"Test 120 Day Accts";#N/A,#N/A,FALSE,"Tickmarks"}</definedName>
    <definedName name="yh" hidden="1">{#N/A,#N/A,FALSE,"Aging Summary";#N/A,#N/A,FALSE,"Ratio Analysis";#N/A,#N/A,FALSE,"Test 120 Day Accts";#N/A,#N/A,FALSE,"Tickmarks"}</definedName>
    <definedName name="YHHHHHHHHHHHH" hidden="1">{#N/A,#N/A,FALSE,"Aging Summary";#N/A,#N/A,FALSE,"Ratio Analysis";#N/A,#N/A,FALSE,"Test 120 Day Accts";#N/A,#N/A,FALSE,"Tickmarks"}</definedName>
    <definedName name="yhhy" hidden="1">{#N/A,#N/A,FALSE,"Aging Summary";#N/A,#N/A,FALSE,"Ratio Analysis";#N/A,#N/A,FALSE,"Test 120 Day Accts";#N/A,#N/A,FALSE,"Tickmarks"}</definedName>
    <definedName name="yiqewe" hidden="1">{#N/A,#N/A,FALSE,"Aging Summary";#N/A,#N/A,FALSE,"Ratio Analysis";#N/A,#N/A,FALSE,"Test 120 Day Accts";#N/A,#N/A,FALSE,"Tickmarks"}</definedName>
    <definedName name="yiyi" hidden="1">{#N/A,#N/A,FALSE,"Aging Summary";#N/A,#N/A,FALSE,"Ratio Analysis";#N/A,#N/A,FALSE,"Test 120 Day Accts";#N/A,#N/A,FALSE,"Tickmarks"}</definedName>
    <definedName name="YO" hidden="1">{#N/A,#N/A,FALSE,"EDO. RES. INT";#N/A,#N/A,FALSE,"EDO. RES. CNB";#N/A,#N/A,FALSE,"EDO. RES. CONT."}</definedName>
    <definedName name="yonofui" hidden="1">{#N/A,#N/A,FALSE,"Aging Summary";#N/A,#N/A,FALSE,"Ratio Analysis";#N/A,#N/A,FALSE,"Test 120 Day Accts";#N/A,#N/A,FALSE,"Tickmarks"}</definedName>
    <definedName name="yooooooooo" hidden="1">{#N/A,#N/A,FALSE,"Aging Summary";#N/A,#N/A,FALSE,"Ratio Analysis";#N/A,#N/A,FALSE,"Test 120 Day Accts";#N/A,#N/A,FALSE,"Tickmarks"}</definedName>
    <definedName name="yout" hidden="1">{#N/A,#N/A,FALSE,"Departmental Cost"}</definedName>
    <definedName name="yrg" hidden="1">{#N/A,#N/A,FALSE,"Aging Summary";#N/A,#N/A,FALSE,"Ratio Analysis";#N/A,#N/A,FALSE,"Test 120 Day Accts";#N/A,#N/A,FALSE,"Tickmarks"}</definedName>
    <definedName name="YRTGF" hidden="1">{#N/A,#N/A,FALSE,"Aging Summary";#N/A,#N/A,FALSE,"Ratio Analysis";#N/A,#N/A,FALSE,"Test 120 Day Accts";#N/A,#N/A,FALSE,"Tickmarks"}</definedName>
    <definedName name="yrtyrty" hidden="1">{#N/A,#N/A,FALSE,"Aging Summary";#N/A,#N/A,FALSE,"Ratio Analysis";#N/A,#N/A,FALSE,"Test 120 Day Accts";#N/A,#N/A,FALSE,"Tickmarks"}</definedName>
    <definedName name="ytff" hidden="1">#REF!</definedName>
    <definedName name="YTT" hidden="1">{#N/A,#N/A,FALSE,"Aging Summary";#N/A,#N/A,FALSE,"Ratio Analysis";#N/A,#N/A,FALSE,"Test 120 Day Accts";#N/A,#N/A,FALSE,"Tickmarks"}</definedName>
    <definedName name="YTU" hidden="1">{#N/A,#N/A,FALSE,"Aging Summary";#N/A,#N/A,FALSE,"Ratio Analysis";#N/A,#N/A,FALSE,"Test 120 Day Accts";#N/A,#N/A,FALSE,"Tickmarks"}</definedName>
    <definedName name="yty" hidden="1">#REF!</definedName>
    <definedName name="ytyty" hidden="1">{#N/A,#N/A,FALSE,"Aging Summary";#N/A,#N/A,FALSE,"Ratio Analysis";#N/A,#N/A,FALSE,"Test 120 Day Accts";#N/A,#N/A,FALSE,"Tickmarks"}</definedName>
    <definedName name="YTYU" hidden="1">{#N/A,#N/A,FALSE,"Aging Summary";#N/A,#N/A,FALSE,"Ratio Analysis";#N/A,#N/A,FALSE,"Test 120 Day Accts";#N/A,#N/A,FALSE,"Tickmarks"}</definedName>
    <definedName name="yui" hidden="1">{#N/A,#N/A,FALSE,"Aging Summary";#N/A,#N/A,FALSE,"Ratio Analysis";#N/A,#N/A,FALSE,"Test 120 Day Accts";#N/A,#N/A,FALSE,"Tickmarks"}</definedName>
    <definedName name="yuio"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jj" hidden="1">{#N/A,#N/A,FALSE,"Aging Summary";#N/A,#N/A,FALSE,"Ratio Analysis";#N/A,#N/A,FALSE,"Test 120 Day Accts";#N/A,#N/A,FALSE,"Tickmarks"}</definedName>
    <definedName name="yujyu" hidden="1">{#N/A,#N/A,FALSE,"Aging Summary";#N/A,#N/A,FALSE,"Ratio Analysis";#N/A,#N/A,FALSE,"Test 120 Day Accts";#N/A,#N/A,FALSE,"Tickmarks"}</definedName>
    <definedName name="yurer" hidden="1">{#N/A,#N/A,FALSE,"Aging Summary";#N/A,#N/A,FALSE,"Ratio Analysis";#N/A,#N/A,FALSE,"Test 120 Day Accts";#N/A,#N/A,FALSE,"Tickmarks"}</definedName>
    <definedName name="YUT" hidden="1">{#N/A,#N/A,FALSE,"Aging Summary";#N/A,#N/A,FALSE,"Ratio Analysis";#N/A,#N/A,FALSE,"Test 120 Day Accts";#N/A,#N/A,FALSE,"Tickmarks"}</definedName>
    <definedName name="yutuioo" hidden="1">{#N/A,#N/A,FALSE,"Aging Summary";#N/A,#N/A,FALSE,"Ratio Analysis";#N/A,#N/A,FALSE,"Test 120 Day Accts";#N/A,#N/A,FALSE,"Tickmarks"}</definedName>
    <definedName name="yutututu" hidden="1">{#N/A,#N/A,FALSE,"Aging Summary";#N/A,#N/A,FALSE,"Ratio Analysis";#N/A,#N/A,FALSE,"Test 120 Day Accts";#N/A,#N/A,FALSE,"Tickmarks"}</definedName>
    <definedName name="yuu" hidden="1">{#N/A,#N/A,FALSE,"Aging Summary";#N/A,#N/A,FALSE,"Ratio Analysis";#N/A,#N/A,FALSE,"Test 120 Day Accts";#N/A,#N/A,FALSE,"Tickmarks"}</definedName>
    <definedName name="yuujh" hidden="1">{#N/A,#N/A,FALSE,"Aging Summary";#N/A,#N/A,FALSE,"Ratio Analysis";#N/A,#N/A,FALSE,"Test 120 Day Accts";#N/A,#N/A,FALSE,"Tickmarks"}</definedName>
    <definedName name="yuuu" hidden="1">{#N/A,#N/A,FALSE,"Aging Summary";#N/A,#N/A,FALSE,"Ratio Analysis";#N/A,#N/A,FALSE,"Test 120 Day Accts";#N/A,#N/A,FALSE,"Tickmarks"}</definedName>
    <definedName name="YUUUU" hidden="1">{#N/A,#N/A,FALSE,"Aging Summary";#N/A,#N/A,FALSE,"Ratio Analysis";#N/A,#N/A,FALSE,"Test 120 Day Accts";#N/A,#N/A,FALSE,"Tickmarks"}</definedName>
    <definedName name="yuuuy" hidden="1">{#N/A,#N/A,FALSE,"Aging Summary";#N/A,#N/A,FALSE,"Ratio Analysis";#N/A,#N/A,FALSE,"Test 120 Day Accts";#N/A,#N/A,FALSE,"Tickmarks"}</definedName>
    <definedName name="yuy" hidden="1">{#N/A,#N/A,FALSE,"Aging Summary";#N/A,#N/A,FALSE,"Ratio Analysis";#N/A,#N/A,FALSE,"Test 120 Day Accts";#N/A,#N/A,FALSE,"Tickmarks"}</definedName>
    <definedName name="yuyt" hidden="1">{#N/A,#N/A,FALSE,"Aging Summary";#N/A,#N/A,FALSE,"Ratio Analysis";#N/A,#N/A,FALSE,"Test 120 Day Accts";#N/A,#N/A,FALSE,"Tickmarks"}</definedName>
    <definedName name="YUYU" hidden="1">{#N/A,#N/A,FALSE,"Aging Summary";#N/A,#N/A,FALSE,"Ratio Analysis";#N/A,#N/A,FALSE,"Test 120 Day Accts";#N/A,#N/A,FALSE,"Tickmarks"}</definedName>
    <definedName name="yuyuyu" hidden="1">{#N/A,#N/A,FALSE,"Aging Summary";#N/A,#N/A,FALSE,"Ratio Analysis";#N/A,#N/A,FALSE,"Test 120 Day Accts";#N/A,#N/A,FALSE,"Tickmarks"}</definedName>
    <definedName name="yy" hidden="1">{#N/A,#N/A,FALSE,"Aging Summary";#N/A,#N/A,FALSE,"Ratio Analysis";#N/A,#N/A,FALSE,"Test 120 Day Accts";#N/A,#N/A,FALSE,"Tickmarks"}</definedName>
    <definedName name="yyh" hidden="1">{#N/A,#N/A,FALSE,"Aging Summary";#N/A,#N/A,FALSE,"Ratio Analysis";#N/A,#N/A,FALSE,"Test 120 Day Accts";#N/A,#N/A,FALSE,"Tickmarks"}</definedName>
    <definedName name="YYHH" hidden="1">{#N/A,#N/A,FALSE,"Aging Summary";#N/A,#N/A,FALSE,"Ratio Analysis";#N/A,#N/A,FALSE,"Test 120 Day Accts";#N/A,#N/A,FALSE,"Tickmarks"}</definedName>
    <definedName name="YYHUU" hidden="1">{#N/A,#N/A,FALSE,"Aging Summary";#N/A,#N/A,FALSE,"Ratio Analysis";#N/A,#N/A,FALSE,"Test 120 Day Accts";#N/A,#N/A,FALSE,"Tickmarks"}</definedName>
    <definedName name="YYHY" hidden="1">{#N/A,#N/A,FALSE,"Aging Summary";#N/A,#N/A,FALSE,"Ratio Analysis";#N/A,#N/A,FALSE,"Test 120 Day Accts";#N/A,#N/A,FALSE,"Tickmarks"}</definedName>
    <definedName name="YYI" hidden="1">{#N/A,#N/A,FALSE,"Aging Summary";#N/A,#N/A,FALSE,"Ratio Analysis";#N/A,#N/A,FALSE,"Test 120 Day Accts";#N/A,#N/A,FALSE,"Tickmarks"}</definedName>
    <definedName name="yytu" hidden="1">{#N/A,#N/A,FALSE,"Aging Summary";#N/A,#N/A,FALSE,"Ratio Analysis";#N/A,#N/A,FALSE,"Test 120 Day Accts";#N/A,#N/A,FALSE,"Tickmarks"}</definedName>
    <definedName name="yyu" hidden="1">{#N/A,#N/A,FALSE,"Aging Summary";#N/A,#N/A,FALSE,"Ratio Analysis";#N/A,#N/A,FALSE,"Test 120 Day Accts";#N/A,#N/A,FALSE,"Tickmarks"}</definedName>
    <definedName name="yyuu" hidden="1">{#N/A,#N/A,FALSE,"Aging Summary";#N/A,#N/A,FALSE,"Ratio Analysis";#N/A,#N/A,FALSE,"Test 120 Day Accts";#N/A,#N/A,FALSE,"Tickmarks"}</definedName>
    <definedName name="YYY" hidden="1">{#N/A,#N/A,FALSE,"Aging Summary";#N/A,#N/A,FALSE,"Ratio Analysis";#N/A,#N/A,FALSE,"Test 120 Day Accts";#N/A,#N/A,FALSE,"Tickmarks"}</definedName>
    <definedName name="yyy666" hidden="1">{#N/A,#N/A,FALSE,"Aging Summary";#N/A,#N/A,FALSE,"Ratio Analysis";#N/A,#N/A,FALSE,"Test 120 Day Accts";#N/A,#N/A,FALSE,"Tickmarks"}</definedName>
    <definedName name="YYYHH" hidden="1">{#N/A,#N/A,FALSE,"Aging Summary";#N/A,#N/A,FALSE,"Ratio Analysis";#N/A,#N/A,FALSE,"Test 120 Day Accts";#N/A,#N/A,FALSE,"Tickmarks"}</definedName>
    <definedName name="yyyjj" hidden="1">{#N/A,#N/A,FALSE,"Aging Summary";#N/A,#N/A,FALSE,"Ratio Analysis";#N/A,#N/A,FALSE,"Test 120 Day Accts";#N/A,#N/A,FALSE,"Tickmarks"}</definedName>
    <definedName name="YYYY" hidden="1">{#N/A,#N/A,FALSE,"Aging Summary";#N/A,#N/A,FALSE,"Ratio Analysis";#N/A,#N/A,FALSE,"Test 120 Day Accts";#N/A,#N/A,FALSE,"Tickmarks"}</definedName>
    <definedName name="YYYYY" hidden="1">{#N/A,#N/A,FALSE,"Aging Summary";#N/A,#N/A,FALSE,"Ratio Analysis";#N/A,#N/A,FALSE,"Test 120 Day Accts";#N/A,#N/A,FALSE,"Tickmarks"}</definedName>
    <definedName name="YYYYYH" hidden="1">{#N/A,#N/A,FALSE,"Aging Summary";#N/A,#N/A,FALSE,"Ratio Analysis";#N/A,#N/A,FALSE,"Test 120 Day Accts";#N/A,#N/A,FALSE,"Tickmarks"}</definedName>
    <definedName name="YYYYYYYYY" hidden="1">{#N/A,#N/A,FALSE,"Aging Summary";#N/A,#N/A,FALSE,"Ratio Analysis";#N/A,#N/A,FALSE,"Test 120 Day Accts";#N/A,#N/A,FALSE,"Tickmarks"}</definedName>
    <definedName name="YYYYYYYYYYY" hidden="1">{#N/A,#N/A,FALSE,"Aging Summary";#N/A,#N/A,FALSE,"Ratio Analysis";#N/A,#N/A,FALSE,"Test 120 Day Accts";#N/A,#N/A,FALSE,"Tickmarks"}</definedName>
    <definedName name="yyyyyyyyyyyyy" hidden="1">{#N/A,#N/A,FALSE,"Aging Summary";#N/A,#N/A,FALSE,"Ratio Analysis";#N/A,#N/A,FALSE,"Test 120 Day Accts";#N/A,#N/A,FALSE,"Tickmarks"}</definedName>
    <definedName name="yyyyyyyyyyyyyy" hidden="1">{#N/A,#N/A,FALSE,"Aging Summary";#N/A,#N/A,FALSE,"Ratio Analysis";#N/A,#N/A,FALSE,"Test 120 Day Accts";#N/A,#N/A,FALSE,"Tickmarks"}</definedName>
    <definedName name="yyyyyyyyyyyyyyyy" hidden="1">{#N/A,#N/A,FALSE,"Aging Summary";#N/A,#N/A,FALSE,"Ratio Analysis";#N/A,#N/A,FALSE,"Test 120 Day Accts";#N/A,#N/A,FALSE,"Tickmarks"}</definedName>
    <definedName name="yyyyyyyyyyyyyyyyyyy" hidden="1">{#N/A,#N/A,FALSE,"Aging Summary";#N/A,#N/A,FALSE,"Ratio Analysis";#N/A,#N/A,FALSE,"Test 120 Day Accts";#N/A,#N/A,FALSE,"Tickmarks"}</definedName>
    <definedName name="yyyyyyyyyyyyyyyyyyyyyyyyuuuuuuu" hidden="1">{#N/A,#N/A,FALSE,"Aging Summary";#N/A,#N/A,FALSE,"Ratio Analysis";#N/A,#N/A,FALSE,"Test 120 Day Accts";#N/A,#N/A,FALSE,"Tickmarks"}</definedName>
    <definedName name="Z" hidden="1">#REF!</definedName>
    <definedName name="Z_00D36BA9_67CC_11D1_BC89_A0B9FFC00000_.wvu.FilterData" hidden="1">#REF!</definedName>
    <definedName name="Z_0686F1C2_6A2B_11D1_BC89_A0B9FFC00000_.wvu.FilterData" hidden="1">#REF!</definedName>
    <definedName name="Z_0686F1C5_6A2B_11D1_BC89_A0B9FFC00000_.wvu.FilterData" hidden="1">#REF!</definedName>
    <definedName name="Z_0686F1C8_6A2B_11D1_BC89_A0B9FFC00000_.wvu.FilterData" hidden="1">#REF!</definedName>
    <definedName name="Z_0686F1C9_6A2B_11D1_BC89_A0B9FFC00000_.wvu.FilterData" hidden="1">#REF!</definedName>
    <definedName name="Z_0686F1CA_6A2B_11D1_BC89_A0B9FFC00000_.wvu.FilterData" hidden="1">#REF!</definedName>
    <definedName name="Z_0686F1CC_6A2B_11D1_BC89_A0B9FFC00000_.wvu.FilterData" hidden="1">#REF!</definedName>
    <definedName name="Z_0686F1CD_6A2B_11D1_BC89_A0B9FFC00000_.wvu.FilterData" hidden="1">#REF!</definedName>
    <definedName name="Z_0686F1D2_6A2B_11D1_BC89_A0B9FFC00000_.wvu.FilterData" hidden="1">#REF!</definedName>
    <definedName name="Z_0686F1D3_6A2B_11D1_BC89_A0B9FFC00000_.wvu.FilterData" hidden="1">#REF!</definedName>
    <definedName name="Z_0686F1D5_6A2B_11D1_BC89_A0B9FFC00000_.wvu.FilterData" hidden="1">#REF!</definedName>
    <definedName name="Z_0738A979_8B30_11D1_8078_006097933021_.wvu.FilterData" hidden="1">#REF!</definedName>
    <definedName name="Z_07F3E1CF_BD72_11D1_80A9_00609704D63C_.wvu.FilterData" hidden="1">#REF!</definedName>
    <definedName name="Z_07F3E1D7_BD72_11D1_80A9_00609704D63C_.wvu.FilterData" hidden="1">#REF!</definedName>
    <definedName name="Z_07F3E1F2_BD72_11D1_80A9_00609704D63C_.wvu.FilterData" hidden="1">#REF!</definedName>
    <definedName name="Z_07F3E1F3_BD72_11D1_80A9_00609704D63C_.wvu.FilterData" hidden="1">#REF!</definedName>
    <definedName name="Z_07F3E1F7_BD72_11D1_80A9_00609704D63C_.wvu.FilterData" hidden="1">#REF!</definedName>
    <definedName name="Z_07F3E1F8_BD72_11D1_80A9_00609704D63C_.wvu.FilterData" hidden="1">#REF!</definedName>
    <definedName name="Z_07F3E1F9_BD72_11D1_80A9_00609704D63C_.wvu.FilterData" hidden="1">#REF!</definedName>
    <definedName name="Z_07F4070E_CEC4_11D1_969A_00600892D032_.wvu.FilterData" hidden="1">#REF!</definedName>
    <definedName name="Z_08E747F4_75F4_11D1_BC89_A0B9FFC00000_.wvu.FilterData" hidden="1">#REF!</definedName>
    <definedName name="Z_097E5A2B_8E92_11D1_BF2B_0080C7302191_.wvu.FilterData" hidden="1">#REF!</definedName>
    <definedName name="Z_0BC97C53_6027_11D1_B6BB_748701C10000_.wvu.FilterData" hidden="1">#REF!</definedName>
    <definedName name="Z_0C59E3B3_2ECC_11D3_B72F_00805F77D677_.wvu.PrintArea" hidden="1">#REF!</definedName>
    <definedName name="Z_0CAC420B_8390_11D1_BC89_A0B9FFC00000_.wvu.FilterData" hidden="1">#REF!</definedName>
    <definedName name="Z_0CAC420D_8390_11D1_BC89_A0B9FFC00000_.wvu.FilterData" hidden="1">#REF!</definedName>
    <definedName name="Z_0CAC4211_8390_11D1_BC89_A0B9FFC00000_.wvu.FilterData" hidden="1">#REF!</definedName>
    <definedName name="Z_0CAC421D_8390_11D1_BC89_A0B9FFC00000_.wvu.FilterData" hidden="1">#REF!</definedName>
    <definedName name="Z_0EC60D82_8137_11D1_BC89_A0B9FFC00000_.wvu.FilterData" hidden="1">#REF!</definedName>
    <definedName name="Z_0EEE84E8_27A7_11D2_A26A_006008DF03DD_.wvu.FilterData" hidden="1">#REF!</definedName>
    <definedName name="Z_108943D4_F1C1_11D2_806D_00105A0ACAB3_.wvu.Cols" hidden="1">#REF!,#REF!</definedName>
    <definedName name="Z_108943D4_F1C1_11D2_806D_00105A0ACAB3_.wvu.Rows" hidden="1">#REF!,#REF!,#REF!,#REF!,#REF!,#REF!,#REF!,#REF!,#REF!,#REF!</definedName>
    <definedName name="Z_11EBA04A_7787_11D1_BC89_A0B9FFC00000_.wvu.FilterData" hidden="1">#REF!</definedName>
    <definedName name="Z_11EBA057_7787_11D1_BC89_A0B9FFC00000_.wvu.FilterData" hidden="1">#REF!</definedName>
    <definedName name="Z_11EBA05F_7787_11D1_BC89_A0B9FFC00000_.wvu.FilterData" hidden="1">#REF!</definedName>
    <definedName name="Z_11EBA062_7787_11D1_BC89_A0B9FFC00000_.wvu.FilterData" hidden="1">#REF!</definedName>
    <definedName name="Z_11EBA063_7787_11D1_BC89_A0B9FFC00000_.wvu.FilterData" hidden="1">#REF!</definedName>
    <definedName name="Z_11EBA06C_7787_11D1_BC89_A0B9FFC00000_.wvu.FilterData" hidden="1">#REF!</definedName>
    <definedName name="Z_11EBA070_7787_11D1_BC89_A0B9FFC00000_.wvu.FilterData" hidden="1">#REF!</definedName>
    <definedName name="Z_11EBA072_7787_11D1_BC89_A0B9FFC00000_.wvu.FilterData" hidden="1">#REF!</definedName>
    <definedName name="Z_11EBA074_7787_11D1_BC89_A0B9FFC00000_.wvu.FilterData" hidden="1">#REF!</definedName>
    <definedName name="Z_11EBA082_7787_11D1_BC89_A0B9FFC00000_.wvu.FilterData" hidden="1">#REF!</definedName>
    <definedName name="Z_128F3737_AC28_11D1_9699_00600892D032_.wvu.FilterData" hidden="1">#REF!</definedName>
    <definedName name="Z_13FEDA0B_7268_11D2_98CA_006008447C2A_.wvu.Cols" hidden="1">#REF!</definedName>
    <definedName name="Z_156C8D0C_7AC0_11D1_BC89_A0B9FFC00000_.wvu.FilterData" hidden="1">#REF!</definedName>
    <definedName name="Z_156C8D21_7AC0_11D1_BC89_A0B9FFC00000_.wvu.FilterData" hidden="1">#REF!</definedName>
    <definedName name="Z_156C8D23_7AC0_11D1_BC89_A0B9FFC00000_.wvu.FilterData" hidden="1">#REF!</definedName>
    <definedName name="Z_156C8D26_7AC0_11D1_BC89_A0B9FFC00000_.wvu.FilterData" hidden="1">#REF!</definedName>
    <definedName name="Z_156C8D28_7AC0_11D1_BC89_A0B9FFC00000_.wvu.FilterData" hidden="1">#REF!</definedName>
    <definedName name="Z_156C8D29_7AC0_11D1_BC89_A0B9FFC00000_.wvu.FilterData" hidden="1">#REF!</definedName>
    <definedName name="Z_156C8D2A_7AC0_11D1_BC89_A0B9FFC00000_.wvu.FilterData" hidden="1">#REF!</definedName>
    <definedName name="Z_156C8D2B_7AC0_11D1_BC89_A0B9FFC00000_.wvu.FilterData" hidden="1">#REF!</definedName>
    <definedName name="Z_156C8D2F_7AC0_11D1_BC89_A0B9FFC00000_.wvu.FilterData" hidden="1">#REF!</definedName>
    <definedName name="Z_156C8D30_7AC0_11D1_BC89_A0B9FFC00000_.wvu.FilterData" hidden="1">#REF!</definedName>
    <definedName name="Z_156C8D31_7AC0_11D1_BC89_A0B9FFC00000_.wvu.FilterData" hidden="1">#REF!</definedName>
    <definedName name="Z_156C8D33_7AC0_11D1_BC89_A0B9FFC00000_.wvu.FilterData" hidden="1">#REF!</definedName>
    <definedName name="Z_156C8D34_7AC0_11D1_BC89_A0B9FFC00000_.wvu.FilterData" hidden="1">#REF!</definedName>
    <definedName name="Z_156C8D35_7AC0_11D1_BC89_A0B9FFC00000_.wvu.FilterData" hidden="1">#REF!</definedName>
    <definedName name="Z_15B0630A_8E89_11D1_80A9_00609704D63C_.wvu.FilterData" hidden="1">#REF!</definedName>
    <definedName name="Z_15B0630E_8E89_11D1_80A9_00609704D63C_.wvu.FilterData" hidden="1">#REF!</definedName>
    <definedName name="Z_15B0630F_8E89_11D1_80A9_00609704D63C_.wvu.FilterData" hidden="1">#REF!</definedName>
    <definedName name="Z_15C5A2FE_624E_11D1_BC89_A0B9FFC00000_.wvu.FilterData" hidden="1">#REF!</definedName>
    <definedName name="Z_15C5A300_624E_11D1_BC89_A0B9FFC00000_.wvu.FilterData" hidden="1">#REF!</definedName>
    <definedName name="Z_15C5A301_624E_11D1_BC89_A0B9FFC00000_.wvu.FilterData" hidden="1">#REF!</definedName>
    <definedName name="Z_15C5A302_624E_11D1_BC89_A0B9FFC00000_.wvu.FilterData" hidden="1">#REF!</definedName>
    <definedName name="Z_15C5A30D_624E_11D1_BC89_A0B9FFC00000_.wvu.FilterData" hidden="1">#REF!</definedName>
    <definedName name="Z_15C5A30F_624E_11D1_BC89_A0B9FFC00000_.wvu.FilterData" hidden="1">#REF!</definedName>
    <definedName name="Z_15C5A310_624E_11D1_BC89_A0B9FFC00000_.wvu.FilterData" hidden="1">#REF!</definedName>
    <definedName name="Z_15C5A311_624E_11D1_BC89_A0B9FFC00000_.wvu.FilterData" hidden="1">#REF!</definedName>
    <definedName name="Z_15C5A314_624E_11D1_BC89_A0B9FFC00000_.wvu.FilterData" hidden="1">#REF!</definedName>
    <definedName name="Z_15C5A31B_624E_11D1_BC89_A0B9FFC00000_.wvu.FilterData" hidden="1">#REF!</definedName>
    <definedName name="Z_15C5A31C_624E_11D1_BC89_A0B9FFC00000_.wvu.FilterData" hidden="1">#REF!</definedName>
    <definedName name="Z_15C5A31E_624E_11D1_BC89_A0B9FFC00000_.wvu.FilterData" hidden="1">#REF!</definedName>
    <definedName name="Z_15C5A31F_624E_11D1_BC89_A0B9FFC00000_.wvu.FilterData" hidden="1">#REF!</definedName>
    <definedName name="Z_15C5A320_624E_11D1_BC89_A0B9FFC00000_.wvu.FilterData" hidden="1">#REF!</definedName>
    <definedName name="Z_15C5A335_624E_11D1_BC89_A0B9FFC00000_.wvu.FilterData" hidden="1">#REF!</definedName>
    <definedName name="Z_15C5A337_624E_11D1_BC89_A0B9FFC00000_.wvu.FilterData" hidden="1">#REF!</definedName>
    <definedName name="Z_16936609_93D9_11D1_80A9_00609704D63C_.wvu.FilterData" hidden="1">#REF!</definedName>
    <definedName name="Z_1693660D_93D9_11D1_80A9_00609704D63C_.wvu.FilterData" hidden="1">#REF!</definedName>
    <definedName name="Z_1693660F_93D9_11D1_80A9_00609704D63C_.wvu.FilterData" hidden="1">#REF!</definedName>
    <definedName name="Z_16936610_93D9_11D1_80A9_00609704D63C_.wvu.FilterData" hidden="1">#REF!</definedName>
    <definedName name="Z_16936611_93D9_11D1_80A9_00609704D63C_.wvu.FilterData" hidden="1">#REF!</definedName>
    <definedName name="Z_16936615_93D9_11D1_80A9_00609704D63C_.wvu.FilterData" hidden="1">#REF!</definedName>
    <definedName name="Z_16936619_93D9_11D1_80A9_00609704D63C_.wvu.FilterData" hidden="1">#REF!</definedName>
    <definedName name="Z_1825FB89_C3BE_11D1_969A_00600892D032_.wvu.FilterData" hidden="1">#REF!</definedName>
    <definedName name="Z_18B1244E_7072_11D1_BC89_A0B9FFC00000_.wvu.FilterData" hidden="1">#REF!</definedName>
    <definedName name="Z_18B12452_7072_11D1_BC89_A0B9FFC00000_.wvu.FilterData" hidden="1">#REF!</definedName>
    <definedName name="Z_18B12457_7072_11D1_BC89_A0B9FFC00000_.wvu.FilterData" hidden="1">#REF!</definedName>
    <definedName name="Z_18B12459_7072_11D1_BC89_A0B9FFC00000_.wvu.FilterData" hidden="1">#REF!</definedName>
    <definedName name="Z_18B1245A_7072_11D1_BC89_A0B9FFC00000_.wvu.FilterData" hidden="1">#REF!</definedName>
    <definedName name="Z_18B1245C_7072_11D1_BC89_A0B9FFC00000_.wvu.FilterData" hidden="1">#REF!</definedName>
    <definedName name="Z_18B1245D_7072_11D1_BC89_A0B9FFC00000_.wvu.FilterData" hidden="1">#REF!</definedName>
    <definedName name="Z_18B1246D_7072_11D1_BC89_A0B9FFC00000_.wvu.FilterData" hidden="1">#REF!</definedName>
    <definedName name="Z_18B12471_7072_11D1_BC89_A0B9FFC00000_.wvu.FilterData" hidden="1">#REF!</definedName>
    <definedName name="Z_18B12476_7072_11D1_BC89_A0B9FFC00000_.wvu.FilterData" hidden="1">#REF!</definedName>
    <definedName name="Z_18B1247D_7072_11D1_BC89_A0B9FFC00000_.wvu.FilterData" hidden="1">#REF!</definedName>
    <definedName name="Z_18B1247F_7072_11D1_BC89_A0B9FFC00000_.wvu.FilterData" hidden="1">#REF!</definedName>
    <definedName name="Z_18E5E3DC_6732_11D1_BC89_A0B9FFC00000_.wvu.FilterData" hidden="1">#REF!</definedName>
    <definedName name="Z_18F0CC77_752C_11D1_BC89_A0B9FFC00000_.wvu.FilterData" hidden="1">#REF!</definedName>
    <definedName name="Z_18F0CC7A_752C_11D1_BC89_A0B9FFC00000_.wvu.FilterData" hidden="1">#REF!</definedName>
    <definedName name="Z_191D204A_8124_11D1_8078_006097933021_.wvu.FilterData" hidden="1">#REF!</definedName>
    <definedName name="Z_191D204E_8124_11D1_8078_006097933021_.wvu.FilterData" hidden="1">#REF!</definedName>
    <definedName name="Z_191D2064_8124_11D1_8078_006097933021_.wvu.FilterData" hidden="1">#REF!</definedName>
    <definedName name="Z_1973996B_157C_11D2_A26A_006008DF03DD_.wvu.FilterData" hidden="1">#REF!</definedName>
    <definedName name="Z_1973996C_157C_11D2_A26A_006008DF03DD_.wvu.FilterData" hidden="1">#REF!</definedName>
    <definedName name="Z_1973996E_157C_11D2_A26A_006008DF03DD_.wvu.FilterData" hidden="1">#REF!</definedName>
    <definedName name="Z_19739977_157C_11D2_A26A_006008DF03DD_.wvu.FilterData" hidden="1">#REF!</definedName>
    <definedName name="Z_19739978_157C_11D2_A26A_006008DF03DD_.wvu.FilterData" hidden="1">#REF!</definedName>
    <definedName name="Z_1A74E0D2_A773_11D1_80A9_00609704D63C_.wvu.FilterData" hidden="1">#REF!</definedName>
    <definedName name="Z_1A74E0EB_A773_11D1_80A9_00609704D63C_.wvu.FilterData" hidden="1">#REF!</definedName>
    <definedName name="Z_1A74E0EC_A773_11D1_80A9_00609704D63C_.wvu.FilterData" hidden="1">#REF!</definedName>
    <definedName name="Z_1A74E0F0_A773_11D1_80A9_00609704D63C_.wvu.FilterData" hidden="1">#REF!</definedName>
    <definedName name="Z_1A74E0F3_A773_11D1_80A9_00609704D63C_.wvu.FilterData" hidden="1">#REF!</definedName>
    <definedName name="Z_1BAAEAF5_5F55_11D1_BC89_A0B9FFC00000_.wvu.FilterData" hidden="1">#REF!</definedName>
    <definedName name="Z_1F22BD28_656F_11D1_BC89_A0B9FFC00000_.wvu.FilterData" hidden="1">#REF!</definedName>
    <definedName name="Z_20555B91_1F82_46FE_BC60_B0DDD58E31D4_.wvu.FilterData" hidden="1">#REF!</definedName>
    <definedName name="Z_20AD50C9_91C1_11D1_80A9_00609704D63C_.wvu.FilterData" hidden="1">#REF!</definedName>
    <definedName name="Z_222E72BE_CAD1_11D1_80A9_00609704D63C_.wvu.FilterData" hidden="1">#REF!</definedName>
    <definedName name="Z_222E72C0_CAD1_11D1_80A9_00609704D63C_.wvu.FilterData" hidden="1">#REF!</definedName>
    <definedName name="Z_222E72C1_CAD1_11D1_80A9_00609704D63C_.wvu.FilterData" hidden="1">#REF!</definedName>
    <definedName name="Z_222E72D2_CAD1_11D1_80A9_00609704D63C_.wvu.FilterData" hidden="1">#REF!</definedName>
    <definedName name="Z_222E72E2_CAD1_11D1_80A9_00609704D63C_.wvu.FilterData" hidden="1">#REF!</definedName>
    <definedName name="Z_222E72E3_CAD1_11D1_80A9_00609704D63C_.wvu.FilterData" hidden="1">#REF!</definedName>
    <definedName name="Z_222E72E4_CAD1_11D1_80A9_00609704D63C_.wvu.FilterData" hidden="1">#REF!</definedName>
    <definedName name="Z_222E72E5_CAD1_11D1_80A9_00609704D63C_.wvu.FilterData" hidden="1">#REF!</definedName>
    <definedName name="Z_222E72E6_CAD1_11D1_80A9_00609704D63C_.wvu.FilterData" hidden="1">#REF!</definedName>
    <definedName name="Z_22E5DA62_81CA_11D5_AF8B_00105A107445_.wvu.Rows" hidden="1">#REF!</definedName>
    <definedName name="Z_2522FACC_6D6C_11D1_BC89_A0B9FFC00000_.wvu.FilterData" hidden="1">#REF!</definedName>
    <definedName name="Z_2522FACD_6D6C_11D1_BC89_A0B9FFC00000_.wvu.FilterData" hidden="1">#REF!</definedName>
    <definedName name="Z_2522FACE_6D6C_11D1_BC89_A0B9FFC00000_.wvu.FilterData" hidden="1">#REF!</definedName>
    <definedName name="Z_2522FAD5_6D6C_11D1_BC89_A0B9FFC00000_.wvu.FilterData" hidden="1">#REF!</definedName>
    <definedName name="Z_2522FAD6_6D6C_11D1_BC89_A0B9FFC00000_.wvu.FilterData" hidden="1">#REF!</definedName>
    <definedName name="Z_2522FAD7_6D6C_11D1_BC89_A0B9FFC00000_.wvu.FilterData" hidden="1">#REF!</definedName>
    <definedName name="Z_2522FAD9_6D6C_11D1_BC89_A0B9FFC00000_.wvu.FilterData" hidden="1">#REF!</definedName>
    <definedName name="Z_2522FAE5_6D6C_11D1_BC89_A0B9FFC00000_.wvu.FilterData" hidden="1">#REF!</definedName>
    <definedName name="Z_2522FAE6_6D6C_11D1_BC89_A0B9FFC00000_.wvu.FilterData" hidden="1">#REF!</definedName>
    <definedName name="Z_2522FAFF_6D6C_11D1_BC89_A0B9FFC00000_.wvu.FilterData" hidden="1">#REF!</definedName>
    <definedName name="Z_2522FB00_6D6C_11D1_BC89_A0B9FFC00000_.wvu.FilterData" hidden="1">#REF!</definedName>
    <definedName name="Z_2522FB04_6D6C_11D1_BC89_A0B9FFC00000_.wvu.FilterData" hidden="1">#REF!</definedName>
    <definedName name="Z_2522FB09_6D6C_11D1_BC89_A0B9FFC00000_.wvu.FilterData" hidden="1">#REF!</definedName>
    <definedName name="Z_2522FB0B_6D6C_11D1_BC89_A0B9FFC00000_.wvu.FilterData" hidden="1">#REF!</definedName>
    <definedName name="Z_2522FB0C_6D6C_11D1_BC89_A0B9FFC00000_.wvu.FilterData" hidden="1">#REF!</definedName>
    <definedName name="Z_2522FB0D_6D6C_11D1_BC89_A0B9FFC00000_.wvu.FilterData" hidden="1">#REF!</definedName>
    <definedName name="Z_2522FB0E_6D6C_11D1_BC89_A0B9FFC00000_.wvu.FilterData" hidden="1">#REF!</definedName>
    <definedName name="Z_2522FB0F_6D6C_11D1_BC89_A0B9FFC00000_.wvu.FilterData" hidden="1">#REF!</definedName>
    <definedName name="Z_2522FB10_6D6C_11D1_BC89_A0B9FFC00000_.wvu.FilterData" hidden="1">#REF!</definedName>
    <definedName name="Z_2522FB11_6D6C_11D1_BC89_A0B9FFC00000_.wvu.FilterData" hidden="1">#REF!</definedName>
    <definedName name="Z_2567A20A_7AAB_11D1_BC89_A0B9FFC00000_.wvu.FilterData" hidden="1">#REF!</definedName>
    <definedName name="Z_2567A20B_7AAB_11D1_BC89_A0B9FFC00000_.wvu.FilterData" hidden="1">#REF!</definedName>
    <definedName name="Z_2567A20C_7AAB_11D1_BC89_A0B9FFC00000_.wvu.FilterData" hidden="1">#REF!</definedName>
    <definedName name="Z_2567A20D_7AAB_11D1_BC89_A0B9FFC00000_.wvu.FilterData" hidden="1">#REF!</definedName>
    <definedName name="Z_2567A20F_7AAB_11D1_BC89_A0B9FFC00000_.wvu.FilterData" hidden="1">#REF!</definedName>
    <definedName name="Z_2567A215_7AAB_11D1_BC89_A0B9FFC00000_.wvu.FilterData" hidden="1">#REF!</definedName>
    <definedName name="Z_2C26E6CD_489D_4693_B2AC_60CD5D0C6776_.wvu.FilterData" hidden="1">#REF!</definedName>
    <definedName name="Z_2C7FE1E1_BA05_4BF8_A1BA_32482F2E4FCE_.wvu.PrintArea" hidden="1">#REF!</definedName>
    <definedName name="Z_2CF88CFA_923A_11D1_80A9_00609704D63C_.wvu.FilterData" hidden="1">#REF!</definedName>
    <definedName name="Z_2CF88CFB_923A_11D1_80A9_00609704D63C_.wvu.FilterData" hidden="1">#REF!</definedName>
    <definedName name="Z_2CF88CFD_923A_11D1_80A9_00609704D63C_.wvu.FilterData" hidden="1">#REF!</definedName>
    <definedName name="Z_2CF88D02_923A_11D1_80A9_00609704D63C_.wvu.FilterData" hidden="1">#REF!</definedName>
    <definedName name="Z_2D42B152_8D84_11D1_80A9_00609704D63C_.wvu.FilterData" hidden="1">#REF!</definedName>
    <definedName name="Z_2D42B156_8D84_11D1_80A9_00609704D63C_.wvu.FilterData" hidden="1">#REF!</definedName>
    <definedName name="Z_2D42B170_8D84_11D1_80A9_00609704D63C_.wvu.FilterData" hidden="1">#REF!</definedName>
    <definedName name="Z_2D42B177_8D84_11D1_80A9_00609704D63C_.wvu.FilterData" hidden="1">#REF!</definedName>
    <definedName name="Z_2D42B17D_8D84_11D1_80A9_00609704D63C_.wvu.FilterData" hidden="1">#REF!</definedName>
    <definedName name="Z_2D42B181_8D84_11D1_80A9_00609704D63C_.wvu.FilterData" hidden="1">#REF!</definedName>
    <definedName name="Z_2D42B18C_8D84_11D1_80A9_00609704D63C_.wvu.FilterData" hidden="1">#REF!</definedName>
    <definedName name="Z_2D42B194_8D84_11D1_80A9_00609704D63C_.wvu.FilterData" hidden="1">#REF!</definedName>
    <definedName name="Z_2D42B195_8D84_11D1_80A9_00609704D63C_.wvu.FilterData" hidden="1">#REF!</definedName>
    <definedName name="Z_2D42B197_8D84_11D1_80A9_00609704D63C_.wvu.FilterData" hidden="1">#REF!</definedName>
    <definedName name="Z_2DA1632B_AF9E_11D1_9699_00600892D032_.wvu.FilterData" hidden="1">#REF!</definedName>
    <definedName name="Z_2E2B8098_6D4C_11D1_BC89_A0B9FFC00000_.wvu.FilterData" hidden="1">#REF!</definedName>
    <definedName name="Z_2E2B809A_6D4C_11D1_BC89_A0B9FFC00000_.wvu.FilterData" hidden="1">#REF!</definedName>
    <definedName name="Z_2E7403B0_7396_11D2_8061_00105A03258D_.wvu.Cols" hidden="1">#REF!,#REF!</definedName>
    <definedName name="Z_305E1B09_14DC_11D2_828C_006097927CA8_.wvu.FilterData" hidden="1">#REF!</definedName>
    <definedName name="Z_31E09A51_7705_11D1_BC89_A0B9FFC00000_.wvu.FilterData" hidden="1">#REF!</definedName>
    <definedName name="Z_3252EB08_A850_11D1_B918_008029E12AB3_.wvu.FilterData" hidden="1">#REF!</definedName>
    <definedName name="Z_3252EB0B_A850_11D1_B918_008029E12AB3_.wvu.FilterData" hidden="1">#REF!</definedName>
    <definedName name="Z_33B027A9_8E52_11D1_9699_00600892D032_.wvu.FilterData" hidden="1">#REF!</definedName>
    <definedName name="Z_33B027C1_8E52_11D1_9699_00600892D032_.wvu.FilterData" hidden="1">#REF!</definedName>
    <definedName name="Z_38D6B6E8_27C2_11D2_B9EB_00600892D032_.wvu.FilterData" hidden="1">#REF!</definedName>
    <definedName name="Z_38D6B6F0_27C2_11D2_B9EB_00600892D032_.wvu.FilterData" hidden="1">#REF!</definedName>
    <definedName name="Z_38D6B6F1_27C2_11D2_B9EB_00600892D032_.wvu.FilterData" hidden="1">#REF!</definedName>
    <definedName name="Z_38D6B6F2_27C2_11D2_B9EB_00600892D032_.wvu.FilterData" hidden="1">#REF!</definedName>
    <definedName name="Z_38D6B6F3_27C2_11D2_B9EB_00600892D032_.wvu.FilterData" hidden="1">#REF!</definedName>
    <definedName name="Z_39F58E9B_918F_11D1_9699_00600892D032_.wvu.FilterData" hidden="1">#REF!</definedName>
    <definedName name="Z_3A3B21B8_32D8_11D3_AD40_0060979BFA9E_.wvu.Cols" hidden="1">#REF!</definedName>
    <definedName name="Z_3A3B21B8_32D8_11D3_AD40_0060979BFA9E_.wvu.Rows" hidden="1">#REF!</definedName>
    <definedName name="Z_3A951203_44B8_4AF1_B9AE_C39ADD5D2DDD_.wvu.FilterData" hidden="1">#REF!</definedName>
    <definedName name="Z_3EAED98B_72D2_11D1_8F1D_0060979173FF_.wvu.FilterData" hidden="1">#REF!</definedName>
    <definedName name="Z_406E3429_BA4C_11D1_969A_00600892D032_.wvu.FilterData" hidden="1">#REF!</definedName>
    <definedName name="Z_420DAC8A_AE89_11D1_80A9_00609704D63C_.wvu.FilterData" hidden="1">#REF!</definedName>
    <definedName name="Z_420DAC8C_AE89_11D1_80A9_00609704D63C_.wvu.FilterData" hidden="1">#REF!</definedName>
    <definedName name="Z_420DACA6_AE89_11D1_80A9_00609704D63C_.wvu.FilterData" hidden="1">#REF!</definedName>
    <definedName name="Z_420DACCC_AE89_11D1_80A9_00609704D63C_.wvu.FilterData" hidden="1">#REF!</definedName>
    <definedName name="Z_420DACCD_AE89_11D1_80A9_00609704D63C_.wvu.FilterData" hidden="1">#REF!</definedName>
    <definedName name="Z_420DACCE_AE89_11D1_80A9_00609704D63C_.wvu.FilterData" hidden="1">#REF!</definedName>
    <definedName name="Z_420DACCF_AE89_11D1_80A9_00609704D63C_.wvu.FilterData" hidden="1">#REF!</definedName>
    <definedName name="Z_44B34C38_09C5_48D7_BDA3_359A9B4F26C7_.wvu.FilterData" hidden="1">#REF!</definedName>
    <definedName name="Z_4803BDC2_330E_49E2_BDB5_5387E2DE3ED9_.wvu.FilterData" hidden="1">#REF!</definedName>
    <definedName name="Z_4D7E3C14_8671_11D1_8078_006097933021_.wvu.FilterData" hidden="1">#REF!</definedName>
    <definedName name="Z_4D7E3C1A_8671_11D1_8078_006097933021_.wvu.FilterData" hidden="1">#REF!</definedName>
    <definedName name="Z_4FEB36A9_B4CF_11D1_80A9_00609704D63C_.wvu.FilterData" hidden="1">#REF!</definedName>
    <definedName name="Z_540E4ADC_7BA8_11D1_8078_006097933021_.wvu.FilterData" hidden="1">#REF!</definedName>
    <definedName name="Z_55DAE95D_9D41_11D1_80A9_00609704D63C_.wvu.FilterData" hidden="1">#REF!</definedName>
    <definedName name="Z_5665F129_B987_11D1_969A_00600892D032_.wvu.FilterData" hidden="1">#REF!</definedName>
    <definedName name="Z_587E623A_0C85_4E6B_B2D8_741BE689B952_.wvu.FilterData" hidden="1">#REF!</definedName>
    <definedName name="Z_58C3B089_9978_11D1_9699_00600892D032_.wvu.FilterData" hidden="1">#REF!</definedName>
    <definedName name="Z_5977E44E_6C83_11D1_BC89_A0B9FFC00000_.wvu.FilterData" hidden="1">#REF!</definedName>
    <definedName name="Z_5977E456_6C83_11D1_BC89_A0B9FFC00000_.wvu.FilterData" hidden="1">#REF!</definedName>
    <definedName name="Z_5977E45A_6C83_11D1_BC89_A0B9FFC00000_.wvu.FilterData" hidden="1">#REF!</definedName>
    <definedName name="Z_59F67F4A_8D03_11D1_80A9_00609704D63C_.wvu.FilterData" hidden="1">#REF!</definedName>
    <definedName name="Z_59F67F4D_8D03_11D1_80A9_00609704D63C_.wvu.FilterData" hidden="1">#REF!</definedName>
    <definedName name="Z_59F67F4E_8D03_11D1_80A9_00609704D63C_.wvu.FilterData" hidden="1">#REF!</definedName>
    <definedName name="Z_5B05CC1F_8CB9_11D1_BC89_A0B9FFC00000_.wvu.FilterData" hidden="1">#REF!</definedName>
    <definedName name="Z_5B05CC22_8CB9_11D1_BC89_A0B9FFC00000_.wvu.FilterData" hidden="1">#REF!</definedName>
    <definedName name="Z_5B05CC2E_8CB9_11D1_BC89_A0B9FFC00000_.wvu.FilterData" hidden="1">#REF!</definedName>
    <definedName name="Z_5B05CC2F_8CB9_11D1_BC89_A0B9FFC00000_.wvu.FilterData" hidden="1">#REF!</definedName>
    <definedName name="Z_5B05CC30_8CB9_11D1_BC89_A0B9FFC00000_.wvu.FilterData" hidden="1">#REF!</definedName>
    <definedName name="Z_5C525311_F45E_11D3_A510_64E98A000000_.wvu.Cols" hidden="1">#REF!</definedName>
    <definedName name="Z_5C525311_F45E_11D3_A510_64E98A000000_.wvu.Rows" hidden="1">#REF!</definedName>
    <definedName name="Z_5F086829_67D0_11D1_AC34_4C7101C10000_.wvu.FilterData" hidden="1">#REF!</definedName>
    <definedName name="Z_5F221F27_0946_4027_A791_FB98BD3E9D51_.wvu.FilterData" hidden="1">#REF!</definedName>
    <definedName name="Z_60FD8423_760B_11D1_8078_006097933021_.wvu.FilterData" hidden="1">#REF!</definedName>
    <definedName name="Z_60FD8429_760B_11D1_8078_006097933021_.wvu.FilterData" hidden="1">#REF!</definedName>
    <definedName name="Z_60FD8430_760B_11D1_8078_006097933021_.wvu.FilterData" hidden="1">#REF!</definedName>
    <definedName name="Z_60FD8436_760B_11D1_8078_006097933021_.wvu.FilterData" hidden="1">#REF!</definedName>
    <definedName name="Z_60FD8439_760B_11D1_8078_006097933021_.wvu.FilterData" hidden="1">#REF!</definedName>
    <definedName name="Z_60FD843E_760B_11D1_8078_006097933021_.wvu.FilterData" hidden="1">#REF!</definedName>
    <definedName name="Z_68BC2A08_A096_4D15_B164_C966131FA466_.wvu.FilterData" hidden="1">#REF!</definedName>
    <definedName name="Z_6ACF924E_B1AA_11D1_80A9_00609704D63C_.wvu.FilterData" hidden="1">#REF!</definedName>
    <definedName name="Z_6ACF924F_B1AA_11D1_80A9_00609704D63C_.wvu.FilterData" hidden="1">#REF!</definedName>
    <definedName name="Z_6ACF9256_B1AA_11D1_80A9_00609704D63C_.wvu.FilterData" hidden="1">#REF!</definedName>
    <definedName name="Z_6ACF925F_B1AA_11D1_80A9_00609704D63C_.wvu.FilterData" hidden="1">#REF!</definedName>
    <definedName name="Z_6ACF9260_B1AA_11D1_80A9_00609704D63C_.wvu.FilterData" hidden="1">#REF!</definedName>
    <definedName name="Z_6ACF9261_B1AA_11D1_80A9_00609704D63C_.wvu.FilterData" hidden="1">#REF!</definedName>
    <definedName name="Z_6ACF9262_B1AA_11D1_80A9_00609704D63C_.wvu.FilterData" hidden="1">#REF!</definedName>
    <definedName name="Z_6ACF9265_B1AA_11D1_80A9_00609704D63C_.wvu.FilterData" hidden="1">#REF!</definedName>
    <definedName name="Z_6ACF9267_B1AA_11D1_80A9_00609704D63C_.wvu.FilterData" hidden="1">#REF!</definedName>
    <definedName name="Z_6ACF926B_B1AA_11D1_80A9_00609704D63C_.wvu.FilterData" hidden="1">#REF!</definedName>
    <definedName name="Z_6E7DC023_6A00_4600_A2F6_A3850568A851_.wvu.FilterData" hidden="1">#REF!</definedName>
    <definedName name="Z_6FC15AFE_7DCF_11D1_BC89_A0B9FFC00000_.wvu.FilterData" hidden="1">#REF!</definedName>
    <definedName name="Z_6FC15B02_7DCF_11D1_BC89_A0B9FFC00000_.wvu.FilterData" hidden="1">#REF!</definedName>
    <definedName name="Z_6FC15B03_7DCF_11D1_BC89_A0B9FFC00000_.wvu.FilterData" hidden="1">#REF!</definedName>
    <definedName name="Z_6FC15B05_7DCF_11D1_BC89_A0B9FFC00000_.wvu.FilterData" hidden="1">#REF!</definedName>
    <definedName name="Z_6FC15B06_7DCF_11D1_BC89_A0B9FFC00000_.wvu.FilterData" hidden="1">#REF!</definedName>
    <definedName name="Z_6FC15B1A_7DCF_11D1_BC89_A0B9FFC00000_.wvu.FilterData" hidden="1">#REF!</definedName>
    <definedName name="Z_6FC15B1C_7DCF_11D1_BC89_A0B9FFC00000_.wvu.FilterData" hidden="1">#REF!</definedName>
    <definedName name="Z_6FC15B1F_7DCF_11D1_BC89_A0B9FFC00000_.wvu.FilterData" hidden="1">#REF!</definedName>
    <definedName name="Z_6FC15B24_7DCF_11D1_BC89_A0B9FFC00000_.wvu.FilterData" hidden="1">#REF!</definedName>
    <definedName name="Z_6FC15B2B_7DCF_11D1_BC89_A0B9FFC00000_.wvu.FilterData" hidden="1">#REF!</definedName>
    <definedName name="Z_6FC15B37_7DCF_11D1_BC89_A0B9FFC00000_.wvu.FilterData" hidden="1">#REF!</definedName>
    <definedName name="Z_6FC15B46_7DCF_11D1_BC89_A0B9FFC00000_.wvu.FilterData" hidden="1">#REF!</definedName>
    <definedName name="Z_6FC15B48_7DCF_11D1_BC89_A0B9FFC00000_.wvu.FilterData" hidden="1">#REF!</definedName>
    <definedName name="Z_6FC15B54_7DCF_11D1_BC89_A0B9FFC00000_.wvu.FilterData" hidden="1">#REF!</definedName>
    <definedName name="Z_6FC15B62_7DCF_11D1_BC89_A0B9FFC00000_.wvu.FilterData" hidden="1">#REF!</definedName>
    <definedName name="Z_6FC15B6D_7DCF_11D1_BC89_A0B9FFC00000_.wvu.FilterData" hidden="1">#REF!</definedName>
    <definedName name="Z_6FC15B70_7DCF_11D1_BC89_A0B9FFC00000_.wvu.FilterData" hidden="1">#REF!</definedName>
    <definedName name="Z_6FC15B79_7DCF_11D1_BC89_A0B9FFC00000_.wvu.FilterData" hidden="1">#REF!</definedName>
    <definedName name="Z_6FC15B82_7DCF_11D1_BC89_A0B9FFC00000_.wvu.FilterData" hidden="1">#REF!</definedName>
    <definedName name="Z_6FF2DEA9_8CD7_11D1_9699_00600892D032_.wvu.FilterData" hidden="1">#REF!</definedName>
    <definedName name="Z_6FF2DEAC_8CD7_11D1_9699_00600892D032_.wvu.FilterData" hidden="1">#REF!</definedName>
    <definedName name="Z_705168C9_C874_11D1_969A_00600892D032_.wvu.FilterData" hidden="1">#REF!</definedName>
    <definedName name="Z_71A953CB_A9CC_11D1_9699_00600892D032_.wvu.FilterData" hidden="1">#REF!</definedName>
    <definedName name="Z_71A953CC_A9CC_11D1_9699_00600892D032_.wvu.FilterData" hidden="1">#REF!</definedName>
    <definedName name="Z_71A953CD_A9CC_11D1_9699_00600892D032_.wvu.FilterData" hidden="1">#REF!</definedName>
    <definedName name="Z_71A953E0_A9CC_11D1_9699_00600892D032_.wvu.FilterData" hidden="1">#REF!</definedName>
    <definedName name="Z_71A953EC_A9CC_11D1_9699_00600892D032_.wvu.FilterData" hidden="1">#REF!</definedName>
    <definedName name="Z_729A7589_A6E2_11D1_9699_00600892D032_.wvu.FilterData" hidden="1">#REF!</definedName>
    <definedName name="Z_729A758D_A6E2_11D1_9699_00600892D032_.wvu.FilterData" hidden="1">#REF!</definedName>
    <definedName name="Z_729A7592_A6E2_11D1_9699_00600892D032_.wvu.FilterData" hidden="1">#REF!</definedName>
    <definedName name="Z_72F2C9EA_8781_11D1_BC89_A0B9FFC00000_.wvu.FilterData" hidden="1">#REF!</definedName>
    <definedName name="Z_72F2C9EF_8781_11D1_BC89_A0B9FFC00000_.wvu.FilterData" hidden="1">#REF!</definedName>
    <definedName name="Z_72F2C9F1_8781_11D1_BC89_A0B9FFC00000_.wvu.FilterData" hidden="1">#REF!</definedName>
    <definedName name="Z_779BAA6B_788C_11D1_BC89_A0B9FFC00000_.wvu.FilterData" hidden="1">#REF!</definedName>
    <definedName name="Z_779BAA75_788C_11D1_BC89_A0B9FFC00000_.wvu.FilterData" hidden="1">#REF!</definedName>
    <definedName name="Z_779BAA76_788C_11D1_BC89_A0B9FFC00000_.wvu.FilterData" hidden="1">#REF!</definedName>
    <definedName name="Z_779BAA8D_788C_11D1_BC89_A0B9FFC00000_.wvu.FilterData" hidden="1">#REF!</definedName>
    <definedName name="Z_779BAA90_788C_11D1_BC89_A0B9FFC00000_.wvu.FilterData" hidden="1">#REF!</definedName>
    <definedName name="Z_779BAA91_788C_11D1_BC89_A0B9FFC00000_.wvu.FilterData" hidden="1">#REF!</definedName>
    <definedName name="Z_779BAA98_788C_11D1_BC89_A0B9FFC00000_.wvu.FilterData" hidden="1">#REF!</definedName>
    <definedName name="Z_779BAA99_788C_11D1_BC89_A0B9FFC00000_.wvu.FilterData" hidden="1">#REF!</definedName>
    <definedName name="Z_779BAA9B_788C_11D1_BC89_A0B9FFC00000_.wvu.FilterData" hidden="1">#REF!</definedName>
    <definedName name="Z_77ED3089_CE25_11D1_969A_00600892D032_.wvu.FilterData" hidden="1">#REF!</definedName>
    <definedName name="Z_7AC16F29_97BF_11D1_80A9_00609704D63C_.wvu.FilterData" hidden="1">#REF!</definedName>
    <definedName name="Z_7AC16F33_97BF_11D1_80A9_00609704D63C_.wvu.FilterData" hidden="1">#REF!</definedName>
    <definedName name="Z_7AC16F35_97BF_11D1_80A9_00609704D63C_.wvu.FilterData" hidden="1">#REF!</definedName>
    <definedName name="Z_7AC16F38_97BF_11D1_80A9_00609704D63C_.wvu.FilterData" hidden="1">#REF!</definedName>
    <definedName name="Z_7AC16F3A_97BF_11D1_80A9_00609704D63C_.wvu.FilterData" hidden="1">#REF!</definedName>
    <definedName name="Z_7AC16F3D_97BF_11D1_80A9_00609704D63C_.wvu.FilterData" hidden="1">#REF!</definedName>
    <definedName name="Z_7AC16F3F_97BF_11D1_80A9_00609704D63C_.wvu.FilterData" hidden="1">#REF!</definedName>
    <definedName name="Z_7AC16F41_97BF_11D1_80A9_00609704D63C_.wvu.FilterData" hidden="1">#REF!</definedName>
    <definedName name="Z_7AC16F42_97BF_11D1_80A9_00609704D63C_.wvu.FilterData" hidden="1">#REF!</definedName>
    <definedName name="Z_7AC16F43_97BF_11D1_80A9_00609704D63C_.wvu.FilterData" hidden="1">#REF!</definedName>
    <definedName name="Z_7C4D4874_67AD_11D4_B818_0050DA5BC25B_.wvu.Cols" hidden="1">#REF!</definedName>
    <definedName name="Z_7C4D4874_67AD_11D4_B818_0050DA5BC25B_.wvu.Rows" hidden="1">#REF!,#REF!,#REF!,#REF!,#REF!,#REF!,#REF!,#REF!,#REF!,#REF!,#REF!,#REF!</definedName>
    <definedName name="Z_7D563070_AF50_11D1_80A9_00609704D63C_.wvu.FilterData" hidden="1">#REF!</definedName>
    <definedName name="Z_7D5D2350_6BBA_11D1_BC89_A0B9FFC00000_.wvu.FilterData" hidden="1">#REF!</definedName>
    <definedName name="Z_7D5D2353_6BBA_11D1_BC89_A0B9FFC00000_.wvu.FilterData" hidden="1">#REF!</definedName>
    <definedName name="Z_7D5D2363_6BBA_11D1_BC89_A0B9FFC00000_.wvu.FilterData" hidden="1">#REF!</definedName>
    <definedName name="Z_7D5D2364_6BBA_11D1_BC89_A0B9FFC00000_.wvu.FilterData" hidden="1">#REF!</definedName>
    <definedName name="Z_7D5D2366_6BBA_11D1_BC89_A0B9FFC00000_.wvu.FilterData" hidden="1">#REF!</definedName>
    <definedName name="Z_7D5D2368_6BBA_11D1_BC89_A0B9FFC00000_.wvu.FilterData" hidden="1">#REF!</definedName>
    <definedName name="Z_7D5D236F_6BBA_11D1_BC89_A0B9FFC00000_.wvu.FilterData" hidden="1">#REF!</definedName>
    <definedName name="Z_7D5D2372_6BBA_11D1_BC89_A0B9FFC00000_.wvu.FilterData" hidden="1">#REF!</definedName>
    <definedName name="Z_7D5D238B_6BBA_11D1_BC89_A0B9FFC00000_.wvu.FilterData" hidden="1">#REF!</definedName>
    <definedName name="Z_7D5D238C_6BBA_11D1_BC89_A0B9FFC00000_.wvu.FilterData" hidden="1">#REF!</definedName>
    <definedName name="Z_7D5D238E_6BBA_11D1_BC89_A0B9FFC00000_.wvu.FilterData" hidden="1">#REF!</definedName>
    <definedName name="Z_7D5D2390_6BBA_11D1_BC89_A0B9FFC00000_.wvu.FilterData" hidden="1">#REF!</definedName>
    <definedName name="Z_7D5D2394_6BBA_11D1_BC89_A0B9FFC00000_.wvu.FilterData" hidden="1">#REF!</definedName>
    <definedName name="Z_7D5D2397_6BBA_11D1_BC89_A0B9FFC00000_.wvu.FilterData" hidden="1">#REF!</definedName>
    <definedName name="Z_7E85F9A9_B439_11D1_80A9_00609704D63C_.wvu.FilterData" hidden="1">#REF!</definedName>
    <definedName name="Z_7E85F9AB_B439_11D1_80A9_00609704D63C_.wvu.FilterData" hidden="1">#REF!</definedName>
    <definedName name="Z_7E85F9AC_B439_11D1_80A9_00609704D63C_.wvu.FilterData" hidden="1">#REF!</definedName>
    <definedName name="Z_7E85F9AF_B439_11D1_80A9_00609704D63C_.wvu.FilterData" hidden="1">#REF!</definedName>
    <definedName name="Z_7E85F9B0_B439_11D1_80A9_00609704D63C_.wvu.FilterData" hidden="1">#REF!</definedName>
    <definedName name="Z_8051396B_882C_11D1_BC89_A0B9FFC00000_.wvu.FilterData" hidden="1">#REF!</definedName>
    <definedName name="Z_80B23F0E_17CF_11D2_A26A_006008DF03DD_.wvu.FilterData" hidden="1">#REF!</definedName>
    <definedName name="Z_81F4470B_3B25_4299_A575_4A59FDC9F553_.wvu.FilterData" hidden="1">#REF!</definedName>
    <definedName name="Z_820148A2_7B74_11D1_BC89_A0B9FFC00000_.wvu.FilterData" hidden="1">#REF!</definedName>
    <definedName name="Z_820148AB_7B74_11D1_BC89_A0B9FFC00000_.wvu.FilterData" hidden="1">#REF!</definedName>
    <definedName name="Z_820148AD_7B74_11D1_BC89_A0B9FFC00000_.wvu.FilterData" hidden="1">#REF!</definedName>
    <definedName name="Z_820148AE_7B74_11D1_BC89_A0B9FFC00000_.wvu.FilterData" hidden="1">#REF!</definedName>
    <definedName name="Z_820148C1_7B74_11D1_BC89_A0B9FFC00000_.wvu.FilterData" hidden="1">#REF!</definedName>
    <definedName name="Z_820148C2_7B74_11D1_BC89_A0B9FFC00000_.wvu.FilterData" hidden="1">#REF!</definedName>
    <definedName name="Z_820148DF_7B74_11D1_BC89_A0B9FFC00000_.wvu.FilterData" hidden="1">#REF!</definedName>
    <definedName name="Z_820148E5_7B74_11D1_BC89_A0B9FFC00000_.wvu.FilterData" hidden="1">#REF!</definedName>
    <definedName name="Z_82014904_7B74_11D1_BC89_A0B9FFC00000_.wvu.FilterData" hidden="1">#REF!</definedName>
    <definedName name="Z_82014916_7B74_11D1_BC89_A0B9FFC00000_.wvu.FilterData" hidden="1">#REF!</definedName>
    <definedName name="Z_83A70F5B_8767_11D1_8078_006097933021_.wvu.FilterData" hidden="1">#REF!</definedName>
    <definedName name="Z_8436ED89_053A_11D2_B9EB_00600892D032_.wvu.Cols" hidden="1">#REF!,#REF!</definedName>
    <definedName name="Z_8436ED89_053A_11D2_B9EB_00600892D032_.wvu.FilterData" hidden="1">#REF!</definedName>
    <definedName name="Z_8436ED89_053A_11D2_B9EB_00600892D032_.wvu.Rows" hidden="1">#REF!</definedName>
    <definedName name="Z_862CDF69_B741_11D1_80A9_00609704D63C_.wvu.FilterData" hidden="1">#REF!</definedName>
    <definedName name="Z_862CDF6B_B741_11D1_80A9_00609704D63C_.wvu.FilterData" hidden="1">#REF!</definedName>
    <definedName name="Z_862CDF6D_B741_11D1_80A9_00609704D63C_.wvu.FilterData" hidden="1">#REF!</definedName>
    <definedName name="Z_862CDF6E_B741_11D1_80A9_00609704D63C_.wvu.FilterData" hidden="1">#REF!</definedName>
    <definedName name="Z_862CDF6F_B741_11D1_80A9_00609704D63C_.wvu.FilterData" hidden="1">#REF!</definedName>
    <definedName name="Z_862CDF75_B741_11D1_80A9_00609704D63C_.wvu.FilterData" hidden="1">#REF!</definedName>
    <definedName name="Z_862CDF79_B741_11D1_80A9_00609704D63C_.wvu.FilterData" hidden="1">#REF!</definedName>
    <definedName name="Z_862CDF7A_B741_11D1_80A9_00609704D63C_.wvu.FilterData" hidden="1">#REF!</definedName>
    <definedName name="Z_862CDF83_B741_11D1_80A9_00609704D63C_.wvu.FilterData" hidden="1">#REF!</definedName>
    <definedName name="Z_86596101_A138_11D1_80A9_00609704D63C_.wvu.FilterData" hidden="1">#REF!</definedName>
    <definedName name="Z_86EE9B3D_7158_11D1_AC34_4C7101C10000_.wvu.FilterData" hidden="1">#REF!</definedName>
    <definedName name="Z_86EE9B57_7158_11D1_AC34_4C7101C10000_.wvu.FilterData" hidden="1">#REF!</definedName>
    <definedName name="Z_86EE9B59_7158_11D1_AC34_4C7101C10000_.wvu.FilterData" hidden="1">#REF!</definedName>
    <definedName name="Z_86EE9B5D_7158_11D1_AC34_4C7101C10000_.wvu.FilterData" hidden="1">#REF!</definedName>
    <definedName name="Z_86EE9B61_7158_11D1_AC34_4C7101C10000_.wvu.FilterData" hidden="1">#REF!</definedName>
    <definedName name="Z_86EE9B65_7158_11D1_AC34_4C7101C10000_.wvu.FilterData" hidden="1">#REF!</definedName>
    <definedName name="Z_86EE9B67_7158_11D1_AC34_4C7101C10000_.wvu.FilterData" hidden="1">#REF!</definedName>
    <definedName name="Z_86EE9B6A_7158_11D1_AC34_4C7101C10000_.wvu.FilterData" hidden="1">#REF!</definedName>
    <definedName name="Z_87B0711C_05A9_48AB_951D_C24FF007B97D_.wvu.FilterData" hidden="1">#REF!</definedName>
    <definedName name="Z_8AF229C9_C230_11D1_969A_00600892D032_.wvu.FilterData" hidden="1">#REF!</definedName>
    <definedName name="Z_8BC959D0_60B9_11D1_BC89_A0B9FFC00000_.wvu.FilterData" hidden="1">#REF!</definedName>
    <definedName name="Z_8C7562E9_BF05_11D1_969A_00600892D032_.wvu.FilterData" hidden="1">#REF!</definedName>
    <definedName name="Z_8C7562EC_BF05_11D1_969A_00600892D032_.wvu.FilterData" hidden="1">#REF!</definedName>
    <definedName name="Z_8C7562ED_BF05_11D1_969A_00600892D032_.wvu.FilterData" hidden="1">#REF!</definedName>
    <definedName name="Z_8C756331_BF05_11D1_969A_00600892D032_.wvu.FilterData" hidden="1">#REF!</definedName>
    <definedName name="Z_8D16F184_96F5_11D1_80A9_00609704D63C_.wvu.FilterData" hidden="1">#REF!</definedName>
    <definedName name="Z_8D16F186_96F5_11D1_80A9_00609704D63C_.wvu.FilterData" hidden="1">#REF!</definedName>
    <definedName name="Z_8D16F188_96F5_11D1_80A9_00609704D63C_.wvu.FilterData" hidden="1">#REF!</definedName>
    <definedName name="Z_8D16F18D_96F5_11D1_80A9_00609704D63C_.wvu.FilterData" hidden="1">#REF!</definedName>
    <definedName name="Z_8D16F18E_96F5_11D1_80A9_00609704D63C_.wvu.FilterData" hidden="1">#REF!</definedName>
    <definedName name="Z_8D16F190_96F5_11D1_80A9_00609704D63C_.wvu.FilterData" hidden="1">#REF!</definedName>
    <definedName name="Z_8D16F191_96F5_11D1_80A9_00609704D63C_.wvu.FilterData" hidden="1">#REF!</definedName>
    <definedName name="Z_8D16F195_96F5_11D1_80A9_00609704D63C_.wvu.FilterData" hidden="1">#REF!</definedName>
    <definedName name="Z_8D16F198_96F5_11D1_80A9_00609704D63C_.wvu.FilterData" hidden="1">#REF!</definedName>
    <definedName name="Z_8D16F19A_96F5_11D1_80A9_00609704D63C_.wvu.FilterData" hidden="1">#REF!</definedName>
    <definedName name="Z_8D16F19D_96F5_11D1_80A9_00609704D63C_.wvu.FilterData" hidden="1">#REF!</definedName>
    <definedName name="Z_8D16F19F_96F5_11D1_80A9_00609704D63C_.wvu.FilterData" hidden="1">#REF!</definedName>
    <definedName name="Z_8D16F1A1_96F5_11D1_80A9_00609704D63C_.wvu.FilterData" hidden="1">#REF!</definedName>
    <definedName name="Z_8D16F1A4_96F5_11D1_80A9_00609704D63C_.wvu.FilterData" hidden="1">#REF!</definedName>
    <definedName name="Z_906B59F7_44BE_4537_8929_07135A4BD7EF_.wvu.FilterData" hidden="1">#REF!</definedName>
    <definedName name="Z_90FFC0F6_3910_457F_9572_2782F1634F0B_.wvu.FilterData" hidden="1">#REF!</definedName>
    <definedName name="Z_9246F6A9_9ED2_11D1_80A9_00609704D63C_.wvu.FilterData" hidden="1">#REF!</definedName>
    <definedName name="Z_928DC6A9_BE6E_11D1_969A_00600892D032_.wvu.FilterData" hidden="1">#REF!</definedName>
    <definedName name="Z_928DC6AA_BE6E_11D1_969A_00600892D032_.wvu.FilterData" hidden="1">#REF!</definedName>
    <definedName name="Z_9300E4D0_7204_11D1_AC34_4C7101C10000_.wvu.FilterData" hidden="1">#REF!</definedName>
    <definedName name="Z_9300E4D7_7204_11D1_AC34_4C7101C10000_.wvu.FilterData" hidden="1">#REF!</definedName>
    <definedName name="Z_9300E4DA_7204_11D1_AC34_4C7101C10000_.wvu.FilterData" hidden="1">#REF!</definedName>
    <definedName name="Z_9300E4DC_7204_11D1_AC34_4C7101C10000_.wvu.FilterData" hidden="1">#REF!</definedName>
    <definedName name="Z_9300E4DD_7204_11D1_AC34_4C7101C10000_.wvu.FilterData" hidden="1">#REF!</definedName>
    <definedName name="Z_9300E4EA_7204_11D1_AC34_4C7101C10000_.wvu.FilterData" hidden="1">#REF!</definedName>
    <definedName name="Z_9300E4EF_7204_11D1_AC34_4C7101C10000_.wvu.FilterData" hidden="1">#REF!</definedName>
    <definedName name="Z_9300E4F9_7204_11D1_AC34_4C7101C10000_.wvu.FilterData" hidden="1">#REF!</definedName>
    <definedName name="Z_93D686C1_7238_11D1_BC89_A0B9FFC00000_.wvu.FilterData" hidden="1">#REF!</definedName>
    <definedName name="Z_93D686C2_7238_11D1_BC89_A0B9FFC00000_.wvu.FilterData" hidden="1">#REF!</definedName>
    <definedName name="Z_93D686C3_7238_11D1_BC89_A0B9FFC00000_.wvu.FilterData" hidden="1">#REF!</definedName>
    <definedName name="Z_9454E70A_8031_11D1_8078_006097933021_.wvu.FilterData" hidden="1">#REF!</definedName>
    <definedName name="Z_9454E720_8031_11D1_8078_006097933021_.wvu.FilterData" hidden="1">#REF!</definedName>
    <definedName name="Z_9454E726_8031_11D1_8078_006097933021_.wvu.FilterData" hidden="1">#REF!</definedName>
    <definedName name="Z_969EB2AD_72CD_11D1_BC89_A0B9FFC00000_.wvu.FilterData" hidden="1">#REF!</definedName>
    <definedName name="Z_969EB2B6_72CD_11D1_BC89_A0B9FFC00000_.wvu.FilterData" hidden="1">#REF!</definedName>
    <definedName name="Z_969EB2BA_72CD_11D1_BC89_A0B9FFC00000_.wvu.FilterData" hidden="1">#REF!</definedName>
    <definedName name="Z_969EB2BC_72CD_11D1_BC89_A0B9FFC00000_.wvu.FilterData" hidden="1">#REF!</definedName>
    <definedName name="Z_97B2E769_6AEE_11D1_AC34_4C7101C10000_.wvu.FilterData" hidden="1">#REF!</definedName>
    <definedName name="Z_97B2E775_6AEE_11D1_AC34_4C7101C10000_.wvu.FilterData" hidden="1">#REF!</definedName>
    <definedName name="Z_98F0C9B2_A6BA_11D1_9699_00600892D032_.wvu.FilterData" hidden="1">#REF!</definedName>
    <definedName name="Z_990319A2_3798_4E87_8071_8698287396D8_.wvu.FilterData" hidden="1">#REF!</definedName>
    <definedName name="Z_998A8AF2_5765_416F_A9BA_8B24E124F370_.wvu.FilterData" hidden="1">#REF!</definedName>
    <definedName name="Z_99B3B289_8810_11D1_B918_008029E12AB3_.wvu.FilterData" hidden="1">#REF!</definedName>
    <definedName name="Z_99B3B292_8810_11D1_B918_008029E12AB3_.wvu.FilterData" hidden="1">#REF!</definedName>
    <definedName name="Z_9A3B2D09_80F4_11D1_BC89_A0B9FFC00000_.wvu.FilterData" hidden="1">#REF!</definedName>
    <definedName name="Z_9A4E0449_CEBD_11D1_969A_00600892D032_.wvu.FilterData" hidden="1">#REF!</definedName>
    <definedName name="Z_9C2FDAAC_ACF2_11D1_80A9_00609704D63C_.wvu.FilterData" hidden="1">#REF!</definedName>
    <definedName name="Z_9C2FDAAE_ACF2_11D1_80A9_00609704D63C_.wvu.FilterData" hidden="1">#REF!</definedName>
    <definedName name="Z_9C2FDAB0_ACF2_11D1_80A9_00609704D63C_.wvu.FilterData" hidden="1">#REF!</definedName>
    <definedName name="Z_9C2FDAB1_ACF2_11D1_80A9_00609704D63C_.wvu.FilterData" hidden="1">#REF!</definedName>
    <definedName name="Z_9C2FDAB4_ACF2_11D1_80A9_00609704D63C_.wvu.FilterData" hidden="1">#REF!</definedName>
    <definedName name="Z_9C2FDAB5_ACF2_11D1_80A9_00609704D63C_.wvu.FilterData" hidden="1">#REF!</definedName>
    <definedName name="Z_9C2FDAB6_ACF2_11D1_80A9_00609704D63C_.wvu.FilterData" hidden="1">#REF!</definedName>
    <definedName name="Z_9C2FDAB7_ACF2_11D1_80A9_00609704D63C_.wvu.FilterData" hidden="1">#REF!</definedName>
    <definedName name="Z_9C2FDAB8_ACF2_11D1_80A9_00609704D63C_.wvu.FilterData" hidden="1">#REF!</definedName>
    <definedName name="Z_9C2FDABB_ACF2_11D1_80A9_00609704D63C_.wvu.FilterData" hidden="1">#REF!</definedName>
    <definedName name="Z_9C2FDABC_ACF2_11D1_80A9_00609704D63C_.wvu.FilterData" hidden="1">#REF!</definedName>
    <definedName name="Z_9C2FDAD2_ACF2_11D1_80A9_00609704D63C_.wvu.FilterData" hidden="1">#REF!</definedName>
    <definedName name="Z_9C2FDAD4_ACF2_11D1_80A9_00609704D63C_.wvu.FilterData" hidden="1">#REF!</definedName>
    <definedName name="Z_9C2FDAD6_ACF2_11D1_80A9_00609704D63C_.wvu.FilterData" hidden="1">#REF!</definedName>
    <definedName name="Z_9C2FDADA_ACF2_11D1_80A9_00609704D63C_.wvu.FilterData" hidden="1">#REF!</definedName>
    <definedName name="Z_9CA244ED_9EE3_11D1_B918_008029E12AB3_.wvu.FilterData" hidden="1">#REF!</definedName>
    <definedName name="Z_9D0D2A51_C4B7_11D1_969A_00600892D032_.wvu.FilterData" hidden="1">#REF!</definedName>
    <definedName name="Z_A0D2EFE9_CD3E_11D1_969A_00600892D032_.wvu.FilterData" hidden="1">#REF!</definedName>
    <definedName name="Z_A14E82AB_98B3_11D1_9699_00600892D032_.wvu.FilterData" hidden="1">#REF!</definedName>
    <definedName name="Z_A18DECEC_67F0_11D1_BC89_A0B9FFC00000_.wvu.FilterData" hidden="1">#REF!</definedName>
    <definedName name="Z_A18DECF1_67F0_11D1_BC89_A0B9FFC00000_.wvu.FilterData" hidden="1">#REF!</definedName>
    <definedName name="Z_A18DECF4_67F0_11D1_BC89_A0B9FFC00000_.wvu.FilterData" hidden="1">#REF!</definedName>
    <definedName name="Z_A18DECF6_67F0_11D1_BC89_A0B9FFC00000_.wvu.FilterData" hidden="1">#REF!</definedName>
    <definedName name="Z_A18DECFA_67F0_11D1_BC89_A0B9FFC00000_.wvu.FilterData" hidden="1">#REF!</definedName>
    <definedName name="Z_A1D5882A_9EA4_4FAF_878E_00963470B8EA_.wvu.FilterData" hidden="1">#REF!</definedName>
    <definedName name="Z_A61A36D1_713B_11D1_BC89_A0B9FFC00000_.wvu.FilterData" hidden="1">#REF!</definedName>
    <definedName name="Z_A61A36D2_713B_11D1_BC89_A0B9FFC00000_.wvu.FilterData" hidden="1">#REF!</definedName>
    <definedName name="Z_A61A36D4_713B_11D1_BC89_A0B9FFC00000_.wvu.FilterData" hidden="1">#REF!</definedName>
    <definedName name="Z_A93D06EA_A903_11D1_80A9_00609704D63C_.wvu.FilterData" hidden="1">#REF!</definedName>
    <definedName name="Z_A93D06F1_A903_11D1_80A9_00609704D63C_.wvu.FilterData" hidden="1">#REF!</definedName>
    <definedName name="Z_A93D06F7_A903_11D1_80A9_00609704D63C_.wvu.FilterData" hidden="1">#REF!</definedName>
    <definedName name="Z_A93D06F9_A903_11D1_80A9_00609704D63C_.wvu.FilterData" hidden="1">#REF!</definedName>
    <definedName name="Z_A93D06FB_A903_11D1_80A9_00609704D63C_.wvu.FilterData" hidden="1">#REF!</definedName>
    <definedName name="Z_A93D06FC_A903_11D1_80A9_00609704D63C_.wvu.FilterData" hidden="1">#REF!</definedName>
    <definedName name="Z_A93D0705_A903_11D1_80A9_00609704D63C_.wvu.FilterData" hidden="1">#REF!</definedName>
    <definedName name="Z_A93D0708_A903_11D1_80A9_00609704D63C_.wvu.FilterData" hidden="1">#REF!</definedName>
    <definedName name="Z_A946E091_B274_11D1_80A9_00609704D63C_.wvu.FilterData" hidden="1">#REF!</definedName>
    <definedName name="Z_ABB3620C_8103_11D1_BC89_A0B9FFC00000_.wvu.FilterData" hidden="1">#REF!</definedName>
    <definedName name="Z_ABB3620D_8103_11D1_BC89_A0B9FFC00000_.wvu.FilterData" hidden="1">#REF!</definedName>
    <definedName name="Z_ABB36212_8103_11D1_BC89_A0B9FFC00000_.wvu.FilterData" hidden="1">#REF!</definedName>
    <definedName name="Z_ABB36213_8103_11D1_BC89_A0B9FFC00000_.wvu.FilterData" hidden="1">#REF!</definedName>
    <definedName name="Z_ABB36229_8103_11D1_BC89_A0B9FFC00000_.wvu.FilterData" hidden="1">#REF!</definedName>
    <definedName name="Z_AC59854B_B8BE_11D1_80A9_00609704D63C_.wvu.FilterData" hidden="1">#REF!</definedName>
    <definedName name="Z_AC62F629_27BB_11D2_B9EB_00600892D032_.wvu.FilterData" hidden="1">#REF!</definedName>
    <definedName name="Z_AC62F62A_27BB_11D2_B9EB_00600892D032_.wvu.FilterData" hidden="1">#REF!</definedName>
    <definedName name="Z_ACC7DDDF_8C10_11D1_BC89_A0B9FFC00000_.wvu.FilterData" hidden="1">#REF!</definedName>
    <definedName name="Z_ACC7DDE1_8C10_11D1_BC89_A0B9FFC00000_.wvu.FilterData" hidden="1">#REF!</definedName>
    <definedName name="Z_ACC7DDEF_8C10_11D1_BC89_A0B9FFC00000_.wvu.FilterData" hidden="1">#REF!</definedName>
    <definedName name="Z_ACC7DDF0_8C10_11D1_BC89_A0B9FFC00000_.wvu.FilterData" hidden="1">#REF!</definedName>
    <definedName name="Z_ACC7DDF1_8C10_11D1_BC89_A0B9FFC00000_.wvu.FilterData" hidden="1">#REF!</definedName>
    <definedName name="Z_ACC7DDF3_8C10_11D1_BC89_A0B9FFC00000_.wvu.FilterData" hidden="1">#REF!</definedName>
    <definedName name="Z_ACC7DDF4_8C10_11D1_BC89_A0B9FFC00000_.wvu.FilterData" hidden="1">#REF!</definedName>
    <definedName name="Z_ACC7DDF9_8C10_11D1_BC89_A0B9FFC00000_.wvu.FilterData" hidden="1">#REF!</definedName>
    <definedName name="Z_ACC7DDFC_8C10_11D1_BC89_A0B9FFC00000_.wvu.FilterData" hidden="1">#REF!</definedName>
    <definedName name="Z_AD48BAC6_5CD1_11D1_BC89_A0B9FFC00000_.wvu.FilterData" hidden="1">#REF!</definedName>
    <definedName name="Z_B0CD1AC9_61BD_11D1_AC33_4C7101C10000_.wvu.FilterData" hidden="1">#REF!</definedName>
    <definedName name="Z_B0CD1AC9_61BD_11D1_AC33_4C7101C10000_.wvu.PrintArea" hidden="1">#REF!</definedName>
    <definedName name="Z_B28942A9_C958_11D1_969A_00600892D032_.wvu.FilterData" hidden="1">#REF!</definedName>
    <definedName name="Z_B29C28AB_786A_11D1_8078_006097933021_.wvu.FilterData" hidden="1">#REF!</definedName>
    <definedName name="Z_B29C28AD_786A_11D1_8078_006097933021_.wvu.FilterData" hidden="1">#REF!</definedName>
    <definedName name="Z_B29C28AF_786A_11D1_8078_006097933021_.wvu.FilterData" hidden="1">#REF!</definedName>
    <definedName name="Z_B29C28B9_786A_11D1_8078_006097933021_.wvu.FilterData" hidden="1">#REF!</definedName>
    <definedName name="Z_B29C28BB_786A_11D1_8078_006097933021_.wvu.FilterData" hidden="1">#REF!</definedName>
    <definedName name="Z_B29C28BD_786A_11D1_8078_006097933021_.wvu.FilterData" hidden="1">#REF!</definedName>
    <definedName name="Z_B29C28C7_786A_11D1_8078_006097933021_.wvu.FilterData" hidden="1">#REF!</definedName>
    <definedName name="Z_B29C28CA_786A_11D1_8078_006097933021_.wvu.FilterData" hidden="1">#REF!</definedName>
    <definedName name="Z_B29C28D3_786A_11D1_8078_006097933021_.wvu.FilterData" hidden="1">#REF!</definedName>
    <definedName name="Z_B3E01D01_08B0_4E81_BCF1_A9CB8DA2E4BC_.wvu.FilterData" hidden="1">#REF!</definedName>
    <definedName name="Z_B5523E38_0575_488D_BCF4_464B0E455B80_.wvu.FilterData" hidden="1">#REF!</definedName>
    <definedName name="Z_B59AB822_76BC_11D1_BC89_A0B9FFC00000_.wvu.FilterData" hidden="1">#REF!</definedName>
    <definedName name="Z_B59AB824_76BC_11D1_BC89_A0B9FFC00000_.wvu.FilterData" hidden="1">#REF!</definedName>
    <definedName name="Z_B59AB825_76BC_11D1_BC89_A0B9FFC00000_.wvu.FilterData" hidden="1">#REF!</definedName>
    <definedName name="Z_B684DEA9_3E5F_4ED1_BB9D_69D39B1DDE69_.wvu.FilterData" hidden="1">#REF!</definedName>
    <definedName name="Z_B7DF3A89_98CE_11D1_80A9_00609704D63C_.wvu.FilterData" hidden="1">#REF!</definedName>
    <definedName name="Z_BBA66191_164A_11D2_828C_006097927CA8_.wvu.FilterData" hidden="1">#REF!</definedName>
    <definedName name="Z_BBA661A1_164A_11D2_828C_006097927CA8_.wvu.FilterData" hidden="1">#REF!</definedName>
    <definedName name="Z_BD2170F7_6674_4090_B3F8_12A0B36E4258_.wvu.FilterData" hidden="1">#REF!</definedName>
    <definedName name="Z_C1BD0865_5381_468B_97D9_7221744B7586_.wvu.FilterData" hidden="1">#REF!</definedName>
    <definedName name="Z_C2D06D76_7312_11D1_BC89_A0B9FFC00000_.wvu.FilterData" hidden="1">#REF!</definedName>
    <definedName name="Z_C2D06D77_7312_11D1_BC89_A0B9FFC00000_.wvu.FilterData" hidden="1">#REF!</definedName>
    <definedName name="Z_C2D06D7A_7312_11D1_BC89_A0B9FFC00000_.wvu.FilterData" hidden="1">#REF!</definedName>
    <definedName name="Z_C2D06D7F_7312_11D1_BC89_A0B9FFC00000_.wvu.FilterData" hidden="1">#REF!</definedName>
    <definedName name="Z_C2D06D81_7312_11D1_BC89_A0B9FFC00000_.wvu.FilterData" hidden="1">#REF!</definedName>
    <definedName name="Z_C2DA6626_F7AC_4D75_AC3B_39A6C5227E91_.wvu.FilterData" hidden="1">#REF!</definedName>
    <definedName name="Z_C7D33911_44C7_4BE0_AE38_168754611BC2_.wvu.FilterData" hidden="1">#REF!</definedName>
    <definedName name="Z_CA6CA0D3_8674_11D1_BC89_A0B9FFC00000_.wvu.FilterData" hidden="1">#REF!</definedName>
    <definedName name="Z_CA6CA0D4_8674_11D1_BC89_A0B9FFC00000_.wvu.FilterData" hidden="1">#REF!</definedName>
    <definedName name="Z_CA6CA0DD_8674_11D1_BC89_A0B9FFC00000_.wvu.FilterData" hidden="1">#REF!</definedName>
    <definedName name="Z_CA6CA0DE_8674_11D1_BC89_A0B9FFC00000_.wvu.FilterData" hidden="1">#REF!</definedName>
    <definedName name="Z_CA6CA0DF_8674_11D1_BC89_A0B9FFC00000_.wvu.FilterData" hidden="1">#REF!</definedName>
    <definedName name="Z_CA6CA0E0_8674_11D1_BC89_A0B9FFC00000_.wvu.FilterData" hidden="1">#REF!</definedName>
    <definedName name="Z_CA6CA0E2_8674_11D1_BC89_A0B9FFC00000_.wvu.FilterData" hidden="1">#REF!</definedName>
    <definedName name="Z_CA6CA0F5_8674_11D1_BC89_A0B9FFC00000_.wvu.FilterData" hidden="1">#REF!</definedName>
    <definedName name="Z_CA6CA0F6_8674_11D1_BC89_A0B9FFC00000_.wvu.FilterData" hidden="1">#REF!</definedName>
    <definedName name="Z_CA6CA0F7_8674_11D1_BC89_A0B9FFC00000_.wvu.FilterData" hidden="1">#REF!</definedName>
    <definedName name="Z_CA6CA0FD_8674_11D1_BC89_A0B9FFC00000_.wvu.FilterData" hidden="1">#REF!</definedName>
    <definedName name="Z_CA6CA0FE_8674_11D1_BC89_A0B9FFC00000_.wvu.FilterData" hidden="1">#REF!</definedName>
    <definedName name="Z_CA6CA108_8674_11D1_BC89_A0B9FFC00000_.wvu.FilterData" hidden="1">#REF!</definedName>
    <definedName name="Z_CA6CA109_8674_11D1_BC89_A0B9FFC00000_.wvu.FilterData" hidden="1">#REF!</definedName>
    <definedName name="Z_CA6CA10A_8674_11D1_BC89_A0B9FFC00000_.wvu.FilterData" hidden="1">#REF!</definedName>
    <definedName name="Z_CA6CA10B_8674_11D1_BC89_A0B9FFC00000_.wvu.FilterData" hidden="1">#REF!</definedName>
    <definedName name="Z_CA6CA10C_8674_11D1_BC89_A0B9FFC00000_.wvu.FilterData" hidden="1">#REF!</definedName>
    <definedName name="Z_CA6CA10D_8674_11D1_BC89_A0B9FFC00000_.wvu.FilterData" hidden="1">#REF!</definedName>
    <definedName name="Z_CA6CA10E_8674_11D1_BC89_A0B9FFC00000_.wvu.FilterData" hidden="1">#REF!</definedName>
    <definedName name="Z_CA6CA10F_8674_11D1_BC89_A0B9FFC00000_.wvu.FilterData" hidden="1">#REF!</definedName>
    <definedName name="Z_CA6CA110_8674_11D1_BC89_A0B9FFC00000_.wvu.FilterData" hidden="1">#REF!</definedName>
    <definedName name="Z_CA6CA111_8674_11D1_BC89_A0B9FFC00000_.wvu.FilterData" hidden="1">#REF!</definedName>
    <definedName name="Z_CA6CA112_8674_11D1_BC89_A0B9FFC00000_.wvu.FilterData" hidden="1">#REF!</definedName>
    <definedName name="Z_CBB27EA0_9885_11D1_80A9_00609704D63C_.wvu.FilterData" hidden="1">#REF!</definedName>
    <definedName name="Z_CDB5C749_5CEA_11D1_B918_008029E12AB3_.wvu.FilterData" hidden="1">#REF!</definedName>
    <definedName name="Z_CDD1C70C_C7AA_11D1_969A_00600892D032_.wvu.FilterData" hidden="1">#REF!</definedName>
    <definedName name="Z_CEAED8B1_667F_11D1_BC89_A0B9FFC00000_.wvu.FilterData" hidden="1">#REF!</definedName>
    <definedName name="Z_D03AB9F7_7553_11D1_BC89_A0B9FFC00000_.wvu.FilterData" hidden="1">#REF!</definedName>
    <definedName name="Z_D03AB9FB_7553_11D1_BC89_A0B9FFC00000_.wvu.FilterData" hidden="1">#REF!</definedName>
    <definedName name="Z_D03AB9FC_7553_11D1_BC89_A0B9FFC00000_.wvu.FilterData" hidden="1">#REF!</definedName>
    <definedName name="Z_D0E402FF_75FB_11D1_8078_006097933021_.wvu.FilterData" hidden="1">#REF!</definedName>
    <definedName name="Z_D0E40301_75FB_11D1_8078_006097933021_.wvu.FilterData" hidden="1">#REF!</definedName>
    <definedName name="Z_D0E40303_75FB_11D1_8078_006097933021_.wvu.FilterData" hidden="1">#REF!</definedName>
    <definedName name="Z_D0E40306_75FB_11D1_8078_006097933021_.wvu.FilterData" hidden="1">#REF!</definedName>
    <definedName name="Z_D1861552_9305_11D1_9699_00600892D032_.wvu.FilterData" hidden="1">#REF!</definedName>
    <definedName name="Z_D1861576_9305_11D1_9699_00600892D032_.wvu.FilterData" hidden="1">#REF!</definedName>
    <definedName name="Z_D186157A_9305_11D1_9699_00600892D032_.wvu.FilterData" hidden="1">#REF!</definedName>
    <definedName name="Z_D27B0D3F_58D7_4910_B274_8D6BF00E2514_.wvu.FilterData" hidden="1">#REF!</definedName>
    <definedName name="Z_D5BE72A9_A2BA_11D1_80A9_00609704D63C_.wvu.FilterData" hidden="1">#REF!</definedName>
    <definedName name="Z_D5BE72CF_A2BA_11D1_80A9_00609704D63C_.wvu.FilterData" hidden="1">#REF!</definedName>
    <definedName name="Z_D638BD64_F476_11D3_9808_00902750E8D4_.wvu.Rows" hidden="1">#REF!,#REF!,#REF!,#REF!,#REF!,#REF!,#REF!,#REF!,#REF!,#REF!</definedName>
    <definedName name="Z_D6D5642F_B7F3_11D1_80A9_00609704D63C_.wvu.FilterData" hidden="1">#REF!</definedName>
    <definedName name="Z_D6D56432_B7F3_11D1_80A9_00609704D63C_.wvu.FilterData" hidden="1">#REF!</definedName>
    <definedName name="Z_D6D56435_B7F3_11D1_80A9_00609704D63C_.wvu.FilterData" hidden="1">#REF!</definedName>
    <definedName name="Z_D6D56437_B7F3_11D1_80A9_00609704D63C_.wvu.FilterData" hidden="1">#REF!</definedName>
    <definedName name="Z_D7EA1DC0_8B3F_11D1_BC89_A0B9FFC00000_.wvu.FilterData" hidden="1">#REF!</definedName>
    <definedName name="Z_D7EA1DD7_8B3F_11D1_BC89_A0B9FFC00000_.wvu.FilterData" hidden="1">#REF!</definedName>
    <definedName name="Z_D7EA1DE7_8B3F_11D1_BC89_A0B9FFC00000_.wvu.FilterData" hidden="1">#REF!</definedName>
    <definedName name="Z_D7EA1DE8_8B3F_11D1_BC89_A0B9FFC00000_.wvu.FilterData" hidden="1">#REF!</definedName>
    <definedName name="Z_D7EA1DE9_8B3F_11D1_BC89_A0B9FFC00000_.wvu.FilterData" hidden="1">#REF!</definedName>
    <definedName name="Z_D7EA1E0A_8B3F_11D1_BC89_A0B9FFC00000_.wvu.FilterData" hidden="1">#REF!</definedName>
    <definedName name="Z_DA62FAC9_619B_11D1_B918_008029E12AB3_.wvu.FilterData" hidden="1">#REF!</definedName>
    <definedName name="Z_DA62FACC_619B_11D1_B918_008029E12AB3_.wvu.FilterData" hidden="1">#REF!</definedName>
    <definedName name="Z_DA76BB6C_AF6F_11D1_9699_00600892D032_.wvu.FilterData" hidden="1">#REF!</definedName>
    <definedName name="Z_DA76BB6D_AF6F_11D1_9699_00600892D032_.wvu.FilterData" hidden="1">#REF!</definedName>
    <definedName name="Z_DA76BB6E_AF6F_11D1_9699_00600892D032_.wvu.FilterData" hidden="1">#REF!</definedName>
    <definedName name="Z_DA76BB7A_AF6F_11D1_9699_00600892D032_.wvu.FilterData" hidden="1">#REF!</definedName>
    <definedName name="Z_DA76BB7D_AF6F_11D1_9699_00600892D032_.wvu.FilterData" hidden="1">#REF!</definedName>
    <definedName name="Z_DA76BB81_AF6F_11D1_9699_00600892D032_.wvu.FilterData" hidden="1">#REF!</definedName>
    <definedName name="Z_DA76BB83_AF6F_11D1_9699_00600892D032_.wvu.FilterData" hidden="1">#REF!</definedName>
    <definedName name="Z_DA76BB88_AF6F_11D1_9699_00600892D032_.wvu.FilterData" hidden="1">#REF!</definedName>
    <definedName name="Z_DA76BB8F_AF6F_11D1_9699_00600892D032_.wvu.FilterData" hidden="1">#REF!</definedName>
    <definedName name="Z_DA76BB95_AF6F_11D1_9699_00600892D032_.wvu.FilterData" hidden="1">#REF!</definedName>
    <definedName name="Z_DAC3DE3D_8055_11D1_BC89_A0B9FFC00000_.wvu.FilterData" hidden="1">#REF!</definedName>
    <definedName name="Z_DAC3DE4E_8055_11D1_BC89_A0B9FFC00000_.wvu.FilterData" hidden="1">#REF!</definedName>
    <definedName name="Z_DAC3DE5F_8055_11D1_BC89_A0B9FFC00000_.wvu.FilterData" hidden="1">#REF!</definedName>
    <definedName name="Z_DAC3DE60_8055_11D1_BC89_A0B9FFC00000_.wvu.FilterData" hidden="1">#REF!</definedName>
    <definedName name="Z_DAC3DE61_8055_11D1_BC89_A0B9FFC00000_.wvu.FilterData" hidden="1">#REF!</definedName>
    <definedName name="Z_DAC3DE65_8055_11D1_BC89_A0B9FFC00000_.wvu.FilterData" hidden="1">#REF!</definedName>
    <definedName name="Z_DAC3DE69_8055_11D1_BC89_A0B9FFC00000_.wvu.FilterData" hidden="1">#REF!</definedName>
    <definedName name="Z_DAC3DE6E_8055_11D1_BC89_A0B9FFC00000_.wvu.FilterData" hidden="1">#REF!</definedName>
    <definedName name="Z_DAC3DE74_8055_11D1_BC89_A0B9FFC00000_.wvu.FilterData" hidden="1">#REF!</definedName>
    <definedName name="Z_DAC3DE75_8055_11D1_BC89_A0B9FFC00000_.wvu.FilterData" hidden="1">#REF!</definedName>
    <definedName name="Z_DAD8C370_B513_11D1_80A9_00609704D63C_.wvu.FilterData" hidden="1">#REF!</definedName>
    <definedName name="Z_DAD8C372_B513_11D1_80A9_00609704D63C_.wvu.FilterData" hidden="1">#REF!</definedName>
    <definedName name="Z_DB5E4A10_8C35_11D1_8078_006097933021_.wvu.FilterData" hidden="1">#REF!</definedName>
    <definedName name="Z_DB5E4A1A_8C35_11D1_8078_006097933021_.wvu.FilterData" hidden="1">#REF!</definedName>
    <definedName name="Z_DB5E4A1E_8C35_11D1_8078_006097933021_.wvu.FilterData" hidden="1">#REF!</definedName>
    <definedName name="Z_DB5E4A21_8C35_11D1_8078_006097933021_.wvu.FilterData" hidden="1">#REF!</definedName>
    <definedName name="Z_DB5E4A22_8C35_11D1_8078_006097933021_.wvu.FilterData" hidden="1">#REF!</definedName>
    <definedName name="Z_DD9BBC30_9C76_11D1_80A9_00609704D63C_.wvu.FilterData" hidden="1">#REF!</definedName>
    <definedName name="Z_DE2A2B29_600A_11D1_B6BB_748701C10000_.wvu.FilterData" hidden="1">#REF!</definedName>
    <definedName name="Z_DE7AF8C3_5626_49B1_856F_DBF07D77AC34_.wvu.FilterData" hidden="1">#REF!</definedName>
    <definedName name="Z_DED2CDF5_834E_11D1_8078_006097933021_.wvu.FilterData" hidden="1">#REF!</definedName>
    <definedName name="Z_DED2CE1B_834E_11D1_8078_006097933021_.wvu.FilterData" hidden="1">#REF!</definedName>
    <definedName name="Z_DED2CE4E_834E_11D1_8078_006097933021_.wvu.FilterData" hidden="1">#REF!</definedName>
    <definedName name="Z_E2093989_ADBB_11D1_9699_00600892D032_.wvu.FilterData" hidden="1">#REF!</definedName>
    <definedName name="Z_E2093999_ADBB_11D1_9699_00600892D032_.wvu.FilterData" hidden="1">#REF!</definedName>
    <definedName name="Z_E268C8A2_6808_11D1_AC34_4C7101C10000_.wvu.FilterData" hidden="1">#REF!</definedName>
    <definedName name="Z_E979B396_B80F_40B6_BA72_081157A0633A_.wvu.FilterData" hidden="1">#REF!</definedName>
    <definedName name="Z_E9BBD398_B33E_11D1_80A9_00609704D63C_.wvu.FilterData" hidden="1">#REF!</definedName>
    <definedName name="Z_E9BBD39E_B33E_11D1_80A9_00609704D63C_.wvu.FilterData" hidden="1">#REF!</definedName>
    <definedName name="Z_E9BBD3A5_B33E_11D1_80A9_00609704D63C_.wvu.FilterData" hidden="1">#REF!</definedName>
    <definedName name="Z_E9BBD3AB_B33E_11D1_80A9_00609704D63C_.wvu.FilterData" hidden="1">#REF!</definedName>
    <definedName name="Z_E9BBD3AC_B33E_11D1_80A9_00609704D63C_.wvu.FilterData" hidden="1">#REF!</definedName>
    <definedName name="Z_E9BBD3AE_B33E_11D1_80A9_00609704D63C_.wvu.FilterData" hidden="1">#REF!</definedName>
    <definedName name="Z_E9BBD3BD_B33E_11D1_80A9_00609704D63C_.wvu.FilterData" hidden="1">#REF!</definedName>
    <definedName name="Z_E9BFA42C_7300_11D1_8078_006097933021_.wvu.FilterData" hidden="1">#REF!</definedName>
    <definedName name="Z_EC5B54B1_7AB6_11D1_8078_006097933021_.wvu.FilterData" hidden="1">#REF!</definedName>
    <definedName name="Z_EC5B54B3_7AB6_11D1_8078_006097933021_.wvu.FilterData" hidden="1">#REF!</definedName>
    <definedName name="Z_EC5B54B8_7AB6_11D1_8078_006097933021_.wvu.FilterData" hidden="1">#REF!</definedName>
    <definedName name="Z_EC5B54BD_7AB6_11D1_8078_006097933021_.wvu.FilterData" hidden="1">#REF!</definedName>
    <definedName name="Z_EC5B54BE_7AB6_11D1_8078_006097933021_.wvu.FilterData" hidden="1">#REF!</definedName>
    <definedName name="Z_EE18B63F_67F1_4CB6_AC7C_456F3AFB9DAF_.wvu.FilterData" hidden="1">#REF!</definedName>
    <definedName name="Z_F0476FEA_5B2C_4F7D_B8AF_74645BA7B75A_.wvu.FilterData" hidden="1">#REF!</definedName>
    <definedName name="Z_F11F4E29_61C4_11D1_AC33_4C7101C10000_.wvu.FilterData" hidden="1">#REF!</definedName>
    <definedName name="Z_F3BBE02B_B404_11D1_969A_00600892D032_.wvu.FilterData" hidden="1">#REF!</definedName>
    <definedName name="Z_F505756B_C492_11D1_80A9_00609704D63C_.wvu.FilterData" hidden="1">#REF!</definedName>
    <definedName name="Z_F505756C_C492_11D1_80A9_00609704D63C_.wvu.FilterData" hidden="1">#REF!</definedName>
    <definedName name="Z_F505756D_C492_11D1_80A9_00609704D63C_.wvu.FilterData" hidden="1">#REF!</definedName>
    <definedName name="Z_F505756E_C492_11D1_80A9_00609704D63C_.wvu.FilterData" hidden="1">#REF!</definedName>
    <definedName name="Z_F505756F_C492_11D1_80A9_00609704D63C_.wvu.FilterData" hidden="1">#REF!</definedName>
    <definedName name="Z_F5C4D531_962C_11D1_80A9_00609704D63C_.wvu.FilterData" hidden="1">#REF!</definedName>
    <definedName name="Z_F5C4D545_962C_11D1_80A9_00609704D63C_.wvu.FilterData" hidden="1">#REF!</definedName>
    <definedName name="Z_F5C4D556_962C_11D1_80A9_00609704D63C_.wvu.FilterData" hidden="1">#REF!</definedName>
    <definedName name="Z_F5C4D557_962C_11D1_80A9_00609704D63C_.wvu.FilterData" hidden="1">#REF!</definedName>
    <definedName name="Z_F5C4D559_962C_11D1_80A9_00609704D63C_.wvu.FilterData" hidden="1">#REF!</definedName>
    <definedName name="Z_F5C4D55A_962C_11D1_80A9_00609704D63C_.wvu.FilterData" hidden="1">#REF!</definedName>
    <definedName name="Z_F5C4D55C_962C_11D1_80A9_00609704D63C_.wvu.FilterData" hidden="1">#REF!</definedName>
    <definedName name="Z_F5C4D55D_962C_11D1_80A9_00609704D63C_.wvu.FilterData" hidden="1">#REF!</definedName>
    <definedName name="Z_FC0CD0EC_CA39_11D1_969A_00600892D032_.wvu.FilterData" hidden="1">#REF!</definedName>
    <definedName name="Z_FC159DE2_CA29_11D1_80A9_00609704D63C_.wvu.FilterData" hidden="1">#REF!</definedName>
    <definedName name="Z_FC66C529_7852_11D1_BC89_A0B9FFC00000_.wvu.FilterData" hidden="1">#REF!</definedName>
    <definedName name="Z_FC66C53B_7852_11D1_BC89_A0B9FFC00000_.wvu.FilterData" hidden="1">#REF!</definedName>
    <definedName name="Z_FC66C625_7852_11D1_BC89_A0B9FFC00000_.wvu.FilterData" hidden="1">#REF!</definedName>
    <definedName name="Z_FC66C627_7852_11D1_BC89_A0B9FFC00000_.wvu.FilterData" hidden="1">#REF!</definedName>
    <definedName name="Z_FC66C629_7852_11D1_BC89_A0B9FFC00000_.wvu.FilterData" hidden="1">#REF!</definedName>
    <definedName name="za" hidden="1">#REF!</definedName>
    <definedName name="ZADSDSD" hidden="1">{#N/A,#N/A,FALSE,"Aging Summary";#N/A,#N/A,FALSE,"Ratio Analysis";#N/A,#N/A,FALSE,"Test 120 Day Accts";#N/A,#N/A,FALSE,"Tickmarks"}</definedName>
    <definedName name="zazaaz" hidden="1">{#N/A,#N/A,FALSE,"Aging Summary";#N/A,#N/A,FALSE,"Ratio Analysis";#N/A,#N/A,FALSE,"Test 120 Day Accts";#N/A,#N/A,FALSE,"Tickmarks"}</definedName>
    <definedName name="zazzaza" hidden="1">{"'DIFPRE'!$A$2:$M$54"}</definedName>
    <definedName name="ZCDSFXV" hidden="1">{#N/A,#N/A,FALSE,"Aging Summary";#N/A,#N/A,FALSE,"Ratio Analysis";#N/A,#N/A,FALSE,"Test 120 Day Accts";#N/A,#N/A,FALSE,"Tickmarks"}</definedName>
    <definedName name="ZCDV" hidden="1">{#N/A,#N/A,FALSE,"Aging Summary";#N/A,#N/A,FALSE,"Ratio Analysis";#N/A,#N/A,FALSE,"Test 120 Day Accts";#N/A,#N/A,FALSE,"Tickmarks"}</definedName>
    <definedName name="ZCSDFDCV" hidden="1">{#N/A,#N/A,FALSE,"Aging Summary";#N/A,#N/A,FALSE,"Ratio Analysis";#N/A,#N/A,FALSE,"Test 120 Day Accts";#N/A,#N/A,FALSE,"Tickmarks"}</definedName>
    <definedName name="zçzç" hidden="1">{#N/A,#N/A,FALSE,"Aging Summary";#N/A,#N/A,FALSE,"Ratio Analysis";#N/A,#N/A,FALSE,"Test 120 Day Accts";#N/A,#N/A,FALSE,"Tickmarks"}</definedName>
    <definedName name="ZVDXCXV" hidden="1">{#N/A,#N/A,FALSE,"Aging Summary";#N/A,#N/A,FALSE,"Ratio Analysis";#N/A,#N/A,FALSE,"Test 120 Day Accts";#N/A,#N/A,FALSE,"Tickmarks"}</definedName>
    <definedName name="zxcvkbvbsd" hidden="1">3</definedName>
    <definedName name="ZZ" hidden="1">2</definedName>
    <definedName name="zzqweqweqweqe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zz" hidden="1">#REF!</definedName>
    <definedName name="zzzza" hidden="1">#REF!</definedName>
    <definedName name="zzzzz" hidden="1">{#N/A,#N/A,FALSE,"ENERGIA";#N/A,#N/A,FALSE,"PERDIDAS";#N/A,#N/A,FALSE,"CLIENTES";#N/A,#N/A,FALSE,"ESTADO";#N/A,#N/A,FALSE,"TECNICA"}</definedName>
    <definedName name="ZZZZZZ" hidden="1">{#N/A,#N/A,FALSE,"Aging Summary";#N/A,#N/A,FALSE,"Ratio Analysis";#N/A,#N/A,FALSE,"Test 120 Day Accts";#N/A,#N/A,FALSE,"Tickmarks"}</definedName>
    <definedName name="ZZZZZZZ" hidden="1">{#N/A,#N/A,FALSE,"Aging Summary";#N/A,#N/A,FALSE,"Ratio Analysis";#N/A,#N/A,FALSE,"Test 120 Day Accts";#N/A,#N/A,FALSE,"Tickmarks"}</definedName>
    <definedName name="ZZZZZZZZZZ" hidden="1">{#N/A,#N/A,FALSE,"Aging Summary";#N/A,#N/A,FALSE,"Ratio Analysis";#N/A,#N/A,FALSE,"Test 120 Day Accts";#N/A,#N/A,FALSE,"Tickmarks"}</definedName>
    <definedName name="ZZZZZZZZZZZZCCCC" hidden="1">{#N/A,#N/A,FALSE,"Aging Summary";#N/A,#N/A,FALSE,"Ratio Analysis";#N/A,#N/A,FALSE,"Test 120 Day Accts";#N/A,#N/A,FALSE,"Tickmarks"}</definedName>
    <definedName name="ZZZZZZZZZZZZZ" hidden="1">{#N/A,#N/A,FALSE,"Aging Summary";#N/A,#N/A,FALSE,"Ratio Analysis";#N/A,#N/A,FALSE,"Test 120 Day Accts";#N/A,#N/A,FALSE,"Tickmarks"}</definedName>
    <definedName name="ZZZZZZZZZZZZZZ" hidden="1">{#N/A,#N/A,FALSE,"Aging Summary";#N/A,#N/A,FALSE,"Ratio Analysis";#N/A,#N/A,FALSE,"Test 120 Day Accts";#N/A,#N/A,FALSE,"Tickmarks"}</definedName>
    <definedName name="ZZZZZZZZZZZZZZZ" hidden="1">{#N/A,#N/A,FALSE,"Aging Summary";#N/A,#N/A,FALSE,"Ratio Analysis";#N/A,#N/A,FALSE,"Test 120 Day Accts";#N/A,#N/A,FALSE,"Tickmarks"}</definedName>
    <definedName name="ZZZZZZZZZZZZZZZZZ" hidden="1">{#N/A,#N/A,FALSE,"Aging Summary";#N/A,#N/A,FALSE,"Ratio Analysis";#N/A,#N/A,FALSE,"Test 120 Day Accts";#N/A,#N/A,FALSE,"Tickmarks"}</definedName>
    <definedName name="ZZZZZZZZZZZZZZZZZZZ" hidden="1">{#N/A,#N/A,FALSE,"Aging Summary";#N/A,#N/A,FALSE,"Ratio Analysis";#N/A,#N/A,FALSE,"Test 120 Day Accts";#N/A,#N/A,FALSE,"Tickmarks"}</definedName>
    <definedName name="ZZZZZZZZZZZZZZZZZZZZZ" hidden="1">{#N/A,#N/A,FALSE,"Aging Summary";#N/A,#N/A,FALSE,"Ratio Analysis";#N/A,#N/A,FALSE,"Test 120 Day Accts";#N/A,#N/A,FALSE,"Tickmarks"}</definedName>
    <definedName name="ZZZZZZZZZZZZZZZZZZZZZZZZZZ" hidden="1">{#N/A,#N/A,FALSE,"Aging Summary";#N/A,#N/A,FALSE,"Ratio Analysis";#N/A,#N/A,FALSE,"Test 120 Day Accts";#N/A,#N/A,FALSE,"Tickmarks"}</definedName>
    <definedName name="아" hidden="1">{#N/A,#N/A,FALSE,"Aging Summary";#N/A,#N/A,FALSE,"Ratio Analysis";#N/A,#N/A,FALSE,"Test 120 Day Accts";#N/A,#N/A,FALSE,"Tickmarks"}</definedName>
    <definedName name="事实" hidden="1">{#N/A,#N/A,FALSE,"BHA"}</definedName>
    <definedName name="分批投产" hidden="1">{#N/A,#N/A,FALSE,"BHA"}</definedName>
    <definedName name="啊啊啊" hidden="1">{#N/A,#N/A,FALSE,"BHA"}</definedName>
    <definedName name="器材费用" hidden="1">{#N/A,#N/A,FALSE,"BHA"}</definedName>
    <definedName name="天然气" hidden="1">{#N/A,#N/A,FALSE,"BHA"}</definedName>
    <definedName name="天然气汇总" hidden="1">{#N/A,#N/A,FALSE,"BHA"}</definedName>
    <definedName name="学习" hidden="1">#REF!</definedName>
    <definedName name="少数" hidden="1">{#N/A,#N/A,FALSE,"BHA"}</definedName>
    <definedName name="形式" hidden="1">{#N/A,#N/A,FALSE,"5""DP  "}</definedName>
    <definedName name="提油费" hidden="1">{#N/A,#N/A,FALSE,"BHA"}</definedName>
    <definedName name="油田" hidden="1">{#N/A,#N/A,FALSE,"5""DP  "}</definedName>
    <definedName name="通井BHA" hidden="1">{#N/A,#N/A,FALSE,"BHA"}</definedName>
    <definedName name="钻前后地层必将" hidden="1">{"'原油分析'!$A$1:$W$13"}</definedName>
    <definedName name="长期应付款" hidden="1">{"toptrial",#N/A,TRUE,"toptrial";"adjustment",#N/A,TRUE,"toptrial";"voucher",#N/A,TRUE,"toptrial"}</definedName>
    <definedName name="预付" hidden="1">{"toptrial",#N/A,TRUE,"toptrial";"adjustment",#N/A,TRUE,"toptrial";"voucher",#N/A,TRUE,"toptrial"}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32" i="53" l="1"/>
  <c r="K80" i="52"/>
  <c r="K79" i="52"/>
  <c r="K78" i="52"/>
  <c r="K77" i="52"/>
  <c r="K76" i="52"/>
  <c r="K75" i="52"/>
  <c r="K63" i="52"/>
  <c r="K62" i="52"/>
  <c r="K61" i="52"/>
  <c r="K60" i="52"/>
  <c r="K59" i="52"/>
  <c r="K58" i="52"/>
  <c r="K57" i="52"/>
  <c r="K46" i="52"/>
  <c r="K34" i="52"/>
  <c r="K33" i="52"/>
  <c r="K32" i="52"/>
  <c r="K45" i="52"/>
  <c r="E37" i="14"/>
  <c r="E20" i="7" s="1"/>
  <c r="H333" i="53"/>
  <c r="E332" i="53"/>
  <c r="E331" i="53"/>
  <c r="E330" i="53"/>
  <c r="E329" i="53"/>
  <c r="M328" i="53"/>
  <c r="M327" i="53"/>
  <c r="M326" i="53"/>
  <c r="E320" i="53"/>
  <c r="E319" i="53"/>
  <c r="E318" i="53"/>
  <c r="E317" i="53"/>
  <c r="M316" i="53"/>
  <c r="M315" i="53"/>
  <c r="M314" i="53"/>
  <c r="M313" i="53"/>
  <c r="M312" i="53"/>
  <c r="M311" i="53"/>
  <c r="M310" i="53"/>
  <c r="M309" i="53"/>
  <c r="M308" i="53"/>
  <c r="M307" i="53"/>
  <c r="M306" i="53"/>
  <c r="M305" i="53"/>
  <c r="M304" i="53"/>
  <c r="M303" i="53"/>
  <c r="M302" i="53"/>
  <c r="M301" i="53"/>
  <c r="M300" i="53"/>
  <c r="M299" i="53"/>
  <c r="M298" i="53"/>
  <c r="M297" i="53"/>
  <c r="M296" i="53"/>
  <c r="M295" i="53"/>
  <c r="M294" i="53"/>
  <c r="M293" i="53"/>
  <c r="M292" i="53"/>
  <c r="M291" i="53"/>
  <c r="M290" i="53"/>
  <c r="M289" i="53"/>
  <c r="M288" i="53"/>
  <c r="M287" i="53"/>
  <c r="M286" i="53"/>
  <c r="M285" i="53"/>
  <c r="M284" i="53"/>
  <c r="M283" i="53"/>
  <c r="M282" i="53"/>
  <c r="M281" i="53"/>
  <c r="M280" i="53"/>
  <c r="M279" i="53"/>
  <c r="M278" i="53"/>
  <c r="M277" i="53"/>
  <c r="M276" i="53"/>
  <c r="M275" i="53"/>
  <c r="M274" i="53"/>
  <c r="M273" i="53"/>
  <c r="M272" i="53"/>
  <c r="M271" i="53"/>
  <c r="M270" i="53"/>
  <c r="M269" i="53"/>
  <c r="M268" i="53"/>
  <c r="M267" i="53"/>
  <c r="M266" i="53"/>
  <c r="M265" i="53"/>
  <c r="M264" i="53"/>
  <c r="M263" i="53"/>
  <c r="M262" i="53"/>
  <c r="M261" i="53"/>
  <c r="M260" i="53"/>
  <c r="M259" i="53"/>
  <c r="M258" i="53"/>
  <c r="M257" i="53"/>
  <c r="M256" i="53"/>
  <c r="M255" i="53"/>
  <c r="M254" i="53"/>
  <c r="M253" i="53"/>
  <c r="M252" i="53"/>
  <c r="M251" i="53"/>
  <c r="M250" i="53"/>
  <c r="M249" i="53"/>
  <c r="M248" i="53"/>
  <c r="M247" i="53"/>
  <c r="M246" i="53"/>
  <c r="M245" i="53"/>
  <c r="M244" i="53"/>
  <c r="M243" i="53"/>
  <c r="M242" i="53"/>
  <c r="M241" i="53"/>
  <c r="M240" i="53"/>
  <c r="M239" i="53"/>
  <c r="M238" i="53"/>
  <c r="M237" i="53"/>
  <c r="M236" i="53"/>
  <c r="M235" i="53"/>
  <c r="M234" i="53"/>
  <c r="M233" i="53"/>
  <c r="M232" i="53"/>
  <c r="M231" i="53"/>
  <c r="M230" i="53"/>
  <c r="M229" i="53"/>
  <c r="M228" i="53"/>
  <c r="M227" i="53"/>
  <c r="M226" i="53"/>
  <c r="M225" i="53"/>
  <c r="M224" i="53"/>
  <c r="M223" i="53"/>
  <c r="M222" i="53"/>
  <c r="M221" i="53"/>
  <c r="M220" i="53"/>
  <c r="M219" i="53"/>
  <c r="M218" i="53"/>
  <c r="M217" i="53"/>
  <c r="M216" i="53"/>
  <c r="M215" i="53"/>
  <c r="M214" i="53"/>
  <c r="M213" i="53"/>
  <c r="M212" i="53"/>
  <c r="M211" i="53"/>
  <c r="M210" i="53"/>
  <c r="M209" i="53"/>
  <c r="M208" i="53"/>
  <c r="M207" i="53"/>
  <c r="M206" i="53"/>
  <c r="M205" i="53"/>
  <c r="M204" i="53"/>
  <c r="M203" i="53"/>
  <c r="M202" i="53"/>
  <c r="M201" i="53"/>
  <c r="M200" i="53"/>
  <c r="M199" i="53"/>
  <c r="M198" i="53"/>
  <c r="M197" i="53"/>
  <c r="M196" i="53"/>
  <c r="M195" i="53"/>
  <c r="M194" i="53"/>
  <c r="M193" i="53"/>
  <c r="M192" i="53"/>
  <c r="M191" i="53"/>
  <c r="M190" i="53"/>
  <c r="M189" i="53"/>
  <c r="M188" i="53"/>
  <c r="M187" i="53"/>
  <c r="M186" i="53"/>
  <c r="M185" i="53"/>
  <c r="M184" i="53"/>
  <c r="M183" i="53"/>
  <c r="M182" i="53"/>
  <c r="M181" i="53"/>
  <c r="M180" i="53"/>
  <c r="M179" i="53"/>
  <c r="M178" i="53"/>
  <c r="M177" i="53"/>
  <c r="M176" i="53"/>
  <c r="M175" i="53"/>
  <c r="M174" i="53"/>
  <c r="M173" i="53"/>
  <c r="M172" i="53"/>
  <c r="M171" i="53"/>
  <c r="M170" i="53"/>
  <c r="M169" i="53"/>
  <c r="M168" i="53"/>
  <c r="M167" i="53"/>
  <c r="M166" i="53"/>
  <c r="M165" i="53"/>
  <c r="M164" i="53"/>
  <c r="M163" i="53"/>
  <c r="M162" i="53"/>
  <c r="M161" i="53"/>
  <c r="M160" i="53"/>
  <c r="M159" i="53"/>
  <c r="M158" i="53"/>
  <c r="M157" i="53"/>
  <c r="M156" i="53"/>
  <c r="M155" i="53"/>
  <c r="M154" i="53"/>
  <c r="M153" i="53"/>
  <c r="M152" i="53"/>
  <c r="M151" i="53"/>
  <c r="M150" i="53"/>
  <c r="M149" i="53"/>
  <c r="M148" i="53"/>
  <c r="M147" i="53"/>
  <c r="M146" i="53"/>
  <c r="M145" i="53"/>
  <c r="M144" i="53"/>
  <c r="M143" i="53"/>
  <c r="M142" i="53"/>
  <c r="M141" i="53"/>
  <c r="M140" i="53"/>
  <c r="M139" i="53"/>
  <c r="M138" i="53"/>
  <c r="M137" i="53"/>
  <c r="M136" i="53"/>
  <c r="M135" i="53"/>
  <c r="M134" i="53"/>
  <c r="M133" i="53"/>
  <c r="M132" i="53"/>
  <c r="M131" i="53"/>
  <c r="M130" i="53"/>
  <c r="M129" i="53"/>
  <c r="M128" i="53"/>
  <c r="M127" i="53"/>
  <c r="M126" i="53"/>
  <c r="M125" i="53"/>
  <c r="M124" i="53"/>
  <c r="M123" i="53"/>
  <c r="M122" i="53"/>
  <c r="M121" i="53"/>
  <c r="M120" i="53"/>
  <c r="M119" i="53"/>
  <c r="M118" i="53"/>
  <c r="M117" i="53"/>
  <c r="M116" i="53"/>
  <c r="M115" i="53"/>
  <c r="M114" i="53"/>
  <c r="M113" i="53"/>
  <c r="M112" i="53"/>
  <c r="M111" i="53"/>
  <c r="M110" i="53"/>
  <c r="M109" i="53"/>
  <c r="M108" i="53"/>
  <c r="E103" i="53"/>
  <c r="E102" i="53"/>
  <c r="E101" i="53"/>
  <c r="E100" i="53"/>
  <c r="E78" i="53"/>
  <c r="E77" i="53"/>
  <c r="E76" i="53"/>
  <c r="E75" i="53"/>
  <c r="M73" i="53"/>
  <c r="M72" i="53"/>
  <c r="M71" i="53"/>
  <c r="M70" i="53"/>
  <c r="M69" i="53"/>
  <c r="M68" i="53"/>
  <c r="M67" i="53"/>
  <c r="M66" i="53"/>
  <c r="M65" i="53"/>
  <c r="M64" i="53"/>
  <c r="M63" i="53"/>
  <c r="M62" i="53"/>
  <c r="M61" i="53"/>
  <c r="M60" i="53"/>
  <c r="M59" i="53"/>
  <c r="M58" i="53"/>
  <c r="M57" i="53"/>
  <c r="M56" i="53"/>
  <c r="M55" i="53"/>
  <c r="M54" i="53"/>
  <c r="M53" i="53"/>
  <c r="M52" i="53"/>
  <c r="M51" i="53"/>
  <c r="M50" i="53"/>
  <c r="M49" i="53"/>
  <c r="M48" i="53"/>
  <c r="M47" i="53"/>
  <c r="M46" i="53"/>
  <c r="M45" i="53"/>
  <c r="M44" i="53"/>
  <c r="M43" i="53"/>
  <c r="M42" i="53"/>
  <c r="M41" i="53"/>
  <c r="M40" i="53"/>
  <c r="M39" i="53"/>
  <c r="M38" i="53"/>
  <c r="M37" i="53"/>
  <c r="M36" i="53"/>
  <c r="M35" i="53"/>
  <c r="M34" i="53"/>
  <c r="M33" i="53"/>
  <c r="M32" i="53"/>
  <c r="M31" i="53"/>
  <c r="M30" i="53"/>
  <c r="M29" i="53"/>
  <c r="M28" i="53"/>
  <c r="B5" i="53"/>
  <c r="E4" i="53"/>
  <c r="B4" i="53"/>
  <c r="B3" i="53"/>
  <c r="B2" i="53"/>
  <c r="O37" i="52"/>
  <c r="E47" i="14" s="1"/>
  <c r="E82" i="52"/>
  <c r="G81" i="52"/>
  <c r="G83" i="52" s="1"/>
  <c r="E81" i="52"/>
  <c r="C85" i="52" s="1"/>
  <c r="E65" i="52"/>
  <c r="G64" i="52"/>
  <c r="E64" i="52"/>
  <c r="E66" i="52" s="1"/>
  <c r="E48" i="52"/>
  <c r="G47" i="52"/>
  <c r="E47" i="52"/>
  <c r="E49" i="52" s="1"/>
  <c r="E36" i="52"/>
  <c r="N35" i="52"/>
  <c r="G35" i="52"/>
  <c r="E35" i="52"/>
  <c r="C39" i="52" s="1"/>
  <c r="B5" i="52"/>
  <c r="E4" i="52"/>
  <c r="B4" i="52"/>
  <c r="B3" i="52"/>
  <c r="B2" i="52"/>
  <c r="E35" i="51"/>
  <c r="O31" i="52" s="1"/>
  <c r="E39" i="14" s="1"/>
  <c r="D35" i="51"/>
  <c r="B5" i="51"/>
  <c r="E4" i="51"/>
  <c r="B4" i="51"/>
  <c r="B3" i="51"/>
  <c r="B2" i="51"/>
  <c r="G18" i="7"/>
  <c r="E22" i="7" l="1"/>
  <c r="E41" i="14"/>
  <c r="E61" i="14" s="1"/>
  <c r="E21" i="7"/>
  <c r="C51" i="52"/>
  <c r="G85" i="52"/>
  <c r="O35" i="52" s="1"/>
  <c r="E49" i="14" s="1"/>
  <c r="E23" i="7" s="1"/>
  <c r="H332" i="53"/>
  <c r="H334" i="53" s="1"/>
  <c r="E37" i="52"/>
  <c r="C68" i="52"/>
  <c r="E83" i="52"/>
  <c r="E6" i="53" a="1"/>
  <c r="E6" i="53" s="1"/>
  <c r="C87" i="52" l="1"/>
  <c r="C89" i="52" s="1"/>
  <c r="L100" i="53"/>
  <c r="G87" i="52" l="1"/>
  <c r="L75" i="53"/>
  <c r="L317" i="53"/>
  <c r="O39" i="52" l="1"/>
  <c r="O41" i="52" l="1"/>
  <c r="E51" i="14"/>
  <c r="E24" i="7" l="1"/>
  <c r="G24" i="7" s="1"/>
  <c r="G27" i="7" s="1"/>
  <c r="G37" i="7" s="1"/>
  <c r="E53" i="14"/>
  <c r="E62" i="14" s="1"/>
  <c r="E64" i="14" s="1"/>
  <c r="E66"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<sst xmlns="http://schemas.openxmlformats.org/spreadsheetml/2006/main" count="1219" uniqueCount="225">
  <si>
    <t>Compañía / Razón Social</t>
  </si>
  <si>
    <t>Descripción del Trabajo</t>
  </si>
  <si>
    <t xml:space="preserve"> </t>
  </si>
  <si>
    <t>CONCEPTO</t>
  </si>
  <si>
    <t>AJUSTE</t>
  </si>
  <si>
    <t>Notas</t>
  </si>
  <si>
    <t>GAN - GMP / NOTAS</t>
  </si>
  <si>
    <t>Resumen de Ajustes Impuesto a la Ganancia Mínima Presunta</t>
  </si>
  <si>
    <t>GMP</t>
  </si>
  <si>
    <t>Apertura de Ganancia Mínima Presunta Acumulada</t>
  </si>
  <si>
    <t>GMP / 1</t>
  </si>
  <si>
    <t>Anticipos del Impuesto a la Ganancia Mínima Presunta</t>
  </si>
  <si>
    <t>GMP / 2</t>
  </si>
  <si>
    <t>Altas de Bienes de Uso no Computables</t>
  </si>
  <si>
    <t>GMP - 1</t>
  </si>
  <si>
    <t>Resumen de Ajustes Impuesto a las Ganancias</t>
  </si>
  <si>
    <t>GAN</t>
  </si>
  <si>
    <t>Quebrantos Acumulados</t>
  </si>
  <si>
    <t>GAN / 1</t>
  </si>
  <si>
    <t>Anticipos del Impuesto a la Ganancia</t>
  </si>
  <si>
    <t>GAN / 2</t>
  </si>
  <si>
    <t>Detalle de Retenciones y Percepciones Sufridas</t>
  </si>
  <si>
    <t>GAN / 3</t>
  </si>
  <si>
    <t>Otros Pagos a Cuenta</t>
  </si>
  <si>
    <t>GAN / 4</t>
  </si>
  <si>
    <t>Valuación Titulos públicos</t>
  </si>
  <si>
    <t>GAN - 1</t>
  </si>
  <si>
    <t>Valuación Fondos Comunes de Inversión</t>
  </si>
  <si>
    <t>GAN - 2</t>
  </si>
  <si>
    <t>Tratamiento diferencia de cambio de Fuente Extranjera</t>
  </si>
  <si>
    <t>GAN - 3</t>
  </si>
  <si>
    <t>Previsión para Deudores Incobrables</t>
  </si>
  <si>
    <t>GAN - 4</t>
  </si>
  <si>
    <t>Intereses Presuntos</t>
  </si>
  <si>
    <t>GAN - 5</t>
  </si>
  <si>
    <t>Ligue Posición del Impuesto al Valor Agregado al Cierre</t>
  </si>
  <si>
    <t>GAN - 6</t>
  </si>
  <si>
    <t>Ligue Posición del Impuesto Sobre los Ingresos Brutos al Cierre</t>
  </si>
  <si>
    <t>GAN - 7</t>
  </si>
  <si>
    <t>Valuación de Bienes de Cambio</t>
  </si>
  <si>
    <t>GAN - 8</t>
  </si>
  <si>
    <t>Previsión por Obsolescencia</t>
  </si>
  <si>
    <t>GAN - 9</t>
  </si>
  <si>
    <t>Provisión Impuesto a las Ganancias / Impuesto Diferido</t>
  </si>
  <si>
    <t>GAN - 10</t>
  </si>
  <si>
    <t>Pasivos con vinculadas del Exterior</t>
  </si>
  <si>
    <t>GAN - 11</t>
  </si>
  <si>
    <t>Pasivos por préstamo con vinculadas del Exterior</t>
  </si>
  <si>
    <t>GAN - 12</t>
  </si>
  <si>
    <t>Honorarios Directores</t>
  </si>
  <si>
    <t>GAN - 13</t>
  </si>
  <si>
    <t>Previsión Juicios / Contingencias</t>
  </si>
  <si>
    <t>GAN - 14</t>
  </si>
  <si>
    <t>Provisión Gastos Varios</t>
  </si>
  <si>
    <t>GAN - 15</t>
  </si>
  <si>
    <t>Asesoramiento Técnico Financiero / Marcas y Patentes</t>
  </si>
  <si>
    <t>GAN - 16</t>
  </si>
  <si>
    <t>Gastos Representación</t>
  </si>
  <si>
    <t>GAN - 17</t>
  </si>
  <si>
    <t>Gastos de Automóviles</t>
  </si>
  <si>
    <t>GAN - 18</t>
  </si>
  <si>
    <t>Donaciones</t>
  </si>
  <si>
    <t>GAN - 19</t>
  </si>
  <si>
    <t>Gratificaciones</t>
  </si>
  <si>
    <t>GAN - 20</t>
  </si>
  <si>
    <t>Multas no Deducibles</t>
  </si>
  <si>
    <t>GAN - 21</t>
  </si>
  <si>
    <t>Valuación de activos y pasivos en Moneda Extranjera</t>
  </si>
  <si>
    <t>GAN - 22</t>
  </si>
  <si>
    <t>Revalúo Impositivo de Bienes de Uso</t>
  </si>
  <si>
    <t>CTF</t>
  </si>
  <si>
    <t xml:space="preserve">Prueba Global Impositiva amortización y Valor Recidual </t>
  </si>
  <si>
    <t>CTF / PG</t>
  </si>
  <si>
    <t>Análisis de Altas de Bienes de Uso</t>
  </si>
  <si>
    <t>CTF - 1</t>
  </si>
  <si>
    <t>Análisis de Bajas de Bienes de Uso</t>
  </si>
  <si>
    <t>CTF - 2</t>
  </si>
  <si>
    <t>Estado de Evolución de Bienes de Uso Contable</t>
  </si>
  <si>
    <t>EBU</t>
  </si>
  <si>
    <t>Estado de Evolución de Inversiones Temporarias</t>
  </si>
  <si>
    <t>EEIT</t>
  </si>
  <si>
    <t>Estado de Evolución de Inversiones Permanentes</t>
  </si>
  <si>
    <t>EEIP</t>
  </si>
  <si>
    <t>Estado de Evolución de Bienes Intangibles (valor llave, marcas y patentes, gastos de organización, etc.)</t>
  </si>
  <si>
    <t>EEBI</t>
  </si>
  <si>
    <t>Estado de Evolución del Patrimonio Neto</t>
  </si>
  <si>
    <t>EEPN</t>
  </si>
  <si>
    <t>REF.</t>
  </si>
  <si>
    <t>IMPORTE</t>
  </si>
  <si>
    <t>BS</t>
  </si>
  <si>
    <t>[1]</t>
  </si>
  <si>
    <t>BS / IGJ</t>
  </si>
  <si>
    <t>[2]</t>
  </si>
  <si>
    <t>Base de cálculo</t>
  </si>
  <si>
    <t>Impuesto determinado</t>
  </si>
  <si>
    <t>FUENTE</t>
  </si>
  <si>
    <t>SI / SF</t>
  </si>
  <si>
    <t>REF</t>
  </si>
  <si>
    <t>ARGENTINA</t>
  </si>
  <si>
    <t>EXTRANJERA</t>
  </si>
  <si>
    <t xml:space="preserve">Resultado del Ejercicio (histórico) </t>
  </si>
  <si>
    <t>Resultado impositivo</t>
  </si>
  <si>
    <t>Quebrantos acumulados computables ejercicios anteriores</t>
  </si>
  <si>
    <t>GAN|1</t>
  </si>
  <si>
    <t>Resultado impositivo para el cálculo del impuesto</t>
  </si>
  <si>
    <t>Alícuota del impuesto</t>
  </si>
  <si>
    <t>GAN|2</t>
  </si>
  <si>
    <t>Pago a cuenta IGMP de ejercicios anteriores</t>
  </si>
  <si>
    <t>GMP/1</t>
  </si>
  <si>
    <t xml:space="preserve">Retenciónes y Percepciones </t>
  </si>
  <si>
    <t>GAN|3</t>
  </si>
  <si>
    <t>Anticipos Impuesto a las Ganancias</t>
  </si>
  <si>
    <t>GAN|4</t>
  </si>
  <si>
    <t>Total a pagar/ (a favor)</t>
  </si>
  <si>
    <t>Cálculo de anticipos</t>
  </si>
  <si>
    <t>Retenciones / Percepciones sufridas</t>
  </si>
  <si>
    <t>Anticipo extraordinario</t>
  </si>
  <si>
    <t>Anticipos regulares</t>
  </si>
  <si>
    <t>Saldo Inicial</t>
  </si>
  <si>
    <t>Valuación contable</t>
  </si>
  <si>
    <t>Valuación Impositiva</t>
  </si>
  <si>
    <t>Saldo Inicial del Ajuste</t>
  </si>
  <si>
    <t>Saldo Final</t>
  </si>
  <si>
    <t>Saldo Final del Ajuste</t>
  </si>
  <si>
    <t>SI</t>
  </si>
  <si>
    <t>SF</t>
  </si>
  <si>
    <t>Especie</t>
  </si>
  <si>
    <t>Fondos Comunes de Inversión</t>
  </si>
  <si>
    <t>Determinación del Resultado Impositivo de la Venta de FCI</t>
  </si>
  <si>
    <t>Resultados Contables</t>
  </si>
  <si>
    <t>Ajuste de Valuación FCI</t>
  </si>
  <si>
    <t>Resultado Impositivo de la Venta</t>
  </si>
  <si>
    <t>Cuotas Partes</t>
  </si>
  <si>
    <t>PEPS T&amp;L DTT</t>
  </si>
  <si>
    <t>Mes de cierre:</t>
  </si>
  <si>
    <t>Fondos Comunes de Inversion</t>
  </si>
  <si>
    <t>Analisis Stock, Valuación y Costo PEPS</t>
  </si>
  <si>
    <t>Fecha</t>
  </si>
  <si>
    <t>Monto total</t>
  </si>
  <si>
    <t>Precio Unitario</t>
  </si>
  <si>
    <t>IPC Origen</t>
  </si>
  <si>
    <t>Coeficiente</t>
  </si>
  <si>
    <t>Patagonia</t>
  </si>
  <si>
    <t>Citibank</t>
  </si>
  <si>
    <t>Adacap</t>
  </si>
  <si>
    <t>Valuacion impositiva inicial</t>
  </si>
  <si>
    <t>Movimientos</t>
  </si>
  <si>
    <t>No completar</t>
  </si>
  <si>
    <t>Fecha (DD/MM/AAAA)</t>
  </si>
  <si>
    <t>Ahorro Pesos</t>
  </si>
  <si>
    <t>Resumen:</t>
  </si>
  <si>
    <t>Suscripciones</t>
  </si>
  <si>
    <t>Tenencia</t>
  </si>
  <si>
    <t>Monto Total</t>
  </si>
  <si>
    <t>AxI Dinámico</t>
  </si>
  <si>
    <t>Saldo Inicial Impositivo</t>
  </si>
  <si>
    <t>Saldo Inicial Contable</t>
  </si>
  <si>
    <t>GAN PY</t>
  </si>
  <si>
    <t>Tenencias s/Detalle</t>
  </si>
  <si>
    <t>Saldo Final Impositivo</t>
  </si>
  <si>
    <t>Tenencias al Cierre</t>
  </si>
  <si>
    <t>Control</t>
  </si>
  <si>
    <t>Saldo Final Contable</t>
  </si>
  <si>
    <t>Valuación Contable Patagonia</t>
  </si>
  <si>
    <t>Actualizacion del costo</t>
  </si>
  <si>
    <t>Resumen Ventas DTT</t>
  </si>
  <si>
    <t>Resumen del Ajuste</t>
  </si>
  <si>
    <t>Valuacion Contable Adacap</t>
  </si>
  <si>
    <t>Valuación Contable Citibank</t>
  </si>
  <si>
    <t>Valuación Contable Ahorro Pesos</t>
  </si>
  <si>
    <t xml:space="preserve">Valuacion Impositiva </t>
  </si>
  <si>
    <t>Total Valuacion Contable s/detalle</t>
  </si>
  <si>
    <t>AxI</t>
  </si>
  <si>
    <t>Valuación Contable s/bs</t>
  </si>
  <si>
    <t>IPC al cierre</t>
  </si>
  <si>
    <t>Resumen Ventas (PEPS):</t>
  </si>
  <si>
    <t>Fecha de Venta</t>
  </si>
  <si>
    <t>Cantidad de Cuotas Partes</t>
  </si>
  <si>
    <t>Precio Unit. Venta</t>
  </si>
  <si>
    <t>Importe Venta (tramo)</t>
  </si>
  <si>
    <t>Costo Unit. PEPS</t>
  </si>
  <si>
    <t>Costo PEPS Total</t>
  </si>
  <si>
    <t>Margen Fiscal</t>
  </si>
  <si>
    <t>Fecha de Compra</t>
  </si>
  <si>
    <t>IPC Fecha de Compra</t>
  </si>
  <si>
    <t>AxI sobre Costos Actualizados</t>
  </si>
  <si>
    <t>Total Vendido (Cant.)</t>
  </si>
  <si>
    <t>Total AxI sobre Costos Actualizados</t>
  </si>
  <si>
    <t>Total Venta (Importe)</t>
  </si>
  <si>
    <t>Costo Total Ventas (PEPS)</t>
  </si>
  <si>
    <t>Margen Total</t>
  </si>
  <si>
    <t>Valuacion Impositiva s/detalle</t>
  </si>
  <si>
    <t>Valuacion Impositiva GAN PY</t>
  </si>
  <si>
    <t>Actualización del Costo FCI</t>
  </si>
  <si>
    <t>Valuación Contable Fondos Comunes de Inversión</t>
  </si>
  <si>
    <t>Valuación Impositiva Fondos Comunes de Inversión</t>
  </si>
  <si>
    <t>GAN-2</t>
  </si>
  <si>
    <t>[3]</t>
  </si>
  <si>
    <t>[4]</t>
  </si>
  <si>
    <t>[5]</t>
  </si>
  <si>
    <t>Axi Dinámico - Cálculo incorporado a mano</t>
  </si>
  <si>
    <t/>
  </si>
  <si>
    <t>GAN LY</t>
  </si>
  <si>
    <t>2. Resumen Tenencias DTT</t>
  </si>
  <si>
    <t>Control c/ "Resumen Tenencias DTT"</t>
  </si>
  <si>
    <t>Valuación de Fondos Comunes de Inversión (FCI) y Certificados de Participación de FF</t>
  </si>
  <si>
    <t>Expone las tenencias al cierre valuadas a costo de adquisición (valuación impositiva).</t>
  </si>
  <si>
    <t>La herramienta no calcula el Ajuste Dinámico; el usuario debe incorporar los IPC correspondientes.</t>
  </si>
  <si>
    <t>OBJETIVO TEMPLATE:</t>
  </si>
  <si>
    <t>INSTRUCTIVO:</t>
  </si>
  <si>
    <t>Completar la hoja "1. PEPS T&amp;L DTT" informando:</t>
  </si>
  <si>
    <t>Tenencias iniciales de FCI al cierre del ejercicio anterior.</t>
  </si>
  <si>
    <t>Los movimientos del ejercicio (suscripciones, rescates, garantías, etc.).</t>
  </si>
  <si>
    <r>
      <t xml:space="preserve">Presionar el botón </t>
    </r>
    <r>
      <rPr>
        <i/>
        <sz val="9.8000000000000007"/>
        <rFont val="Calibri"/>
        <family val="2"/>
      </rPr>
      <t>"Calcular"</t>
    </r>
    <r>
      <rPr>
        <sz val="10"/>
        <rFont val="Calibri"/>
        <family val="2"/>
      </rPr>
      <t>.</t>
    </r>
  </si>
  <si>
    <t>Automáticamente se generarán dos hojas:</t>
  </si>
  <si>
    <t>HOJA 1:  "Resumen Tenencias DTT"</t>
  </si>
  <si>
    <t>HOJA 2: "Resumen Ventas DTT"</t>
  </si>
  <si>
    <t>Determinar la valuación impositiva de la tenencia de Fondos Comunes de Inversión.</t>
  </si>
  <si>
    <t>1.</t>
  </si>
  <si>
    <t>2.</t>
  </si>
  <si>
    <t>Expone la actualización del costo de los FCI existentes al inicio y enajenados en el ejercicio-&gt; Información utilizable para AXI Estático y Actualización del costo - Art. 106 LIG.</t>
  </si>
  <si>
    <r>
      <t xml:space="preserve">Actualización del costo </t>
    </r>
    <r>
      <rPr>
        <b/>
        <sz val="11"/>
        <color rgb="FF0070C0"/>
        <rFont val="Calibri"/>
        <family val="2"/>
      </rPr>
      <t>SUM I</t>
    </r>
  </si>
  <si>
    <t>I</t>
  </si>
  <si>
    <t>FUENTE ARGENTINA</t>
  </si>
  <si>
    <t>ESPECIFICO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</si>
</sst>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0000"/>
    <numFmt numFmtId="166" formatCode="_(* #,##0.00_);_(* \(#,##0.00\);_(* &quot;-&quot;??_);_(@_)"/>
    <numFmt numFmtId="167" formatCode="#,##0.000000"/>
    <numFmt numFmtId="168" formatCode="_(&quot;$&quot;* #,##0.00_);_(&quot;$&quot;* \(#,##0.00\);_(&quot;$&quot;* &quot;-&quot;??_);_(@_)"/>
  </numFmts>
  <fonts count="46" x14ac:knownFonts="1">
    <font>
      <sz val="10"/>
      <name val="Arial"/>
    </font>
    <font>
      <sz val="11"/>
      <color theme="1"/>
      <name val="Aptos Narrow"/>
      <family val="2"/>
      <scheme val="minor"/>
    </font>
    <font>
      <sz val="10"/>
      <name val="Arial"/>
      <family val="2"/>
    </font>
    <font>
      <sz val="10"/>
      <color indexed="31"/>
      <name val="Arial"/>
      <family val="2"/>
    </font>
    <font>
      <b/>
      <sz val="10"/>
      <color indexed="18"/>
      <name val="Arial"/>
      <family val="2"/>
    </font>
    <font>
      <b/>
      <sz val="9"/>
      <color indexed="18"/>
      <name val="Arial"/>
      <family val="2"/>
    </font>
    <font>
      <b/>
      <sz val="9"/>
      <color indexed="31"/>
      <name val="Arial"/>
      <family val="2"/>
    </font>
    <font>
      <sz val="9"/>
      <color indexed="18"/>
      <name val="Arial"/>
      <family val="2"/>
    </font>
    <font>
      <sz val="9"/>
      <color indexed="31"/>
      <name val="Arial"/>
      <family val="2"/>
    </font>
    <font>
      <u/>
      <sz val="10"/>
      <color indexed="12"/>
      <name val="Arial"/>
      <family val="2"/>
    </font>
    <font>
      <u/>
      <sz val="9"/>
      <color indexed="18"/>
      <name val="Arial"/>
      <family val="2"/>
    </font>
    <font>
      <b/>
      <sz val="9"/>
      <color indexed="10"/>
      <name val="Arial"/>
      <family val="2"/>
    </font>
    <font>
      <sz val="10"/>
      <color indexed="18"/>
      <name val="Arial"/>
      <family val="2"/>
    </font>
    <font>
      <sz val="10"/>
      <name val="Arial"/>
      <family val="2"/>
    </font>
    <font>
      <sz val="8"/>
      <name val="Arial"/>
      <family val="2"/>
    </font>
    <font>
      <sz val="8"/>
      <name val="Wingdings"/>
      <charset val="2"/>
    </font>
    <font>
      <b/>
      <u/>
      <sz val="8"/>
      <name val="Arial"/>
      <family val="2"/>
    </font>
    <font>
      <sz val="9"/>
      <name val="Arial"/>
      <family val="2"/>
    </font>
    <font>
      <b/>
      <sz val="9"/>
      <name val="Arial"/>
      <family val="2"/>
    </font>
    <font>
      <b/>
      <sz val="8"/>
      <color indexed="10"/>
      <name val="Arial"/>
      <family val="2"/>
    </font>
    <font>
      <sz val="9"/>
      <color indexed="8"/>
      <name val="Arial"/>
      <family val="2"/>
    </font>
    <font>
      <b/>
      <sz val="9"/>
      <color indexed="8"/>
      <name val="Arial"/>
      <family val="2"/>
    </font>
    <font>
      <b/>
      <u/>
      <sz val="9"/>
      <name val="Arial"/>
      <family val="2"/>
    </font>
    <font>
      <u/>
      <sz val="11"/>
      <color theme="1"/>
      <name val="Calibri"/>
      <family val="2"/>
    </font>
    <font>
      <sz val="11"/>
      <color theme="1"/>
      <name val="Calibri"/>
      <family val="2"/>
    </font>
    <font>
      <sz val="11"/>
      <name val="Calibri"/>
      <family val="2"/>
    </font>
    <font>
      <b/>
      <u/>
      <sz val="11"/>
      <name val="Calibri"/>
      <family val="2"/>
    </font>
    <font>
      <b/>
      <sz val="11"/>
      <name val="Calibri"/>
      <family val="2"/>
    </font>
    <font>
      <b/>
      <sz val="11"/>
      <color indexed="50"/>
      <name val="Calibri"/>
      <family val="2"/>
    </font>
    <font>
      <b/>
      <sz val="11"/>
      <color indexed="10"/>
      <name val="Calibri"/>
      <family val="2"/>
    </font>
    <font>
      <b/>
      <u/>
      <sz val="11"/>
      <color theme="1"/>
      <name val="Calibri"/>
      <family val="2"/>
    </font>
    <font>
      <b/>
      <sz val="11"/>
      <color theme="1"/>
      <name val="Calibri"/>
      <family val="2"/>
    </font>
    <font>
      <b/>
      <sz val="11"/>
      <color rgb="FF000000"/>
      <name val="Calibri"/>
      <family val="2"/>
    </font>
    <font>
      <b/>
      <sz val="11"/>
      <color rgb="FFFFFFFF"/>
      <name val="Calibri"/>
      <family val="2"/>
    </font>
    <font>
      <b/>
      <sz val="11"/>
      <color theme="0"/>
      <name val="Calibri"/>
      <family val="2"/>
    </font>
    <font>
      <b/>
      <sz val="11"/>
      <color rgb="FFFF0000"/>
      <name val="Calibri"/>
      <family val="2"/>
    </font>
    <font>
      <sz val="11"/>
      <color rgb="FFFF0000"/>
      <name val="Calibri"/>
      <family val="2"/>
    </font>
    <font>
      <i/>
      <sz val="11"/>
      <color theme="1"/>
      <name val="Calibri"/>
      <family val="2"/>
    </font>
    <font>
      <sz val="10"/>
      <name val="Calibri"/>
      <family val="2"/>
    </font>
    <font>
      <b/>
      <sz val="10"/>
      <name val="Calibri"/>
      <family val="2"/>
    </font>
    <font>
      <b/>
      <u/>
      <sz val="10"/>
      <color theme="1"/>
      <name val="Calibri"/>
      <family val="2"/>
    </font>
    <font>
      <sz val="10"/>
      <color theme="1"/>
      <name val="Calibri"/>
      <family val="2"/>
    </font>
    <font>
      <b/>
      <u/>
      <sz val="11"/>
      <color theme="0"/>
      <name val="Calibri"/>
      <family val="2"/>
    </font>
    <font>
      <i/>
      <sz val="9.8000000000000007"/>
      <name val="Calibri"/>
      <family val="2"/>
    </font>
    <font>
      <b/>
      <u/>
      <sz val="13"/>
      <name val="Calibri"/>
      <family val="2"/>
    </font>
    <font>
      <b/>
      <sz val="11"/>
      <color rgb="FF0070C0"/>
      <name val="Calibri"/>
      <family val="2"/>
    </font>
  </fonts>
  <fills count="14">
    <fill>
      <patternFill patternType="none"/>
    </fill>
    <fill>
      <patternFill patternType="gray125"/>
    </fill>
    <fill>
      <patternFill patternType="solid">
        <fgColor indexed="9"/>
        <bgColor indexed="64"/>
      </patternFill>
    </fill>
    <fill>
      <patternFill patternType="solid">
        <fgColor indexed="9"/>
        <bgColor indexed="0"/>
      </patternFill>
    </fill>
    <fill>
      <patternFill patternType="solid">
        <fgColor theme="2"/>
        <bgColor indexed="64"/>
      </patternFill>
    </fill>
    <fill>
      <patternFill patternType="solid">
        <fgColor theme="1"/>
        <bgColor indexed="64"/>
      </patternFill>
    </fill>
    <fill>
      <patternFill patternType="solid">
        <fgColor rgb="FF000000"/>
        <bgColor indexed="64"/>
      </patternFill>
    </fill>
    <fill>
      <patternFill patternType="solid">
        <fgColor theme="1" tint="4.9989318521683403E-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002060"/>
        <bgColor indexed="64"/>
      </patternFill>
    </fill>
    <fill>
      <patternFill patternType="solid">
        <fgColor theme="2" tint="-9.9978637043366805E-2"/>
        <bgColor indexed="64"/>
      </patternFill>
    </fill>
  </fills>
  <borders count="22">
    <border>
      <left/>
      <right/>
      <top/>
      <bottom/>
      <diagonal/>
    </border>
    <border>
      <left style="thick">
        <color indexed="18"/>
      </left>
      <right style="medium">
        <color indexed="18"/>
      </right>
      <top style="thick">
        <color indexed="18"/>
      </top>
      <bottom style="thick">
        <color indexed="18"/>
      </bottom>
      <diagonal/>
    </border>
    <border>
      <left style="medium">
        <color indexed="18"/>
      </left>
      <right style="thick">
        <color indexed="18"/>
      </right>
      <top style="thick">
        <color indexed="18"/>
      </top>
      <bottom style="thick">
        <color indexed="18"/>
      </bottom>
      <diagonal/>
    </border>
    <border>
      <left style="thick">
        <color indexed="18"/>
      </left>
      <right style="medium">
        <color indexed="18"/>
      </right>
      <top style="thick">
        <color indexed="18"/>
      </top>
      <bottom style="hair">
        <color indexed="18"/>
      </bottom>
      <diagonal/>
    </border>
    <border>
      <left style="medium">
        <color indexed="18"/>
      </left>
      <right style="thick">
        <color indexed="18"/>
      </right>
      <top style="thick">
        <color indexed="18"/>
      </top>
      <bottom style="hair">
        <color indexed="18"/>
      </bottom>
      <diagonal/>
    </border>
    <border>
      <left style="thick">
        <color indexed="18"/>
      </left>
      <right style="medium">
        <color indexed="18"/>
      </right>
      <top style="hair">
        <color indexed="18"/>
      </top>
      <bottom style="hair">
        <color indexed="18"/>
      </bottom>
      <diagonal/>
    </border>
    <border>
      <left style="medium">
        <color indexed="18"/>
      </left>
      <right style="thick">
        <color indexed="18"/>
      </right>
      <top style="hair">
        <color indexed="18"/>
      </top>
      <bottom style="hair">
        <color indexed="18"/>
      </bottom>
      <diagonal/>
    </border>
    <border>
      <left style="thick">
        <color indexed="18"/>
      </left>
      <right style="medium">
        <color indexed="18"/>
      </right>
      <top style="hair">
        <color indexed="18"/>
      </top>
      <bottom style="thick">
        <color indexed="18"/>
      </bottom>
      <diagonal/>
    </border>
    <border>
      <left style="medium">
        <color indexed="18"/>
      </left>
      <right style="thick">
        <color indexed="18"/>
      </right>
      <top style="hair">
        <color indexed="18"/>
      </top>
      <bottom style="thick">
        <color indexed="18"/>
      </bottom>
      <diagonal/>
    </border>
    <border>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double">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alignment vertical="top"/>
      <protection locked="0"/>
    </xf>
    <xf numFmtId="0" fontId="13" fillId="0" borderId="0"/>
    <xf numFmtId="0" fontId="2" fillId="0" borderId="0"/>
    <xf numFmtId="164" fontId="2" fillId="0" borderId="0" applyFont="0" applyFill="0" applyBorder="0" applyAlignment="0" applyProtection="0"/>
    <xf numFmtId="0" fontId="1" fillId="0" borderId="0"/>
    <xf numFmtId="166" fontId="1" fillId="0" borderId="0" applyFont="0" applyFill="0" applyBorder="0" applyAlignment="0" applyProtection="0"/>
    <xf numFmtId="168" fontId="1" fillId="0" borderId="0" applyFont="0" applyFill="0" applyBorder="0" applyAlignment="0" applyProtection="0"/>
  </cellStyleXfs>
  <cellXfs count="216">
    <xf numFmtId="0" fontId="0" fillId="0" borderId="0" xfId="0"/>
    <xf numFmtId="0" fontId="3" fillId="2" borderId="0" xfId="0" applyFont="1" applyFill="1"/>
    <xf numFmtId="0" fontId="4" fillId="2" borderId="0" xfId="0" applyFont="1" applyFill="1"/>
    <xf numFmtId="0" fontId="5" fillId="2" borderId="1" xfId="0" applyFont="1" applyFill="1" applyBorder="1" applyAlignment="1">
      <alignment horizontal="center"/>
    </xf>
    <xf numFmtId="0" fontId="5" fillId="2" borderId="2" xfId="0" applyFont="1" applyFill="1" applyBorder="1" applyAlignment="1">
      <alignment horizontal="center"/>
    </xf>
    <xf numFmtId="0" fontId="6" fillId="2" borderId="0" xfId="0" applyFont="1" applyFill="1" applyAlignment="1">
      <alignment horizontal="center" vertical="center" wrapText="1"/>
    </xf>
    <xf numFmtId="0" fontId="7" fillId="2" borderId="3" xfId="0" applyFont="1" applyFill="1" applyBorder="1"/>
    <xf numFmtId="0" fontId="7" fillId="2" borderId="4" xfId="0" applyFont="1" applyFill="1" applyBorder="1" applyAlignment="1">
      <alignment horizontal="center"/>
    </xf>
    <xf numFmtId="0" fontId="8" fillId="2" borderId="0" xfId="0" applyFont="1" applyFill="1"/>
    <xf numFmtId="0" fontId="7" fillId="2" borderId="5" xfId="0" applyFont="1" applyFill="1" applyBorder="1"/>
    <xf numFmtId="0" fontId="10" fillId="2" borderId="6" xfId="3" applyFont="1" applyFill="1" applyBorder="1" applyAlignment="1" applyProtection="1">
      <alignment horizontal="center"/>
    </xf>
    <xf numFmtId="0" fontId="7" fillId="2" borderId="7" xfId="0" applyFont="1" applyFill="1" applyBorder="1"/>
    <xf numFmtId="0" fontId="10" fillId="2" borderId="8" xfId="3" applyFont="1" applyFill="1" applyBorder="1" applyAlignment="1" applyProtection="1">
      <alignment horizontal="center"/>
    </xf>
    <xf numFmtId="0" fontId="7" fillId="2" borderId="0" xfId="0" applyFont="1" applyFill="1"/>
    <xf numFmtId="0" fontId="11" fillId="2" borderId="0" xfId="0" applyFont="1" applyFill="1" applyAlignment="1">
      <alignment horizontal="center"/>
    </xf>
    <xf numFmtId="0" fontId="7" fillId="2" borderId="0" xfId="0" applyFont="1" applyFill="1" applyAlignment="1">
      <alignment horizontal="center"/>
    </xf>
    <xf numFmtId="0" fontId="12" fillId="2" borderId="0" xfId="0" applyFont="1" applyFill="1"/>
    <xf numFmtId="0" fontId="13" fillId="2" borderId="0" xfId="0" applyFont="1" applyFill="1"/>
    <xf numFmtId="0" fontId="14" fillId="2" borderId="0" xfId="4" applyFont="1" applyFill="1"/>
    <xf numFmtId="0" fontId="14" fillId="2" borderId="0" xfId="4" applyFont="1" applyFill="1" applyAlignment="1">
      <alignment horizontal="center"/>
    </xf>
    <xf numFmtId="0" fontId="15" fillId="2" borderId="0" xfId="4" applyFont="1" applyFill="1"/>
    <xf numFmtId="164" fontId="14" fillId="2" borderId="0" xfId="1" applyFont="1" applyFill="1"/>
    <xf numFmtId="0" fontId="16" fillId="2" borderId="0" xfId="0" applyFont="1" applyFill="1"/>
    <xf numFmtId="0" fontId="16" fillId="2" borderId="0" xfId="0" applyFont="1" applyFill="1" applyAlignment="1">
      <alignment horizontal="left"/>
    </xf>
    <xf numFmtId="0" fontId="17" fillId="2" borderId="0" xfId="4" applyFont="1" applyFill="1" applyAlignment="1">
      <alignment horizontal="center"/>
    </xf>
    <xf numFmtId="0" fontId="17" fillId="2" borderId="0" xfId="4" applyFont="1" applyFill="1"/>
    <xf numFmtId="164" fontId="17" fillId="2" borderId="0" xfId="1" applyFont="1" applyFill="1"/>
    <xf numFmtId="0" fontId="18" fillId="2" borderId="0" xfId="4" applyFont="1" applyFill="1"/>
    <xf numFmtId="0" fontId="18" fillId="2" borderId="0" xfId="5" applyFont="1" applyFill="1" applyAlignment="1">
      <alignment horizontal="center"/>
    </xf>
    <xf numFmtId="0" fontId="18" fillId="2" borderId="9" xfId="5" applyFont="1" applyFill="1" applyBorder="1"/>
    <xf numFmtId="0" fontId="18" fillId="2" borderId="9" xfId="5" applyFont="1" applyFill="1" applyBorder="1" applyAlignment="1">
      <alignment horizontal="left"/>
    </xf>
    <xf numFmtId="164" fontId="18" fillId="2" borderId="9" xfId="6" applyFont="1" applyFill="1" applyBorder="1" applyAlignment="1">
      <alignment horizontal="center"/>
    </xf>
    <xf numFmtId="0" fontId="17" fillId="2" borderId="0" xfId="5" applyFont="1" applyFill="1"/>
    <xf numFmtId="0" fontId="17" fillId="2" borderId="0" xfId="5" applyFont="1" applyFill="1" applyAlignment="1">
      <alignment horizontal="left"/>
    </xf>
    <xf numFmtId="0" fontId="17" fillId="2" borderId="0" xfId="5" applyFont="1" applyFill="1" applyAlignment="1">
      <alignment horizontal="center"/>
    </xf>
    <xf numFmtId="0" fontId="11" fillId="2" borderId="0" xfId="5" applyFont="1" applyFill="1" applyAlignment="1">
      <alignment horizontal="center"/>
    </xf>
    <xf numFmtId="164" fontId="18" fillId="2" borderId="0" xfId="5" applyNumberFormat="1" applyFont="1" applyFill="1"/>
    <xf numFmtId="164" fontId="17" fillId="2" borderId="0" xfId="6" applyFont="1" applyFill="1"/>
    <xf numFmtId="164" fontId="17" fillId="2" borderId="0" xfId="6" applyFont="1" applyFill="1" applyBorder="1"/>
    <xf numFmtId="164" fontId="17" fillId="2" borderId="0" xfId="5" applyNumberFormat="1" applyFont="1" applyFill="1"/>
    <xf numFmtId="164" fontId="17" fillId="2" borderId="0" xfId="1" applyFont="1" applyFill="1" applyBorder="1"/>
    <xf numFmtId="164" fontId="17" fillId="2" borderId="0" xfId="4" applyNumberFormat="1" applyFont="1" applyFill="1"/>
    <xf numFmtId="4" fontId="17" fillId="2" borderId="0" xfId="5" applyNumberFormat="1" applyFont="1" applyFill="1"/>
    <xf numFmtId="0" fontId="19" fillId="2" borderId="0" xfId="4" applyFont="1" applyFill="1" applyAlignment="1">
      <alignment horizontal="right"/>
    </xf>
    <xf numFmtId="0" fontId="17" fillId="2" borderId="9" xfId="5" applyFont="1" applyFill="1" applyBorder="1" applyAlignment="1">
      <alignment horizontal="center"/>
    </xf>
    <xf numFmtId="0" fontId="18" fillId="2" borderId="9" xfId="5" applyFont="1" applyFill="1" applyBorder="1" applyAlignment="1">
      <alignment horizontal="center"/>
    </xf>
    <xf numFmtId="164" fontId="17" fillId="2" borderId="10" xfId="6" applyFont="1" applyFill="1" applyBorder="1"/>
    <xf numFmtId="0" fontId="11" fillId="2" borderId="0" xfId="4" applyFont="1" applyFill="1" applyAlignment="1">
      <alignment horizontal="center"/>
    </xf>
    <xf numFmtId="164" fontId="18" fillId="2" borderId="0" xfId="1" applyFont="1" applyFill="1" applyBorder="1"/>
    <xf numFmtId="4" fontId="21" fillId="3" borderId="0" xfId="5" applyNumberFormat="1" applyFont="1" applyFill="1" applyAlignment="1">
      <alignment vertical="center"/>
    </xf>
    <xf numFmtId="0" fontId="17" fillId="2" borderId="0" xfId="0" applyFont="1" applyFill="1"/>
    <xf numFmtId="9" fontId="17" fillId="2" borderId="0" xfId="6" applyNumberFormat="1" applyFont="1" applyFill="1" applyBorder="1"/>
    <xf numFmtId="9" fontId="17" fillId="2" borderId="0" xfId="5" applyNumberFormat="1" applyFont="1" applyFill="1"/>
    <xf numFmtId="0" fontId="18" fillId="2" borderId="0" xfId="5" applyFont="1" applyFill="1" applyAlignment="1">
      <alignment horizontal="left"/>
    </xf>
    <xf numFmtId="0" fontId="11" fillId="2" borderId="0" xfId="4" applyFont="1" applyFill="1" applyAlignment="1">
      <alignment horizontal="left"/>
    </xf>
    <xf numFmtId="0" fontId="11" fillId="2" borderId="0" xfId="4" applyFont="1" applyFill="1" applyAlignment="1">
      <alignment horizontal="right"/>
    </xf>
    <xf numFmtId="164" fontId="17" fillId="2" borderId="0" xfId="1" applyFont="1" applyFill="1" applyBorder="1" applyAlignment="1">
      <alignment horizontal="center"/>
    </xf>
    <xf numFmtId="164" fontId="11" fillId="2" borderId="0" xfId="1" applyFont="1" applyFill="1" applyBorder="1" applyAlignment="1">
      <alignment horizontal="center"/>
    </xf>
    <xf numFmtId="4" fontId="20" fillId="2" borderId="0" xfId="0" applyNumberFormat="1" applyFont="1" applyFill="1"/>
    <xf numFmtId="0" fontId="18" fillId="2" borderId="0" xfId="5" applyFont="1" applyFill="1" applyAlignment="1">
      <alignment horizontal="center" wrapText="1"/>
    </xf>
    <xf numFmtId="0" fontId="22" fillId="2" borderId="0" xfId="5" applyFont="1" applyFill="1"/>
    <xf numFmtId="10" fontId="17" fillId="2" borderId="0" xfId="2" applyNumberFormat="1" applyFont="1" applyFill="1" applyBorder="1" applyAlignment="1">
      <alignment horizontal="center"/>
    </xf>
    <xf numFmtId="0" fontId="17" fillId="2" borderId="10" xfId="5" applyFont="1" applyFill="1" applyBorder="1"/>
    <xf numFmtId="0" fontId="18" fillId="2" borderId="10" xfId="5" applyFont="1" applyFill="1" applyBorder="1" applyAlignment="1">
      <alignment horizontal="center"/>
    </xf>
    <xf numFmtId="0" fontId="11" fillId="2" borderId="10" xfId="5" applyFont="1" applyFill="1" applyBorder="1" applyAlignment="1">
      <alignment horizontal="center"/>
    </xf>
    <xf numFmtId="164" fontId="17" fillId="2" borderId="15" xfId="1" applyFont="1" applyFill="1" applyBorder="1"/>
    <xf numFmtId="0" fontId="18" fillId="2" borderId="0" xfId="0" applyFont="1" applyFill="1"/>
    <xf numFmtId="9" fontId="17" fillId="2" borderId="0" xfId="6" applyNumberFormat="1" applyFont="1" applyFill="1"/>
    <xf numFmtId="164" fontId="17" fillId="2" borderId="0" xfId="6" applyFont="1" applyFill="1" applyAlignment="1">
      <alignment horizontal="center"/>
    </xf>
    <xf numFmtId="164" fontId="17" fillId="2" borderId="10" xfId="1" applyFont="1" applyFill="1" applyBorder="1"/>
    <xf numFmtId="0" fontId="17" fillId="2" borderId="9" xfId="5" applyFont="1" applyFill="1" applyBorder="1"/>
    <xf numFmtId="164" fontId="17" fillId="2" borderId="9" xfId="6" applyFont="1" applyFill="1" applyBorder="1"/>
    <xf numFmtId="164" fontId="17" fillId="2" borderId="9" xfId="1" applyFont="1" applyFill="1" applyBorder="1"/>
    <xf numFmtId="14" fontId="23" fillId="4" borderId="0" xfId="7" applyNumberFormat="1" applyFont="1" applyFill="1" applyAlignment="1">
      <alignment horizontal="right"/>
    </xf>
    <xf numFmtId="167" fontId="24" fillId="4" borderId="0" xfId="7" applyNumberFormat="1" applyFont="1" applyFill="1"/>
    <xf numFmtId="4" fontId="24" fillId="4" borderId="0" xfId="7" applyNumberFormat="1" applyFont="1" applyFill="1"/>
    <xf numFmtId="0" fontId="25" fillId="2" borderId="0" xfId="0" applyFont="1" applyFill="1"/>
    <xf numFmtId="0" fontId="25" fillId="0" borderId="0" xfId="0" applyFont="1"/>
    <xf numFmtId="0" fontId="25" fillId="2" borderId="0" xfId="4" applyFont="1" applyFill="1"/>
    <xf numFmtId="0" fontId="26" fillId="2" borderId="0" xfId="0" applyFont="1" applyFill="1"/>
    <xf numFmtId="0" fontId="25" fillId="2" borderId="0" xfId="4" applyFont="1" applyFill="1" applyAlignment="1">
      <alignment horizontal="center"/>
    </xf>
    <xf numFmtId="0" fontId="27" fillId="2" borderId="0" xfId="4" applyFont="1" applyFill="1" applyAlignment="1">
      <alignment horizontal="right"/>
    </xf>
    <xf numFmtId="164" fontId="25" fillId="2" borderId="0" xfId="1" applyFont="1" applyFill="1"/>
    <xf numFmtId="0" fontId="26" fillId="2" borderId="0" xfId="0" applyFont="1" applyFill="1" applyAlignment="1">
      <alignment horizontal="left"/>
    </xf>
    <xf numFmtId="0" fontId="27" fillId="2" borderId="0" xfId="4" applyFont="1" applyFill="1"/>
    <xf numFmtId="0" fontId="27" fillId="2" borderId="0" xfId="5" applyFont="1" applyFill="1" applyAlignment="1">
      <alignment horizontal="center"/>
    </xf>
    <xf numFmtId="0" fontId="28" fillId="2" borderId="0" xfId="4" applyFont="1" applyFill="1"/>
    <xf numFmtId="0" fontId="26" fillId="2" borderId="0" xfId="4" applyFont="1" applyFill="1"/>
    <xf numFmtId="164" fontId="25" fillId="2" borderId="0" xfId="6" applyFont="1" applyFill="1" applyBorder="1"/>
    <xf numFmtId="164" fontId="25" fillId="2" borderId="0" xfId="6" applyFont="1" applyFill="1"/>
    <xf numFmtId="0" fontId="25" fillId="2" borderId="0" xfId="5" applyFont="1" applyFill="1"/>
    <xf numFmtId="0" fontId="26" fillId="2" borderId="0" xfId="5" applyFont="1" applyFill="1"/>
    <xf numFmtId="0" fontId="25" fillId="2" borderId="0" xfId="5" applyFont="1" applyFill="1" applyAlignment="1">
      <alignment horizontal="center"/>
    </xf>
    <xf numFmtId="164" fontId="27" fillId="2" borderId="0" xfId="6" applyFont="1" applyFill="1" applyBorder="1" applyAlignment="1">
      <alignment horizontal="center" wrapText="1"/>
    </xf>
    <xf numFmtId="0" fontId="27" fillId="2" borderId="9" xfId="5" applyFont="1" applyFill="1" applyBorder="1"/>
    <xf numFmtId="0" fontId="25" fillId="2" borderId="9" xfId="5" applyFont="1" applyFill="1" applyBorder="1" applyAlignment="1">
      <alignment horizontal="center"/>
    </xf>
    <xf numFmtId="0" fontId="27" fillId="2" borderId="9" xfId="5" applyFont="1" applyFill="1" applyBorder="1" applyAlignment="1">
      <alignment horizontal="center"/>
    </xf>
    <xf numFmtId="164" fontId="27" fillId="2" borderId="9" xfId="6" applyFont="1" applyFill="1" applyBorder="1" applyAlignment="1">
      <alignment horizontal="center"/>
    </xf>
    <xf numFmtId="164" fontId="27" fillId="2" borderId="0" xfId="5" applyNumberFormat="1" applyFont="1" applyFill="1"/>
    <xf numFmtId="0" fontId="29" fillId="2" borderId="0" xfId="5" applyFont="1" applyFill="1" applyAlignment="1">
      <alignment horizontal="center"/>
    </xf>
    <xf numFmtId="164" fontId="27" fillId="2" borderId="0" xfId="6" applyFont="1" applyFill="1" applyBorder="1" applyAlignment="1">
      <alignment horizontal="center"/>
    </xf>
    <xf numFmtId="4" fontId="25" fillId="2" borderId="0" xfId="5" applyNumberFormat="1" applyFont="1" applyFill="1" applyAlignment="1">
      <alignment vertical="center"/>
    </xf>
    <xf numFmtId="0" fontId="27" fillId="2" borderId="11" xfId="5" applyFont="1" applyFill="1" applyBorder="1"/>
    <xf numFmtId="0" fontId="27" fillId="2" borderId="12" xfId="5" applyFont="1" applyFill="1" applyBorder="1" applyAlignment="1">
      <alignment horizontal="center"/>
    </xf>
    <xf numFmtId="0" fontId="29" fillId="2" borderId="12" xfId="5" applyFont="1" applyFill="1" applyBorder="1" applyAlignment="1">
      <alignment horizontal="center"/>
    </xf>
    <xf numFmtId="4" fontId="27" fillId="2" borderId="13" xfId="5" applyNumberFormat="1" applyFont="1" applyFill="1" applyBorder="1" applyAlignment="1">
      <alignment vertical="center"/>
    </xf>
    <xf numFmtId="0" fontId="29" fillId="2" borderId="0" xfId="5" applyFont="1" applyFill="1" applyAlignment="1">
      <alignment horizontal="left"/>
    </xf>
    <xf numFmtId="0" fontId="29" fillId="2" borderId="0" xfId="5" applyFont="1" applyFill="1" applyAlignment="1">
      <alignment horizontal="right"/>
    </xf>
    <xf numFmtId="164" fontId="25" fillId="2" borderId="0" xfId="5" applyNumberFormat="1" applyFont="1" applyFill="1"/>
    <xf numFmtId="4" fontId="27" fillId="3" borderId="0" xfId="5" applyNumberFormat="1" applyFont="1" applyFill="1" applyAlignment="1">
      <alignment vertical="center"/>
    </xf>
    <xf numFmtId="4" fontId="25" fillId="2" borderId="0" xfId="5" applyNumberFormat="1" applyFont="1" applyFill="1"/>
    <xf numFmtId="164" fontId="27" fillId="2" borderId="13" xfId="1" applyFont="1" applyFill="1" applyBorder="1" applyAlignment="1">
      <alignment vertical="center"/>
    </xf>
    <xf numFmtId="0" fontId="27" fillId="2" borderId="0" xfId="4" applyFont="1" applyFill="1" applyAlignment="1">
      <alignment horizontal="center"/>
    </xf>
    <xf numFmtId="4" fontId="25" fillId="3" borderId="0" xfId="5" applyNumberFormat="1" applyFont="1" applyFill="1" applyAlignment="1">
      <alignment vertical="center"/>
    </xf>
    <xf numFmtId="164" fontId="25" fillId="2" borderId="0" xfId="4" applyNumberFormat="1" applyFont="1" applyFill="1"/>
    <xf numFmtId="164" fontId="27" fillId="2" borderId="0" xfId="6" applyFont="1" applyFill="1" applyBorder="1"/>
    <xf numFmtId="164" fontId="25" fillId="2" borderId="0" xfId="1" applyFont="1" applyFill="1" applyBorder="1"/>
    <xf numFmtId="0" fontId="25" fillId="2" borderId="0" xfId="5" applyFont="1" applyFill="1" applyAlignment="1">
      <alignment horizontal="left"/>
    </xf>
    <xf numFmtId="9" fontId="25" fillId="2" borderId="0" xfId="6" applyNumberFormat="1" applyFont="1" applyFill="1" applyBorder="1"/>
    <xf numFmtId="9" fontId="25" fillId="2" borderId="0" xfId="5" applyNumberFormat="1" applyFont="1" applyFill="1"/>
    <xf numFmtId="0" fontId="27" fillId="2" borderId="0" xfId="5" applyFont="1" applyFill="1" applyAlignment="1">
      <alignment horizontal="left"/>
    </xf>
    <xf numFmtId="0" fontId="27" fillId="2" borderId="0" xfId="4" applyFont="1" applyFill="1" applyAlignment="1">
      <alignment horizontal="left"/>
    </xf>
    <xf numFmtId="164" fontId="25" fillId="2" borderId="0" xfId="1" applyFont="1" applyFill="1" applyBorder="1" applyAlignment="1">
      <alignment horizontal="center"/>
    </xf>
    <xf numFmtId="164" fontId="25" fillId="2" borderId="0" xfId="6" applyFont="1" applyFill="1" applyBorder="1" applyAlignment="1">
      <alignment horizontal="right"/>
    </xf>
    <xf numFmtId="164" fontId="27" fillId="2" borderId="0" xfId="1" applyFont="1" applyFill="1" applyBorder="1" applyAlignment="1">
      <alignment horizontal="center"/>
    </xf>
    <xf numFmtId="4" fontId="25" fillId="2" borderId="0" xfId="0" applyNumberFormat="1" applyFont="1" applyFill="1"/>
    <xf numFmtId="0" fontId="27" fillId="2" borderId="0" xfId="5" applyFont="1" applyFill="1" applyAlignment="1">
      <alignment horizontal="center" wrapText="1"/>
    </xf>
    <xf numFmtId="10" fontId="25" fillId="2" borderId="0" xfId="2" applyNumberFormat="1" applyFont="1" applyFill="1" applyBorder="1" applyAlignment="1">
      <alignment horizontal="center"/>
    </xf>
    <xf numFmtId="164" fontId="27" fillId="2" borderId="0" xfId="1" applyFont="1" applyFill="1" applyBorder="1"/>
    <xf numFmtId="0" fontId="24" fillId="0" borderId="0" xfId="7" applyFont="1"/>
    <xf numFmtId="0" fontId="30" fillId="0" borderId="0" xfId="7" applyFont="1" applyAlignment="1">
      <alignment horizontal="left" vertical="center"/>
    </xf>
    <xf numFmtId="0" fontId="24" fillId="0" borderId="0" xfId="7" applyFont="1" applyAlignment="1">
      <alignment horizontal="center"/>
    </xf>
    <xf numFmtId="0" fontId="31" fillId="0" borderId="0" xfId="7" applyFont="1"/>
    <xf numFmtId="0" fontId="32" fillId="0" borderId="0" xfId="7" applyFont="1"/>
    <xf numFmtId="0" fontId="33" fillId="6" borderId="10" xfId="7" applyFont="1" applyFill="1" applyBorder="1"/>
    <xf numFmtId="0" fontId="34" fillId="7" borderId="0" xfId="7" applyFont="1" applyFill="1"/>
    <xf numFmtId="0" fontId="33" fillId="6" borderId="0" xfId="7" applyFont="1" applyFill="1"/>
    <xf numFmtId="0" fontId="35" fillId="0" borderId="0" xfId="7" applyFont="1" applyAlignment="1">
      <alignment horizontal="center"/>
    </xf>
    <xf numFmtId="166" fontId="24" fillId="0" borderId="0" xfId="8" applyFont="1"/>
    <xf numFmtId="14" fontId="24" fillId="0" borderId="0" xfId="7" applyNumberFormat="1" applyFont="1"/>
    <xf numFmtId="4" fontId="24" fillId="0" borderId="0" xfId="7" applyNumberFormat="1" applyFont="1"/>
    <xf numFmtId="167" fontId="24" fillId="0" borderId="0" xfId="7" applyNumberFormat="1" applyFont="1"/>
    <xf numFmtId="166" fontId="24" fillId="0" borderId="10" xfId="8" applyFont="1" applyBorder="1"/>
    <xf numFmtId="166" fontId="24" fillId="0" borderId="0" xfId="7" applyNumberFormat="1" applyFont="1"/>
    <xf numFmtId="0" fontId="31" fillId="0" borderId="0" xfId="7" applyFont="1" applyAlignment="1">
      <alignment horizontal="right"/>
    </xf>
    <xf numFmtId="4" fontId="31" fillId="8" borderId="0" xfId="7" applyNumberFormat="1" applyFont="1" applyFill="1"/>
    <xf numFmtId="0" fontId="36" fillId="0" borderId="0" xfId="7" applyFont="1" applyAlignment="1">
      <alignment horizontal="right"/>
    </xf>
    <xf numFmtId="4" fontId="24" fillId="0" borderId="16" xfId="7" applyNumberFormat="1" applyFont="1" applyBorder="1"/>
    <xf numFmtId="166" fontId="31" fillId="0" borderId="12" xfId="8" applyFont="1" applyBorder="1"/>
    <xf numFmtId="0" fontId="31" fillId="0" borderId="12" xfId="7" applyFont="1" applyBorder="1"/>
    <xf numFmtId="166" fontId="24" fillId="0" borderId="10" xfId="7" applyNumberFormat="1" applyFont="1" applyBorder="1"/>
    <xf numFmtId="4" fontId="31" fillId="0" borderId="0" xfId="7" applyNumberFormat="1" applyFont="1"/>
    <xf numFmtId="0" fontId="32" fillId="9" borderId="0" xfId="7" applyFont="1" applyFill="1"/>
    <xf numFmtId="4" fontId="24" fillId="10" borderId="0" xfId="7" applyNumberFormat="1" applyFont="1" applyFill="1"/>
    <xf numFmtId="0" fontId="24" fillId="0" borderId="16" xfId="7" applyFont="1" applyBorder="1"/>
    <xf numFmtId="166" fontId="31" fillId="0" borderId="12" xfId="7" applyNumberFormat="1" applyFont="1" applyBorder="1"/>
    <xf numFmtId="165" fontId="24" fillId="0" borderId="0" xfId="7" applyNumberFormat="1" applyFont="1"/>
    <xf numFmtId="14" fontId="24" fillId="10" borderId="0" xfId="7" applyNumberFormat="1" applyFont="1" applyFill="1"/>
    <xf numFmtId="0" fontId="24" fillId="10" borderId="0" xfId="7" applyFont="1" applyFill="1"/>
    <xf numFmtId="167" fontId="24" fillId="10" borderId="0" xfId="7" applyNumberFormat="1" applyFont="1" applyFill="1"/>
    <xf numFmtId="165" fontId="24" fillId="10" borderId="0" xfId="7" applyNumberFormat="1" applyFont="1" applyFill="1"/>
    <xf numFmtId="166" fontId="25" fillId="0" borderId="0" xfId="8" applyFont="1"/>
    <xf numFmtId="166" fontId="25" fillId="0" borderId="12" xfId="8" applyFont="1" applyBorder="1"/>
    <xf numFmtId="166" fontId="25" fillId="0" borderId="10" xfId="8" applyFont="1" applyBorder="1"/>
    <xf numFmtId="166" fontId="25" fillId="8" borderId="0" xfId="8" applyFont="1" applyFill="1"/>
    <xf numFmtId="166" fontId="31" fillId="8" borderId="0" xfId="7" applyNumberFormat="1" applyFont="1" applyFill="1"/>
    <xf numFmtId="166" fontId="24" fillId="0" borderId="9" xfId="8" applyFont="1" applyBorder="1"/>
    <xf numFmtId="168" fontId="24" fillId="10" borderId="0" xfId="9" applyFont="1" applyFill="1" applyBorder="1"/>
    <xf numFmtId="166" fontId="24" fillId="10" borderId="0" xfId="7" applyNumberFormat="1" applyFont="1" applyFill="1"/>
    <xf numFmtId="0" fontId="37" fillId="10" borderId="0" xfId="7" applyFont="1" applyFill="1"/>
    <xf numFmtId="0" fontId="34" fillId="7" borderId="0" xfId="7" applyFont="1" applyFill="1" applyAlignment="1">
      <alignment horizontal="center"/>
    </xf>
    <xf numFmtId="0" fontId="27" fillId="11" borderId="10" xfId="7" applyFont="1" applyFill="1" applyBorder="1"/>
    <xf numFmtId="0" fontId="18" fillId="13" borderId="0" xfId="5" applyFont="1" applyFill="1" applyAlignment="1">
      <alignment horizontal="left"/>
    </xf>
    <xf numFmtId="0" fontId="18" fillId="13" borderId="0" xfId="5" applyFont="1" applyFill="1" applyAlignment="1">
      <alignment horizontal="center"/>
    </xf>
    <xf numFmtId="0" fontId="18" fillId="13" borderId="0" xfId="5" applyFont="1" applyFill="1"/>
    <xf numFmtId="0" fontId="18" fillId="13" borderId="0" xfId="4" applyFont="1" applyFill="1"/>
    <xf numFmtId="164" fontId="18" fillId="13" borderId="0" xfId="6" applyFont="1" applyFill="1" applyBorder="1"/>
    <xf numFmtId="164" fontId="18" fillId="13" borderId="0" xfId="1" applyFont="1" applyFill="1" applyBorder="1"/>
    <xf numFmtId="164" fontId="27" fillId="2" borderId="0" xfId="5" applyNumberFormat="1" applyFont="1" applyFill="1" applyAlignment="1">
      <alignment horizontal="center"/>
    </xf>
    <xf numFmtId="0" fontId="25" fillId="2" borderId="0" xfId="5" applyFont="1" applyFill="1" applyAlignment="1">
      <alignment horizontal="right"/>
    </xf>
    <xf numFmtId="0" fontId="38" fillId="10" borderId="0" xfId="0" applyFont="1" applyFill="1"/>
    <xf numFmtId="0" fontId="40" fillId="0" borderId="0" xfId="7" applyFont="1" applyAlignment="1">
      <alignment horizontal="left" vertical="center"/>
    </xf>
    <xf numFmtId="0" fontId="24" fillId="0" borderId="0" xfId="7" applyFont="1" applyAlignment="1" applyProtection="1">
      <alignment horizontal="left" vertical="center" indent="1"/>
      <protection locked="0"/>
    </xf>
    <xf numFmtId="0" fontId="41" fillId="0" borderId="0" xfId="7" applyFont="1" applyAlignment="1" applyProtection="1">
      <alignment vertical="center"/>
      <protection locked="0"/>
    </xf>
    <xf numFmtId="14" fontId="40" fillId="0" borderId="0" xfId="7" applyNumberFormat="1" applyFont="1" applyAlignment="1">
      <alignment horizontal="left" vertical="center"/>
    </xf>
    <xf numFmtId="14" fontId="42" fillId="12" borderId="0" xfId="7" applyNumberFormat="1" applyFont="1" applyFill="1" applyAlignment="1">
      <alignment horizontal="center" vertical="center"/>
    </xf>
    <xf numFmtId="0" fontId="36" fillId="0" borderId="0" xfId="7" applyFont="1" applyAlignment="1">
      <alignment horizontal="center"/>
    </xf>
    <xf numFmtId="14" fontId="34" fillId="5" borderId="21" xfId="7" applyNumberFormat="1" applyFont="1" applyFill="1" applyBorder="1" applyAlignment="1">
      <alignment horizontal="center"/>
    </xf>
    <xf numFmtId="0" fontId="34" fillId="5" borderId="0" xfId="7" applyFont="1" applyFill="1" applyAlignment="1">
      <alignment horizontal="center"/>
    </xf>
    <xf numFmtId="14" fontId="24" fillId="0" borderId="21" xfId="7" applyNumberFormat="1" applyFont="1" applyBorder="1"/>
    <xf numFmtId="0" fontId="24" fillId="0" borderId="21" xfId="7" applyFont="1" applyBorder="1"/>
    <xf numFmtId="4" fontId="24" fillId="0" borderId="21" xfId="7" applyNumberFormat="1" applyFont="1" applyBorder="1"/>
    <xf numFmtId="14" fontId="24" fillId="0" borderId="14" xfId="7" applyNumberFormat="1" applyFont="1" applyBorder="1"/>
    <xf numFmtId="0" fontId="24" fillId="0" borderId="14" xfId="7" applyFont="1" applyBorder="1"/>
    <xf numFmtId="4" fontId="24" fillId="0" borderId="14" xfId="7" applyNumberFormat="1" applyFont="1" applyBorder="1"/>
    <xf numFmtId="14" fontId="24" fillId="0" borderId="19" xfId="7" applyNumberFormat="1" applyFont="1" applyBorder="1"/>
    <xf numFmtId="0" fontId="24" fillId="0" borderId="19" xfId="7" applyFont="1" applyBorder="1"/>
    <xf numFmtId="166" fontId="24" fillId="4" borderId="0" xfId="7" applyNumberFormat="1" applyFont="1" applyFill="1"/>
    <xf numFmtId="0" fontId="26" fillId="0" borderId="0" xfId="7" applyFont="1" applyAlignment="1">
      <alignment horizontal="center" vertical="center"/>
    </xf>
    <xf numFmtId="0" fontId="35" fillId="11" borderId="0" xfId="7" applyFont="1" applyFill="1"/>
    <xf numFmtId="0" fontId="35" fillId="11" borderId="18" xfId="7" applyFont="1" applyFill="1" applyBorder="1" applyAlignment="1">
      <alignment horizontal="center"/>
    </xf>
    <xf numFmtId="14" fontId="24" fillId="0" borderId="20" xfId="7" applyNumberFormat="1" applyFont="1" applyBorder="1"/>
    <xf numFmtId="166" fontId="38" fillId="0" borderId="21" xfId="8" applyFont="1" applyBorder="1"/>
    <xf numFmtId="166" fontId="38" fillId="0" borderId="17" xfId="8" applyFont="1" applyBorder="1"/>
    <xf numFmtId="0" fontId="24" fillId="0" borderId="17" xfId="7" applyFont="1" applyBorder="1"/>
    <xf numFmtId="166" fontId="38" fillId="0" borderId="14" xfId="8" applyFont="1" applyBorder="1"/>
    <xf numFmtId="166" fontId="38" fillId="0" borderId="18" xfId="8" applyFont="1" applyBorder="1"/>
    <xf numFmtId="0" fontId="24" fillId="0" borderId="18" xfId="7" applyFont="1" applyBorder="1"/>
    <xf numFmtId="0" fontId="39" fillId="10" borderId="0" xfId="0" applyFont="1" applyFill="1"/>
    <xf numFmtId="0" fontId="44" fillId="10" borderId="0" xfId="0" applyFont="1" applyFill="1"/>
    <xf numFmtId="0" fontId="45" fillId="0" borderId="0" xfId="7" applyFont="1" applyAlignment="1">
      <alignment horizontal="center"/>
    </xf>
    <xf numFmtId="164" fontId="18" fillId="10" borderId="0" xfId="6" applyFont="1" applyFill="1" applyAlignment="1">
      <alignment horizontal="center"/>
    </xf>
    <xf numFmtId="164" fontId="18" fillId="10" borderId="9" xfId="6" applyFont="1" applyFill="1" applyBorder="1" applyAlignment="1">
      <alignment horizontal="center"/>
    </xf>
    <xf numFmtId="0" fontId="18" fillId="2" borderId="0" xfId="4" applyFont="1" applyFill="1" applyAlignment="1">
      <alignment horizontal="center"/>
    </xf>
    <xf numFmtId="0" fontId="27" fillId="2" borderId="0" xfId="5" applyFont="1" applyFill="1" applyAlignment="1">
      <alignment horizontal="center"/>
    </xf>
    <xf numFmtId="0" fontId="31" fillId="11" borderId="0" xfId="7" applyFont="1" applyFill="1" applyAlignment="1">
      <alignment horizontal="center"/>
    </xf>
  </cellXfs>
  <cellStyles count="10">
    <cellStyle name="Comma" xfId="1" builtinId="3"/>
    <cellStyle name="Comma 2" xfId="8" xr:uid="{60AB6379-BD70-48CF-8236-882B374E51E9}"/>
    <cellStyle name="Comma_Provisión GCIAS Y GMP 2003" xfId="6" xr:uid="{952C7D95-DFDA-45AA-96BA-0EE23FA8F99D}"/>
    <cellStyle name="Currency 2" xfId="9" xr:uid="{78F642D0-3038-404A-B73F-FEA4524BED01}"/>
    <cellStyle name="Hyperlink" xfId="3" builtinId="8"/>
    <cellStyle name="Normal" xfId="0" builtinId="0"/>
    <cellStyle name="Normal 2" xfId="7" xr:uid="{302F412C-6FB1-48A1-91C7-89E321A41BD4}"/>
    <cellStyle name="Normal_Provisión GCIAS Y GMP 2003" xfId="5" xr:uid="{3FD6FC2E-4479-4F18-AC33-1F2B250D0688}"/>
    <cellStyle name="Normal_SHEET" xfId="4" xr:uid="{B0DE32E4-019C-4F2A-AADF-45B28967DF23}"/>
    <cellStyle name="Percent"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styles" Target="styles.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152400</xdr:rowOff>
    </xdr:from>
    <xdr:to>
      <xdr:col>3</xdr:col>
      <xdr:colOff>1117600</xdr:colOff>
      <xdr:row>8</xdr:row>
      <xdr:rowOff>76200</xdr:rowOff>
    </xdr:to>
    <xdr:pic>
      <xdr:nvPicPr>
        <xdr:cNvPr id="2" name="Picture 1">
          <a:extLst>
            <a:ext uri="{FF2B5EF4-FFF2-40B4-BE49-F238E27FC236}">
              <a16:creationId xmlns:a16="http://schemas.microsoft.com/office/drawing/2014/main" id="{1971BC82-BDF5-4A47-B1DE-51EE93CD8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52400"/>
          <a:ext cx="85090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57150</xdr:colOff>
      <xdr:row>7</xdr:row>
      <xdr:rowOff>69850</xdr:rowOff>
    </xdr:from>
    <xdr:to>
      <xdr:col>3</xdr:col>
      <xdr:colOff>1066800</xdr:colOff>
      <xdr:row>8</xdr:row>
      <xdr:rowOff>57150</xdr:rowOff>
    </xdr:to>
    <xdr:sp macro="" textlink="">
      <xdr:nvSpPr>
        <xdr:cNvPr id="3" name="Text Box 3">
          <a:extLst>
            <a:ext uri="{FF2B5EF4-FFF2-40B4-BE49-F238E27FC236}">
              <a16:creationId xmlns:a16="http://schemas.microsoft.com/office/drawing/2014/main" id="{C587E160-F520-4FCD-9CC4-7C41A7BF9D12}"/>
            </a:ext>
          </a:extLst>
        </xdr:cNvPr>
        <xdr:cNvSpPr txBox="1">
          <a:spLocks noChangeArrowheads="1"/>
        </xdr:cNvSpPr>
      </xdr:nvSpPr>
      <xdr:spPr bwMode="auto">
        <a:xfrm>
          <a:off x="7791450" y="1136650"/>
          <a:ext cx="1009650" cy="139700"/>
        </a:xfrm>
        <a:prstGeom prst="rect">
          <a:avLst/>
        </a:prstGeom>
        <a:solidFill>
          <a:srgbClr xmlns:mc="http://schemas.openxmlformats.org/markup-compatibility/2006" xmlns:a14="http://schemas.microsoft.com/office/drawing/2010/main" val="99CC00" mc:Ignorable="a14" a14:legacySpreadsheetColorIndex="50"/>
        </a:solidFill>
        <a:ln w="9525">
          <a:solidFill>
            <a:srgbClr xmlns:mc="http://schemas.openxmlformats.org/markup-compatibility/2006" xmlns:a14="http://schemas.microsoft.com/office/drawing/2010/main" val="99CC00" mc:Ignorable="a14" a14:legacySpreadsheetColorIndex="50"/>
          </a:solidFill>
          <a:miter lim="800000"/>
          <a:headEnd/>
          <a:tailEnd/>
        </a:ln>
      </xdr:spPr>
      <xdr:txBody>
        <a:bodyPr vertOverflow="clip" wrap="square" lIns="0" tIns="22860" rIns="36576" bIns="0" anchor="t" upright="1"/>
        <a:lstStyle/>
        <a:p>
          <a:pPr algn="r" rtl="0">
            <a:defRPr sz="1000"/>
          </a:pPr>
          <a:r>
            <a:rPr lang="en-US" sz="800" b="0" i="1" u="none" strike="noStrike" baseline="0">
              <a:solidFill>
                <a:srgbClr val="000080"/>
              </a:solidFill>
              <a:latin typeface="Arial"/>
              <a:cs typeface="Arial"/>
            </a:rPr>
            <a:t>Versión al 03/2006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9</xdr:col>
      <xdr:colOff>659676</xdr:colOff>
      <xdr:row>8</xdr:row>
      <xdr:rowOff>95250</xdr:rowOff>
    </xdr:to>
    <xdr:pic>
      <xdr:nvPicPr>
        <xdr:cNvPr id="2" name="Picture 1">
          <a:extLst>
            <a:ext uri="{FF2B5EF4-FFF2-40B4-BE49-F238E27FC236}">
              <a16:creationId xmlns:a16="http://schemas.microsoft.com/office/drawing/2014/main" id="{EBCE302F-9AA0-422A-9AFE-28AE342D9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550" y="152400"/>
          <a:ext cx="867410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31750</xdr:colOff>
      <xdr:row>1</xdr:row>
      <xdr:rowOff>0</xdr:rowOff>
    </xdr:from>
    <xdr:to>
      <xdr:col>10</xdr:col>
      <xdr:colOff>76200</xdr:colOff>
      <xdr:row>6</xdr:row>
      <xdr:rowOff>114300</xdr:rowOff>
    </xdr:to>
    <xdr:pic>
      <xdr:nvPicPr>
        <xdr:cNvPr id="2" name="Picture 4">
          <a:extLst>
            <a:ext uri="{FF2B5EF4-FFF2-40B4-BE49-F238E27FC236}">
              <a16:creationId xmlns:a16="http://schemas.microsoft.com/office/drawing/2014/main" id="{B499CB65-D653-4E9E-B6E5-873968BBB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158750"/>
          <a:ext cx="8515350" cy="103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66674</xdr:colOff>
      <xdr:row>7</xdr:row>
      <xdr:rowOff>111124</xdr:rowOff>
    </xdr:from>
    <xdr:to>
      <xdr:col>10</xdr:col>
      <xdr:colOff>205946</xdr:colOff>
      <xdr:row>24</xdr:row>
      <xdr:rowOff>102973</xdr:rowOff>
    </xdr:to>
    <xdr:sp macro="" textlink="">
      <xdr:nvSpPr>
        <xdr:cNvPr id="3" name="TextBox 2">
          <a:extLst>
            <a:ext uri="{FF2B5EF4-FFF2-40B4-BE49-F238E27FC236}">
              <a16:creationId xmlns:a16="http://schemas.microsoft.com/office/drawing/2014/main" id="{9E139395-634B-5467-E468-941273D73272}"/>
            </a:ext>
          </a:extLst>
        </xdr:cNvPr>
        <xdr:cNvSpPr txBox="1"/>
      </xdr:nvSpPr>
      <xdr:spPr>
        <a:xfrm>
          <a:off x="392755" y="1372543"/>
          <a:ext cx="8608799" cy="3055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rgbClr val="FF0000"/>
              </a:solidFill>
              <a:effectLst/>
              <a:latin typeface="Calibri" panose="020F0502020204030204" pitchFamily="34" charset="0"/>
              <a:ea typeface="Calibri" panose="020F0502020204030204" pitchFamily="34" charset="0"/>
              <a:cs typeface="Calibri" panose="020F0502020204030204" pitchFamily="34" charset="0"/>
            </a:rPr>
            <a:t>Nota:</a:t>
          </a:r>
          <a:br>
            <a:rPr lang="en-US"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br>
          <a:r>
            <a:rPr lang="en-US"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Artículo 107 LIG:</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El mismo indica que </a:t>
          </a:r>
          <a:r>
            <a:rPr lang="es-MX"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las acciones, valores representativos y certificados de depósito de acciones y demás valores, cuotas y participaciones sociales, cuotapartes de fondos comunes de inversión y certificados de participación de fideicomisos financieros y cualquier otro derecho sobre fideicomisos y contratos similares quedan excluidas de la valuación que establece el mismo; por lo cual, </a:t>
          </a:r>
          <a:r>
            <a:rPr lang="es-MX" sz="11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se entiende que las cuotas partes de FCI y Certificado de Part. de fideicomisos financieros serán valuados a su costo de adquisición.</a:t>
          </a:r>
          <a:br>
            <a:rPr lang="es-MX" sz="1100" b="1" i="1">
              <a:solidFill>
                <a:schemeClr val="dk1"/>
              </a:solidFill>
              <a:effectLst/>
              <a:latin typeface="Calibri" panose="020F0502020204030204" pitchFamily="34" charset="0"/>
              <a:ea typeface="Calibri" panose="020F0502020204030204" pitchFamily="34" charset="0"/>
              <a:cs typeface="Calibri" panose="020F0502020204030204" pitchFamily="34" charset="0"/>
            </a:rPr>
          </a:br>
          <a:endParaRPr lang="en-US" sz="1100" b="1"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"Artículo 65 LIG:  </a:t>
          </a:r>
          <a:r>
            <a:rPr lang="en-US"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Cuando</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se enajenen acciones, cuotas o participaciones sociales, incluidas las cuotas partes de fondos comunes de inversión, la ganancia bruta se </a:t>
          </a:r>
          <a:r>
            <a:rPr lang="en-US"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determinará</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deduciendo del precio de transferencia el costo de adquisición actualizado, mediante la aplicación de los índices mencionados en el artículo 93, desde la fecha de adquisición hasta la fecha de transferencia. Tratándose de acciones liberadas se tomará como costo de adquisición su valor nominal actualizado. A tales fines se considerará, sin admitir prueba en contrario, que los bienes enajenados corresponden a las adquisiciones más antiguas de su misma especie y calidad."</a:t>
          </a:r>
          <a:b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br>
          <a:endPar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"Artículo</a:t>
          </a:r>
          <a:r>
            <a:rPr lang="en-US" sz="1100" b="0"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66</a:t>
          </a:r>
          <a:r>
            <a:rPr lang="en-US" sz="1100" b="0"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LIG:</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Cuando se hubieran entregado señas o anticipos a cuenta que congelen precio, con anterioridad a la fecha de adquisición de los bienes a que se refieren </a:t>
          </a:r>
          <a:r>
            <a:rPr lang="en-US"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los</a:t>
          </a:r>
          <a:r>
            <a:rPr lang="en-US" sz="11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artículos 62 a 65, a los fines de la determinación del costo de adquisición se adicionará el importe de las actualizaciones de dichos conceptos, calculadas mediante la aplicación de los índices mencionados en el artículo 93, desde la fecha en que se hubieran hecho efectivos hasta la fecha de adquisición."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xdr:colOff>
      <xdr:row>4</xdr:row>
      <xdr:rowOff>167640</xdr:rowOff>
    </xdr:from>
    <xdr:to>
      <xdr:col>8</xdr:col>
      <xdr:colOff>0</xdr:colOff>
      <xdr:row>7</xdr:row>
      <xdr:rowOff>167640</xdr:rowOff>
    </xdr:to>
    <xdr:sp macro="[6]!Calcular_Peps" textlink="">
      <xdr:nvSpPr>
        <xdr:cNvPr id="2" name="Rectangle: Rounded Corners 1">
          <a:extLst>
            <a:ext uri="{FF2B5EF4-FFF2-40B4-BE49-F238E27FC236}">
              <a16:creationId xmlns:a16="http://schemas.microsoft.com/office/drawing/2014/main" id="{B6DDD609-BACE-4684-99AA-8425E6A4CE8F}"/>
            </a:ext>
          </a:extLst>
        </xdr:cNvPr>
        <xdr:cNvSpPr/>
      </xdr:nvSpPr>
      <xdr:spPr>
        <a:xfrm>
          <a:off x="6938010" y="904240"/>
          <a:ext cx="352806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Calcular</a:t>
          </a:r>
        </a:p>
      </xdr:txBody>
    </xdr:sp>
    <xdr:clientData/>
  </xdr:twoCellAnchor>
  <xdr:twoCellAnchor>
    <xdr:from>
      <xdr:col>8</xdr:col>
      <xdr:colOff>9710</xdr:colOff>
      <xdr:row>12</xdr:row>
      <xdr:rowOff>37723</xdr:rowOff>
    </xdr:from>
    <xdr:to>
      <xdr:col>18</xdr:col>
      <xdr:colOff>66841</xdr:colOff>
      <xdr:row>33</xdr:row>
      <xdr:rowOff>83553</xdr:rowOff>
    </xdr:to>
    <xdr:sp macro="" textlink="">
      <xdr:nvSpPr>
        <xdr:cNvPr id="3" name="TextBox 2">
          <a:extLst>
            <a:ext uri="{FF2B5EF4-FFF2-40B4-BE49-F238E27FC236}">
              <a16:creationId xmlns:a16="http://schemas.microsoft.com/office/drawing/2014/main" id="{1289749C-C0FD-B9E1-EA70-015938FB5863}"/>
            </a:ext>
          </a:extLst>
        </xdr:cNvPr>
        <xdr:cNvSpPr txBox="1"/>
      </xdr:nvSpPr>
      <xdr:spPr>
        <a:xfrm>
          <a:off x="8649052" y="2243512"/>
          <a:ext cx="6156473" cy="39059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ea typeface="Calibri" panose="020F0502020204030204" pitchFamily="34" charset="0"/>
              <a:cs typeface="Calibri" panose="020F0502020204030204" pitchFamily="34" charset="0"/>
            </a:rPr>
            <a:t>Saldo Inicial:</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En la Tabla de "Saldo Inicial" debemos</a:t>
          </a:r>
          <a:r>
            <a:rPr lang="en-US" sz="1100" baseline="0">
              <a:latin typeface="Calibri" panose="020F0502020204030204" pitchFamily="34" charset="0"/>
              <a:ea typeface="Calibri" panose="020F0502020204030204" pitchFamily="34" charset="0"/>
              <a:cs typeface="Calibri" panose="020F0502020204030204" pitchFamily="34" charset="0"/>
            </a:rPr>
            <a:t> informar la valuación impositiva de la existencia final de Fondos Comunes de Inversión informados en la DDJJ IG del año anterior.</a:t>
          </a:r>
          <a:br>
            <a:rPr lang="en-US" sz="1100" baseline="0">
              <a:latin typeface="Calibri" panose="020F0502020204030204" pitchFamily="34" charset="0"/>
              <a:ea typeface="Calibri" panose="020F0502020204030204" pitchFamily="34" charset="0"/>
              <a:cs typeface="Calibri" panose="020F0502020204030204" pitchFamily="34" charset="0"/>
            </a:rPr>
          </a:br>
          <a:br>
            <a:rPr lang="en-US" sz="1100" baseline="0">
              <a:latin typeface="Calibri" panose="020F0502020204030204" pitchFamily="34" charset="0"/>
              <a:ea typeface="Calibri" panose="020F0502020204030204" pitchFamily="34" charset="0"/>
              <a:cs typeface="Calibri" panose="020F0502020204030204" pitchFamily="34" charset="0"/>
            </a:rPr>
          </a:br>
          <a:r>
            <a:rPr lang="en-US" sz="1100" b="1"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Puntos relevantes para el correcto funcionamiento del template:</a:t>
          </a:r>
          <a:br>
            <a:rPr lang="en-US" sz="1100" baseline="0">
              <a:latin typeface="Calibri" panose="020F0502020204030204" pitchFamily="34" charset="0"/>
              <a:ea typeface="Calibri" panose="020F0502020204030204" pitchFamily="34" charset="0"/>
              <a:cs typeface="Calibri" panose="020F0502020204030204" pitchFamily="34" charset="0"/>
            </a:rPr>
          </a:br>
          <a:endParaRPr lang="en-US" sz="11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US" sz="11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 Fecha de adquisición de las cuotas partes con formato DD/MM/AAAA.</a:t>
          </a:r>
        </a:p>
        <a:p>
          <a:br>
            <a:rPr lang="en-US" sz="11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br>
          <a:r>
            <a:rPr lang="en-US" sz="1100"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[2]</a:t>
          </a:r>
          <a:r>
            <a:rPr lang="en-US" sz="11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Especie</a:t>
          </a:r>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El nombre de cada Fondo debe coincidir exactamente. A continuación exponemos un ejemplo de un posible error: </a:t>
          </a:r>
          <a:endParaRPr lang="en-US">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Nombre de la Especie: "Citibank"</a:t>
          </a:r>
          <a:endParaRPr lang="en-US">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Nombre de la Especie: "Citi bank"</a:t>
          </a:r>
          <a:endParaRPr lang="en-US">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[3] Cantidad de Cuotas Partes al cierre del LY.</a:t>
          </a:r>
          <a:br>
            <a:rPr lang="en-US" sz="1100" baseline="0">
              <a:latin typeface="Calibri" panose="020F0502020204030204" pitchFamily="34" charset="0"/>
              <a:ea typeface="Calibri" panose="020F0502020204030204" pitchFamily="34" charset="0"/>
              <a:cs typeface="Calibri" panose="020F0502020204030204" pitchFamily="34" charset="0"/>
            </a:rPr>
          </a:br>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[4] Valuacion Impositiva correspondiente a cada fecha de cada FCI.</a:t>
          </a:r>
          <a:br>
            <a:rPr lang="en-US" sz="1100" baseline="0">
              <a:latin typeface="Calibri" panose="020F0502020204030204" pitchFamily="34" charset="0"/>
              <a:ea typeface="Calibri" panose="020F0502020204030204" pitchFamily="34" charset="0"/>
              <a:cs typeface="Calibri" panose="020F0502020204030204" pitchFamily="34" charset="0"/>
            </a:rPr>
          </a:br>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[5] Valuación impositiva unitaria ( costo de adquisicón) de los FCI.</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Cabe destacar que los mismos se deben pegar a valores.</a:t>
          </a:r>
        </a:p>
      </xdr:txBody>
    </xdr:sp>
    <xdr:clientData/>
  </xdr:twoCellAnchor>
  <xdr:twoCellAnchor>
    <xdr:from>
      <xdr:col>8</xdr:col>
      <xdr:colOff>102719</xdr:colOff>
      <xdr:row>41</xdr:row>
      <xdr:rowOff>37353</xdr:rowOff>
    </xdr:from>
    <xdr:to>
      <xdr:col>21</xdr:col>
      <xdr:colOff>168087</xdr:colOff>
      <xdr:row>61</xdr:row>
      <xdr:rowOff>0</xdr:rowOff>
    </xdr:to>
    <xdr:sp macro="" textlink="">
      <xdr:nvSpPr>
        <xdr:cNvPr id="4" name="TextBox 3">
          <a:extLst>
            <a:ext uri="{FF2B5EF4-FFF2-40B4-BE49-F238E27FC236}">
              <a16:creationId xmlns:a16="http://schemas.microsoft.com/office/drawing/2014/main" id="{F2FCCE2F-1109-C78B-2B48-B7AE5DA4DC42}"/>
            </a:ext>
          </a:extLst>
        </xdr:cNvPr>
        <xdr:cNvSpPr txBox="1"/>
      </xdr:nvSpPr>
      <xdr:spPr>
        <a:xfrm>
          <a:off x="8749925" y="7321177"/>
          <a:ext cx="7956177" cy="3697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ea typeface="Calibri" panose="020F0502020204030204" pitchFamily="34" charset="0"/>
              <a:cs typeface="Calibri" panose="020F0502020204030204" pitchFamily="34" charset="0"/>
            </a:rPr>
            <a:t>Movimientos:</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En la tabla de</a:t>
          </a:r>
          <a:r>
            <a:rPr lang="en-US" sz="1100" baseline="0">
              <a:latin typeface="Calibri" panose="020F0502020204030204" pitchFamily="34" charset="0"/>
              <a:ea typeface="Calibri" panose="020F0502020204030204" pitchFamily="34" charset="0"/>
              <a:cs typeface="Calibri" panose="020F0502020204030204" pitchFamily="34" charset="0"/>
            </a:rPr>
            <a:t> "Movimientos" debemos exponer la información de los extractos bancarios provistos por La Compañia. </a:t>
          </a:r>
          <a:br>
            <a:rPr lang="en-US" sz="1100" baseline="0">
              <a:latin typeface="Calibri" panose="020F0502020204030204" pitchFamily="34" charset="0"/>
              <a:ea typeface="Calibri" panose="020F0502020204030204" pitchFamily="34" charset="0"/>
              <a:cs typeface="Calibri" panose="020F0502020204030204" pitchFamily="34" charset="0"/>
            </a:rPr>
          </a:br>
          <a:br>
            <a:rPr lang="en-US" sz="1100" baseline="0">
              <a:latin typeface="Calibri" panose="020F0502020204030204" pitchFamily="34" charset="0"/>
              <a:ea typeface="Calibri" panose="020F0502020204030204" pitchFamily="34" charset="0"/>
              <a:cs typeface="Calibri" panose="020F0502020204030204" pitchFamily="34" charset="0"/>
            </a:rPr>
          </a:br>
          <a:r>
            <a:rPr lang="en-US" sz="1100" baseline="0">
              <a:latin typeface="Calibri" panose="020F0502020204030204" pitchFamily="34" charset="0"/>
              <a:ea typeface="Calibri" panose="020F0502020204030204" pitchFamily="34" charset="0"/>
              <a:cs typeface="Calibri" panose="020F0502020204030204" pitchFamily="34" charset="0"/>
            </a:rPr>
            <a:t>Los mismos deben contener las fechas de suscripción y rescate, tipo, cantidad de cuotas partes y el costo de adquisicón total por operación .</a:t>
          </a:r>
          <a:br>
            <a:rPr lang="en-US" sz="1100" baseline="0">
              <a:latin typeface="Calibri" panose="020F0502020204030204" pitchFamily="34" charset="0"/>
              <a:ea typeface="Calibri" panose="020F0502020204030204" pitchFamily="34" charset="0"/>
              <a:cs typeface="Calibri" panose="020F0502020204030204" pitchFamily="34" charset="0"/>
            </a:rPr>
          </a:br>
          <a:br>
            <a:rPr lang="en-US" sz="1100" baseline="0">
              <a:latin typeface="Calibri" panose="020F0502020204030204" pitchFamily="34" charset="0"/>
              <a:ea typeface="Calibri" panose="020F0502020204030204" pitchFamily="34" charset="0"/>
              <a:cs typeface="Calibri" panose="020F0502020204030204" pitchFamily="34" charset="0"/>
            </a:rPr>
          </a:br>
          <a:r>
            <a:rPr lang="en-US" sz="1100" b="1" i="1" baseline="0">
              <a:latin typeface="Calibri" panose="020F0502020204030204" pitchFamily="34" charset="0"/>
              <a:ea typeface="Calibri" panose="020F0502020204030204" pitchFamily="34" charset="0"/>
              <a:cs typeface="Calibri" panose="020F0502020204030204" pitchFamily="34" charset="0"/>
            </a:rPr>
            <a:t>Puntos relevantes para el correcto funcionamiento del template:</a:t>
          </a:r>
          <a:br>
            <a:rPr lang="en-US" sz="1100" baseline="0">
              <a:latin typeface="Calibri" panose="020F0502020204030204" pitchFamily="34" charset="0"/>
              <a:ea typeface="Calibri" panose="020F0502020204030204" pitchFamily="34" charset="0"/>
              <a:cs typeface="Calibri" panose="020F0502020204030204" pitchFamily="34" charset="0"/>
            </a:rPr>
          </a:br>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[1] Fecha: Exponer las fechas en las que hubo movimientos con formato DD/MM/AAAA.</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[2] Especie: El nombre de cada Fondo debe coincidir exactamente. A continuación exponemos un ejemplo de un posible error: </a:t>
          </a:r>
          <a:endParaRPr lang="en-US">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Nombre de la Especie: "Citibank"</a:t>
          </a:r>
          <a:endParaRPr lang="en-US">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Nombre de la Especie: "Citi bank"</a:t>
          </a:r>
          <a:endParaRPr lang="en-US">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[3] Cantidad de cuotas Cuotas Partes: Se deben infomrar las suscripciones con signo (</a:t>
          </a:r>
          <a:r>
            <a:rPr lang="en-US" sz="1100" b="1" baseline="0">
              <a:latin typeface="Calibri" panose="020F0502020204030204" pitchFamily="34" charset="0"/>
              <a:ea typeface="Calibri" panose="020F0502020204030204" pitchFamily="34" charset="0"/>
              <a:cs typeface="Calibri" panose="020F0502020204030204" pitchFamily="34" charset="0"/>
            </a:rPr>
            <a:t>+</a:t>
          </a:r>
          <a:r>
            <a:rPr lang="en-US" sz="1100" baseline="0">
              <a:latin typeface="Calibri" panose="020F0502020204030204" pitchFamily="34" charset="0"/>
              <a:ea typeface="Calibri" panose="020F0502020204030204" pitchFamily="34" charset="0"/>
              <a:cs typeface="Calibri" panose="020F0502020204030204" pitchFamily="34" charset="0"/>
            </a:rPr>
            <a:t>) y los rescates con signo (</a:t>
          </a:r>
          <a:r>
            <a:rPr lang="en-US" sz="1100" b="1" baseline="0">
              <a:latin typeface="Calibri" panose="020F0502020204030204" pitchFamily="34" charset="0"/>
              <a:ea typeface="Calibri" panose="020F0502020204030204" pitchFamily="34" charset="0"/>
              <a:cs typeface="Calibri" panose="020F0502020204030204" pitchFamily="34" charset="0"/>
            </a:rPr>
            <a:t>-</a:t>
          </a:r>
          <a:r>
            <a:rPr lang="en-US" sz="1100" baseline="0">
              <a:latin typeface="Calibri" panose="020F0502020204030204" pitchFamily="34" charset="0"/>
              <a:ea typeface="Calibri" panose="020F0502020204030204" pitchFamily="34" charset="0"/>
              <a:cs typeface="Calibri" panose="020F0502020204030204" pitchFamily="34" charset="0"/>
            </a:rPr>
            <a:t>).</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[4]</a:t>
          </a:r>
          <a:r>
            <a:rPr lang="en-US" sz="1100" baseline="0">
              <a:latin typeface="Calibri" panose="020F0502020204030204" pitchFamily="34" charset="0"/>
              <a:ea typeface="Calibri" panose="020F0502020204030204" pitchFamily="34" charset="0"/>
              <a:cs typeface="Calibri" panose="020F0502020204030204" pitchFamily="34" charset="0"/>
            </a:rPr>
            <a:t> Se debe informar el importe de la operación en la fecha.</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5) Precio Unitario: </a:t>
          </a:r>
          <a:r>
            <a:rPr lang="en-US" sz="11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No completar. É</a:t>
          </a:r>
          <a:r>
            <a:rPr lang="en-US" sz="1100" baseline="0">
              <a:latin typeface="Calibri" panose="020F0502020204030204" pitchFamily="34" charset="0"/>
              <a:ea typeface="Calibri" panose="020F0502020204030204" pitchFamily="34" charset="0"/>
              <a:cs typeface="Calibri" panose="020F0502020204030204" pitchFamily="34" charset="0"/>
            </a:rPr>
            <a:t>sta columna es calculada por la herramienta automaticamente al clickear el boton "Calcular". </a:t>
          </a:r>
        </a:p>
        <a:p>
          <a:endParaRPr lang="en-US" sz="1100" baseline="0"/>
        </a:p>
        <a:p>
          <a:endParaRPr 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6</xdr:row>
      <xdr:rowOff>97014</xdr:rowOff>
    </xdr:from>
    <xdr:to>
      <xdr:col>13</xdr:col>
      <xdr:colOff>26458</xdr:colOff>
      <xdr:row>16</xdr:row>
      <xdr:rowOff>44099</xdr:rowOff>
    </xdr:to>
    <xdr:sp macro="" textlink="">
      <xdr:nvSpPr>
        <xdr:cNvPr id="2" name="TextBox 1">
          <a:extLst>
            <a:ext uri="{FF2B5EF4-FFF2-40B4-BE49-F238E27FC236}">
              <a16:creationId xmlns:a16="http://schemas.microsoft.com/office/drawing/2014/main" id="{6633FC6D-1C24-926A-8735-824FC30E8CCC}"/>
            </a:ext>
          </a:extLst>
        </xdr:cNvPr>
        <xdr:cNvSpPr txBox="1"/>
      </xdr:nvSpPr>
      <xdr:spPr>
        <a:xfrm>
          <a:off x="608541" y="1208264"/>
          <a:ext cx="14119931" cy="1799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50" b="1">
            <a:latin typeface="Calibri" panose="020F0502020204030204" pitchFamily="34" charset="0"/>
            <a:ea typeface="Calibri" panose="020F0502020204030204" pitchFamily="34" charset="0"/>
            <a:cs typeface="Calibri" panose="020F0502020204030204" pitchFamily="34" charset="0"/>
          </a:endParaRPr>
        </a:p>
        <a:p>
          <a:r>
            <a:rPr lang="en-US" sz="1050" b="0" i="1">
              <a:latin typeface="Calibri" panose="020F0502020204030204" pitchFamily="34" charset="0"/>
              <a:ea typeface="Calibri" panose="020F0502020204030204" pitchFamily="34" charset="0"/>
              <a:cs typeface="Calibri" panose="020F0502020204030204" pitchFamily="34" charset="0"/>
            </a:rPr>
            <a:t>"Articulo</a:t>
          </a:r>
          <a:r>
            <a:rPr lang="en-US" sz="1050" b="0" i="1" baseline="0">
              <a:latin typeface="Calibri" panose="020F0502020204030204" pitchFamily="34" charset="0"/>
              <a:ea typeface="Calibri" panose="020F0502020204030204" pitchFamily="34" charset="0"/>
              <a:cs typeface="Calibri" panose="020F0502020204030204" pitchFamily="34" charset="0"/>
            </a:rPr>
            <a:t> 106: (...) </a:t>
          </a:r>
        </a:p>
        <a:p>
          <a:endParaRPr lang="en-US" sz="1050" b="0" i="1" baseline="0">
            <a:latin typeface="Calibri" panose="020F0502020204030204" pitchFamily="34" charset="0"/>
            <a:ea typeface="Calibri" panose="020F0502020204030204" pitchFamily="34" charset="0"/>
            <a:cs typeface="Calibri" panose="020F0502020204030204" pitchFamily="34" charset="0"/>
          </a:endParaRPr>
        </a:p>
        <a:p>
          <a:r>
            <a:rPr lang="en-US" sz="1050" b="0" i="1">
              <a:solidFill>
                <a:schemeClr val="dk1"/>
              </a:solidFill>
              <a:effectLst/>
              <a:latin typeface="Calibri" panose="020F0502020204030204" pitchFamily="34" charset="0"/>
              <a:ea typeface="Calibri" panose="020F0502020204030204" pitchFamily="34" charset="0"/>
              <a:cs typeface="Calibri" panose="020F0502020204030204" pitchFamily="34" charset="0"/>
            </a:rPr>
            <a:t>d) Al ajuste que resulte por aplicación del inciso c) se le sumarán o restarán, según corresponda, los importes que se indican en los párrafos siguientes:</a:t>
          </a:r>
        </a:p>
        <a:p>
          <a:r>
            <a:rPr lang="en-US" sz="1050" b="0" i="1">
              <a:solidFill>
                <a:schemeClr val="dk1"/>
              </a:solidFill>
              <a:effectLst/>
              <a:latin typeface="Calibri" panose="020F0502020204030204" pitchFamily="34" charset="0"/>
              <a:ea typeface="Calibri" panose="020F0502020204030204" pitchFamily="34" charset="0"/>
              <a:cs typeface="Calibri" panose="020F0502020204030204" pitchFamily="34" charset="0"/>
            </a:rPr>
            <a:t>I. Como ajuste positivo, el importe de las actualizaciones calculadas aplicando el Índice de Precios al Consumidor Nivel General (IPC)</a:t>
          </a:r>
          <a:r>
            <a:rPr lang="en-US" sz="1050" b="0" i="1" u="none" strike="noStrike" baseline="30000">
              <a:solidFill>
                <a:schemeClr val="dk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(28) </a:t>
          </a:r>
          <a:r>
            <a:rPr lang="en-US" sz="105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suministrado por el Instituto Nacional de Estadística y Censos, teniendo en cuenta la variación operada entre el mes del efectivo retiro, pago, adquisición, incorporación o desafectación, según corresponda, hasta el mes de cierre del ejercicio que se liquida, sobre los importes de:</a:t>
          </a:r>
          <a:br>
            <a:rPr lang="en-US" sz="1050" b="0" i="1">
              <a:solidFill>
                <a:schemeClr val="dk1"/>
              </a:solidFill>
              <a:effectLst/>
              <a:latin typeface="Calibri" panose="020F0502020204030204" pitchFamily="34" charset="0"/>
              <a:ea typeface="Calibri" panose="020F0502020204030204" pitchFamily="34" charset="0"/>
              <a:cs typeface="Calibri" panose="020F0502020204030204" pitchFamily="34" charset="0"/>
            </a:rPr>
          </a:br>
          <a:endParaRPr lang="en-US" sz="105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050" b="1" i="1">
              <a:solidFill>
                <a:schemeClr val="dk1"/>
              </a:solidFill>
              <a:effectLst/>
              <a:latin typeface="Calibri" panose="020F0502020204030204" pitchFamily="34" charset="0"/>
              <a:ea typeface="Calibri" panose="020F0502020204030204" pitchFamily="34" charset="0"/>
              <a:cs typeface="Calibri" panose="020F0502020204030204" pitchFamily="34" charset="0"/>
            </a:rPr>
            <a:t>5. Las adquisiciones o incorporaciones efectuadas durante el ejercicio que se liquida, de los bienes comprendidos en los puntos 1 a 10 del inciso a) afectados o no a actividades que generen resultados de fuente argentina, en tanto permanezcan en el patrimonio al cierre del mismo. Igual tratamiento se dispensará cuando la sociedad adquiera sus propias acciones. (...)"</a:t>
          </a:r>
        </a:p>
        <a:p>
          <a:endParaRPr lang="en-US" sz="1100" b="0" baseline="0"/>
        </a:p>
      </xdr:txBody>
    </xdr:sp>
    <xdr:clientData/>
  </xdr:twoCellAnchor>
  <xdr:twoCellAnchor>
    <xdr:from>
      <xdr:col>1</xdr:col>
      <xdr:colOff>141113</xdr:colOff>
      <xdr:row>19</xdr:row>
      <xdr:rowOff>35277</xdr:rowOff>
    </xdr:from>
    <xdr:to>
      <xdr:col>5</xdr:col>
      <xdr:colOff>308681</xdr:colOff>
      <xdr:row>27</xdr:row>
      <xdr:rowOff>52917</xdr:rowOff>
    </xdr:to>
    <xdr:sp macro="" textlink="">
      <xdr:nvSpPr>
        <xdr:cNvPr id="4" name="TextBox 3">
          <a:extLst>
            <a:ext uri="{FF2B5EF4-FFF2-40B4-BE49-F238E27FC236}">
              <a16:creationId xmlns:a16="http://schemas.microsoft.com/office/drawing/2014/main" id="{0D7B0465-0BCD-F357-2264-0B12027F8E18}"/>
            </a:ext>
          </a:extLst>
        </xdr:cNvPr>
        <xdr:cNvSpPr txBox="1"/>
      </xdr:nvSpPr>
      <xdr:spPr>
        <a:xfrm>
          <a:off x="749655" y="4109860"/>
          <a:ext cx="6129512" cy="1499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FF0000"/>
              </a:solidFill>
              <a:latin typeface="Calibri" panose="020F0502020204030204" pitchFamily="34" charset="0"/>
              <a:ea typeface="Calibri" panose="020F0502020204030204" pitchFamily="34" charset="0"/>
              <a:cs typeface="Calibri" panose="020F0502020204030204" pitchFamily="34" charset="0"/>
            </a:rPr>
            <a:t>Nota:</a:t>
          </a:r>
          <a:br>
            <a:rPr lang="en-US" sz="1100" b="1" baseline="0">
              <a:latin typeface="Calibri" panose="020F0502020204030204" pitchFamily="34" charset="0"/>
              <a:ea typeface="Calibri" panose="020F0502020204030204" pitchFamily="34" charset="0"/>
              <a:cs typeface="Calibri" panose="020F0502020204030204" pitchFamily="34" charset="0"/>
            </a:rPr>
          </a:br>
          <a:r>
            <a:rPr lang="en-US" sz="1100" b="1" baseline="0">
              <a:latin typeface="Calibri" panose="020F0502020204030204" pitchFamily="34" charset="0"/>
              <a:ea typeface="Calibri" panose="020F0502020204030204" pitchFamily="34" charset="0"/>
              <a:cs typeface="Calibri" panose="020F0502020204030204" pitchFamily="34" charset="0"/>
            </a:rPr>
            <a:t>-En función del detalle informado en la hoja "PEPS T&amp;L DTT", la herramienta calcula automáticamente la valuación impositiva - costo de adcquisición - de Fondos Comunes de Inversión (FCI) al cierre del ejercicio.</a:t>
          </a:r>
          <a:br>
            <a:rPr lang="en-US" sz="1100" b="1" baseline="0">
              <a:latin typeface="Calibri" panose="020F0502020204030204" pitchFamily="34" charset="0"/>
              <a:ea typeface="Calibri" panose="020F0502020204030204" pitchFamily="34" charset="0"/>
              <a:cs typeface="Calibri" panose="020F0502020204030204" pitchFamily="34" charset="0"/>
            </a:rPr>
          </a:br>
          <a:endParaRPr lang="en-US" sz="1100" b="1" baseline="0">
            <a:latin typeface="Calibri" panose="020F0502020204030204" pitchFamily="34" charset="0"/>
            <a:ea typeface="Calibri" panose="020F0502020204030204" pitchFamily="34" charset="0"/>
            <a:cs typeface="Calibri" panose="020F0502020204030204" pitchFamily="34" charset="0"/>
          </a:endParaRPr>
        </a:p>
        <a:p>
          <a:r>
            <a:rPr lang="en-US" sz="1100" b="1" baseline="0">
              <a:latin typeface="Calibri" panose="020F0502020204030204" pitchFamily="34" charset="0"/>
              <a:ea typeface="Calibri" panose="020F0502020204030204" pitchFamily="34" charset="0"/>
              <a:cs typeface="Calibri" panose="020F0502020204030204" pitchFamily="34" charset="0"/>
            </a:rPr>
            <a:t>- La herramienta no realiza el cálculo del Ajuste Dinámico originado por la adquisición de los FCI. Dicho ajuste deberá ser determinado e incorporado manualmente por el usuario. A modo de referencia, se incluye un ejemplo resaltado en color amarillo.</a:t>
          </a:r>
        </a:p>
        <a:p>
          <a:endParaRPr lang="en-US" sz="1100" b="1"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34793</xdr:rowOff>
    </xdr:from>
    <xdr:to>
      <xdr:col>11</xdr:col>
      <xdr:colOff>68036</xdr:colOff>
      <xdr:row>15</xdr:row>
      <xdr:rowOff>170089</xdr:rowOff>
    </xdr:to>
    <xdr:sp macro="" textlink="">
      <xdr:nvSpPr>
        <xdr:cNvPr id="2" name="TextBox 1">
          <a:extLst>
            <a:ext uri="{FF2B5EF4-FFF2-40B4-BE49-F238E27FC236}">
              <a16:creationId xmlns:a16="http://schemas.microsoft.com/office/drawing/2014/main" id="{1AEAF4CF-4ACA-F3A0-2870-84694FD57C99}"/>
            </a:ext>
          </a:extLst>
        </xdr:cNvPr>
        <xdr:cNvSpPr txBox="1"/>
      </xdr:nvSpPr>
      <xdr:spPr>
        <a:xfrm>
          <a:off x="612321" y="1304793"/>
          <a:ext cx="14911161" cy="158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a:solidFill>
                <a:srgbClr val="FF0000"/>
              </a:solidFill>
              <a:latin typeface="Calibri" panose="020F0502020204030204" pitchFamily="34" charset="0"/>
              <a:ea typeface="Calibri" panose="020F0502020204030204" pitchFamily="34" charset="0"/>
              <a:cs typeface="Calibri" panose="020F0502020204030204" pitchFamily="34" charset="0"/>
            </a:rPr>
            <a:t>Nota:</a:t>
          </a:r>
        </a:p>
        <a:p>
          <a:r>
            <a:rPr lang="en-US" sz="1100" b="0" i="1">
              <a:solidFill>
                <a:schemeClr val="dk1"/>
              </a:solidFill>
              <a:effectLst/>
              <a:latin typeface="+mn-lt"/>
              <a:ea typeface="+mn-ea"/>
              <a:cs typeface="+mn-cs"/>
            </a:rPr>
            <a:t>"Artículo 65 LIG:  </a:t>
          </a:r>
          <a:r>
            <a:rPr lang="en-US" sz="1100" b="0" i="0">
              <a:solidFill>
                <a:schemeClr val="dk1"/>
              </a:solidFill>
              <a:effectLst/>
              <a:latin typeface="+mn-lt"/>
              <a:ea typeface="+mn-ea"/>
              <a:cs typeface="+mn-cs"/>
            </a:rPr>
            <a:t>Cuando</a:t>
          </a:r>
          <a:r>
            <a:rPr lang="en-US" sz="1100" b="0" i="1">
              <a:solidFill>
                <a:schemeClr val="dk1"/>
              </a:solidFill>
              <a:effectLst/>
              <a:latin typeface="+mn-lt"/>
              <a:ea typeface="+mn-ea"/>
              <a:cs typeface="+mn-cs"/>
            </a:rPr>
            <a:t> se enajenen acciones, cuotas o participaciones sociales, incluidas las cuotas partes de fondos comunes de inversión, la ganancia bruta se </a:t>
          </a:r>
          <a:r>
            <a:rPr lang="en-US" sz="1100" b="0" i="0">
              <a:solidFill>
                <a:schemeClr val="dk1"/>
              </a:solidFill>
              <a:effectLst/>
              <a:latin typeface="+mn-lt"/>
              <a:ea typeface="+mn-ea"/>
              <a:cs typeface="+mn-cs"/>
            </a:rPr>
            <a:t>determinará</a:t>
          </a:r>
          <a:r>
            <a:rPr lang="en-US" sz="1100" b="0" i="1">
              <a:solidFill>
                <a:schemeClr val="dk1"/>
              </a:solidFill>
              <a:effectLst/>
              <a:latin typeface="+mn-lt"/>
              <a:ea typeface="+mn-ea"/>
              <a:cs typeface="+mn-cs"/>
            </a:rPr>
            <a:t> deduciendo del precio de transferencia el costo de adquisición actualizado, mediante la aplicación de los índices mencionados en el artículo 93, desde la fecha de adquisición hasta la fecha de transferencia. Tratándose de acciones liberadas se tomará como costo de adquisición su valor nominal actualizado. A tales fines se considerará, sin admitir prueba en contrario, que los bienes enajenados corresponden a las adquisiciones más antiguas de su misma especie y calidad."</a:t>
          </a:r>
          <a:br>
            <a:rPr lang="en-US" sz="1100" b="0" i="1">
              <a:solidFill>
                <a:schemeClr val="dk1"/>
              </a:solidFill>
              <a:effectLst/>
              <a:latin typeface="+mn-lt"/>
              <a:ea typeface="+mn-ea"/>
              <a:cs typeface="+mn-cs"/>
            </a:rPr>
          </a:br>
          <a:endParaRPr lang="en-US">
            <a:effectLst/>
          </a:endParaRPr>
        </a:p>
        <a:p>
          <a:r>
            <a:rPr lang="en-US" sz="1100" b="0" i="1">
              <a:solidFill>
                <a:schemeClr val="dk1"/>
              </a:solidFill>
              <a:effectLst/>
              <a:latin typeface="+mn-lt"/>
              <a:ea typeface="+mn-ea"/>
              <a:cs typeface="+mn-cs"/>
            </a:rPr>
            <a:t>"Artículo</a:t>
          </a:r>
          <a:r>
            <a:rPr lang="en-US" sz="1100" b="0" i="1" baseline="0">
              <a:solidFill>
                <a:schemeClr val="dk1"/>
              </a:solidFill>
              <a:effectLst/>
              <a:latin typeface="+mn-lt"/>
              <a:ea typeface="+mn-ea"/>
              <a:cs typeface="+mn-cs"/>
            </a:rPr>
            <a:t> </a:t>
          </a:r>
          <a:r>
            <a:rPr lang="en-US" sz="1100" b="0" i="1">
              <a:solidFill>
                <a:schemeClr val="dk1"/>
              </a:solidFill>
              <a:effectLst/>
              <a:latin typeface="+mn-lt"/>
              <a:ea typeface="+mn-ea"/>
              <a:cs typeface="+mn-cs"/>
            </a:rPr>
            <a:t>66</a:t>
          </a:r>
          <a:r>
            <a:rPr lang="en-US" sz="1100" b="0" i="1" baseline="0">
              <a:solidFill>
                <a:schemeClr val="dk1"/>
              </a:solidFill>
              <a:effectLst/>
              <a:latin typeface="+mn-lt"/>
              <a:ea typeface="+mn-ea"/>
              <a:cs typeface="+mn-cs"/>
            </a:rPr>
            <a:t> LIG:</a:t>
          </a:r>
          <a:r>
            <a:rPr lang="en-US" sz="1100" b="0" i="1">
              <a:solidFill>
                <a:schemeClr val="dk1"/>
              </a:solidFill>
              <a:effectLst/>
              <a:latin typeface="+mn-lt"/>
              <a:ea typeface="+mn-ea"/>
              <a:cs typeface="+mn-cs"/>
            </a:rPr>
            <a:t> Cuando se hubieran entregado señas o anticipos a cuenta que congelen precio, con anterioridad a la fecha de adquisición de los bienes a que se refieren </a:t>
          </a:r>
          <a:r>
            <a:rPr lang="en-US" sz="1100" b="0" i="0">
              <a:solidFill>
                <a:schemeClr val="dk1"/>
              </a:solidFill>
              <a:effectLst/>
              <a:latin typeface="+mn-lt"/>
              <a:ea typeface="+mn-ea"/>
              <a:cs typeface="+mn-cs"/>
            </a:rPr>
            <a:t>los</a:t>
          </a:r>
          <a:r>
            <a:rPr lang="en-US" sz="1100" b="0" i="1">
              <a:solidFill>
                <a:schemeClr val="dk1"/>
              </a:solidFill>
              <a:effectLst/>
              <a:latin typeface="+mn-lt"/>
              <a:ea typeface="+mn-ea"/>
              <a:cs typeface="+mn-cs"/>
            </a:rPr>
            <a:t> artículos 62 a 65, a los fines de la determinación del costo de adquisición se adicionará el importe de las actualizaciones de dichos conceptos, calculadas mediante la aplicación de los índices mencionados en el artículo 93, desde la fecha en que se hubieran hecho efectivos hasta la fecha de adquisición."</a:t>
          </a:r>
          <a:endParaRPr lang="en-US">
            <a:effectLst/>
          </a:endParaRPr>
        </a:p>
      </xdr:txBody>
    </xdr:sp>
    <xdr:clientData/>
  </xdr:twoCellAnchor>
  <xdr:twoCellAnchor>
    <xdr:from>
      <xdr:col>1</xdr:col>
      <xdr:colOff>85012</xdr:colOff>
      <xdr:row>17</xdr:row>
      <xdr:rowOff>90691</xdr:rowOff>
    </xdr:from>
    <xdr:to>
      <xdr:col>4</xdr:col>
      <xdr:colOff>582951</xdr:colOff>
      <xdr:row>22</xdr:row>
      <xdr:rowOff>0</xdr:rowOff>
    </xdr:to>
    <xdr:sp macro="" textlink="">
      <xdr:nvSpPr>
        <xdr:cNvPr id="4" name="TextBox 3">
          <a:extLst>
            <a:ext uri="{FF2B5EF4-FFF2-40B4-BE49-F238E27FC236}">
              <a16:creationId xmlns:a16="http://schemas.microsoft.com/office/drawing/2014/main" id="{BF41BE28-81EB-7456-8E4E-7E92C85B1840}"/>
            </a:ext>
          </a:extLst>
        </xdr:cNvPr>
        <xdr:cNvSpPr txBox="1"/>
      </xdr:nvSpPr>
      <xdr:spPr>
        <a:xfrm>
          <a:off x="699192" y="4025609"/>
          <a:ext cx="5671628" cy="846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ea typeface="Calibri" panose="020F0502020204030204" pitchFamily="34" charset="0"/>
              <a:cs typeface="Calibri" panose="020F0502020204030204" pitchFamily="34" charset="0"/>
            </a:rPr>
            <a:t>En la columna</a:t>
          </a:r>
          <a:r>
            <a:rPr lang="en-US" sz="1100" b="1" baseline="0">
              <a:latin typeface="Calibri" panose="020F0502020204030204" pitchFamily="34" charset="0"/>
              <a:ea typeface="Calibri" panose="020F0502020204030204" pitchFamily="34" charset="0"/>
              <a:cs typeface="Calibri" panose="020F0502020204030204" pitchFamily="34" charset="0"/>
            </a:rPr>
            <a:t> "AxI sobre Costos Actualizados" la herramienta calcula el AxI Estatico de las cuotas partes enajenadas en el ejercicio corriente, que la Compañia tenia al cierre del ejercicio inmediato anterior.</a:t>
          </a:r>
        </a:p>
        <a:p>
          <a:endParaRPr lang="en-US" sz="1100" baseline="0"/>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PERFIL\EDITOR~1\IMPSET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otita\TTC\TTC%20-%20analisis%2012-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azd\chep\windows\TEMP\MgtAcctGraphDec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ocuments%20and%20Settings\marianfernandez\My%20Documents\City%20Hotel\Balance%20de%20Sumas%20y%20Saldos%20City%20Auditor&#237;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ocuments%20and%20Settings\jberkelaar\My%20Documents\1%20IMPUESTOS\city\2003\6310%20Pr&#233;stamos%20corrientes%20(Soc%20Art%2033)%20Combined%20Leadsheet.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Clientes/Faurecia/FAURECIA%20SISTEMA%20DE%20ESCAPES%20ARGENTINA/IG/2025/DTT/DDJJ%20IG%202025%20-%20Faurecia%20Sistema%20de%20Escapes%20(13.05.26).xlsm" TargetMode="External"/><Relationship Id="rId2" Type="http://schemas.openxmlformats.org/officeDocument/2006/relationships/externalLinkPath" Target="https://myresources.deloitte.com/personal/juvarela_deloitte_com/Documents/Clientes/Faurecia/FAURECIA%20SISTEMA%20DE%20ESCAPES%20ARGENTINA/IG/2025/DTT/DDJJ%20IG%202025%20-%20Faurecia%20Sistema%20de%20Escapes%20(13.05.26).xlsm" TargetMode="External"/><Relationship Id="rId1" Type="http://schemas.openxmlformats.org/officeDocument/2006/relationships/externalLinkPath" Target="/personal/juvarela_deloitte_com/Documents/Clientes/Faurecia/FAURECIA%20SISTEMA%20DE%20ESCAPES%20ARGENTINA/IG/2025/DTT/DDJJ%20IG%202025%20-%20Faurecia%20Sistema%20de%20Escapes%20(13.05.26).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Mis%20documentos\1999\Analisis\Telefe\Analisis30-09-98.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40.1%20INVERSIONES%20Combined%20Leadsheet"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311%20Previsi&#243;n%20para%20incobrabl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111%20An&#225;lisis%20de%20conciliaciones%20bancarias%20al%2031.10.04"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CLIENTES\Normandy\TELEFE\Provision%202002\PA%20clientes.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Worksheet%20in%205310-5%20Previsi&#243;n%20para%20Incobrable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311%20Selecci&#243;n%20de%20clientes%20a%20circulariza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640%20Prueba%20Global%20de%20Bienes%20de%20Uso%20al%2030-09-02"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PABLO.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WINDOWS\Archivos%20temporales%20de%20Internet\OLKD2D0\Tevefe\PABL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Documents%20and%20Settings\marianfernandez\My%20Documents\City%20Hotel\Provisiones\Ganancias\2003-12\City%20DDJJ%20IG-IGMP%2012-0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6240%20Deudas%20Financieras%20al%2030-09-03"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632%20Bienes%20de%20Uso%20al%2031.10.0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Mis%20documentos\PATO\Clientes\TELEFE\713%20resumen.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330%20Aging%20de%20Clientes%20al%2031-10-03"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6610%20Contingencia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6112%20Test%20de%20pasivos%20omitido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Documents%20and%20Settings\marianfernandez\My%20Documents\City%20Hotel\Provisiones\Ganancias\2003-12\2003\6340%20Pr&#233;stamos%20LP%20y%20Cruce%20con%20interco%20-%2031-1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Documents%20and%20Settings\marianfernandez\My%20Documents\City%20Hotel\Provisiones\Ganancias\2003-12\City%20Prov%20%20IG-IGMP%2012-03.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610%20Prueba%20Global%20de%20Bienes%20de%20Uso%20al%2030-11-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5310%20Cuentas%20por%20cobrar%20Leadsheet"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Worksheet%20in%206190%20Test%20de%20Pasivos%20Omitidos%20al%2031-12-0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C)%206120%20Test%20de%20Pasivos%20Omitido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C:\Users\arombola\Downloads\Copy%20of%20WPS%20TAX%20(1).xls" TargetMode="External"/><Relationship Id="rId1" Type="http://schemas.openxmlformats.org/officeDocument/2006/relationships/externalLinkPath" Target="file:///C:\Users\arombola\Downloads\Copy%20of%20WPS%20TAX%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TRANSITOSET98"/>
      <sheetName val="TRANSITOJULIO98"/>
      <sheetName val="PROVEXTSET98"/>
      <sheetName val="PROV EXT OTROS"/>
      <sheetName val="PROVEXTAGOS98"/>
      <sheetName val="PROVEXTJUL98"/>
      <sheetName val="Hoja5"/>
      <sheetName val="Hoja2"/>
      <sheetName val="INTERESES"/>
      <sheetName val="intsep98"/>
      <sheetName val="INTAGO98"/>
      <sheetName val="INTJUL98"/>
      <sheetName val="Hoja1"/>
      <sheetName val="EMBARQ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DetA0"/>
      <sheetName val="val a dep"/>
      <sheetName val="Det A1"/>
      <sheetName val="Det A2 "/>
      <sheetName val="incobr"/>
      <sheetName val="Det A3"/>
      <sheetName val="Det A4"/>
      <sheetName val="Det A5"/>
      <sheetName val="Det A6"/>
      <sheetName val="Det A7"/>
      <sheetName val="Det A8"/>
      <sheetName val="Det Bs Uso 2002"/>
      <sheetName val="Det A8 2001"/>
      <sheetName val="Det P1"/>
      <sheetName val="Prov fc a recibir"/>
      <sheetName val="canje informat"/>
      <sheetName val="Det P2"/>
      <sheetName val="prov s-sueldos"/>
      <sheetName val="Det P3"/>
      <sheetName val="Det P4"/>
      <sheetName val="PNeto"/>
      <sheetName val="Rio (tucu)"/>
      <sheetName val="Tucumán (tucu)"/>
      <sheetName val="Tucumán Bonos "/>
      <sheetName val="Boston"/>
      <sheetName val="Abn - Amro "/>
      <sheetName val="MARCAS"/>
      <sheetName val="Macro  Ext"/>
      <sheetName val="val_a_dep"/>
      <sheetName val="Det_A1"/>
      <sheetName val="Det_A2_"/>
      <sheetName val="Det_A3"/>
      <sheetName val="Det_A4"/>
      <sheetName val="Det_A5"/>
      <sheetName val="Det_A6"/>
      <sheetName val="Det_A7"/>
      <sheetName val="Det_A8"/>
      <sheetName val="Det_Bs_Uso_2002"/>
      <sheetName val="Det_A8_2001"/>
      <sheetName val="Det_P1"/>
      <sheetName val="Prov_fc_a_recibir"/>
      <sheetName val="canje_informat"/>
      <sheetName val="Det_P2"/>
      <sheetName val="prov_s-sueldos"/>
      <sheetName val="Det_P3"/>
      <sheetName val="Det_P4"/>
      <sheetName val="Rio_(tucu)"/>
      <sheetName val="Tucumán_(tucu)"/>
      <sheetName val="Tucumán_Bonos_"/>
      <sheetName val="Abn_-_Amro_"/>
      <sheetName val="val_a_dep1"/>
      <sheetName val="Det_A11"/>
      <sheetName val="Det_A2_1"/>
      <sheetName val="Det_A31"/>
      <sheetName val="Det_A41"/>
      <sheetName val="Det_A51"/>
      <sheetName val="Det_A61"/>
      <sheetName val="Det_A71"/>
      <sheetName val="Det_A81"/>
      <sheetName val="Det_Bs_Uso_20021"/>
      <sheetName val="Det_A8_20011"/>
      <sheetName val="Det_P11"/>
      <sheetName val="Prov_fc_a_recibir1"/>
      <sheetName val="canje_informat1"/>
      <sheetName val="Det_P21"/>
      <sheetName val="prov_s-sueldos1"/>
      <sheetName val="Det_P31"/>
      <sheetName val="Det_P41"/>
      <sheetName val="Rio_(tucu)1"/>
      <sheetName val="Tucumán_(tucu)1"/>
      <sheetName val="Tucumán_Bonos_1"/>
      <sheetName val="Abn_-_Amro_1"/>
      <sheetName val="val_a_dep2"/>
      <sheetName val="Det_A12"/>
      <sheetName val="Det_A2_2"/>
      <sheetName val="Det_A32"/>
      <sheetName val="Det_A42"/>
      <sheetName val="Det_A52"/>
      <sheetName val="Det_A62"/>
      <sheetName val="Det_A72"/>
      <sheetName val="Det_A82"/>
      <sheetName val="Det_Bs_Uso_20022"/>
      <sheetName val="Det_A8_20012"/>
      <sheetName val="Det_P12"/>
      <sheetName val="Prov_fc_a_recibir2"/>
      <sheetName val="canje_informat2"/>
      <sheetName val="Det_P22"/>
      <sheetName val="prov_s-sueldos2"/>
      <sheetName val="Det_P32"/>
      <sheetName val="Det_P42"/>
      <sheetName val="Rio_(tucu)2"/>
      <sheetName val="Tucumán_(tucu)2"/>
      <sheetName val="Tucumán_Bonos_2"/>
      <sheetName val="Abn_-_Amro_2"/>
      <sheetName val="INFORME"/>
      <sheetName val="DEUDORES EN GESTION"/>
      <sheetName val="Precios Hacienda"/>
      <sheetName val="FCX"/>
      <sheetName val="FarmI"/>
      <sheetName val="IvinhemaI"/>
      <sheetName val="IvinhemaII"/>
      <sheetName val="act data base"/>
      <sheetName val="#ref"/>
      <sheetName val="areaindex"/>
      <sheetName val="atprest"/>
      <sheetName val="yecalendar"/>
      <sheetName val="foodor"/>
      <sheetName val="1994frf"/>
      <sheetName val="mdtot"/>
      <sheetName val="98le"/>
      <sheetName val="TTC - analisis 12-2002"/>
      <sheetName val="iva"/>
      <sheetName val="inc-bal"/>
      <sheetName val="DIARIO"/>
      <sheetName val="PG 12-03"/>
      <sheetName val="P&amp;L-AF"/>
    </sheetNames>
    <sheetDataSet>
      <sheetData sheetId="0" refreshError="1">
        <row r="2">
          <cell r="D2">
            <v>37621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xxxxxxxxxxxxxxxx"/>
      <sheetName val="Pallet info"/>
      <sheetName val="Holdings Revenue"/>
      <sheetName val="Pallet Volume"/>
      <sheetName val="Utilization"/>
      <sheetName val="Cycle Time info"/>
      <sheetName val="Cycle Time Graph"/>
      <sheetName val="Financial Info"/>
      <sheetName val="Ret &amp; Iss info"/>
      <sheetName val=".."/>
      <sheetName val="..."/>
      <sheetName val="EVA"/>
      <sheetName val="Cross Bdr"/>
      <sheetName val="Print Ret to iss &amp; Cross Bdr"/>
      <sheetName val="Print Sales N A &amp; EVA"/>
      <sheetName val="Print Work Cap &amp; Debt Tot Ass"/>
      <sheetName val="Print Times Int Earn &amp; Net Prof"/>
      <sheetName val="PREVCINE"/>
      <sheetName val="BALANCE"/>
      <sheetName val="Pallet_info"/>
      <sheetName val="Holdings_Revenue"/>
      <sheetName val="Pallet_Volume"/>
      <sheetName val="Cycle_Time_info"/>
      <sheetName val="Cycle_Time_Graph"/>
      <sheetName val="Financial_Info"/>
      <sheetName val="Ret_&amp;_Iss_info"/>
      <sheetName val="__"/>
      <sheetName val="___"/>
      <sheetName val="Cross_Bdr"/>
      <sheetName val="Print_Ret_to_iss_&amp;_Cross_Bdr"/>
      <sheetName val="Print_Sales_N_A_&amp;_EVA"/>
      <sheetName val="Print_Work_Cap_&amp;_Debt_Tot_Ass"/>
      <sheetName val="Print_Times_Int_Earn_&amp;_Net_Prof"/>
      <sheetName val="CONSSID12-96"/>
      <sheetName val="Pallet_info1"/>
      <sheetName val="Holdings_Revenue1"/>
      <sheetName val="Pallet_Volume1"/>
      <sheetName val="Cycle_Time_info1"/>
      <sheetName val="Cycle_Time_Graph1"/>
      <sheetName val="Financial_Info1"/>
      <sheetName val="Ret_&amp;_Iss_info1"/>
      <sheetName val="__1"/>
      <sheetName val="___1"/>
      <sheetName val="Cross_Bdr1"/>
      <sheetName val="Print_Ret_to_iss_&amp;_Cross_Bdr1"/>
      <sheetName val="Print_Sales_N_A_&amp;_EVA1"/>
      <sheetName val="Print_Work_Cap_&amp;_Debt_Tot_Ass1"/>
      <sheetName val="Print_Times_Int_Earn_&amp;_Net_Pro1"/>
      <sheetName val="Pallet_info2"/>
      <sheetName val="Holdings_Revenue2"/>
      <sheetName val="Pallet_Volume2"/>
      <sheetName val="Cycle_Time_info2"/>
      <sheetName val="Cycle_Time_Graph2"/>
      <sheetName val="Financial_Info2"/>
      <sheetName val="Ret_&amp;_Iss_info2"/>
      <sheetName val="__2"/>
      <sheetName val="___2"/>
      <sheetName val="Cross_Bdr2"/>
      <sheetName val="Print_Ret_to_iss_&amp;_Cross_Bdr2"/>
      <sheetName val="Print_Sales_N_A_&amp;_EVA2"/>
      <sheetName val="Print_Work_Cap_&amp;_Debt_Tot_Ass2"/>
      <sheetName val="Print_Times_Int_Earn_&amp;_Net_Pro2"/>
      <sheetName val="MgtAcctGraphDec99"/>
      <sheetName val="U-V"/>
      <sheetName val="MAQ.Y EQ.-ROS."/>
      <sheetName val="ESP SAP 2009"/>
      <sheetName val="SAP 2010"/>
      <sheetName val="Tributos diferidos Conso"/>
      <sheetName val="Tributos diferidos aging ANG"/>
      <sheetName val="Tributos diferidos aging UMA"/>
      <sheetName val="Emprestimos aging_C"/>
      <sheetName val="Resultado"/>
      <sheetName val="Premissas"/>
      <sheetName val="Cara1"/>
      <sheetName val="NOTA 1-2-3"/>
      <sheetName val="Macro1"/>
      <sheetName val="Group1"/>
      <sheetName val="Group2"/>
      <sheetName val="Group3"/>
      <sheetName val="Group4"/>
      <sheetName val="Group5"/>
      <sheetName val="Group6"/>
      <sheetName val="Group7"/>
      <sheetName val="GrupoWagner"/>
      <sheetName val="Current Book to Tax"/>
      <sheetName val="XBOL___AR_Listado_de_Ventas_po_"/>
      <sheetName val="Amercli"/>
      <sheetName val="Comp x Hotel x Semana"/>
      <sheetName val="Indice"/>
      <sheetName val="proy"/>
      <sheetName val="bandas ene2010"/>
      <sheetName val="apertura de gastos"/>
      <sheetName val="Sheet1"/>
      <sheetName val="Pallet_info3"/>
      <sheetName val="Holdings_Revenue3"/>
      <sheetName val="Pallet_Volume3"/>
      <sheetName val="Cycle_Time_info3"/>
      <sheetName val="Cycle_Time_Graph3"/>
      <sheetName val="Financial_Info3"/>
      <sheetName val="Ret_&amp;_Iss_info3"/>
      <sheetName val="__3"/>
      <sheetName val="___3"/>
      <sheetName val="Cross_Bdr3"/>
      <sheetName val="Print_Ret_to_iss_&amp;_Cross_Bdr3"/>
      <sheetName val="Print_Sales_N_A_&amp;_EVA3"/>
      <sheetName val="Print_Work_Cap_&amp;_Debt_Tot_Ass3"/>
      <sheetName val="Print_Times_Int_Earn_&amp;_Net_Pro3"/>
      <sheetName val="MAQ_Y_EQ_-ROS_"/>
      <sheetName val="NOTA_1-2-3"/>
      <sheetName val="ESP_SAP_2009"/>
      <sheetName val="SAP_2010"/>
      <sheetName val="Tributos_diferidos_Conso"/>
      <sheetName val="Tributos_diferidos_aging_ANG"/>
      <sheetName val="Tributos_diferidos_aging_UMA"/>
      <sheetName val="Emprestimos_aging_C"/>
      <sheetName val="Current_Book_to_Tax"/>
      <sheetName val="Comp_x_Hotel_x_Semana"/>
      <sheetName val="apertura_de_gastos"/>
      <sheetName val=""/>
      <sheetName val="6120 VAT  WHT GL Accounts WHT S"/>
      <sheetName val="IARyPD"/>
      <sheetName val="VARIANCE"/>
      <sheetName val="Pivot table maker"/>
      <sheetName val="CM05-3|12"/>
      <sheetName val="Liques"/>
      <sheetName val="Deuda Bancaria (2)"/>
      <sheetName val="ligues"/>
      <sheetName val="razão"/>
      <sheetName val="lançamentos"/>
      <sheetName val="CONTROL2"/>
      <sheetName val="CONTROL"/>
      <sheetName val="bandas_ene2010"/>
      <sheetName val="Tablas Gráficos"/>
      <sheetName val="Bridge Resultado"/>
      <sheetName val="Bridge Ventas"/>
      <sheetName val="Datos"/>
      <sheetName val="Apoio"/>
      <sheetName val="FS C V"/>
      <sheetName val="Cars"/>
      <sheetName val="Farm_B"/>
      <sheetName val="762-9|4 Julius Bar Inv"/>
      <sheetName val="3. Evol. Susc."/>
      <sheetName val="ESP SAP"/>
      <sheetName val="DOH TOTAL"/>
      <sheetName val="ADD PL MONTHLY"/>
      <sheetName val="ADC PL MONTHLY"/>
      <sheetName val="Pallet_info4"/>
      <sheetName val="Holdings_Revenue4"/>
      <sheetName val="Pallet_Volume4"/>
      <sheetName val="Cycle_Time_info4"/>
      <sheetName val="Cycle_Time_Graph4"/>
      <sheetName val="Financial_Info4"/>
      <sheetName val="Ret_&amp;_Iss_info4"/>
      <sheetName val="__4"/>
      <sheetName val="___4"/>
      <sheetName val="Cross_Bdr4"/>
      <sheetName val="Print_Ret_to_iss_&amp;_Cross_Bdr4"/>
      <sheetName val="Print_Sales_N_A_&amp;_EVA4"/>
      <sheetName val="Print_Work_Cap_&amp;_Debt_Tot_Ass4"/>
      <sheetName val="Print_Times_Int_Earn_&amp;_Net_Pro4"/>
      <sheetName val="CriteriosAsigSEDE"/>
      <sheetName val="ESP_SAP_20091"/>
      <sheetName val="SAP_20101"/>
      <sheetName val="MAQ_Y_EQ_-ROS_1"/>
      <sheetName val="Tributos_diferidos_Conso1"/>
      <sheetName val="Tributos_diferidos_aging_ANG1"/>
      <sheetName val="Tributos_diferidos_aging_UMA1"/>
      <sheetName val="Emprestimos_aging_C1"/>
      <sheetName val="NOTA_1-2-31"/>
      <sheetName val="Comp_x_Hotel_x_Semana1"/>
      <sheetName val="Current_Book_to_Tax1"/>
      <sheetName val="apertura_de_gastos1"/>
      <sheetName val="bandas_ene20101"/>
      <sheetName val="6120_VAT__WHT_GL_Accounts_WHT_S"/>
      <sheetName val="Pivot_table_maker"/>
      <sheetName val="762-9|4_Julius_Bar_Inv"/>
      <sheetName val="FS_C_V"/>
      <sheetName val="EOAF 03-02 AxI"/>
      <sheetName val="BALANCE RESUMIDO"/>
      <sheetName val="RefG"/>
      <sheetName val="IRR sponsor"/>
      <sheetName val="ACM IMPUESTOS"/>
      <sheetName val="HO Marketing"/>
      <sheetName val="bs. de uso"/>
      <sheetName val="Ventas  11-2018"/>
      <sheetName val="Compras  11-2018"/>
      <sheetName val="REPOMOEFMON"/>
      <sheetName val="3__Evol__Susc_"/>
      <sheetName val="DOH_TOTAL"/>
      <sheetName val="ADD_PL_MONTHLY"/>
      <sheetName val="ADC_PL_MONTHLY"/>
      <sheetName val="HOJA"/>
      <sheetName val="concil-1208"/>
      <sheetName val="Pallet_info5"/>
      <sheetName val="Holdings_Revenue5"/>
      <sheetName val="Pallet_Volume5"/>
      <sheetName val="Cycle_Time_info5"/>
      <sheetName val="Cycle_Time_Graph5"/>
      <sheetName val="Financial_Info5"/>
      <sheetName val="Ret_&amp;_Iss_info5"/>
      <sheetName val="__5"/>
      <sheetName val="___5"/>
      <sheetName val="Cross_Bdr5"/>
      <sheetName val="Print_Ret_to_iss_&amp;_Cross_Bdr5"/>
      <sheetName val="Print_Sales_N_A_&amp;_EVA5"/>
      <sheetName val="Print_Work_Cap_&amp;_Debt_Tot_Ass5"/>
      <sheetName val="Print_Times_Int_Earn_&amp;_Net_Pro5"/>
      <sheetName val="ESP_SAP_20092"/>
      <sheetName val="SAP_20102"/>
      <sheetName val="MAQ_Y_EQ_-ROS_2"/>
      <sheetName val="Tributos_diferidos_Conso2"/>
      <sheetName val="Tributos_diferidos_aging_ANG2"/>
      <sheetName val="Tributos_diferidos_aging_UMA2"/>
      <sheetName val="Emprestimos_aging_C2"/>
      <sheetName val="Current_Book_to_Tax2"/>
      <sheetName val="NOTA_1-2-32"/>
      <sheetName val="Comp_x_Hotel_x_Semana2"/>
      <sheetName val="bandas_ene20102"/>
      <sheetName val="apertura_de_gastos2"/>
      <sheetName val="6120_VAT__WHT_GL_Accounts_WHT_1"/>
      <sheetName val="Pivot_table_maker1"/>
      <sheetName val="FS_C_V1"/>
      <sheetName val="Tablas_Gráficos"/>
      <sheetName val="Bridge_Resultado"/>
      <sheetName val="Bridge_Ventas"/>
      <sheetName val="762-9|4_Julius_Bar_Inv1"/>
      <sheetName val="ESP_SAP"/>
      <sheetName val="Deuda_Bancaria_(2)"/>
      <sheetName val="IRR_sponsor"/>
      <sheetName val="ACM_IMPUESTOS"/>
      <sheetName val="HO_Marketing"/>
      <sheetName val="art64 cons"/>
      <sheetName val="c r b"/>
      <sheetName val="Seasonality"/>
      <sheetName val="Labour Summary"/>
      <sheetName val="OTR.CRED."/>
      <sheetName val="COSREF"/>
      <sheetName val="colocaciones"/>
      <sheetName val="Recálculo de vacaciones"/>
      <sheetName val="BCEHBSL"/>
      <sheetName val="Hoja1"/>
      <sheetName val="ACUMULADO"/>
      <sheetName val="Ventas__11-2018"/>
      <sheetName val="Compras__11-2018"/>
      <sheetName val="Pallet_info6"/>
      <sheetName val="Holdings_Revenue6"/>
      <sheetName val="Pallet_Volume6"/>
      <sheetName val="Cycle_Time_info6"/>
      <sheetName val="Cycle_Time_Graph6"/>
      <sheetName val="Financial_Info6"/>
      <sheetName val="Ret_&amp;_Iss_info6"/>
      <sheetName val="__6"/>
      <sheetName val="___6"/>
      <sheetName val="Cross_Bdr6"/>
      <sheetName val="Print_Ret_to_iss_&amp;_Cross_Bdr6"/>
      <sheetName val="Print_Sales_N_A_&amp;_EVA6"/>
      <sheetName val="Print_Work_Cap_&amp;_Debt_Tot_Ass6"/>
      <sheetName val="Print_Times_Int_Earn_&amp;_Net_Pro6"/>
      <sheetName val="Tablas_Gráficos1"/>
      <sheetName val="Bridge_Resultado1"/>
      <sheetName val="Bridge_Ventas1"/>
      <sheetName val="3__Evol__Susc_1"/>
      <sheetName val="DOH_TOTAL1"/>
      <sheetName val="ADD_PL_MONTHLY1"/>
      <sheetName val="ADC_PL_MONTHLY1"/>
      <sheetName val="ESP_SAP1"/>
      <sheetName val="Deuda_Bancaria_(2)1"/>
      <sheetName val="HO_Marketing1"/>
      <sheetName val="Ventas__11-20181"/>
      <sheetName val="Compras__11-20181"/>
      <sheetName val="ITC"/>
      <sheetName val="CIT Atento Brasil_0320"/>
      <sheetName val="CIT Atento Brasil_0920"/>
      <sheetName val="CIT R Brasil_0320"/>
      <sheetName val="CIT SCP_0320"/>
      <sheetName val="CIT R Brasil_0920"/>
      <sheetName val="CIT SCP_0920"/>
      <sheetName val="CIT Interfile Serviços_032020"/>
      <sheetName val="CIT Interfile_0920"/>
      <sheetName val="CIT Interservicer_032020"/>
      <sheetName val="CIT Interservicer_0920"/>
      <sheetName val="Dados"/>
      <sheetName val="Dot.-Rem"/>
      <sheetName val="Presupuesto Anual"/>
      <sheetName val="IMPUTS"/>
      <sheetName val="CALCULOS"/>
      <sheetName val="DR4 Pop 1Q04"/>
      <sheetName val="Conciliacioon ret SUSS"/>
      <sheetName val="ESP_SAP_20093"/>
      <sheetName val="SAP_20103"/>
      <sheetName val="Tributos_diferidos_Conso3"/>
      <sheetName val="Tributos_diferidos_aging_ANG3"/>
      <sheetName val="Tributos_diferidos_aging_UMA3"/>
      <sheetName val="Emprestimos_aging_C3"/>
      <sheetName val="MAQ_Y_EQ_-ROS_3"/>
      <sheetName val="Current_Book_to_Tax3"/>
      <sheetName val="NOTA_1-2-33"/>
      <sheetName val="Comp_x_Hotel_x_Semana3"/>
      <sheetName val="bandas_ene20103"/>
      <sheetName val="apertura_de_gastos3"/>
      <sheetName val="6120_VAT__WHT_GL_Accounts_WHT_2"/>
      <sheetName val="Pivot_table_maker2"/>
      <sheetName val="3.INPUT ACT"/>
      <sheetName val="promes"/>
      <sheetName val="gan-3|1 prev inc"/>
      <sheetName val="Fig3"/>
      <sheetName val="Fig4"/>
      <sheetName val="clean"/>
      <sheetName val="BuilupInic"/>
      <sheetName val="analisis 1-01 a 6-01"/>
      <sheetName val="B"/>
      <sheetName val="4-RCDP-2001"/>
      <sheetName val="bs__de_uso"/>
      <sheetName val="EOAF_03-02_AxI"/>
      <sheetName val="BALANCE_RESUMIDO"/>
      <sheetName val="c_r_b"/>
      <sheetName val="Auxiliar de Inventarios"/>
      <sheetName val="INDICE-TR"/>
      <sheetName val="DOH"/>
      <sheetName val="NOV"/>
      <sheetName val="IRR_sponsor1"/>
      <sheetName val="ACM_IMPUESTOS1"/>
      <sheetName val="Labour_Summary"/>
      <sheetName val="EEFF HISTORICOS "/>
      <sheetName val="Cover"/>
      <sheetName val="BG DIC 2002"/>
      <sheetName val="Base"/>
      <sheetName val="TOTAL BCAS"/>
      <sheetName val="anexoa"/>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0| LIV GERA (PBC)"/>
      <sheetName val="DEF 2004"/>
      <sheetName val="C-VI-4C (Gts Admon)"/>
      <sheetName val="Base de Datos"/>
      <sheetName val="Cifras Año Anterior"/>
      <sheetName val="Inicio"/>
      <sheetName val="C-VI-4B (Gts Fijos)"/>
      <sheetName val="Cifras Presupuesto"/>
      <sheetName val="C-VI-4A (Gts Variables)"/>
      <sheetName val="Sumas y Saldos"/>
      <sheetName val="A Distribuir"/>
      <sheetName val="Workings-AUD"/>
      <sheetName val="TYQ"/>
      <sheetName val="maerev"/>
      <sheetName val="REFERENCIADO"/>
      <sheetName val="Tango AN 31-12-02"/>
      <sheetName val="Download 11_12_02"/>
      <sheetName val="FLS_Clients_to_ESS_Regions"/>
      <sheetName val="1"/>
      <sheetName val="16"/>
      <sheetName val="50"/>
      <sheetName val="Pallet_info7"/>
      <sheetName val="Holdings_Revenue7"/>
      <sheetName val="Pallet_Volume7"/>
      <sheetName val="Cycle_Time_info7"/>
      <sheetName val="Cycle_Time_Graph7"/>
      <sheetName val="Financial_Info7"/>
      <sheetName val="Ret_&amp;_Iss_info7"/>
      <sheetName val="__7"/>
      <sheetName val="___7"/>
      <sheetName val="Cross_Bdr7"/>
      <sheetName val="Print_Ret_to_iss_&amp;_Cross_Bdr7"/>
      <sheetName val="Print_Sales_N_A_&amp;_EVA7"/>
      <sheetName val="Print_Work_Cap_&amp;_Debt_Tot_Ass7"/>
      <sheetName val="Print_Times_Int_Earn_&amp;_Net_Pro7"/>
      <sheetName val="MAQ_Y_EQ_-ROS_4"/>
      <sheetName val="Tributos_diferidos_Conso4"/>
      <sheetName val="Tributos_diferidos_aging_ANG4"/>
      <sheetName val="Tributos_diferidos_aging_UMA4"/>
      <sheetName val="Emprestimos_aging_C4"/>
      <sheetName val="ESP_SAP_20094"/>
      <sheetName val="SAP_20104"/>
      <sheetName val="Comp_x_Hotel_x_Semana4"/>
      <sheetName val="Current_Book_to_Tax4"/>
      <sheetName val="NOTA_1-2-34"/>
      <sheetName val="apertura_de_gastos4"/>
      <sheetName val="bandas_ene20104"/>
      <sheetName val="6120_VAT__WHT_GL_Accounts_WHT_3"/>
      <sheetName val="Pivot_table_maker3"/>
      <sheetName val="FS_C_V2"/>
      <sheetName val="762-9|4_Julius_Bar_Inv2"/>
      <sheetName val="Pallet_info8"/>
      <sheetName val="Holdings_Revenue8"/>
      <sheetName val="Pallet_Volume8"/>
      <sheetName val="Cycle_Time_info8"/>
      <sheetName val="Cycle_Time_Graph8"/>
      <sheetName val="Financial_Info8"/>
      <sheetName val="Ret_&amp;_Iss_info8"/>
      <sheetName val="__8"/>
      <sheetName val="___8"/>
      <sheetName val="Cross_Bdr8"/>
      <sheetName val="Print_Ret_to_iss_&amp;_Cross_Bdr8"/>
      <sheetName val="Print_Sales_N_A_&amp;_EVA8"/>
      <sheetName val="Print_Work_Cap_&amp;_Debt_Tot_Ass8"/>
      <sheetName val="Print_Times_Int_Earn_&amp;_Net_Pro8"/>
      <sheetName val="MAQ_Y_EQ_-ROS_5"/>
      <sheetName val="ESP_SAP_20095"/>
      <sheetName val="SAP_20105"/>
      <sheetName val="Tributos_diferidos_Conso5"/>
      <sheetName val="Tributos_diferidos_aging_ANG5"/>
      <sheetName val="Tributos_diferidos_aging_UMA5"/>
      <sheetName val="Emprestimos_aging_C5"/>
      <sheetName val="NOTA_1-2-35"/>
      <sheetName val="Current_Book_to_Tax5"/>
      <sheetName val="Comp_x_Hotel_x_Semana5"/>
      <sheetName val="bandas_ene20105"/>
      <sheetName val="apertura_de_gastos5"/>
      <sheetName val="6120_VAT__WHT_GL_Accounts_WHT_4"/>
      <sheetName val="Pivot_table_maker4"/>
      <sheetName val="Deuda_Bancaria_(2)2"/>
      <sheetName val="Tablas_Gráficos2"/>
      <sheetName val="Bridge_Resultado2"/>
      <sheetName val="Bridge_Ventas2"/>
      <sheetName val="FS_C_V3"/>
      <sheetName val="ESP_SAP2"/>
      <sheetName val="762-9|4_Julius_Bar_Inv3"/>
      <sheetName val="3__Evol__Susc_2"/>
      <sheetName val="DOH_TOTAL2"/>
      <sheetName val="ADD_PL_MONTHLY2"/>
      <sheetName val="ADC_PL_MONTHLY2"/>
      <sheetName val="HO_Marketing2"/>
      <sheetName val="IRR_sponsor2"/>
      <sheetName val="EOAF_03-02_AxI1"/>
      <sheetName val="BALANCE_RESUMIDO1"/>
      <sheetName val="ACM_IMPUESTOS2"/>
      <sheetName val="Ventas__11-20182"/>
      <sheetName val="Compras__11-20182"/>
      <sheetName val="bs__de_uso1"/>
      <sheetName val="DR4_Pop_1Q04"/>
      <sheetName val="art64_cons"/>
      <sheetName val="OTR_CRED_"/>
      <sheetName val="Sumas_y_Saldos"/>
      <sheetName val="Cross_Bdr9"/>
      <sheetName val="Cycle_Time_Graph9"/>
      <sheetName val="Pallet_info9"/>
      <sheetName val="Holdings_Revenue9"/>
      <sheetName val="Pallet_Volume9"/>
      <sheetName val="Cycle_Time_info9"/>
      <sheetName val="Financial_Info9"/>
      <sheetName val="Ret_&amp;_Iss_info9"/>
      <sheetName val="__9"/>
      <sheetName val="___9"/>
      <sheetName val="Print_Ret_to_iss_&amp;_Cross_Bdr9"/>
      <sheetName val="Print_Sales_N_A_&amp;_EVA9"/>
      <sheetName val="Print_Work_Cap_&amp;_Debt_Tot_Ass9"/>
      <sheetName val="Print_Times_Int_Earn_&amp;_Net_Pro9"/>
      <sheetName val="MAQ_Y_EQ_-ROS_6"/>
      <sheetName val="ESP_SAP_20096"/>
      <sheetName val="SAP_20106"/>
      <sheetName val="Tributos_diferidos_Conso6"/>
      <sheetName val="Tributos_diferidos_aging_ANG6"/>
      <sheetName val="Tributos_diferidos_aging_UMA6"/>
      <sheetName val="Emprestimos_aging_C6"/>
      <sheetName val="NOTA_1-2-36"/>
      <sheetName val="Current_Book_to_Tax6"/>
      <sheetName val="Comp_x_Hotel_x_Semana6"/>
      <sheetName val="bandas_ene20106"/>
      <sheetName val="apertura_de_gastos6"/>
      <sheetName val="6120_VAT__WHT_GL_Accounts_WHT_5"/>
      <sheetName val="Pivot_table_maker5"/>
      <sheetName val="Deuda_Bancaria_(2)3"/>
      <sheetName val="Tablas_Gráficos3"/>
      <sheetName val="Bridge_Resultado3"/>
      <sheetName val="Bridge_Ventas3"/>
      <sheetName val="FS_C_V4"/>
      <sheetName val="ESP_SAP3"/>
      <sheetName val="762-9|4_Julius_Bar_Inv4"/>
      <sheetName val="3__Evol__Susc_3"/>
      <sheetName val="DOH_TOTAL3"/>
      <sheetName val="ADD_PL_MONTHLY3"/>
      <sheetName val="ADC_PL_MONTHLY3"/>
      <sheetName val="HO_Marketing3"/>
      <sheetName val="IRR_sponsor3"/>
      <sheetName val="EOAF_03-02_AxI2"/>
      <sheetName val="BALANCE_RESUMIDO2"/>
      <sheetName val="ACM_IMPUESTOS3"/>
      <sheetName val="Ventas__11-20183"/>
      <sheetName val="Compras__11-20183"/>
      <sheetName val="bs__de_uso2"/>
      <sheetName val="DR4_Pop_1Q041"/>
      <sheetName val="art64_cons1"/>
      <sheetName val="c_r_b1"/>
      <sheetName val="Labour_Summary1"/>
      <sheetName val="OTR_CRED_1"/>
      <sheetName val="Sumas_y_Saldos1"/>
      <sheetName val="Basic Input"/>
      <sheetName val="Recálculo_de_vacaciones"/>
      <sheetName val="CIT_Atento_Brasil_0320"/>
      <sheetName val="CIT_Atento_Brasil_0920"/>
      <sheetName val="CIT_R_Brasil_0320"/>
      <sheetName val="CIT_SCP_0320"/>
      <sheetName val="CIT_R_Brasil_0920"/>
      <sheetName val="CIT_SCP_0920"/>
      <sheetName val="CIT_Interfile_Serviços_032020"/>
      <sheetName val="CIT_Interfile_0920"/>
      <sheetName val="CIT_Interservicer_032020"/>
      <sheetName val="CIT_Interservicer_0920"/>
      <sheetName val="Recálculo_de_vacaciones1"/>
      <sheetName val="CIT_Atento_Brasil_03201"/>
      <sheetName val="CIT_Atento_Brasil_09201"/>
      <sheetName val="CIT_R_Brasil_03201"/>
      <sheetName val="CIT_SCP_03201"/>
      <sheetName val="CIT_R_Brasil_09201"/>
      <sheetName val="CIT_SCP_09201"/>
      <sheetName val="CIT_Interfile_Serviços_0320201"/>
      <sheetName val="CIT_Interfile_09201"/>
      <sheetName val="CIT_Interservicer_0320201"/>
      <sheetName val="CIT_Interservicer_09201"/>
      <sheetName val="TESTE"/>
      <sheetName val="ipc"/>
      <sheetName val="Perdidas fiscales y exces"/>
      <sheetName val="Inv Acciones"/>
      <sheetName val="Indemnizaciones"/>
      <sheetName val="Calculo limite - Opcion 1 y 2"/>
      <sheetName val="Listas"/>
      <sheetName val="products annual"/>
      <sheetName val="IVA Compras"/>
      <sheetName val="DIA03"/>
      <sheetName val="DRW08"/>
      <sheetName val="03.Depósitos a Plazos a Dic"/>
      <sheetName val="Flete 104"/>
      <sheetName val="Cross_Bdr10"/>
      <sheetName val="Cycle_Time_Graph10"/>
      <sheetName val="Pallet_info10"/>
      <sheetName val="Holdings_Revenue10"/>
      <sheetName val="Pallet_Volume10"/>
      <sheetName val="Cycle_Time_info10"/>
      <sheetName val="Financial_Info10"/>
      <sheetName val="Ret_&amp;_Iss_info10"/>
      <sheetName val="__10"/>
      <sheetName val="___10"/>
      <sheetName val="Print_Ret_to_iss_&amp;_Cross_Bdr10"/>
      <sheetName val="Print_Sales_N_A_&amp;_EVA10"/>
      <sheetName val="Print_Work_Cap_&amp;_Debt_Tot_Ass10"/>
      <sheetName val="Print_Times_Int_Earn_&amp;_Net_Pr10"/>
      <sheetName val="MAQ_Y_EQ_-ROS_7"/>
      <sheetName val="ESP_SAP_20097"/>
      <sheetName val="SAP_20107"/>
      <sheetName val="Tributos_diferidos_Conso7"/>
      <sheetName val="Tributos_diferidos_aging_ANG7"/>
      <sheetName val="Tributos_diferidos_aging_UMA7"/>
      <sheetName val="Emprestimos_aging_C7"/>
      <sheetName val="NOTA_1-2-37"/>
      <sheetName val="Current_Book_to_Tax7"/>
      <sheetName val="Comp_x_Hotel_x_Semana7"/>
      <sheetName val="bandas_ene20107"/>
      <sheetName val="apertura_de_gastos7"/>
      <sheetName val="6120_VAT__WHT_GL_Accounts_WHT_6"/>
      <sheetName val="Pivot_table_maker6"/>
      <sheetName val="Deuda_Bancaria_(2)4"/>
      <sheetName val="Tablas_Gráficos4"/>
      <sheetName val="Bridge_Resultado4"/>
      <sheetName val="Bridge_Ventas4"/>
      <sheetName val="FS_C_V5"/>
      <sheetName val="ESP_SAP4"/>
      <sheetName val="762-9|4_Julius_Bar_Inv5"/>
      <sheetName val="3__Evol__Susc_4"/>
      <sheetName val="DOH_TOTAL4"/>
      <sheetName val="ADD_PL_MONTHLY4"/>
      <sheetName val="ADC_PL_MONTHLY4"/>
      <sheetName val="HO_Marketing4"/>
      <sheetName val="IRR_sponsor4"/>
      <sheetName val="EOAF_03-02_AxI3"/>
      <sheetName val="BALANCE_RESUMIDO3"/>
      <sheetName val="ACM_IMPUESTOS4"/>
      <sheetName val="Ventas__11-20184"/>
      <sheetName val="Compras__11-20184"/>
      <sheetName val="bs__de_uso3"/>
      <sheetName val="DR4_Pop_1Q042"/>
      <sheetName val="art64_cons2"/>
      <sheetName val="c_r_b2"/>
      <sheetName val="Labour_Summary2"/>
      <sheetName val="OTR_CRED_2"/>
      <sheetName val="Sumas_y_Saldos2"/>
      <sheetName val="Bce SySaldos Inicial"/>
      <sheetName val="#REF"/>
      <sheetName val="Cover Page"/>
      <sheetName val="SICORE"/>
      <sheetName val="Results from Nov 98"/>
      <sheetName val="ACTINT"/>
      <sheetName val="empvin2"/>
      <sheetName val="GYp"/>
      <sheetName val="rei"/>
      <sheetName val="ocxc"/>
      <sheetName val="ocxp"/>
      <sheetName val="imye"/>
      <sheetName val="산근"/>
      <sheetName val="310707"/>
      <sheetName val="IMPCOST"/>
      <sheetName val="FR"/>
      <sheetName val="BASERENT"/>
      <sheetName val="NOMISPS"/>
      <sheetName val="PAGOS DIRECTOS"/>
      <sheetName val="BASE DATOS"/>
      <sheetName val="GENERAL LEDGER ACCOUNT"/>
      <sheetName val="DEBIT NOTES"/>
      <sheetName val="PAYROLL"/>
      <sheetName val="GERMANY"/>
      <sheetName val="TABLE LCA"/>
      <sheetName val="TABLE HOUSING CONT."/>
      <sheetName val="CAYMAN ISLANDS"/>
      <sheetName val="EEFF_HISTORICOS_"/>
      <sheetName val="Auxiliar_de_Inventarios"/>
      <sheetName val="DATA GRAFICAS"/>
      <sheetName val="Data &amp; Calc's"/>
      <sheetName val="Imob custo"/>
      <sheetName val="Pallet_info15"/>
      <sheetName val="Holdings_Revenue15"/>
      <sheetName val="Pallet_Volume15"/>
      <sheetName val="Cycle_Time_info15"/>
      <sheetName val="Cycle_Time_Graph15"/>
      <sheetName val="Financial_Info15"/>
      <sheetName val="Ret_&amp;_Iss_info15"/>
      <sheetName val="__15"/>
      <sheetName val="___15"/>
      <sheetName val="Cross_Bdr15"/>
      <sheetName val="Print_Ret_to_iss_&amp;_Cross_Bdr15"/>
      <sheetName val="Print_Sales_N_A_&amp;_EVA15"/>
      <sheetName val="Print_Work_Cap_&amp;_Debt_Tot_Ass15"/>
      <sheetName val="Print_Times_Int_Earn_&amp;_Net_Pr15"/>
      <sheetName val="MAQ_Y_EQ_-ROS_11"/>
      <sheetName val="ESP_SAP_200911"/>
      <sheetName val="SAP_201011"/>
      <sheetName val="3__Evol__Susc_10"/>
      <sheetName val="Tributos_diferidos_Conso11"/>
      <sheetName val="Tributos_diferidos_aging_ANG11"/>
      <sheetName val="Tributos_diferidos_aging_UMA11"/>
      <sheetName val="Emprestimos_aging_C11"/>
      <sheetName val="Current_Book_to_Tax11"/>
      <sheetName val="NOTA_1-2-311"/>
      <sheetName val="Comp_x_Hotel_x_Semana11"/>
      <sheetName val="bandas_ene201011"/>
      <sheetName val="apertura_de_gastos11"/>
      <sheetName val="6120_VAT__WHT_GL_Accounts_WHT10"/>
      <sheetName val="Pivot_table_maker10"/>
      <sheetName val="FS_C_V10"/>
      <sheetName val="Tablas_Gráficos10"/>
      <sheetName val="Bridge_Resultado10"/>
      <sheetName val="Bridge_Ventas10"/>
      <sheetName val="762-9|4_Julius_Bar_Inv10"/>
      <sheetName val="ESP_SAP10"/>
      <sheetName val="Deuda_Bancaria_(2)10"/>
      <sheetName val="DOH_TOTAL10"/>
      <sheetName val="ADD_PL_MONTHLY10"/>
      <sheetName val="ADC_PL_MONTHLY10"/>
      <sheetName val="HO_Marketing10"/>
      <sheetName val="EOAF_03-02_AxI8"/>
      <sheetName val="BALANCE_RESUMIDO8"/>
      <sheetName val="IRR_sponsor9"/>
      <sheetName val="ACM_IMPUESTOS9"/>
      <sheetName val="Ventas__11-201810"/>
      <sheetName val="Compras__11-201810"/>
      <sheetName val="bs__de_uso8"/>
      <sheetName val="art64_cons8"/>
      <sheetName val="Labour_Summary8"/>
      <sheetName val="c_r_b8"/>
      <sheetName val="CIT_Atento_Brasil_03208"/>
      <sheetName val="CIT_Atento_Brasil_09208"/>
      <sheetName val="CIT_R_Brasil_03208"/>
      <sheetName val="CIT_SCP_03208"/>
      <sheetName val="CIT_R_Brasil_09208"/>
      <sheetName val="CIT_SCP_09208"/>
      <sheetName val="CIT_Interfile_Serviços_0320208"/>
      <sheetName val="CIT_Interfile_09208"/>
      <sheetName val="CIT_Interservicer_0320208"/>
      <sheetName val="CIT_Interservicer_09208"/>
      <sheetName val="OTR_CRED_8"/>
      <sheetName val="3_INPUT_ACT6"/>
      <sheetName val="gan-3|1_prev_inc6"/>
      <sheetName val="analisis_1-01_a_6-016"/>
      <sheetName val="DR4_Pop_1Q048"/>
      <sheetName val="Recálculo_de_vacaciones8"/>
      <sheetName val="Auxiliar_de_Inventarios6"/>
      <sheetName val="TOTAL_BCAS6"/>
      <sheetName val="Dot_-Rem6"/>
      <sheetName val="Presupuesto_Anual6"/>
      <sheetName val="Conciliacioon_ret_SUSS6"/>
      <sheetName val="C-VI-4C_(Gts_Admon)6"/>
      <sheetName val="Base_de_Datos6"/>
      <sheetName val="Cifras_Año_Anterior6"/>
      <sheetName val="C-VI-4B_(Gts_Fijos)6"/>
      <sheetName val="Cifras_Presupuesto6"/>
      <sheetName val="C-VI-4A_(Gts_Variables)6"/>
      <sheetName val="Sumas_y_Saldos6"/>
      <sheetName val="A_Distribuir6"/>
      <sheetName val="M_MM6"/>
      <sheetName val="0|_LIV_GERA_(PBC)6"/>
      <sheetName val="EEFF_HISTORICOS_6"/>
      <sheetName val="BG_DIC_20026"/>
      <sheetName val="DEF_20046"/>
      <sheetName val="products_annual6"/>
      <sheetName val="CIT_Atento_Brasil_03202"/>
      <sheetName val="CIT_Atento_Brasil_09202"/>
      <sheetName val="CIT_R_Brasil_03202"/>
      <sheetName val="CIT_SCP_03202"/>
      <sheetName val="CIT_R_Brasil_09202"/>
      <sheetName val="CIT_SCP_09202"/>
      <sheetName val="CIT_Interfile_Serviços_0320202"/>
      <sheetName val="CIT_Interfile_09202"/>
      <sheetName val="CIT_Interservicer_0320202"/>
      <sheetName val="CIT_Interservicer_09202"/>
      <sheetName val="3_INPUT_ACT"/>
      <sheetName val="gan-3|1_prev_inc"/>
      <sheetName val="analisis_1-01_a_6-01"/>
      <sheetName val="Recálculo_de_vacaciones2"/>
      <sheetName val="TOTAL_BCAS"/>
      <sheetName val="Dot_-Rem"/>
      <sheetName val="Presupuesto_Anual"/>
      <sheetName val="Conciliacioon_ret_SUSS"/>
      <sheetName val="C-VI-4C_(Gts_Admon)"/>
      <sheetName val="Base_de_Datos"/>
      <sheetName val="Cifras_Año_Anterior"/>
      <sheetName val="C-VI-4B_(Gts_Fijos)"/>
      <sheetName val="Cifras_Presupuesto"/>
      <sheetName val="C-VI-4A_(Gts_Variables)"/>
      <sheetName val="A_Distribuir"/>
      <sheetName val="M_MM"/>
      <sheetName val="0|_LIV_GERA_(PBC)"/>
      <sheetName val="BG_DIC_2002"/>
      <sheetName val="DEF_2004"/>
      <sheetName val="products_annual"/>
      <sheetName val="3__Evol__Susc_5"/>
      <sheetName val="Tablas_Gráficos5"/>
      <sheetName val="Bridge_Resultado5"/>
      <sheetName val="Bridge_Ventas5"/>
      <sheetName val="ESP_SAP5"/>
      <sheetName val="Deuda_Bancaria_(2)5"/>
      <sheetName val="DOH_TOTAL5"/>
      <sheetName val="ADD_PL_MONTHLY5"/>
      <sheetName val="ADC_PL_MONTHLY5"/>
      <sheetName val="HO_Marketing5"/>
      <sheetName val="Ventas__11-20185"/>
      <sheetName val="Compras__11-20185"/>
      <sheetName val="art64_cons3"/>
      <sheetName val="Labour_Summary3"/>
      <sheetName val="c_r_b3"/>
      <sheetName val="CIT_Atento_Brasil_03203"/>
      <sheetName val="CIT_Atento_Brasil_09203"/>
      <sheetName val="CIT_R_Brasil_03203"/>
      <sheetName val="CIT_SCP_03203"/>
      <sheetName val="CIT_R_Brasil_09203"/>
      <sheetName val="CIT_SCP_09203"/>
      <sheetName val="CIT_Interfile_Serviços_0320203"/>
      <sheetName val="CIT_Interfile_09203"/>
      <sheetName val="CIT_Interservicer_0320203"/>
      <sheetName val="CIT_Interservicer_09203"/>
      <sheetName val="OTR_CRED_3"/>
      <sheetName val="3_INPUT_ACT1"/>
      <sheetName val="gan-3|1_prev_inc1"/>
      <sheetName val="analisis_1-01_a_6-011"/>
      <sheetName val="DR4_Pop_1Q043"/>
      <sheetName val="Recálculo_de_vacaciones3"/>
      <sheetName val="Auxiliar_de_Inventarios1"/>
      <sheetName val="TOTAL_BCAS1"/>
      <sheetName val="Dot_-Rem1"/>
      <sheetName val="Presupuesto_Anual1"/>
      <sheetName val="Conciliacioon_ret_SUSS1"/>
      <sheetName val="C-VI-4C_(Gts_Admon)1"/>
      <sheetName val="Base_de_Datos1"/>
      <sheetName val="Cifras_Año_Anterior1"/>
      <sheetName val="C-VI-4B_(Gts_Fijos)1"/>
      <sheetName val="Cifras_Presupuesto1"/>
      <sheetName val="C-VI-4A_(Gts_Variables)1"/>
      <sheetName val="A_Distribuir1"/>
      <sheetName val="M_MM1"/>
      <sheetName val="0|_LIV_GERA_(PBC)1"/>
      <sheetName val="EEFF_HISTORICOS_1"/>
      <sheetName val="BG_DIC_20021"/>
      <sheetName val="DEF_20041"/>
      <sheetName val="products_annual1"/>
      <sheetName val="Pallet_info11"/>
      <sheetName val="Holdings_Revenue11"/>
      <sheetName val="Pallet_Volume11"/>
      <sheetName val="Cycle_Time_info11"/>
      <sheetName val="Cycle_Time_Graph11"/>
      <sheetName val="Financial_Info11"/>
      <sheetName val="Ret_&amp;_Iss_info11"/>
      <sheetName val="__11"/>
      <sheetName val="___11"/>
      <sheetName val="Cross_Bdr11"/>
      <sheetName val="Print_Ret_to_iss_&amp;_Cross_Bdr11"/>
      <sheetName val="Print_Sales_N_A_&amp;_EVA11"/>
      <sheetName val="Print_Work_Cap_&amp;_Debt_Tot_Ass11"/>
      <sheetName val="Print_Times_Int_Earn_&amp;_Net_Pr11"/>
      <sheetName val="3__Evol__Susc_6"/>
      <sheetName val="FS_C_V6"/>
      <sheetName val="Tablas_Gráficos6"/>
      <sheetName val="Bridge_Resultado6"/>
      <sheetName val="Bridge_Ventas6"/>
      <sheetName val="762-9|4_Julius_Bar_Inv6"/>
      <sheetName val="ESP_SAP6"/>
      <sheetName val="Deuda_Bancaria_(2)6"/>
      <sheetName val="DOH_TOTAL6"/>
      <sheetName val="ADD_PL_MONTHLY6"/>
      <sheetName val="ADC_PL_MONTHLY6"/>
      <sheetName val="HO_Marketing6"/>
      <sheetName val="EOAF_03-02_AxI4"/>
      <sheetName val="BALANCE_RESUMIDO4"/>
      <sheetName val="IRR_sponsor5"/>
      <sheetName val="ACM_IMPUESTOS5"/>
      <sheetName val="Ventas__11-20186"/>
      <sheetName val="Compras__11-20186"/>
      <sheetName val="bs__de_uso4"/>
      <sheetName val="art64_cons4"/>
      <sheetName val="Labour_Summary4"/>
      <sheetName val="c_r_b4"/>
      <sheetName val="CIT_Atento_Brasil_03204"/>
      <sheetName val="CIT_Atento_Brasil_09204"/>
      <sheetName val="CIT_R_Brasil_03204"/>
      <sheetName val="CIT_SCP_03204"/>
      <sheetName val="CIT_R_Brasil_09204"/>
      <sheetName val="CIT_SCP_09204"/>
      <sheetName val="CIT_Interfile_Serviços_0320204"/>
      <sheetName val="CIT_Interfile_09204"/>
      <sheetName val="CIT_Interservicer_0320204"/>
      <sheetName val="CIT_Interservicer_09204"/>
      <sheetName val="OTR_CRED_4"/>
      <sheetName val="3_INPUT_ACT2"/>
      <sheetName val="gan-3|1_prev_inc2"/>
      <sheetName val="analisis_1-01_a_6-012"/>
      <sheetName val="DR4_Pop_1Q044"/>
      <sheetName val="Recálculo_de_vacaciones4"/>
      <sheetName val="Auxiliar_de_Inventarios2"/>
      <sheetName val="TOTAL_BCAS2"/>
      <sheetName val="Dot_-Rem2"/>
      <sheetName val="Presupuesto_Anual2"/>
      <sheetName val="Conciliacioon_ret_SUSS2"/>
      <sheetName val="C-VI-4C_(Gts_Admon)2"/>
      <sheetName val="Base_de_Datos2"/>
      <sheetName val="Cifras_Año_Anterior2"/>
      <sheetName val="C-VI-4B_(Gts_Fijos)2"/>
      <sheetName val="Cifras_Presupuesto2"/>
      <sheetName val="C-VI-4A_(Gts_Variables)2"/>
      <sheetName val="A_Distribuir2"/>
      <sheetName val="M_MM2"/>
      <sheetName val="0|_LIV_GERA_(PBC)2"/>
      <sheetName val="EEFF_HISTORICOS_2"/>
      <sheetName val="BG_DIC_20022"/>
      <sheetName val="DEF_20042"/>
      <sheetName val="products_annual2"/>
      <sheetName val="Pallet_info12"/>
      <sheetName val="Holdings_Revenue12"/>
      <sheetName val="Pallet_Volume12"/>
      <sheetName val="Cycle_Time_info12"/>
      <sheetName val="Cycle_Time_Graph12"/>
      <sheetName val="Financial_Info12"/>
      <sheetName val="Ret_&amp;_Iss_info12"/>
      <sheetName val="__12"/>
      <sheetName val="___12"/>
      <sheetName val="Cross_Bdr12"/>
      <sheetName val="Print_Ret_to_iss_&amp;_Cross_Bdr12"/>
      <sheetName val="Print_Sales_N_A_&amp;_EVA12"/>
      <sheetName val="Print_Work_Cap_&amp;_Debt_Tot_Ass12"/>
      <sheetName val="Print_Times_Int_Earn_&amp;_Net_Pr12"/>
      <sheetName val="MAQ_Y_EQ_-ROS_8"/>
      <sheetName val="ESP_SAP_20098"/>
      <sheetName val="SAP_20108"/>
      <sheetName val="3__Evol__Susc_7"/>
      <sheetName val="Tributos_diferidos_Conso8"/>
      <sheetName val="Tributos_diferidos_aging_ANG8"/>
      <sheetName val="Tributos_diferidos_aging_UMA8"/>
      <sheetName val="Emprestimos_aging_C8"/>
      <sheetName val="Current_Book_to_Tax8"/>
      <sheetName val="NOTA_1-2-38"/>
      <sheetName val="Comp_x_Hotel_x_Semana8"/>
      <sheetName val="bandas_ene20108"/>
      <sheetName val="apertura_de_gastos8"/>
      <sheetName val="6120_VAT__WHT_GL_Accounts_WHT_7"/>
      <sheetName val="Pivot_table_maker7"/>
      <sheetName val="FS_C_V7"/>
      <sheetName val="Tablas_Gráficos7"/>
      <sheetName val="Bridge_Resultado7"/>
      <sheetName val="Bridge_Ventas7"/>
      <sheetName val="762-9|4_Julius_Bar_Inv7"/>
      <sheetName val="ESP_SAP7"/>
      <sheetName val="Deuda_Bancaria_(2)7"/>
      <sheetName val="DOH_TOTAL7"/>
      <sheetName val="ADD_PL_MONTHLY7"/>
      <sheetName val="ADC_PL_MONTHLY7"/>
      <sheetName val="HO_Marketing7"/>
      <sheetName val="EOAF_03-02_AxI5"/>
      <sheetName val="BALANCE_RESUMIDO5"/>
      <sheetName val="IRR_sponsor6"/>
      <sheetName val="ACM_IMPUESTOS6"/>
      <sheetName val="Ventas__11-20187"/>
      <sheetName val="Compras__11-20187"/>
      <sheetName val="bs__de_uso5"/>
      <sheetName val="art64_cons5"/>
      <sheetName val="Labour_Summary5"/>
      <sheetName val="c_r_b5"/>
      <sheetName val="CIT_Atento_Brasil_03205"/>
      <sheetName val="CIT_Atento_Brasil_09205"/>
      <sheetName val="CIT_R_Brasil_03205"/>
      <sheetName val="CIT_SCP_03205"/>
      <sheetName val="CIT_R_Brasil_09205"/>
      <sheetName val="CIT_SCP_09205"/>
      <sheetName val="CIT_Interfile_Serviços_0320205"/>
      <sheetName val="CIT_Interfile_09205"/>
      <sheetName val="CIT_Interservicer_0320205"/>
      <sheetName val="CIT_Interservicer_09205"/>
      <sheetName val="OTR_CRED_5"/>
      <sheetName val="3_INPUT_ACT3"/>
      <sheetName val="gan-3|1_prev_inc3"/>
      <sheetName val="analisis_1-01_a_6-013"/>
      <sheetName val="DR4_Pop_1Q045"/>
      <sheetName val="Recálculo_de_vacaciones5"/>
      <sheetName val="Auxiliar_de_Inventarios3"/>
      <sheetName val="TOTAL_BCAS3"/>
      <sheetName val="Dot_-Rem3"/>
      <sheetName val="Presupuesto_Anual3"/>
      <sheetName val="Conciliacioon_ret_SUSS3"/>
      <sheetName val="C-VI-4C_(Gts_Admon)3"/>
      <sheetName val="Base_de_Datos3"/>
      <sheetName val="Cifras_Año_Anterior3"/>
      <sheetName val="C-VI-4B_(Gts_Fijos)3"/>
      <sheetName val="Cifras_Presupuesto3"/>
      <sheetName val="C-VI-4A_(Gts_Variables)3"/>
      <sheetName val="Sumas_y_Saldos3"/>
      <sheetName val="A_Distribuir3"/>
      <sheetName val="M_MM3"/>
      <sheetName val="0|_LIV_GERA_(PBC)3"/>
      <sheetName val="EEFF_HISTORICOS_3"/>
      <sheetName val="BG_DIC_20023"/>
      <sheetName val="DEF_20043"/>
      <sheetName val="products_annual3"/>
      <sheetName val="Pallet_info13"/>
      <sheetName val="Holdings_Revenue13"/>
      <sheetName val="Pallet_Volume13"/>
      <sheetName val="Cycle_Time_info13"/>
      <sheetName val="Cycle_Time_Graph13"/>
      <sheetName val="Financial_Info13"/>
      <sheetName val="Ret_&amp;_Iss_info13"/>
      <sheetName val="__13"/>
      <sheetName val="___13"/>
      <sheetName val="Cross_Bdr13"/>
      <sheetName val="Print_Ret_to_iss_&amp;_Cross_Bdr13"/>
      <sheetName val="Print_Sales_N_A_&amp;_EVA13"/>
      <sheetName val="Print_Work_Cap_&amp;_Debt_Tot_Ass13"/>
      <sheetName val="Print_Times_Int_Earn_&amp;_Net_Pr13"/>
      <sheetName val="MAQ_Y_EQ_-ROS_9"/>
      <sheetName val="ESP_SAP_20099"/>
      <sheetName val="SAP_20109"/>
      <sheetName val="3__Evol__Susc_8"/>
      <sheetName val="Tributos_diferidos_Conso9"/>
      <sheetName val="Tributos_diferidos_aging_ANG9"/>
      <sheetName val="Tributos_diferidos_aging_UMA9"/>
      <sheetName val="Emprestimos_aging_C9"/>
      <sheetName val="Current_Book_to_Tax9"/>
      <sheetName val="NOTA_1-2-39"/>
      <sheetName val="Comp_x_Hotel_x_Semana9"/>
      <sheetName val="bandas_ene20109"/>
      <sheetName val="apertura_de_gastos9"/>
      <sheetName val="6120_VAT__WHT_GL_Accounts_WHT_8"/>
      <sheetName val="Pivot_table_maker8"/>
      <sheetName val="FS_C_V8"/>
      <sheetName val="Tablas_Gráficos8"/>
      <sheetName val="Bridge_Resultado8"/>
      <sheetName val="Bridge_Ventas8"/>
      <sheetName val="762-9|4_Julius_Bar_Inv8"/>
      <sheetName val="ESP_SAP8"/>
      <sheetName val="Deuda_Bancaria_(2)8"/>
      <sheetName val="DOH_TOTAL8"/>
      <sheetName val="ADD_PL_MONTHLY8"/>
      <sheetName val="ADC_PL_MONTHLY8"/>
      <sheetName val="HO_Marketing8"/>
      <sheetName val="EOAF_03-02_AxI6"/>
      <sheetName val="BALANCE_RESUMIDO6"/>
      <sheetName val="IRR_sponsor7"/>
      <sheetName val="ACM_IMPUESTOS7"/>
      <sheetName val="Ventas__11-20188"/>
      <sheetName val="Compras__11-20188"/>
      <sheetName val="bs__de_uso6"/>
      <sheetName val="art64_cons6"/>
      <sheetName val="Labour_Summary6"/>
      <sheetName val="c_r_b6"/>
      <sheetName val="CIT_Atento_Brasil_03206"/>
      <sheetName val="CIT_Atento_Brasil_09206"/>
      <sheetName val="CIT_R_Brasil_03206"/>
      <sheetName val="CIT_SCP_03206"/>
      <sheetName val="CIT_R_Brasil_09206"/>
      <sheetName val="CIT_SCP_09206"/>
      <sheetName val="CIT_Interfile_Serviços_0320206"/>
      <sheetName val="CIT_Interfile_09206"/>
      <sheetName val="CIT_Interservicer_0320206"/>
      <sheetName val="CIT_Interservicer_09206"/>
      <sheetName val="OTR_CRED_6"/>
      <sheetName val="3_INPUT_ACT4"/>
      <sheetName val="gan-3|1_prev_inc4"/>
      <sheetName val="analisis_1-01_a_6-014"/>
      <sheetName val="DR4_Pop_1Q046"/>
      <sheetName val="Recálculo_de_vacaciones6"/>
      <sheetName val="Auxiliar_de_Inventarios4"/>
      <sheetName val="TOTAL_BCAS4"/>
      <sheetName val="Dot_-Rem4"/>
      <sheetName val="Presupuesto_Anual4"/>
      <sheetName val="Conciliacioon_ret_SUSS4"/>
      <sheetName val="C-VI-4C_(Gts_Admon)4"/>
      <sheetName val="Base_de_Datos4"/>
      <sheetName val="Cifras_Año_Anterior4"/>
      <sheetName val="C-VI-4B_(Gts_Fijos)4"/>
      <sheetName val="Cifras_Presupuesto4"/>
      <sheetName val="C-VI-4A_(Gts_Variables)4"/>
      <sheetName val="Sumas_y_Saldos4"/>
      <sheetName val="A_Distribuir4"/>
      <sheetName val="M_MM4"/>
      <sheetName val="0|_LIV_GERA_(PBC)4"/>
      <sheetName val="EEFF_HISTORICOS_4"/>
      <sheetName val="BG_DIC_20024"/>
      <sheetName val="DEF_20044"/>
      <sheetName val="products_annual4"/>
      <sheetName val="Pallet_info14"/>
      <sheetName val="Holdings_Revenue14"/>
      <sheetName val="Pallet_Volume14"/>
      <sheetName val="Cycle_Time_info14"/>
      <sheetName val="Cycle_Time_Graph14"/>
      <sheetName val="Financial_Info14"/>
      <sheetName val="Ret_&amp;_Iss_info14"/>
      <sheetName val="__14"/>
      <sheetName val="___14"/>
      <sheetName val="Cross_Bdr14"/>
      <sheetName val="Print_Ret_to_iss_&amp;_Cross_Bdr14"/>
      <sheetName val="Print_Sales_N_A_&amp;_EVA14"/>
      <sheetName val="Print_Work_Cap_&amp;_Debt_Tot_Ass14"/>
      <sheetName val="Print_Times_Int_Earn_&amp;_Net_Pr14"/>
      <sheetName val="MAQ_Y_EQ_-ROS_10"/>
      <sheetName val="ESP_SAP_200910"/>
      <sheetName val="SAP_201010"/>
      <sheetName val="3__Evol__Susc_9"/>
      <sheetName val="Tributos_diferidos_Conso10"/>
      <sheetName val="Tributos_diferidos_aging_ANG10"/>
      <sheetName val="Tributos_diferidos_aging_UMA10"/>
      <sheetName val="Emprestimos_aging_C10"/>
      <sheetName val="Current_Book_to_Tax10"/>
      <sheetName val="NOTA_1-2-310"/>
      <sheetName val="Comp_x_Hotel_x_Semana10"/>
      <sheetName val="bandas_ene201010"/>
      <sheetName val="apertura_de_gastos10"/>
      <sheetName val="6120_VAT__WHT_GL_Accounts_WHT_9"/>
      <sheetName val="Pivot_table_maker9"/>
      <sheetName val="FS_C_V9"/>
      <sheetName val="Tablas_Gráficos9"/>
      <sheetName val="Bridge_Resultado9"/>
      <sheetName val="Bridge_Ventas9"/>
      <sheetName val="762-9|4_Julius_Bar_Inv9"/>
      <sheetName val="ESP_SAP9"/>
      <sheetName val="Deuda_Bancaria_(2)9"/>
      <sheetName val="DOH_TOTAL9"/>
      <sheetName val="ADD_PL_MONTHLY9"/>
      <sheetName val="ADC_PL_MONTHLY9"/>
      <sheetName val="HO_Marketing9"/>
      <sheetName val="EOAF_03-02_AxI7"/>
      <sheetName val="BALANCE_RESUMIDO7"/>
      <sheetName val="IRR_sponsor8"/>
      <sheetName val="ACM_IMPUESTOS8"/>
      <sheetName val="Ventas__11-20189"/>
      <sheetName val="Compras__11-20189"/>
      <sheetName val="bs__de_uso7"/>
      <sheetName val="art64_cons7"/>
      <sheetName val="Labour_Summary7"/>
      <sheetName val="c_r_b7"/>
      <sheetName val="CIT_Atento_Brasil_03207"/>
      <sheetName val="CIT_Atento_Brasil_09207"/>
      <sheetName val="CIT_R_Brasil_03207"/>
      <sheetName val="CIT_SCP_03207"/>
      <sheetName val="CIT_R_Brasil_09207"/>
      <sheetName val="CIT_SCP_09207"/>
      <sheetName val="CIT_Interfile_Serviços_0320207"/>
      <sheetName val="CIT_Interfile_09207"/>
      <sheetName val="CIT_Interservicer_0320207"/>
      <sheetName val="CIT_Interservicer_09207"/>
      <sheetName val="OTR_CRED_7"/>
      <sheetName val="3_INPUT_ACT5"/>
      <sheetName val="gan-3|1_prev_inc5"/>
      <sheetName val="analisis_1-01_a_6-015"/>
      <sheetName val="DR4_Pop_1Q047"/>
      <sheetName val="Recálculo_de_vacaciones7"/>
      <sheetName val="Auxiliar_de_Inventarios5"/>
      <sheetName val="TOTAL_BCAS5"/>
      <sheetName val="Dot_-Rem5"/>
      <sheetName val="Presupuesto_Anual5"/>
      <sheetName val="Conciliacioon_ret_SUSS5"/>
      <sheetName val="C-VI-4C_(Gts_Admon)5"/>
      <sheetName val="Base_de_Datos5"/>
      <sheetName val="Cifras_Año_Anterior5"/>
      <sheetName val="C-VI-4B_(Gts_Fijos)5"/>
      <sheetName val="Cifras_Presupuesto5"/>
      <sheetName val="C-VI-4A_(Gts_Variables)5"/>
      <sheetName val="Sumas_y_Saldos5"/>
      <sheetName val="A_Distribuir5"/>
      <sheetName val="M_MM5"/>
      <sheetName val="0|_LIV_GERA_(PBC)5"/>
      <sheetName val="EEFF_HISTORICOS_5"/>
      <sheetName val="BG_DIC_20025"/>
      <sheetName val="DEF_20045"/>
      <sheetName val="products_annual5"/>
      <sheetName val="Pallet_info16"/>
      <sheetName val="Holdings_Revenue16"/>
      <sheetName val="Pallet_Volume16"/>
      <sheetName val="Cycle_Time_info16"/>
      <sheetName val="Cycle_Time_Graph16"/>
      <sheetName val="Financial_Info16"/>
      <sheetName val="Ret_&amp;_Iss_info16"/>
      <sheetName val="__16"/>
      <sheetName val="___16"/>
      <sheetName val="Cross_Bdr16"/>
      <sheetName val="Print_Ret_to_iss_&amp;_Cross_Bdr16"/>
      <sheetName val="Print_Sales_N_A_&amp;_EVA16"/>
      <sheetName val="Print_Work_Cap_&amp;_Debt_Tot_Ass16"/>
      <sheetName val="Print_Times_Int_Earn_&amp;_Net_Pr16"/>
      <sheetName val="MAQ_Y_EQ_-ROS_12"/>
      <sheetName val="ESP_SAP_200912"/>
      <sheetName val="SAP_201012"/>
      <sheetName val="3__Evol__Susc_11"/>
      <sheetName val="Tributos_diferidos_Conso12"/>
      <sheetName val="Tributos_diferidos_aging_ANG12"/>
      <sheetName val="Tributos_diferidos_aging_UMA12"/>
      <sheetName val="Emprestimos_aging_C12"/>
      <sheetName val="Current_Book_to_Tax12"/>
      <sheetName val="NOTA_1-2-312"/>
      <sheetName val="Comp_x_Hotel_x_Semana12"/>
      <sheetName val="bandas_ene201012"/>
      <sheetName val="apertura_de_gastos12"/>
      <sheetName val="6120_VAT__WHT_GL_Accounts_WHT11"/>
      <sheetName val="Pivot_table_maker11"/>
      <sheetName val="FS_C_V11"/>
      <sheetName val="Tablas_Gráficos11"/>
      <sheetName val="Bridge_Resultado11"/>
      <sheetName val="Bridge_Ventas11"/>
      <sheetName val="762-9|4_Julius_Bar_Inv11"/>
      <sheetName val="ESP_SAP11"/>
      <sheetName val="Deuda_Bancaria_(2)11"/>
      <sheetName val="DOH_TOTAL11"/>
      <sheetName val="ADD_PL_MONTHLY11"/>
      <sheetName val="ADC_PL_MONTHLY11"/>
      <sheetName val="HO_Marketing11"/>
      <sheetName val="EOAF_03-02_AxI9"/>
      <sheetName val="BALANCE_RESUMIDO9"/>
      <sheetName val="IRR_sponsor10"/>
      <sheetName val="ACM_IMPUESTOS10"/>
      <sheetName val="Ventas__11-201811"/>
      <sheetName val="Compras__11-201811"/>
      <sheetName val="bs__de_uso9"/>
      <sheetName val="art64_cons9"/>
      <sheetName val="Labour_Summary9"/>
      <sheetName val="c_r_b9"/>
      <sheetName val="CIT_Atento_Brasil_03209"/>
      <sheetName val="CIT_Atento_Brasil_09209"/>
      <sheetName val="CIT_R_Brasil_03209"/>
      <sheetName val="CIT_SCP_03209"/>
      <sheetName val="CIT_R_Brasil_09209"/>
      <sheetName val="CIT_SCP_09209"/>
      <sheetName val="CIT_Interfile_Serviços_0320209"/>
      <sheetName val="CIT_Interfile_09209"/>
      <sheetName val="CIT_Interservicer_0320209"/>
      <sheetName val="CIT_Interservicer_09209"/>
      <sheetName val="OTR_CRED_9"/>
      <sheetName val="3_INPUT_ACT7"/>
      <sheetName val="gan-3|1_prev_inc7"/>
      <sheetName val="analisis_1-01_a_6-017"/>
      <sheetName val="DR4_Pop_1Q049"/>
      <sheetName val="Recálculo_de_vacaciones9"/>
      <sheetName val="Auxiliar_de_Inventarios7"/>
      <sheetName val="TOTAL_BCAS7"/>
      <sheetName val="Dot_-Rem7"/>
      <sheetName val="Presupuesto_Anual7"/>
      <sheetName val="Conciliacioon_ret_SUSS7"/>
      <sheetName val="C-VI-4C_(Gts_Admon)7"/>
      <sheetName val="Base_de_Datos7"/>
      <sheetName val="Cifras_Año_Anterior7"/>
      <sheetName val="C-VI-4B_(Gts_Fijos)7"/>
      <sheetName val="Cifras_Presupuesto7"/>
      <sheetName val="C-VI-4A_(Gts_Variables)7"/>
      <sheetName val="Sumas_y_Saldos7"/>
      <sheetName val="A_Distribuir7"/>
      <sheetName val="M_MM7"/>
      <sheetName val="0|_LIV_GERA_(PBC)7"/>
      <sheetName val="EEFF_HISTORICOS_7"/>
      <sheetName val="BG_DIC_20027"/>
      <sheetName val="DEF_20047"/>
      <sheetName val="products_annual7"/>
      <sheetName val="Pallet_info17"/>
      <sheetName val="Holdings_Revenue17"/>
      <sheetName val="Pallet_Volume17"/>
      <sheetName val="Cycle_Time_info17"/>
      <sheetName val="Cycle_Time_Graph17"/>
      <sheetName val="Financial_Info17"/>
      <sheetName val="Ret_&amp;_Iss_info17"/>
      <sheetName val="__17"/>
      <sheetName val="___17"/>
      <sheetName val="Cross_Bdr17"/>
      <sheetName val="Print_Ret_to_iss_&amp;_Cross_Bdr17"/>
      <sheetName val="Print_Sales_N_A_&amp;_EVA17"/>
      <sheetName val="Print_Work_Cap_&amp;_Debt_Tot_Ass17"/>
      <sheetName val="Print_Times_Int_Earn_&amp;_Net_Pr17"/>
      <sheetName val="MAQ_Y_EQ_-ROS_13"/>
      <sheetName val="ESP_SAP_200913"/>
      <sheetName val="SAP_201013"/>
      <sheetName val="3__Evol__Susc_12"/>
      <sheetName val="Tributos_diferidos_Conso13"/>
      <sheetName val="Tributos_diferidos_aging_ANG13"/>
      <sheetName val="Tributos_diferidos_aging_UMA13"/>
      <sheetName val="Emprestimos_aging_C13"/>
      <sheetName val="Current_Book_to_Tax13"/>
      <sheetName val="NOTA_1-2-313"/>
      <sheetName val="Comp_x_Hotel_x_Semana13"/>
      <sheetName val="bandas_ene201013"/>
      <sheetName val="apertura_de_gastos13"/>
      <sheetName val="6120_VAT__WHT_GL_Accounts_WHT12"/>
      <sheetName val="Pivot_table_maker12"/>
      <sheetName val="FS_C_V12"/>
      <sheetName val="Tablas_Gráficos12"/>
      <sheetName val="Bridge_Resultado12"/>
      <sheetName val="Bridge_Ventas12"/>
      <sheetName val="762-9|4_Julius_Bar_Inv12"/>
      <sheetName val="ESP_SAP12"/>
      <sheetName val="Deuda_Bancaria_(2)12"/>
      <sheetName val="DOH_TOTAL12"/>
      <sheetName val="ADD_PL_MONTHLY12"/>
      <sheetName val="ADC_PL_MONTHLY12"/>
      <sheetName val="HO_Marketing12"/>
      <sheetName val="EOAF_03-02_AxI10"/>
      <sheetName val="BALANCE_RESUMIDO10"/>
      <sheetName val="IRR_sponsor11"/>
      <sheetName val="ACM_IMPUESTOS11"/>
      <sheetName val="Ventas__11-201812"/>
      <sheetName val="Compras__11-201812"/>
      <sheetName val="bs__de_uso10"/>
      <sheetName val="art64_cons10"/>
      <sheetName val="Labour_Summary10"/>
      <sheetName val="c_r_b10"/>
      <sheetName val="CIT_Atento_Brasil_032010"/>
      <sheetName val="CIT_Atento_Brasil_092010"/>
      <sheetName val="CIT_R_Brasil_032010"/>
      <sheetName val="CIT_SCP_032010"/>
      <sheetName val="CIT_R_Brasil_092010"/>
      <sheetName val="CIT_SCP_092010"/>
      <sheetName val="CIT_Interfile_Serviços_03202010"/>
      <sheetName val="CIT_Interfile_092010"/>
      <sheetName val="CIT_Interservicer_03202010"/>
      <sheetName val="CIT_Interservicer_092010"/>
      <sheetName val="OTR_CRED_10"/>
      <sheetName val="3_INPUT_ACT8"/>
      <sheetName val="gan-3|1_prev_inc8"/>
      <sheetName val="analisis_1-01_a_6-018"/>
      <sheetName val="DR4_Pop_1Q0410"/>
      <sheetName val="Recálculo_de_vacaciones10"/>
      <sheetName val="Auxiliar_de_Inventarios8"/>
      <sheetName val="TOTAL_BCAS8"/>
      <sheetName val="Dot_-Rem8"/>
      <sheetName val="Presupuesto_Anual8"/>
      <sheetName val="Conciliacioon_ret_SUSS8"/>
      <sheetName val="C-VI-4C_(Gts_Admon)8"/>
      <sheetName val="Base_de_Datos8"/>
      <sheetName val="Cifras_Año_Anterior8"/>
      <sheetName val="C-VI-4B_(Gts_Fijos)8"/>
      <sheetName val="Cifras_Presupuesto8"/>
      <sheetName val="C-VI-4A_(Gts_Variables)8"/>
      <sheetName val="Sumas_y_Saldos8"/>
      <sheetName val="A_Distribuir8"/>
      <sheetName val="M_MM8"/>
      <sheetName val="0|_LIV_GERA_(PBC)8"/>
      <sheetName val="EEFF_HISTORICOS_8"/>
      <sheetName val="BG_DIC_20028"/>
      <sheetName val="DEF_20048"/>
      <sheetName val="products_annual8"/>
      <sheetName val="Pallet_info19"/>
      <sheetName val="Holdings_Revenue19"/>
      <sheetName val="Pallet_Volume19"/>
      <sheetName val="Cycle_Time_info19"/>
      <sheetName val="Cycle_Time_Graph19"/>
      <sheetName val="Financial_Info19"/>
      <sheetName val="Ret_&amp;_Iss_info19"/>
      <sheetName val="__19"/>
      <sheetName val="___19"/>
      <sheetName val="Cross_Bdr19"/>
      <sheetName val="Print_Ret_to_iss_&amp;_Cross_Bdr19"/>
      <sheetName val="Print_Sales_N_A_&amp;_EVA19"/>
      <sheetName val="Print_Work_Cap_&amp;_Debt_Tot_Ass19"/>
      <sheetName val="Print_Times_Int_Earn_&amp;_Net_Pr19"/>
      <sheetName val="MAQ_Y_EQ_-ROS_15"/>
      <sheetName val="ESP_SAP_200915"/>
      <sheetName val="SAP_201015"/>
      <sheetName val="3__Evol__Susc_14"/>
      <sheetName val="Tributos_diferidos_Conso15"/>
      <sheetName val="Tributos_diferidos_aging_ANG15"/>
      <sheetName val="Tributos_diferidos_aging_UMA15"/>
      <sheetName val="Emprestimos_aging_C15"/>
      <sheetName val="Current_Book_to_Tax15"/>
      <sheetName val="NOTA_1-2-315"/>
      <sheetName val="Comp_x_Hotel_x_Semana15"/>
      <sheetName val="bandas_ene201015"/>
      <sheetName val="apertura_de_gastos15"/>
      <sheetName val="6120_VAT__WHT_GL_Accounts_WHT14"/>
      <sheetName val="Pivot_table_maker14"/>
      <sheetName val="FS_C_V14"/>
      <sheetName val="Tablas_Gráficos14"/>
      <sheetName val="Bridge_Resultado14"/>
      <sheetName val="Bridge_Ventas14"/>
      <sheetName val="762-9|4_Julius_Bar_Inv14"/>
      <sheetName val="ESP_SAP14"/>
      <sheetName val="Deuda_Bancaria_(2)14"/>
      <sheetName val="DOH_TOTAL14"/>
      <sheetName val="ADD_PL_MONTHLY14"/>
      <sheetName val="ADC_PL_MONTHLY14"/>
      <sheetName val="HO_Marketing14"/>
      <sheetName val="EOAF_03-02_AxI12"/>
      <sheetName val="BALANCE_RESUMIDO12"/>
      <sheetName val="IRR_sponsor13"/>
      <sheetName val="ACM_IMPUESTOS13"/>
      <sheetName val="Ventas__11-201814"/>
      <sheetName val="Compras__11-201814"/>
      <sheetName val="bs__de_uso12"/>
      <sheetName val="art64_cons12"/>
      <sheetName val="Labour_Summary12"/>
      <sheetName val="c_r_b12"/>
      <sheetName val="CIT_Atento_Brasil_032012"/>
      <sheetName val="CIT_Atento_Brasil_092012"/>
      <sheetName val="CIT_R_Brasil_032012"/>
      <sheetName val="CIT_SCP_032012"/>
      <sheetName val="CIT_R_Brasil_092012"/>
      <sheetName val="CIT_SCP_092012"/>
      <sheetName val="CIT_Interfile_Serviços_03202012"/>
      <sheetName val="CIT_Interfile_092012"/>
      <sheetName val="CIT_Interservicer_03202012"/>
      <sheetName val="CIT_Interservicer_092012"/>
      <sheetName val="OTR_CRED_12"/>
      <sheetName val="3_INPUT_ACT10"/>
      <sheetName val="gan-3|1_prev_inc10"/>
      <sheetName val="analisis_1-01_a_6-0110"/>
      <sheetName val="DR4_Pop_1Q0412"/>
      <sheetName val="Recálculo_de_vacaciones12"/>
      <sheetName val="Auxiliar_de_Inventarios10"/>
      <sheetName val="TOTAL_BCAS10"/>
      <sheetName val="Dot_-Rem10"/>
      <sheetName val="Presupuesto_Anual10"/>
      <sheetName val="Conciliacioon_ret_SUSS10"/>
      <sheetName val="C-VI-4C_(Gts_Admon)10"/>
      <sheetName val="Base_de_Datos10"/>
      <sheetName val="Cifras_Año_Anterior10"/>
      <sheetName val="C-VI-4B_(Gts_Fijos)10"/>
      <sheetName val="Cifras_Presupuesto10"/>
      <sheetName val="C-VI-4A_(Gts_Variables)10"/>
      <sheetName val="Sumas_y_Saldos10"/>
      <sheetName val="A_Distribuir10"/>
      <sheetName val="M_MM10"/>
      <sheetName val="0|_LIV_GERA_(PBC)10"/>
      <sheetName val="EEFF_HISTORICOS_10"/>
      <sheetName val="BG_DIC_200210"/>
      <sheetName val="DEF_200410"/>
      <sheetName val="products_annual10"/>
      <sheetName val="Pallet_info18"/>
      <sheetName val="Holdings_Revenue18"/>
      <sheetName val="Pallet_Volume18"/>
      <sheetName val="Cycle_Time_info18"/>
      <sheetName val="Cycle_Time_Graph18"/>
      <sheetName val="Financial_Info18"/>
      <sheetName val="Ret_&amp;_Iss_info18"/>
      <sheetName val="__18"/>
      <sheetName val="___18"/>
      <sheetName val="Cross_Bdr18"/>
      <sheetName val="Print_Ret_to_iss_&amp;_Cross_Bdr18"/>
      <sheetName val="Print_Sales_N_A_&amp;_EVA18"/>
      <sheetName val="Print_Work_Cap_&amp;_Debt_Tot_Ass18"/>
      <sheetName val="Print_Times_Int_Earn_&amp;_Net_Pr18"/>
      <sheetName val="MAQ_Y_EQ_-ROS_14"/>
      <sheetName val="ESP_SAP_200914"/>
      <sheetName val="SAP_201014"/>
      <sheetName val="3__Evol__Susc_13"/>
      <sheetName val="Tributos_diferidos_Conso14"/>
      <sheetName val="Tributos_diferidos_aging_ANG14"/>
      <sheetName val="Tributos_diferidos_aging_UMA14"/>
      <sheetName val="Emprestimos_aging_C14"/>
      <sheetName val="Current_Book_to_Tax14"/>
      <sheetName val="NOTA_1-2-314"/>
      <sheetName val="Comp_x_Hotel_x_Semana14"/>
      <sheetName val="bandas_ene201014"/>
      <sheetName val="apertura_de_gastos14"/>
      <sheetName val="6120_VAT__WHT_GL_Accounts_WHT13"/>
      <sheetName val="Pivot_table_maker13"/>
      <sheetName val="FS_C_V13"/>
      <sheetName val="Tablas_Gráficos13"/>
      <sheetName val="Bridge_Resultado13"/>
      <sheetName val="Bridge_Ventas13"/>
      <sheetName val="762-9|4_Julius_Bar_Inv13"/>
      <sheetName val="ESP_SAP13"/>
      <sheetName val="Deuda_Bancaria_(2)13"/>
      <sheetName val="DOH_TOTAL13"/>
      <sheetName val="ADD_PL_MONTHLY13"/>
      <sheetName val="ADC_PL_MONTHLY13"/>
      <sheetName val="HO_Marketing13"/>
      <sheetName val="EOAF_03-02_AxI11"/>
      <sheetName val="BALANCE_RESUMIDO11"/>
      <sheetName val="IRR_sponsor12"/>
      <sheetName val="ACM_IMPUESTOS12"/>
      <sheetName val="Ventas__11-201813"/>
      <sheetName val="Compras__11-201813"/>
      <sheetName val="bs__de_uso11"/>
      <sheetName val="art64_cons11"/>
      <sheetName val="Labour_Summary11"/>
      <sheetName val="c_r_b11"/>
      <sheetName val="CIT_Atento_Brasil_032011"/>
      <sheetName val="CIT_Atento_Brasil_092011"/>
      <sheetName val="CIT_R_Brasil_032011"/>
      <sheetName val="CIT_SCP_032011"/>
      <sheetName val="CIT_R_Brasil_092011"/>
      <sheetName val="CIT_SCP_092011"/>
      <sheetName val="CIT_Interfile_Serviços_03202011"/>
      <sheetName val="CIT_Interfile_092011"/>
      <sheetName val="CIT_Interservicer_03202011"/>
      <sheetName val="CIT_Interservicer_092011"/>
      <sheetName val="OTR_CRED_11"/>
      <sheetName val="3_INPUT_ACT9"/>
      <sheetName val="gan-3|1_prev_inc9"/>
      <sheetName val="analisis_1-01_a_6-019"/>
      <sheetName val="DR4_Pop_1Q0411"/>
      <sheetName val="Recálculo_de_vacaciones11"/>
      <sheetName val="Auxiliar_de_Inventarios9"/>
      <sheetName val="TOTAL_BCAS9"/>
      <sheetName val="Dot_-Rem9"/>
      <sheetName val="Presupuesto_Anual9"/>
      <sheetName val="Conciliacioon_ret_SUSS9"/>
      <sheetName val="C-VI-4C_(Gts_Admon)9"/>
      <sheetName val="Base_de_Datos9"/>
      <sheetName val="Cifras_Año_Anterior9"/>
      <sheetName val="C-VI-4B_(Gts_Fijos)9"/>
      <sheetName val="Cifras_Presupuesto9"/>
      <sheetName val="C-VI-4A_(Gts_Variables)9"/>
      <sheetName val="Sumas_y_Saldos9"/>
      <sheetName val="A_Distribuir9"/>
      <sheetName val="M_MM9"/>
      <sheetName val="0|_LIV_GERA_(PBC)9"/>
      <sheetName val="EEFF_HISTORICOS_9"/>
      <sheetName val="BG_DIC_20029"/>
      <sheetName val="DEF_20049"/>
      <sheetName val="products_annual9"/>
      <sheetName val="Pallet_info20"/>
      <sheetName val="Holdings_Revenue20"/>
      <sheetName val="Pallet_Volume20"/>
      <sheetName val="Cycle_Time_info20"/>
      <sheetName val="Cycle_Time_Graph20"/>
      <sheetName val="Financial_Info20"/>
      <sheetName val="Ret_&amp;_Iss_info20"/>
      <sheetName val="__20"/>
      <sheetName val="___20"/>
      <sheetName val="Cross_Bdr20"/>
      <sheetName val="Print_Ret_to_iss_&amp;_Cross_Bdr20"/>
      <sheetName val="Print_Sales_N_A_&amp;_EVA20"/>
      <sheetName val="Print_Work_Cap_&amp;_Debt_Tot_Ass20"/>
      <sheetName val="Print_Times_Int_Earn_&amp;_Net_Pr20"/>
      <sheetName val="MAQ_Y_EQ_-ROS_16"/>
      <sheetName val="ESP_SAP_200916"/>
      <sheetName val="SAP_201016"/>
      <sheetName val="3__Evol__Susc_15"/>
      <sheetName val="Tributos_diferidos_Conso16"/>
      <sheetName val="Tributos_diferidos_aging_ANG16"/>
      <sheetName val="Tributos_diferidos_aging_UMA16"/>
      <sheetName val="Emprestimos_aging_C16"/>
      <sheetName val="Current_Book_to_Tax16"/>
      <sheetName val="NOTA_1-2-316"/>
      <sheetName val="Comp_x_Hotel_x_Semana16"/>
      <sheetName val="bandas_ene201016"/>
      <sheetName val="apertura_de_gastos16"/>
      <sheetName val="6120_VAT__WHT_GL_Accounts_WHT15"/>
      <sheetName val="Pivot_table_maker15"/>
      <sheetName val="FS_C_V15"/>
      <sheetName val="Tablas_Gráficos15"/>
      <sheetName val="Bridge_Resultado15"/>
      <sheetName val="Bridge_Ventas15"/>
      <sheetName val="762-9|4_Julius_Bar_Inv15"/>
      <sheetName val="ESP_SAP15"/>
      <sheetName val="Deuda_Bancaria_(2)15"/>
      <sheetName val="DOH_TOTAL15"/>
      <sheetName val="ADD_PL_MONTHLY15"/>
      <sheetName val="ADC_PL_MONTHLY15"/>
      <sheetName val="HO_Marketing15"/>
      <sheetName val="EOAF_03-02_AxI13"/>
      <sheetName val="BALANCE_RESUMIDO13"/>
      <sheetName val="IRR_sponsor14"/>
      <sheetName val="ACM_IMPUESTOS14"/>
      <sheetName val="Ventas__11-201815"/>
      <sheetName val="Compras__11-201815"/>
      <sheetName val="bs__de_uso13"/>
      <sheetName val="art64_cons13"/>
      <sheetName val="Labour_Summary13"/>
      <sheetName val="c_r_b13"/>
      <sheetName val="CIT_Atento_Brasil_032013"/>
      <sheetName val="CIT_Atento_Brasil_092013"/>
      <sheetName val="CIT_R_Brasil_032013"/>
      <sheetName val="CIT_SCP_032013"/>
      <sheetName val="CIT_R_Brasil_092013"/>
      <sheetName val="CIT_SCP_092013"/>
      <sheetName val="CIT_Interfile_Serviços_03202013"/>
      <sheetName val="CIT_Interfile_092013"/>
      <sheetName val="CIT_Interservicer_03202013"/>
      <sheetName val="CIT_Interservicer_092013"/>
      <sheetName val="OTR_CRED_13"/>
      <sheetName val="3_INPUT_ACT11"/>
      <sheetName val="gan-3|1_prev_inc11"/>
      <sheetName val="analisis_1-01_a_6-0111"/>
      <sheetName val="DR4_Pop_1Q0413"/>
      <sheetName val="Recálculo_de_vacaciones13"/>
      <sheetName val="Auxiliar_de_Inventarios11"/>
      <sheetName val="TOTAL_BCAS11"/>
      <sheetName val="Dot_-Rem11"/>
      <sheetName val="Presupuesto_Anual11"/>
      <sheetName val="Conciliacioon_ret_SUSS11"/>
      <sheetName val="C-VI-4C_(Gts_Admon)11"/>
      <sheetName val="Base_de_Datos11"/>
      <sheetName val="Cifras_Año_Anterior11"/>
      <sheetName val="C-VI-4B_(Gts_Fijos)11"/>
      <sheetName val="Cifras_Presupuesto11"/>
      <sheetName val="C-VI-4A_(Gts_Variables)11"/>
      <sheetName val="Sumas_y_Saldos11"/>
      <sheetName val="A_Distribuir11"/>
      <sheetName val="M_MM11"/>
      <sheetName val="0|_LIV_GERA_(PBC)11"/>
      <sheetName val="EEFF_HISTORICOS_11"/>
      <sheetName val="BG_DIC_200211"/>
      <sheetName val="DEF_200411"/>
      <sheetName val="products_annual11"/>
      <sheetName val="Pallet_info21"/>
      <sheetName val="Holdings_Revenue21"/>
      <sheetName val="Pallet_Volume21"/>
      <sheetName val="Cycle_Time_info21"/>
      <sheetName val="Cycle_Time_Graph21"/>
      <sheetName val="Financial_Info21"/>
      <sheetName val="Ret_&amp;_Iss_info21"/>
      <sheetName val="__21"/>
      <sheetName val="___21"/>
      <sheetName val="Cross_Bdr21"/>
      <sheetName val="Print_Ret_to_iss_&amp;_Cross_Bdr21"/>
      <sheetName val="Print_Sales_N_A_&amp;_EVA21"/>
      <sheetName val="Print_Work_Cap_&amp;_Debt_Tot_Ass21"/>
      <sheetName val="Print_Times_Int_Earn_&amp;_Net_Pr21"/>
      <sheetName val="MAQ_Y_EQ_-ROS_17"/>
      <sheetName val="ESP_SAP_200917"/>
      <sheetName val="SAP_201017"/>
      <sheetName val="Tributos_diferidos_Conso17"/>
      <sheetName val="Tributos_diferidos_aging_ANG17"/>
      <sheetName val="Tributos_diferidos_aging_UMA17"/>
      <sheetName val="Emprestimos_aging_C17"/>
      <sheetName val="3__Evol__Susc_16"/>
      <sheetName val="Current_Book_to_Tax17"/>
      <sheetName val="NOTA_1-2-317"/>
      <sheetName val="Comp_x_Hotel_x_Semana17"/>
      <sheetName val="bandas_ene201017"/>
      <sheetName val="apertura_de_gastos17"/>
      <sheetName val="6120_VAT__WHT_GL_Accounts_WHT16"/>
      <sheetName val="Pivot_table_maker16"/>
      <sheetName val="FS_C_V16"/>
      <sheetName val="Tablas_Gráficos16"/>
      <sheetName val="Bridge_Resultado16"/>
      <sheetName val="Bridge_Ventas16"/>
      <sheetName val="762-9|4_Julius_Bar_Inv16"/>
      <sheetName val="ESP_SAP16"/>
      <sheetName val="Deuda_Bancaria_(2)16"/>
      <sheetName val="DOH_TOTAL16"/>
      <sheetName val="ADD_PL_MONTHLY16"/>
      <sheetName val="ADC_PL_MONTHLY16"/>
      <sheetName val="HO_Marketing16"/>
      <sheetName val="EOAF_03-02_AxI14"/>
      <sheetName val="BALANCE_RESUMIDO14"/>
      <sheetName val="IRR_sponsor15"/>
      <sheetName val="ACM_IMPUESTOS15"/>
      <sheetName val="Ventas__11-201816"/>
      <sheetName val="Compras__11-201816"/>
      <sheetName val="bs__de_uso14"/>
      <sheetName val="art64_cons14"/>
      <sheetName val="Labour_Summary14"/>
      <sheetName val="c_r_b14"/>
      <sheetName val="CIT_Atento_Brasil_032014"/>
      <sheetName val="CIT_Atento_Brasil_092014"/>
      <sheetName val="CIT_R_Brasil_032014"/>
      <sheetName val="CIT_SCP_032014"/>
      <sheetName val="CIT_R_Brasil_092014"/>
      <sheetName val="CIT_SCP_092014"/>
      <sheetName val="CIT_Interfile_Serviços_03202014"/>
      <sheetName val="CIT_Interfile_092014"/>
      <sheetName val="CIT_Interservicer_03202014"/>
      <sheetName val="CIT_Interservicer_092014"/>
      <sheetName val="OTR_CRED_14"/>
      <sheetName val="3_INPUT_ACT12"/>
      <sheetName val="gan-3|1_prev_inc12"/>
      <sheetName val="analisis_1-01_a_6-0112"/>
      <sheetName val="DR4_Pop_1Q0414"/>
      <sheetName val="Recálculo_de_vacaciones14"/>
      <sheetName val="Auxiliar_de_Inventarios12"/>
      <sheetName val="TOTAL_BCAS12"/>
      <sheetName val="Dot_-Rem12"/>
      <sheetName val="Presupuesto_Anual12"/>
      <sheetName val="Conciliacioon_ret_SUSS12"/>
      <sheetName val="C-VI-4C_(Gts_Admon)12"/>
      <sheetName val="Base_de_Datos12"/>
      <sheetName val="Cifras_Año_Anterior12"/>
      <sheetName val="C-VI-4B_(Gts_Fijos)12"/>
      <sheetName val="Cifras_Presupuesto12"/>
      <sheetName val="C-VI-4A_(Gts_Variables)12"/>
      <sheetName val="Sumas_y_Saldos12"/>
      <sheetName val="A_Distribuir12"/>
      <sheetName val="M_MM12"/>
      <sheetName val="0|_LIV_GERA_(PBC)12"/>
      <sheetName val="EEFF_HISTORICOS_12"/>
      <sheetName val="BG_DIC_200212"/>
      <sheetName val="DEF_200412"/>
      <sheetName val="products_annual12"/>
      <sheetName val="Pallet_info22"/>
      <sheetName val="Holdings_Revenue22"/>
      <sheetName val="Pallet_Volume22"/>
      <sheetName val="Cycle_Time_info22"/>
      <sheetName val="Cycle_Time_Graph22"/>
      <sheetName val="Financial_Info22"/>
      <sheetName val="Ret_&amp;_Iss_info22"/>
      <sheetName val="__22"/>
      <sheetName val="___22"/>
      <sheetName val="Cross_Bdr22"/>
      <sheetName val="Print_Ret_to_iss_&amp;_Cross_Bdr22"/>
      <sheetName val="Print_Sales_N_A_&amp;_EVA22"/>
      <sheetName val="Print_Work_Cap_&amp;_Debt_Tot_Ass22"/>
      <sheetName val="Print_Times_Int_Earn_&amp;_Net_Pr22"/>
      <sheetName val="MAQ_Y_EQ_-ROS_18"/>
      <sheetName val="ESP_SAP_200918"/>
      <sheetName val="SAP_201018"/>
      <sheetName val="Tributos_diferidos_Conso18"/>
      <sheetName val="Tributos_diferidos_aging_ANG18"/>
      <sheetName val="Tributos_diferidos_aging_UMA18"/>
      <sheetName val="Emprestimos_aging_C18"/>
      <sheetName val="3__Evol__Susc_17"/>
      <sheetName val="Current_Book_to_Tax18"/>
      <sheetName val="NOTA_1-2-318"/>
      <sheetName val="Comp_x_Hotel_x_Semana18"/>
      <sheetName val="bandas_ene201018"/>
      <sheetName val="apertura_de_gastos18"/>
      <sheetName val="6120_VAT__WHT_GL_Accounts_WHT17"/>
      <sheetName val="Pivot_table_maker17"/>
      <sheetName val="FS_C_V17"/>
      <sheetName val="Tablas_Gráficos17"/>
      <sheetName val="Bridge_Resultado17"/>
      <sheetName val="Bridge_Ventas17"/>
      <sheetName val="762-9|4_Julius_Bar_Inv17"/>
      <sheetName val="ESP_SAP17"/>
      <sheetName val="Deuda_Bancaria_(2)17"/>
      <sheetName val="DOH_TOTAL17"/>
      <sheetName val="ADD_PL_MONTHLY17"/>
      <sheetName val="ADC_PL_MONTHLY17"/>
      <sheetName val="HO_Marketing17"/>
      <sheetName val="EOAF_03-02_AxI15"/>
      <sheetName val="BALANCE_RESUMIDO15"/>
      <sheetName val="IRR_sponsor16"/>
      <sheetName val="ACM_IMPUESTOS16"/>
      <sheetName val="Ventas__11-201817"/>
      <sheetName val="Compras__11-201817"/>
      <sheetName val="bs__de_uso15"/>
      <sheetName val="art64_cons15"/>
      <sheetName val="Labour_Summary15"/>
      <sheetName val="c_r_b15"/>
      <sheetName val="CIT_Atento_Brasil_032015"/>
      <sheetName val="CIT_Atento_Brasil_092015"/>
      <sheetName val="CIT_R_Brasil_032015"/>
      <sheetName val="CIT_SCP_032015"/>
      <sheetName val="CIT_R_Brasil_092015"/>
      <sheetName val="CIT_SCP_092015"/>
      <sheetName val="CIT_Interfile_Serviços_03202015"/>
      <sheetName val="CIT_Interfile_092015"/>
      <sheetName val="CIT_Interservicer_03202015"/>
      <sheetName val="CIT_Interservicer_092015"/>
      <sheetName val="OTR_CRED_15"/>
      <sheetName val="3_INPUT_ACT13"/>
      <sheetName val="gan-3|1_prev_inc13"/>
      <sheetName val="analisis_1-01_a_6-0113"/>
      <sheetName val="DR4_Pop_1Q0415"/>
      <sheetName val="Recálculo_de_vacaciones15"/>
      <sheetName val="Auxiliar_de_Inventarios13"/>
      <sheetName val="TOTAL_BCAS13"/>
      <sheetName val="Dot_-Rem13"/>
      <sheetName val="Presupuesto_Anual13"/>
      <sheetName val="Conciliacioon_ret_SUSS13"/>
      <sheetName val="C-VI-4C_(Gts_Admon)13"/>
      <sheetName val="Base_de_Datos13"/>
      <sheetName val="Cifras_Año_Anterior13"/>
      <sheetName val="C-VI-4B_(Gts_Fijos)13"/>
      <sheetName val="Cifras_Presupuesto13"/>
      <sheetName val="C-VI-4A_(Gts_Variables)13"/>
      <sheetName val="Sumas_y_Saldos13"/>
      <sheetName val="A_Distribuir13"/>
      <sheetName val="M_MM13"/>
      <sheetName val="0|_LIV_GERA_(PBC)13"/>
      <sheetName val="EEFF_HISTORICOS_13"/>
      <sheetName val="BG_DIC_200213"/>
      <sheetName val="DEF_200413"/>
      <sheetName val="products_annual13"/>
      <sheetName val="03_Depósitos_a_Plazos_a_Dic"/>
      <sheetName val="Assump"/>
      <sheetName val="Graphs"/>
      <sheetName val="SEG.TECN"/>
      <sheetName val="P"/>
      <sheetName val="4"/>
      <sheetName val="Flete_104"/>
      <sheetName val="Results_from_Nov_98"/>
      <sheetName val="Perdidas_fiscales_y_exces"/>
      <sheetName val="Inv_Acciones"/>
      <sheetName val="Calculo_limite_-_Opcion_1_y_2"/>
      <sheetName val="DATA_GRAFICAS"/>
      <sheetName val="Data_&amp;_Calc's"/>
      <sheetName val="SEG_TECN"/>
      <sheetName val="Imob_custo"/>
      <sheetName val="PAGOS_DIRECTOS"/>
      <sheetName val="BASE_DATOS"/>
      <sheetName val="GENERAL_LEDGER_ACCOUNT"/>
      <sheetName val="DEBIT_NOTES"/>
      <sheetName val="TABLE_LCA"/>
      <sheetName val="TABLE_HOUSING_CONT_"/>
      <sheetName val="CAYMAN_ISLANDS"/>
      <sheetName val="lead"/>
      <sheetName val="anexo ii "/>
      <sheetName val="soporte notas"/>
      <sheetName val="31.12.2006 inicial"/>
      <sheetName val="systuc12.99"/>
    </sheetNames>
    <sheetDataSet>
      <sheetData sheetId="0" refreshError="1"/>
      <sheetData sheetId="1">
        <row r="23">
          <cell r="B23" t="str">
            <v xml:space="preserve">Physical Utilization of 94.0% is up from 90.2% in the prior period.  The increase is due to a depot holding decrease of 3.3 million  to 2.3 million pallets. </v>
          </cell>
        </row>
      </sheetData>
      <sheetData sheetId="2">
        <row r="23">
          <cell r="B23" t="str">
            <v xml:space="preserve">Physical Utilization of 94.0% is up from 90.2% in the prior period.  The increase is due to a depot holding decrease of 3.3 million  to 2.3 million pallets. </v>
          </cell>
        </row>
      </sheetData>
      <sheetData sheetId="3">
        <row r="23">
          <cell r="B23" t="str">
            <v xml:space="preserve">Physical Utilization of 94.0% is up from 90.2% in the prior period.  The increase is due to a depot holding decrease of 3.3 million  to 2.3 million pallets. </v>
          </cell>
        </row>
      </sheetData>
      <sheetData sheetId="4" refreshError="1">
        <row r="23">
          <cell r="B23" t="str">
            <v xml:space="preserve">Physical Utilization of 94.0% is up from 90.2% in the prior period.  The increase is due to a depot holding decrease of 3.3 million  to 2.3 million pallets. </v>
          </cell>
        </row>
      </sheetData>
      <sheetData sheetId="5">
        <row r="23">
          <cell r="B23" t="str">
            <v xml:space="preserve">Physical Utilization of 94.0% is up from 90.2% in the prior period.  The increase is due to a depot holding decrease of 3.3 million  to 2.3 million pallets. </v>
          </cell>
        </row>
      </sheetData>
      <sheetData sheetId="6" refreshError="1">
        <row r="23">
          <cell r="B23" t="str">
            <v xml:space="preserve">Physical Utilization of 94.0% is up from 90.2% in the prior period.  The increase is due to a depot holding decrease of 3.3 million  to 2.3 million pallets. </v>
          </cell>
        </row>
        <row r="35">
          <cell r="B35" t="str">
            <v>Longer cycle times at manufacturers continue to contribute to higher rental fees.</v>
          </cell>
        </row>
      </sheetData>
      <sheetData sheetId="7">
        <row r="23">
          <cell r="B23" t="str">
            <v xml:space="preserve">Physical Utilization of 94.0% is up from 90.2% in the prior period.  The increase is due to a depot holding decrease of 3.3 million  to 2.3 million pallets. </v>
          </cell>
        </row>
      </sheetData>
      <sheetData sheetId="8">
        <row r="68">
          <cell r="C68" t="str">
            <v>J '97</v>
          </cell>
        </row>
      </sheetData>
      <sheetData sheetId="9">
        <row r="68">
          <cell r="C68" t="str">
            <v>J '97</v>
          </cell>
        </row>
      </sheetData>
      <sheetData sheetId="10">
        <row r="68">
          <cell r="C68" t="str">
            <v>J '97</v>
          </cell>
        </row>
      </sheetData>
      <sheetData sheetId="11">
        <row r="68">
          <cell r="C68" t="str">
            <v>J '97</v>
          </cell>
        </row>
      </sheetData>
      <sheetData sheetId="12" refreshError="1"/>
      <sheetData sheetId="13"/>
      <sheetData sheetId="14"/>
      <sheetData sheetId="15">
        <row r="35">
          <cell r="B35" t="str">
            <v>Longer cycle times at manufacturers continue to contribute to higher rental fees.</v>
          </cell>
        </row>
      </sheetData>
      <sheetData sheetId="16">
        <row r="35">
          <cell r="B35" t="str">
            <v>Longer cycle times at manufacturers continue to contribute to higher rental fees.</v>
          </cell>
        </row>
      </sheetData>
      <sheetData sheetId="17" refreshError="1"/>
      <sheetData sheetId="18" refreshError="1"/>
      <sheetData sheetId="19">
        <row r="35">
          <cell r="B35" t="str">
            <v>Longer cycle times at manufacturers continue to contribute to higher rental fees.</v>
          </cell>
        </row>
      </sheetData>
      <sheetData sheetId="20">
        <row r="35">
          <cell r="B35" t="str">
            <v>Longer cycle times at manufacturers continue to contribute to higher rental fees.</v>
          </cell>
        </row>
      </sheetData>
      <sheetData sheetId="21">
        <row r="35">
          <cell r="B35" t="str">
            <v>Longer cycle times at manufacturers continue to contribute to higher rental fees.</v>
          </cell>
        </row>
      </sheetData>
      <sheetData sheetId="22">
        <row r="35">
          <cell r="B35" t="str">
            <v>Longer cycle times at manufacturers continue to contribute to higher rental fees.</v>
          </cell>
        </row>
      </sheetData>
      <sheetData sheetId="23">
        <row r="35">
          <cell r="B35" t="str">
            <v>Longer cycle times at manufacturers continue to contribute to higher rental fees.</v>
          </cell>
        </row>
      </sheetData>
      <sheetData sheetId="24">
        <row r="35">
          <cell r="B35" t="str">
            <v>Longer cycle times at manufacturers continue to contribute to higher rental fees.</v>
          </cell>
        </row>
      </sheetData>
      <sheetData sheetId="25">
        <row r="35">
          <cell r="B35" t="str">
            <v>Longer cycle times at manufacturers continue to contribute to higher rental fees.</v>
          </cell>
        </row>
      </sheetData>
      <sheetData sheetId="26">
        <row r="35">
          <cell r="B35" t="str">
            <v>Longer cycle times at manufacturers continue to contribute to higher rental fees.</v>
          </cell>
        </row>
      </sheetData>
      <sheetData sheetId="27">
        <row r="35">
          <cell r="B35" t="str">
            <v>Longer cycle times at manufacturers continue to contribute to higher rental fees.</v>
          </cell>
        </row>
      </sheetData>
      <sheetData sheetId="28">
        <row r="35">
          <cell r="B35" t="str">
            <v>Longer cycle times at manufacturers continue to contribute to higher rental fees.</v>
          </cell>
        </row>
      </sheetData>
      <sheetData sheetId="29">
        <row r="35">
          <cell r="B35" t="str">
            <v>Longer cycle times at manufacturers continue to contribute to higher rental fees.</v>
          </cell>
        </row>
      </sheetData>
      <sheetData sheetId="30">
        <row r="35">
          <cell r="B35" t="str">
            <v>Longer cycle times at manufacturers continue to contribute to higher rental fees.</v>
          </cell>
        </row>
      </sheetData>
      <sheetData sheetId="31">
        <row r="35">
          <cell r="B35" t="str">
            <v>Longer cycle times at manufacturers continue to contribute to higher rental fees.</v>
          </cell>
        </row>
      </sheetData>
      <sheetData sheetId="32">
        <row r="35">
          <cell r="B35" t="str">
            <v>Longer cycle times at manufacturers continue to contribute to higher rental fees.</v>
          </cell>
        </row>
      </sheetData>
      <sheetData sheetId="33" refreshError="1"/>
      <sheetData sheetId="34">
        <row r="35">
          <cell r="B35" t="str">
            <v>Longer cycle times at manufacturers continue to contribute to higher rental fees.</v>
          </cell>
        </row>
      </sheetData>
      <sheetData sheetId="35">
        <row r="35">
          <cell r="B35" t="str">
            <v>Longer cycle times at manufacturers continue to contribute to higher rental fees.</v>
          </cell>
        </row>
      </sheetData>
      <sheetData sheetId="36">
        <row r="35">
          <cell r="B35" t="str">
            <v>Longer cycle times at manufacturers continue to contribute to higher rental fees.</v>
          </cell>
        </row>
      </sheetData>
      <sheetData sheetId="37">
        <row r="35">
          <cell r="B35" t="str">
            <v>Longer cycle times at manufacturers continue to contribute to higher rental fees.</v>
          </cell>
        </row>
      </sheetData>
      <sheetData sheetId="38">
        <row r="35">
          <cell r="B35" t="str">
            <v>Longer cycle times at manufacturers continue to contribute to higher rental fees.</v>
          </cell>
        </row>
      </sheetData>
      <sheetData sheetId="39">
        <row r="35">
          <cell r="B35" t="str">
            <v>Longer cycle times at manufacturers continue to contribute to higher rental fees.</v>
          </cell>
        </row>
      </sheetData>
      <sheetData sheetId="40">
        <row r="35">
          <cell r="B35" t="str">
            <v>Longer cycle times at manufacturers continue to contribute to higher rental fees.</v>
          </cell>
        </row>
      </sheetData>
      <sheetData sheetId="41">
        <row r="35">
          <cell r="B35" t="str">
            <v>Longer cycle times at manufacturers continue to contribute to higher rental fees.</v>
          </cell>
        </row>
      </sheetData>
      <sheetData sheetId="42">
        <row r="35">
          <cell r="B35" t="str">
            <v>Longer cycle times at manufacturers continue to contribute to higher rental fees.</v>
          </cell>
        </row>
      </sheetData>
      <sheetData sheetId="43">
        <row r="35">
          <cell r="B35" t="str">
            <v>Longer cycle times at manufacturers continue to contribute to higher rental fees.</v>
          </cell>
        </row>
      </sheetData>
      <sheetData sheetId="44">
        <row r="35">
          <cell r="B35" t="str">
            <v>Longer cycle times at manufacturers continue to contribute to higher rental fees.</v>
          </cell>
        </row>
      </sheetData>
      <sheetData sheetId="45">
        <row r="35">
          <cell r="B35" t="str">
            <v>Longer cycle times at manufacturers continue to contribute to higher rental fees.</v>
          </cell>
        </row>
      </sheetData>
      <sheetData sheetId="46">
        <row r="35">
          <cell r="B35" t="str">
            <v>Longer cycle times at manufacturers continue to contribute to higher rental fees.</v>
          </cell>
        </row>
      </sheetData>
      <sheetData sheetId="47">
        <row r="35">
          <cell r="B35" t="str">
            <v>Longer cycle times at manufacturers continue to contribute to higher rental fees.</v>
          </cell>
        </row>
      </sheetData>
      <sheetData sheetId="48">
        <row r="35">
          <cell r="B35" t="str">
            <v>Longer cycle times at manufacturers continue to contribute to higher rental fees.</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ow r="23">
          <cell r="B23" t="str">
            <v xml:space="preserve">Physical Utilization of 94.0% is up from 90.2% in the prior period.  The increase is due to a depot holding decrease of 3.3 million  to 2.3 million pallets. </v>
          </cell>
        </row>
      </sheetData>
      <sheetData sheetId="94">
        <row r="23">
          <cell r="B23" t="str">
            <v xml:space="preserve">Physical Utilization of 94.0% is up from 90.2% in the prior period.  The increase is due to a depot holding decrease of 3.3 million  to 2.3 million pallets. </v>
          </cell>
        </row>
      </sheetData>
      <sheetData sheetId="95">
        <row r="23">
          <cell r="B23" t="str">
            <v xml:space="preserve">Physical Utilization of 94.0% is up from 90.2% in the prior period.  The increase is due to a depot holding decrease of 3.3 million  to 2.3 million pallets. </v>
          </cell>
        </row>
      </sheetData>
      <sheetData sheetId="96">
        <row r="23">
          <cell r="B23" t="str">
            <v xml:space="preserve">Physical Utilization of 94.0% is up from 90.2% in the prior period.  The increase is due to a depot holding decrease of 3.3 million  to 2.3 million pallets. </v>
          </cell>
        </row>
      </sheetData>
      <sheetData sheetId="97">
        <row r="23">
          <cell r="B23" t="str">
            <v xml:space="preserve">Physical Utilization of 94.0% is up from 90.2% in the prior period.  The increase is due to a depot holding decrease of 3.3 million  to 2.3 million pallets. </v>
          </cell>
        </row>
      </sheetData>
      <sheetData sheetId="98">
        <row r="23">
          <cell r="B23" t="str">
            <v xml:space="preserve">Physical Utilization of 94.0% is up from 90.2% in the prior period.  The increase is due to a depot holding decrease of 3.3 million  to 2.3 million pallets. </v>
          </cell>
        </row>
      </sheetData>
      <sheetData sheetId="99">
        <row r="23">
          <cell r="B23" t="str">
            <v xml:space="preserve">Physical Utilization of 94.0% is up from 90.2% in the prior period.  The increase is due to a depot holding decrease of 3.3 million  to 2.3 million pallets. </v>
          </cell>
        </row>
      </sheetData>
      <sheetData sheetId="100">
        <row r="23">
          <cell r="B23" t="str">
            <v xml:space="preserve">Physical Utilization of 94.0% is up from 90.2% in the prior period.  The increase is due to a depot holding decrease of 3.3 million  to 2.3 million pallets. </v>
          </cell>
        </row>
      </sheetData>
      <sheetData sheetId="101">
        <row r="23">
          <cell r="B23" t="str">
            <v xml:space="preserve">Physical Utilization of 94.0% is up from 90.2% in the prior period.  The increase is due to a depot holding decrease of 3.3 million  to 2.3 million pallets. </v>
          </cell>
        </row>
      </sheetData>
      <sheetData sheetId="102">
        <row r="23">
          <cell r="B23" t="str">
            <v xml:space="preserve">Physical Utilization of 94.0% is up from 90.2% in the prior period.  The increase is due to a depot holding decrease of 3.3 million  to 2.3 million pallets. </v>
          </cell>
        </row>
      </sheetData>
      <sheetData sheetId="103">
        <row r="23">
          <cell r="B23" t="str">
            <v xml:space="preserve">Physical Utilization of 94.0% is up from 90.2% in the prior period.  The increase is due to a depot holding decrease of 3.3 million  to 2.3 million pallets. </v>
          </cell>
        </row>
      </sheetData>
      <sheetData sheetId="104">
        <row r="23">
          <cell r="B23" t="str">
            <v xml:space="preserve">Physical Utilization of 94.0% is up from 90.2% in the prior period.  The increase is due to a depot holding decrease of 3.3 million  to 2.3 million pallets. </v>
          </cell>
        </row>
      </sheetData>
      <sheetData sheetId="105">
        <row r="23">
          <cell r="B23" t="str">
            <v xml:space="preserve">Physical Utilization of 94.0% is up from 90.2% in the prior period.  The increase is due to a depot holding decrease of 3.3 million  to 2.3 million pallets. </v>
          </cell>
        </row>
      </sheetData>
      <sheetData sheetId="106">
        <row r="23">
          <cell r="B23" t="str">
            <v xml:space="preserve">Physical Utilization of 94.0% is up from 90.2% in the prior period.  The increase is due to a depot holding decrease of 3.3 million  to 2.3 million pallets. </v>
          </cell>
        </row>
      </sheetData>
      <sheetData sheetId="107">
        <row r="23">
          <cell r="B23" t="str">
            <v xml:space="preserve">Physical Utilization of 94.0% is up from 90.2% in the prior period.  The increase is due to a depot holding decrease of 3.3 million  to 2.3 million pallets. </v>
          </cell>
        </row>
      </sheetData>
      <sheetData sheetId="108">
        <row r="23">
          <cell r="B23" t="str">
            <v xml:space="preserve">Physical Utilization of 94.0% is up from 90.2% in the prior period.  The increase is due to a depot holding decrease of 3.3 million  to 2.3 million pallets. </v>
          </cell>
        </row>
      </sheetData>
      <sheetData sheetId="109">
        <row r="23">
          <cell r="B23" t="str">
            <v xml:space="preserve">Physical Utilization of 94.0% is up from 90.2% in the prior period.  The increase is due to a depot holding decrease of 3.3 million  to 2.3 million pallets. </v>
          </cell>
        </row>
      </sheetData>
      <sheetData sheetId="110">
        <row r="23">
          <cell r="B23" t="str">
            <v xml:space="preserve">Physical Utilization of 94.0% is up from 90.2% in the prior period.  The increase is due to a depot holding decrease of 3.3 million  to 2.3 million pallets. </v>
          </cell>
        </row>
      </sheetData>
      <sheetData sheetId="111">
        <row r="23">
          <cell r="B23" t="str">
            <v xml:space="preserve">Physical Utilization of 94.0% is up from 90.2% in the prior period.  The increase is due to a depot holding decrease of 3.3 million  to 2.3 million pallets. </v>
          </cell>
        </row>
      </sheetData>
      <sheetData sheetId="112">
        <row r="23">
          <cell r="B23" t="str">
            <v xml:space="preserve">Physical Utilization of 94.0% is up from 90.2% in the prior period.  The increase is due to a depot holding decrease of 3.3 million  to 2.3 million pallets. </v>
          </cell>
        </row>
      </sheetData>
      <sheetData sheetId="113">
        <row r="23">
          <cell r="B23" t="str">
            <v xml:space="preserve">Physical Utilization of 94.0% is up from 90.2% in the prior period.  The increase is due to a depot holding decrease of 3.3 million  to 2.3 million pallets. </v>
          </cell>
        </row>
      </sheetData>
      <sheetData sheetId="114">
        <row r="23">
          <cell r="B23" t="str">
            <v xml:space="preserve">Physical Utilization of 94.0% is up from 90.2% in the prior period.  The increase is due to a depot holding decrease of 3.3 million  to 2.3 million pallets. </v>
          </cell>
        </row>
      </sheetData>
      <sheetData sheetId="115">
        <row r="23">
          <cell r="B23" t="str">
            <v xml:space="preserve">Physical Utilization of 94.0% is up from 90.2% in the prior period.  The increase is due to a depot holding decrease of 3.3 million  to 2.3 million pallets. </v>
          </cell>
        </row>
      </sheetData>
      <sheetData sheetId="116">
        <row r="23">
          <cell r="B23" t="str">
            <v xml:space="preserve">Physical Utilization of 94.0% is up from 90.2% in the prior period.  The increase is due to a depot holding decrease of 3.3 million  to 2.3 million pallets. </v>
          </cell>
        </row>
      </sheetData>
      <sheetData sheetId="117">
        <row r="23">
          <cell r="B23" t="str">
            <v xml:space="preserve">Physical Utilization of 94.0% is up from 90.2% in the prior period.  The increase is due to a depot holding decrease of 3.3 million  to 2.3 million pallets. </v>
          </cell>
        </row>
      </sheetData>
      <sheetData sheetId="118">
        <row r="23">
          <cell r="B23" t="str">
            <v xml:space="preserve">Physical Utilization of 94.0% is up from 90.2% in the prior period.  The increase is due to a depot holding decrease of 3.3 million  to 2.3 million pallets. </v>
          </cell>
        </row>
      </sheetData>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23">
          <cell r="B23" t="str">
            <v xml:space="preserve">Physical Utilization of 94.0% is up from 90.2% in the prior period.  The increase is due to a depot holding decrease of 3.3 million  to 2.3 million pallets. </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ow r="23">
          <cell r="B23" t="str">
            <v xml:space="preserve">Physical Utilization of 94.0% is up from 90.2% in the prior period.  The increase is due to a depot holding decrease of 3.3 million  to 2.3 million pallets. </v>
          </cell>
        </row>
      </sheetData>
      <sheetData sheetId="147">
        <row r="23">
          <cell r="B23" t="str">
            <v xml:space="preserve">Physical Utilization of 94.0% is up from 90.2% in the prior period.  The increase is due to a depot holding decrease of 3.3 million  to 2.3 million pallets. </v>
          </cell>
        </row>
      </sheetData>
      <sheetData sheetId="148">
        <row r="23">
          <cell r="B23" t="str">
            <v xml:space="preserve">Physical Utilization of 94.0% is up from 90.2% in the prior period.  The increase is due to a depot holding decrease of 3.3 million  to 2.3 million pallets. </v>
          </cell>
        </row>
      </sheetData>
      <sheetData sheetId="149">
        <row r="23">
          <cell r="B23" t="str">
            <v xml:space="preserve">Physical Utilization of 94.0% is up from 90.2% in the prior period.  The increase is due to a depot holding decrease of 3.3 million  to 2.3 million pallets. </v>
          </cell>
        </row>
      </sheetData>
      <sheetData sheetId="150">
        <row r="23">
          <cell r="B23" t="str">
            <v xml:space="preserve">Physical Utilization of 94.0% is up from 90.2% in the prior period.  The increase is due to a depot holding decrease of 3.3 million  to 2.3 million pallets. </v>
          </cell>
        </row>
      </sheetData>
      <sheetData sheetId="151">
        <row r="23">
          <cell r="B23" t="str">
            <v xml:space="preserve">Physical Utilization of 94.0% is up from 90.2% in the prior period.  The increase is due to a depot holding decrease of 3.3 million  to 2.3 million pallets. </v>
          </cell>
        </row>
      </sheetData>
      <sheetData sheetId="152">
        <row r="23">
          <cell r="B23" t="str">
            <v xml:space="preserve">Physical Utilization of 94.0% is up from 90.2% in the prior period.  The increase is due to a depot holding decrease of 3.3 million  to 2.3 million pallets. </v>
          </cell>
        </row>
      </sheetData>
      <sheetData sheetId="153">
        <row r="23">
          <cell r="B23" t="str">
            <v xml:space="preserve">Physical Utilization of 94.0% is up from 90.2% in the prior period.  The increase is due to a depot holding decrease of 3.3 million  to 2.3 million pallets. </v>
          </cell>
        </row>
      </sheetData>
      <sheetData sheetId="154">
        <row r="23">
          <cell r="B23" t="str">
            <v xml:space="preserve">Physical Utilization of 94.0% is up from 90.2% in the prior period.  The increase is due to a depot holding decrease of 3.3 million  to 2.3 million pallets. </v>
          </cell>
        </row>
      </sheetData>
      <sheetData sheetId="155">
        <row r="23">
          <cell r="B23" t="str">
            <v xml:space="preserve">Physical Utilization of 94.0% is up from 90.2% in the prior period.  The increase is due to a depot holding decrease of 3.3 million  to 2.3 million pallets. </v>
          </cell>
        </row>
      </sheetData>
      <sheetData sheetId="156">
        <row r="23">
          <cell r="B23" t="str">
            <v xml:space="preserve">Physical Utilization of 94.0% is up from 90.2% in the prior period.  The increase is due to a depot holding decrease of 3.3 million  to 2.3 million pallets. </v>
          </cell>
        </row>
      </sheetData>
      <sheetData sheetId="157">
        <row r="23">
          <cell r="B23" t="str">
            <v xml:space="preserve">Physical Utilization of 94.0% is up from 90.2% in the prior period.  The increase is due to a depot holding decrease of 3.3 million  to 2.3 million pallets. </v>
          </cell>
        </row>
      </sheetData>
      <sheetData sheetId="158">
        <row r="23">
          <cell r="B23" t="str">
            <v xml:space="preserve">Physical Utilization of 94.0% is up from 90.2% in the prior period.  The increase is due to a depot holding decrease of 3.3 million  to 2.3 million pallets. </v>
          </cell>
        </row>
      </sheetData>
      <sheetData sheetId="159">
        <row r="23">
          <cell r="B23" t="str">
            <v xml:space="preserve">Physical Utilization of 94.0% is up from 90.2% in the prior period.  The increase is due to a depot holding decrease of 3.3 million  to 2.3 million pallets. </v>
          </cell>
        </row>
      </sheetData>
      <sheetData sheetId="160" refreshError="1"/>
      <sheetData sheetId="161">
        <row r="23">
          <cell r="B23" t="str">
            <v xml:space="preserve">Physical Utilization of 94.0% is up from 90.2% in the prior period.  The increase is due to a depot holding decrease of 3.3 million  to 2.3 million pallets. </v>
          </cell>
        </row>
      </sheetData>
      <sheetData sheetId="162">
        <row r="23">
          <cell r="B23" t="str">
            <v xml:space="preserve">Physical Utilization of 94.0% is up from 90.2% in the prior period.  The increase is due to a depot holding decrease of 3.3 million  to 2.3 million pallets. </v>
          </cell>
        </row>
      </sheetData>
      <sheetData sheetId="163">
        <row r="23">
          <cell r="B23" t="str">
            <v xml:space="preserve">Physical Utilization of 94.0% is up from 90.2% in the prior period.  The increase is due to a depot holding decrease of 3.3 million  to 2.3 million pallets. </v>
          </cell>
        </row>
      </sheetData>
      <sheetData sheetId="164">
        <row r="23">
          <cell r="B23" t="str">
            <v xml:space="preserve">Physical Utilization of 94.0% is up from 90.2% in the prior period.  The increase is due to a depot holding decrease of 3.3 million  to 2.3 million pallets. </v>
          </cell>
        </row>
      </sheetData>
      <sheetData sheetId="165">
        <row r="23">
          <cell r="B23" t="str">
            <v xml:space="preserve">Physical Utilization of 94.0% is up from 90.2% in the prior period.  The increase is due to a depot holding decrease of 3.3 million  to 2.3 million pallets. </v>
          </cell>
        </row>
      </sheetData>
      <sheetData sheetId="166">
        <row r="23">
          <cell r="B23" t="str">
            <v xml:space="preserve">Physical Utilization of 94.0% is up from 90.2% in the prior period.  The increase is due to a depot holding decrease of 3.3 million  to 2.3 million pallets. </v>
          </cell>
        </row>
      </sheetData>
      <sheetData sheetId="167">
        <row r="23">
          <cell r="B23" t="str">
            <v xml:space="preserve">Physical Utilization of 94.0% is up from 90.2% in the prior period.  The increase is due to a depot holding decrease of 3.3 million  to 2.3 million pallets. </v>
          </cell>
        </row>
      </sheetData>
      <sheetData sheetId="168">
        <row r="23">
          <cell r="B23" t="str">
            <v xml:space="preserve">Physical Utilization of 94.0% is up from 90.2% in the prior period.  The increase is due to a depot holding decrease of 3.3 million  to 2.3 million pallets. </v>
          </cell>
        </row>
      </sheetData>
      <sheetData sheetId="169">
        <row r="23">
          <cell r="B23" t="str">
            <v xml:space="preserve">Physical Utilization of 94.0% is up from 90.2% in the prior period.  The increase is due to a depot holding decrease of 3.3 million  to 2.3 million pallets. </v>
          </cell>
        </row>
      </sheetData>
      <sheetData sheetId="170">
        <row r="23">
          <cell r="B23" t="str">
            <v xml:space="preserve">Physical Utilization of 94.0% is up from 90.2% in the prior period.  The increase is due to a depot holding decrease of 3.3 million  to 2.3 million pallets. </v>
          </cell>
        </row>
      </sheetData>
      <sheetData sheetId="171">
        <row r="23">
          <cell r="B23" t="str">
            <v xml:space="preserve">Physical Utilization of 94.0% is up from 90.2% in the prior period.  The increase is due to a depot holding decrease of 3.3 million  to 2.3 million pallets. </v>
          </cell>
        </row>
      </sheetData>
      <sheetData sheetId="172">
        <row r="23">
          <cell r="B23" t="str">
            <v xml:space="preserve">Physical Utilization of 94.0% is up from 90.2% in the prior period.  The increase is due to a depot holding decrease of 3.3 million  to 2.3 million pallets. </v>
          </cell>
        </row>
      </sheetData>
      <sheetData sheetId="173">
        <row r="23">
          <cell r="B23" t="str">
            <v xml:space="preserve">Physical Utilization of 94.0% is up from 90.2% in the prior period.  The increase is due to a depot holding decrease of 3.3 million  to 2.3 million pallets. </v>
          </cell>
        </row>
      </sheetData>
      <sheetData sheetId="174">
        <row r="23">
          <cell r="B23" t="str">
            <v xml:space="preserve">Physical Utilization of 94.0% is up from 90.2% in the prior period.  The increase is due to a depot holding decrease of 3.3 million  to 2.3 million pallets. </v>
          </cell>
        </row>
      </sheetData>
      <sheetData sheetId="175">
        <row r="23">
          <cell r="B23" t="str">
            <v xml:space="preserve">Physical Utilization of 94.0% is up from 90.2% in the prior period.  The increase is due to a depot holding decrease of 3.3 million  to 2.3 million pallets. </v>
          </cell>
        </row>
      </sheetData>
      <sheetData sheetId="176">
        <row r="23">
          <cell r="B23" t="str">
            <v xml:space="preserve">Physical Utilization of 94.0% is up from 90.2% in the prior period.  The increase is due to a depot holding decrease of 3.3 million  to 2.3 million pallets. </v>
          </cell>
        </row>
      </sheetData>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ow r="23">
          <cell r="B23" t="str">
            <v xml:space="preserve">Physical Utilization of 94.0% is up from 90.2% in the prior period.  The increase is due to a depot holding decrease of 3.3 million  to 2.3 million pallets. </v>
          </cell>
        </row>
      </sheetData>
      <sheetData sheetId="188">
        <row r="23">
          <cell r="B23" t="str">
            <v xml:space="preserve">Physical Utilization of 94.0% is up from 90.2% in the prior period.  The increase is due to a depot holding decrease of 3.3 million  to 2.3 million pallets. </v>
          </cell>
        </row>
      </sheetData>
      <sheetData sheetId="189">
        <row r="23">
          <cell r="B23" t="str">
            <v xml:space="preserve">Physical Utilization of 94.0% is up from 90.2% in the prior period.  The increase is due to a depot holding decrease of 3.3 million  to 2.3 million pallets. </v>
          </cell>
        </row>
      </sheetData>
      <sheetData sheetId="190">
        <row r="23">
          <cell r="B23" t="str">
            <v xml:space="preserve">Physical Utilization of 94.0% is up from 90.2% in the prior period.  The increase is due to a depot holding decrease of 3.3 million  to 2.3 million pallets. </v>
          </cell>
        </row>
      </sheetData>
      <sheetData sheetId="191" refreshError="1"/>
      <sheetData sheetId="192" refreshError="1"/>
      <sheetData sheetId="193">
        <row r="23">
          <cell r="B23" t="str">
            <v xml:space="preserve">Physical Utilization of 94.0% is up from 90.2% in the prior period.  The increase is due to a depot holding decrease of 3.3 million  to 2.3 million pallets. </v>
          </cell>
        </row>
      </sheetData>
      <sheetData sheetId="194">
        <row r="23">
          <cell r="B23" t="str">
            <v xml:space="preserve">Physical Utilization of 94.0% is up from 90.2% in the prior period.  The increase is due to a depot holding decrease of 3.3 million  to 2.3 million pallets. </v>
          </cell>
        </row>
      </sheetData>
      <sheetData sheetId="195">
        <row r="23">
          <cell r="B23" t="str">
            <v xml:space="preserve">Physical Utilization of 94.0% is up from 90.2% in the prior period.  The increase is due to a depot holding decrease of 3.3 million  to 2.3 million pallets. </v>
          </cell>
        </row>
      </sheetData>
      <sheetData sheetId="196">
        <row r="23">
          <cell r="B23" t="str">
            <v xml:space="preserve">Physical Utilization of 94.0% is up from 90.2% in the prior period.  The increase is due to a depot holding decrease of 3.3 million  to 2.3 million pallets. </v>
          </cell>
        </row>
      </sheetData>
      <sheetData sheetId="197">
        <row r="23">
          <cell r="B23" t="str">
            <v xml:space="preserve">Physical Utilization of 94.0% is up from 90.2% in the prior period.  The increase is due to a depot holding decrease of 3.3 million  to 2.3 million pallets. </v>
          </cell>
        </row>
      </sheetData>
      <sheetData sheetId="198">
        <row r="23">
          <cell r="B23" t="str">
            <v xml:space="preserve">Physical Utilization of 94.0% is up from 90.2% in the prior period.  The increase is due to a depot holding decrease of 3.3 million  to 2.3 million pallets. </v>
          </cell>
        </row>
      </sheetData>
      <sheetData sheetId="199">
        <row r="23">
          <cell r="B23" t="str">
            <v xml:space="preserve">Physical Utilization of 94.0% is up from 90.2% in the prior period.  The increase is due to a depot holding decrease of 3.3 million  to 2.3 million pallets. </v>
          </cell>
        </row>
      </sheetData>
      <sheetData sheetId="200">
        <row r="23">
          <cell r="B23" t="str">
            <v xml:space="preserve">Physical Utilization of 94.0% is up from 90.2% in the prior period.  The increase is due to a depot holding decrease of 3.3 million  to 2.3 million pallets. </v>
          </cell>
        </row>
      </sheetData>
      <sheetData sheetId="201">
        <row r="23">
          <cell r="B23" t="str">
            <v xml:space="preserve">Physical Utilization of 94.0% is up from 90.2% in the prior period.  The increase is due to a depot holding decrease of 3.3 million  to 2.3 million pallets. </v>
          </cell>
        </row>
      </sheetData>
      <sheetData sheetId="202">
        <row r="23">
          <cell r="B23" t="str">
            <v xml:space="preserve">Physical Utilization of 94.0% is up from 90.2% in the prior period.  The increase is due to a depot holding decrease of 3.3 million  to 2.3 million pallets. </v>
          </cell>
        </row>
      </sheetData>
      <sheetData sheetId="203">
        <row r="23">
          <cell r="B23" t="str">
            <v xml:space="preserve">Physical Utilization of 94.0% is up from 90.2% in the prior period.  The increase is due to a depot holding decrease of 3.3 million  to 2.3 million pallets. </v>
          </cell>
        </row>
      </sheetData>
      <sheetData sheetId="204">
        <row r="23">
          <cell r="B23" t="str">
            <v xml:space="preserve">Physical Utilization of 94.0% is up from 90.2% in the prior period.  The increase is due to a depot holding decrease of 3.3 million  to 2.3 million pallets. </v>
          </cell>
        </row>
      </sheetData>
      <sheetData sheetId="205">
        <row r="23">
          <cell r="B23" t="str">
            <v xml:space="preserve">Physical Utilization of 94.0% is up from 90.2% in the prior period.  The increase is due to a depot holding decrease of 3.3 million  to 2.3 million pallets. </v>
          </cell>
        </row>
      </sheetData>
      <sheetData sheetId="206">
        <row r="23">
          <cell r="B23" t="str">
            <v xml:space="preserve">Physical Utilization of 94.0% is up from 90.2% in the prior period.  The increase is due to a depot holding decrease of 3.3 million  to 2.3 million pallets. </v>
          </cell>
        </row>
      </sheetData>
      <sheetData sheetId="207">
        <row r="23">
          <cell r="B23" t="str">
            <v xml:space="preserve">Physical Utilization of 94.0% is up from 90.2% in the prior period.  The increase is due to a depot holding decrease of 3.3 million  to 2.3 million pallets. </v>
          </cell>
        </row>
      </sheetData>
      <sheetData sheetId="208">
        <row r="23">
          <cell r="B23" t="str">
            <v xml:space="preserve">Physical Utilization of 94.0% is up from 90.2% in the prior period.  The increase is due to a depot holding decrease of 3.3 million  to 2.3 million pallets. </v>
          </cell>
        </row>
      </sheetData>
      <sheetData sheetId="209">
        <row r="23">
          <cell r="B23" t="str">
            <v xml:space="preserve">Physical Utilization of 94.0% is up from 90.2% in the prior period.  The increase is due to a depot holding decrease of 3.3 million  to 2.3 million pallets. </v>
          </cell>
        </row>
      </sheetData>
      <sheetData sheetId="210">
        <row r="23">
          <cell r="B23" t="str">
            <v xml:space="preserve">Physical Utilization of 94.0% is up from 90.2% in the prior period.  The increase is due to a depot holding decrease of 3.3 million  to 2.3 million pallets. </v>
          </cell>
        </row>
      </sheetData>
      <sheetData sheetId="211">
        <row r="23">
          <cell r="B23" t="str">
            <v xml:space="preserve">Physical Utilization of 94.0% is up from 90.2% in the prior period.  The increase is due to a depot holding decrease of 3.3 million  to 2.3 million pallets. </v>
          </cell>
        </row>
      </sheetData>
      <sheetData sheetId="212">
        <row r="23">
          <cell r="B23" t="str">
            <v xml:space="preserve">Physical Utilization of 94.0% is up from 90.2% in the prior period.  The increase is due to a depot holding decrease of 3.3 million  to 2.3 million pallets. </v>
          </cell>
        </row>
      </sheetData>
      <sheetData sheetId="213">
        <row r="23">
          <cell r="B23" t="str">
            <v xml:space="preserve">Physical Utilization of 94.0% is up from 90.2% in the prior period.  The increase is due to a depot holding decrease of 3.3 million  to 2.3 million pallets. </v>
          </cell>
        </row>
      </sheetData>
      <sheetData sheetId="214">
        <row r="23">
          <cell r="B23" t="str">
            <v xml:space="preserve">Physical Utilization of 94.0% is up from 90.2% in the prior period.  The increase is due to a depot holding decrease of 3.3 million  to 2.3 million pallets. </v>
          </cell>
        </row>
      </sheetData>
      <sheetData sheetId="215">
        <row r="23">
          <cell r="B23" t="str">
            <v xml:space="preserve">Physical Utilization of 94.0% is up from 90.2% in the prior period.  The increase is due to a depot holding decrease of 3.3 million  to 2.3 million pallets. </v>
          </cell>
        </row>
      </sheetData>
      <sheetData sheetId="216">
        <row r="23">
          <cell r="B23" t="str">
            <v xml:space="preserve">Physical Utilization of 94.0% is up from 90.2% in the prior period.  The increase is due to a depot holding decrease of 3.3 million  to 2.3 million pallets. </v>
          </cell>
        </row>
      </sheetData>
      <sheetData sheetId="217">
        <row r="23">
          <cell r="B23" t="str">
            <v xml:space="preserve">Physical Utilization of 94.0% is up from 90.2% in the prior period.  The increase is due to a depot holding decrease of 3.3 million  to 2.3 million pallets. </v>
          </cell>
        </row>
      </sheetData>
      <sheetData sheetId="218">
        <row r="23">
          <cell r="B23" t="str">
            <v xml:space="preserve">Physical Utilization of 94.0% is up from 90.2% in the prior period.  The increase is due to a depot holding decrease of 3.3 million  to 2.3 million pallets. </v>
          </cell>
        </row>
      </sheetData>
      <sheetData sheetId="219">
        <row r="23">
          <cell r="B23" t="str">
            <v xml:space="preserve">Physical Utilization of 94.0% is up from 90.2% in the prior period.  The increase is due to a depot holding decrease of 3.3 million  to 2.3 million pallets. </v>
          </cell>
        </row>
      </sheetData>
      <sheetData sheetId="220">
        <row r="23">
          <cell r="B23" t="str">
            <v xml:space="preserve">Physical Utilization of 94.0% is up from 90.2% in the prior period.  The increase is due to a depot holding decrease of 3.3 million  to 2.3 million pallets. </v>
          </cell>
        </row>
      </sheetData>
      <sheetData sheetId="221">
        <row r="23">
          <cell r="B23" t="str">
            <v xml:space="preserve">Physical Utilization of 94.0% is up from 90.2% in the prior period.  The increase is due to a depot holding decrease of 3.3 million  to 2.3 million pallets. </v>
          </cell>
        </row>
      </sheetData>
      <sheetData sheetId="222">
        <row r="23">
          <cell r="B23" t="str">
            <v xml:space="preserve">Physical Utilization of 94.0% is up from 90.2% in the prior period.  The increase is due to a depot holding decrease of 3.3 million  to 2.3 million pallets. </v>
          </cell>
        </row>
      </sheetData>
      <sheetData sheetId="223">
        <row r="23">
          <cell r="B23" t="str">
            <v xml:space="preserve">Physical Utilization of 94.0% is up from 90.2% in the prior period.  The increase is due to a depot holding decrease of 3.3 million  to 2.3 million pallets. </v>
          </cell>
        </row>
      </sheetData>
      <sheetData sheetId="224">
        <row r="23">
          <cell r="B23" t="str">
            <v xml:space="preserve">Physical Utilization of 94.0% is up from 90.2% in the prior period.  The increase is due to a depot holding decrease of 3.3 million  to 2.3 million pallets. </v>
          </cell>
        </row>
      </sheetData>
      <sheetData sheetId="225">
        <row r="23">
          <cell r="B23" t="str">
            <v xml:space="preserve">Physical Utilization of 94.0% is up from 90.2% in the prior period.  The increase is due to a depot holding decrease of 3.3 million  to 2.3 million pallets. </v>
          </cell>
        </row>
      </sheetData>
      <sheetData sheetId="226">
        <row r="23">
          <cell r="B23" t="str">
            <v xml:space="preserve">Physical Utilization of 94.0% is up from 90.2% in the prior period.  The increase is due to a depot holding decrease of 3.3 million  to 2.3 million pallets. </v>
          </cell>
        </row>
      </sheetData>
      <sheetData sheetId="227">
        <row r="23">
          <cell r="B23" t="str">
            <v xml:space="preserve">Physical Utilization of 94.0% is up from 90.2% in the prior period.  The increase is due to a depot holding decrease of 3.3 million  to 2.3 million pallets. </v>
          </cell>
        </row>
      </sheetData>
      <sheetData sheetId="228">
        <row r="23">
          <cell r="B23" t="str">
            <v xml:space="preserve">Physical Utilization of 94.0% is up from 90.2% in the prior period.  The increase is due to a depot holding decrease of 3.3 million  to 2.3 million pallets. </v>
          </cell>
        </row>
      </sheetData>
      <sheetData sheetId="229">
        <row r="23">
          <cell r="B23" t="str">
            <v xml:space="preserve">Physical Utilization of 94.0% is up from 90.2% in the prior period.  The increase is due to a depot holding decrease of 3.3 million  to 2.3 million pallets. </v>
          </cell>
        </row>
      </sheetData>
      <sheetData sheetId="230">
        <row r="23">
          <cell r="B23" t="str">
            <v xml:space="preserve">Physical Utilization of 94.0% is up from 90.2% in the prior period.  The increase is due to a depot holding decrease of 3.3 million  to 2.3 million pallets. </v>
          </cell>
        </row>
      </sheetData>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3">
          <cell r="B23" t="str">
            <v xml:space="preserve">Physical Utilization of 94.0% is up from 90.2% in the prior period.  The increase is due to a depot holding decrease of 3.3 million  to 2.3 million pallets. </v>
          </cell>
        </row>
      </sheetData>
      <sheetData sheetId="243">
        <row r="23">
          <cell r="B23" t="str">
            <v xml:space="preserve">Physical Utilization of 94.0% is up from 90.2% in the prior period.  The increase is due to a depot holding decrease of 3.3 million  to 2.3 million pallets. </v>
          </cell>
        </row>
      </sheetData>
      <sheetData sheetId="244">
        <row r="23">
          <cell r="B23" t="str">
            <v xml:space="preserve">Physical Utilization of 94.0% is up from 90.2% in the prior period.  The increase is due to a depot holding decrease of 3.3 million  to 2.3 million pallets. </v>
          </cell>
        </row>
      </sheetData>
      <sheetData sheetId="245">
        <row r="23">
          <cell r="B23" t="str">
            <v xml:space="preserve">Physical Utilization of 94.0% is up from 90.2% in the prior period.  The increase is due to a depot holding decrease of 3.3 million  to 2.3 million pallets. </v>
          </cell>
        </row>
      </sheetData>
      <sheetData sheetId="246">
        <row r="23">
          <cell r="B23" t="str">
            <v xml:space="preserve">Physical Utilization of 94.0% is up from 90.2% in the prior period.  The increase is due to a depot holding decrease of 3.3 million  to 2.3 million pallets. </v>
          </cell>
        </row>
      </sheetData>
      <sheetData sheetId="247">
        <row r="23">
          <cell r="B23" t="str">
            <v xml:space="preserve">Physical Utilization of 94.0% is up from 90.2% in the prior period.  The increase is due to a depot holding decrease of 3.3 million  to 2.3 million pallets. </v>
          </cell>
        </row>
      </sheetData>
      <sheetData sheetId="248">
        <row r="23">
          <cell r="B23" t="str">
            <v xml:space="preserve">Physical Utilization of 94.0% is up from 90.2% in the prior period.  The increase is due to a depot holding decrease of 3.3 million  to 2.3 million pallets. </v>
          </cell>
        </row>
      </sheetData>
      <sheetData sheetId="249">
        <row r="23">
          <cell r="B23" t="str">
            <v xml:space="preserve">Physical Utilization of 94.0% is up from 90.2% in the prior period.  The increase is due to a depot holding decrease of 3.3 million  to 2.3 million pallets. </v>
          </cell>
        </row>
      </sheetData>
      <sheetData sheetId="250">
        <row r="23">
          <cell r="B23" t="str">
            <v xml:space="preserve">Physical Utilization of 94.0% is up from 90.2% in the prior period.  The increase is due to a depot holding decrease of 3.3 million  to 2.3 million pallets. </v>
          </cell>
        </row>
      </sheetData>
      <sheetData sheetId="251">
        <row r="23">
          <cell r="B23" t="str">
            <v xml:space="preserve">Physical Utilization of 94.0% is up from 90.2% in the prior period.  The increase is due to a depot holding decrease of 3.3 million  to 2.3 million pallets. </v>
          </cell>
        </row>
      </sheetData>
      <sheetData sheetId="252">
        <row r="23">
          <cell r="B23" t="str">
            <v xml:space="preserve">Physical Utilization of 94.0% is up from 90.2% in the prior period.  The increase is due to a depot holding decrease of 3.3 million  to 2.3 million pallets. </v>
          </cell>
        </row>
      </sheetData>
      <sheetData sheetId="253">
        <row r="23">
          <cell r="B23" t="str">
            <v xml:space="preserve">Physical Utilization of 94.0% is up from 90.2% in the prior period.  The increase is due to a depot holding decrease of 3.3 million  to 2.3 million pallets. </v>
          </cell>
        </row>
      </sheetData>
      <sheetData sheetId="254">
        <row r="23">
          <cell r="B23" t="str">
            <v xml:space="preserve">Physical Utilization of 94.0% is up from 90.2% in the prior period.  The increase is due to a depot holding decrease of 3.3 million  to 2.3 million pallets. </v>
          </cell>
        </row>
      </sheetData>
      <sheetData sheetId="255">
        <row r="23">
          <cell r="B23" t="str">
            <v xml:space="preserve">Physical Utilization of 94.0% is up from 90.2% in the prior period.  The increase is due to a depot holding decrease of 3.3 million  to 2.3 million pallets. </v>
          </cell>
        </row>
      </sheetData>
      <sheetData sheetId="256">
        <row r="23">
          <cell r="B23" t="str">
            <v xml:space="preserve">Physical Utilization of 94.0% is up from 90.2% in the prior period.  The increase is due to a depot holding decrease of 3.3 million  to 2.3 million pallets. </v>
          </cell>
        </row>
      </sheetData>
      <sheetData sheetId="257">
        <row r="23">
          <cell r="B23" t="str">
            <v xml:space="preserve">Physical Utilization of 94.0% is up from 90.2% in the prior period.  The increase is due to a depot holding decrease of 3.3 million  to 2.3 million pallets. </v>
          </cell>
        </row>
      </sheetData>
      <sheetData sheetId="258">
        <row r="23">
          <cell r="B23" t="str">
            <v xml:space="preserve">Physical Utilization of 94.0% is up from 90.2% in the prior period.  The increase is due to a depot holding decrease of 3.3 million  to 2.3 million pallets. </v>
          </cell>
        </row>
      </sheetData>
      <sheetData sheetId="259">
        <row r="23">
          <cell r="B23" t="str">
            <v xml:space="preserve">Physical Utilization of 94.0% is up from 90.2% in the prior period.  The increase is due to a depot holding decrease of 3.3 million  to 2.3 million pallets. </v>
          </cell>
        </row>
      </sheetData>
      <sheetData sheetId="260">
        <row r="23">
          <cell r="B23" t="str">
            <v xml:space="preserve">Physical Utilization of 94.0% is up from 90.2% in the prior period.  The increase is due to a depot holding decrease of 3.3 million  to 2.3 million pallets. </v>
          </cell>
        </row>
      </sheetData>
      <sheetData sheetId="261">
        <row r="23">
          <cell r="B23" t="str">
            <v xml:space="preserve">Physical Utilization of 94.0% is up from 90.2% in the prior period.  The increase is due to a depot holding decrease of 3.3 million  to 2.3 million pallets. </v>
          </cell>
        </row>
      </sheetData>
      <sheetData sheetId="262">
        <row r="23">
          <cell r="B23" t="str">
            <v xml:space="preserve">Physical Utilization of 94.0% is up from 90.2% in the prior period.  The increase is due to a depot holding decrease of 3.3 million  to 2.3 million pallets. </v>
          </cell>
        </row>
      </sheetData>
      <sheetData sheetId="263">
        <row r="23">
          <cell r="B23" t="str">
            <v xml:space="preserve">Physical Utilization of 94.0% is up from 90.2% in the prior period.  The increase is due to a depot holding decrease of 3.3 million  to 2.3 million pallets. </v>
          </cell>
        </row>
      </sheetData>
      <sheetData sheetId="264">
        <row r="23">
          <cell r="B23" t="str">
            <v xml:space="preserve">Physical Utilization of 94.0% is up from 90.2% in the prior period.  The increase is due to a depot holding decrease of 3.3 million  to 2.3 million pallets. </v>
          </cell>
        </row>
      </sheetData>
      <sheetData sheetId="265">
        <row r="23">
          <cell r="B23" t="str">
            <v xml:space="preserve">Physical Utilization of 94.0% is up from 90.2% in the prior period.  The increase is due to a depot holding decrease of 3.3 million  to 2.3 million pallets. </v>
          </cell>
        </row>
      </sheetData>
      <sheetData sheetId="266">
        <row r="23">
          <cell r="B23" t="str">
            <v xml:space="preserve">Physical Utilization of 94.0% is up from 90.2% in the prior period.  The increase is due to a depot holding decrease of 3.3 million  to 2.3 million pallets. </v>
          </cell>
        </row>
      </sheetData>
      <sheetData sheetId="267">
        <row r="23">
          <cell r="B23" t="str">
            <v xml:space="preserve">Physical Utilization of 94.0% is up from 90.2% in the prior period.  The increase is due to a depot holding decrease of 3.3 million  to 2.3 million pallets. </v>
          </cell>
        </row>
      </sheetData>
      <sheetData sheetId="268">
        <row r="23">
          <cell r="B23" t="str">
            <v xml:space="preserve">Physical Utilization of 94.0% is up from 90.2% in the prior period.  The increase is due to a depot holding decrease of 3.3 million  to 2.3 million pallets. </v>
          </cell>
        </row>
      </sheetData>
      <sheetData sheetId="269">
        <row r="23">
          <cell r="B23" t="str">
            <v xml:space="preserve">Physical Utilization of 94.0% is up from 90.2% in the prior period.  The increase is due to a depot holding decrease of 3.3 million  to 2.3 million pallets. </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23">
          <cell r="B23" t="str">
            <v xml:space="preserve">Physical Utilization of 94.0% is up from 90.2% in the prior period.  The increase is due to a depot holding decrease of 3.3 million  to 2.3 million pallets. </v>
          </cell>
        </row>
      </sheetData>
      <sheetData sheetId="289">
        <row r="23">
          <cell r="B23" t="str">
            <v xml:space="preserve">Physical Utilization of 94.0% is up from 90.2% in the prior period.  The increase is due to a depot holding decrease of 3.3 million  to 2.3 million pallets. </v>
          </cell>
        </row>
      </sheetData>
      <sheetData sheetId="290">
        <row r="23">
          <cell r="B23" t="str">
            <v xml:space="preserve">Physical Utilization of 94.0% is up from 90.2% in the prior period.  The increase is due to a depot holding decrease of 3.3 million  to 2.3 million pallets. </v>
          </cell>
        </row>
      </sheetData>
      <sheetData sheetId="291">
        <row r="35">
          <cell r="B35" t="str">
            <v>Longer cycle times at manufacturers continue to contribute to higher rental fees.</v>
          </cell>
        </row>
      </sheetData>
      <sheetData sheetId="292">
        <row r="23">
          <cell r="B23" t="str">
            <v xml:space="preserve">Physical Utilization of 94.0% is up from 90.2% in the prior period.  The increase is due to a depot holding decrease of 3.3 million  to 2.3 million pallets. </v>
          </cell>
        </row>
      </sheetData>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ow r="23">
          <cell r="B23" t="str">
            <v xml:space="preserve">Physical Utilization of 94.0% is up from 90.2% in the prior period.  The increase is due to a depot holding decrease of 3.3 million  to 2.3 million pallets. </v>
          </cell>
        </row>
      </sheetData>
      <sheetData sheetId="313">
        <row r="68">
          <cell r="C68" t="str">
            <v>J '97</v>
          </cell>
        </row>
      </sheetData>
      <sheetData sheetId="314"/>
      <sheetData sheetId="315">
        <row r="23">
          <cell r="B23" t="str">
            <v xml:space="preserve">Physical Utilization of 94.0% is up from 90.2% in the prior period.  The increase is due to a depot holding decrease of 3.3 million  to 2.3 million pallets. </v>
          </cell>
        </row>
      </sheetData>
      <sheetData sheetId="316" refreshError="1"/>
      <sheetData sheetId="317" refreshError="1"/>
      <sheetData sheetId="318" refreshError="1"/>
      <sheetData sheetId="319" refreshError="1"/>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ow r="68">
          <cell r="C68" t="str">
            <v>J '97</v>
          </cell>
        </row>
      </sheetData>
      <sheetData sheetId="512">
        <row r="68">
          <cell r="C68" t="str">
            <v>J '97</v>
          </cell>
        </row>
      </sheetData>
      <sheetData sheetId="513">
        <row r="23">
          <cell r="B23" t="str">
            <v xml:space="preserve">Physical Utilization of 94.0% is up from 90.2% in the prior period.  The increase is due to a depot holding decrease of 3.3 million  to 2.3 million pallets. </v>
          </cell>
        </row>
      </sheetData>
      <sheetData sheetId="514">
        <row r="23">
          <cell r="B23" t="str">
            <v xml:space="preserve">Physical Utilization of 94.0% is up from 90.2% in the prior period.  The increase is due to a depot holding decrease of 3.3 million  to 2.3 million pallets. </v>
          </cell>
        </row>
      </sheetData>
      <sheetData sheetId="515">
        <row r="23">
          <cell r="B23" t="str">
            <v xml:space="preserve">Physical Utilization of 94.0% is up from 90.2% in the prior period.  The increase is due to a depot holding decrease of 3.3 million  to 2.3 million pallets. </v>
          </cell>
        </row>
      </sheetData>
      <sheetData sheetId="516">
        <row r="23">
          <cell r="B23" t="str">
            <v xml:space="preserve">Physical Utilization of 94.0% is up from 90.2% in the prior period.  The increase is due to a depot holding decrease of 3.3 million  to 2.3 million pallets. </v>
          </cell>
        </row>
      </sheetData>
      <sheetData sheetId="517">
        <row r="23">
          <cell r="B23" t="str">
            <v xml:space="preserve">Physical Utilization of 94.0% is up from 90.2% in the prior period.  The increase is due to a depot holding decrease of 3.3 million  to 2.3 million pallets. </v>
          </cell>
        </row>
      </sheetData>
      <sheetData sheetId="518">
        <row r="23">
          <cell r="B23" t="str">
            <v xml:space="preserve">Physical Utilization of 94.0% is up from 90.2% in the prior period.  The increase is due to a depot holding decrease of 3.3 million  to 2.3 million pallets. </v>
          </cell>
        </row>
      </sheetData>
      <sheetData sheetId="519">
        <row r="23">
          <cell r="B23" t="str">
            <v xml:space="preserve">Physical Utilization of 94.0% is up from 90.2% in the prior period.  The increase is due to a depot holding decrease of 3.3 million  to 2.3 million pallets. </v>
          </cell>
        </row>
      </sheetData>
      <sheetData sheetId="520">
        <row r="23">
          <cell r="B23" t="str">
            <v xml:space="preserve">Physical Utilization of 94.0% is up from 90.2% in the prior period.  The increase is due to a depot holding decrease of 3.3 million  to 2.3 million pallets. </v>
          </cell>
        </row>
      </sheetData>
      <sheetData sheetId="521">
        <row r="23">
          <cell r="B23" t="str">
            <v xml:space="preserve">Physical Utilization of 94.0% is up from 90.2% in the prior period.  The increase is due to a depot holding decrease of 3.3 million  to 2.3 million pallets. </v>
          </cell>
        </row>
      </sheetData>
      <sheetData sheetId="522">
        <row r="23">
          <cell r="B23" t="str">
            <v xml:space="preserve">Physical Utilization of 94.0% is up from 90.2% in the prior period.  The increase is due to a depot holding decrease of 3.3 million  to 2.3 million pallets. </v>
          </cell>
        </row>
      </sheetData>
      <sheetData sheetId="523">
        <row r="68">
          <cell r="C68" t="str">
            <v>J '97</v>
          </cell>
        </row>
      </sheetData>
      <sheetData sheetId="524">
        <row r="68">
          <cell r="C68" t="str">
            <v>J '97</v>
          </cell>
        </row>
      </sheetData>
      <sheetData sheetId="525">
        <row r="23">
          <cell r="B23" t="str">
            <v xml:space="preserve">Physical Utilization of 94.0% is up from 90.2% in the prior period.  The increase is due to a depot holding decrease of 3.3 million  to 2.3 million pallets. </v>
          </cell>
        </row>
      </sheetData>
      <sheetData sheetId="526"/>
      <sheetData sheetId="527"/>
      <sheetData sheetId="528"/>
      <sheetData sheetId="529"/>
      <sheetData sheetId="530"/>
      <sheetData sheetId="531">
        <row r="23">
          <cell r="B23" t="str">
            <v xml:space="preserve">Physical Utilization of 94.0% is up from 90.2% in the prior period.  The increase is due to a depot holding decrease of 3.3 million  to 2.3 million pallets. </v>
          </cell>
        </row>
      </sheetData>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ow r="23">
          <cell r="B23" t="str">
            <v xml:space="preserve">Physical Utilization of 94.0% is up from 90.2% in the prior period.  The increase is due to a depot holding decrease of 3.3 million  to 2.3 million pallets. </v>
          </cell>
        </row>
      </sheetData>
      <sheetData sheetId="547">
        <row r="23">
          <cell r="B23" t="str">
            <v xml:space="preserve">Physical Utilization of 94.0% is up from 90.2% in the prior period.  The increase is due to a depot holding decrease of 3.3 million  to 2.3 million pallets. </v>
          </cell>
        </row>
      </sheetData>
      <sheetData sheetId="548">
        <row r="23">
          <cell r="B23" t="str">
            <v xml:space="preserve">Physical Utilization of 94.0% is up from 90.2% in the prior period.  The increase is due to a depot holding decrease of 3.3 million  to 2.3 million pallets. </v>
          </cell>
        </row>
      </sheetData>
      <sheetData sheetId="549">
        <row r="23">
          <cell r="B23" t="str">
            <v xml:space="preserve">Physical Utilization of 94.0% is up from 90.2% in the prior period.  The increase is due to a depot holding decrease of 3.3 million  to 2.3 million pallets. </v>
          </cell>
        </row>
      </sheetData>
      <sheetData sheetId="550">
        <row r="23">
          <cell r="B23" t="str">
            <v xml:space="preserve">Physical Utilization of 94.0% is up from 90.2% in the prior period.  The increase is due to a depot holding decrease of 3.3 million  to 2.3 million pallets. </v>
          </cell>
        </row>
      </sheetData>
      <sheetData sheetId="551">
        <row r="23">
          <cell r="B23" t="str">
            <v xml:space="preserve">Physical Utilization of 94.0% is up from 90.2% in the prior period.  The increase is due to a depot holding decrease of 3.3 million  to 2.3 million pallets. </v>
          </cell>
        </row>
      </sheetData>
      <sheetData sheetId="552">
        <row r="23">
          <cell r="B23" t="str">
            <v xml:space="preserve">Physical Utilization of 94.0% is up from 90.2% in the prior period.  The increase is due to a depot holding decrease of 3.3 million  to 2.3 million pallets. </v>
          </cell>
        </row>
      </sheetData>
      <sheetData sheetId="553">
        <row r="35">
          <cell r="B35" t="str">
            <v>Longer cycle times at manufacturers continue to contribute to higher rental fees.</v>
          </cell>
        </row>
      </sheetData>
      <sheetData sheetId="554">
        <row r="35">
          <cell r="B35" t="str">
            <v>Longer cycle times at manufacturers continue to contribute to higher rental fees.</v>
          </cell>
        </row>
      </sheetData>
      <sheetData sheetId="555">
        <row r="35">
          <cell r="B35" t="str">
            <v>Longer cycle times at manufacturers continue to contribute to higher rental fees.</v>
          </cell>
        </row>
      </sheetData>
      <sheetData sheetId="556"/>
      <sheetData sheetId="557"/>
      <sheetData sheetId="558">
        <row r="35">
          <cell r="B35" t="str">
            <v>Longer cycle times at manufacturers continue to contribute to higher rental fees.</v>
          </cell>
        </row>
      </sheetData>
      <sheetData sheetId="559">
        <row r="35">
          <cell r="B35" t="str">
            <v>Longer cycle times at manufacturers continue to contribute to higher rental fees.</v>
          </cell>
        </row>
      </sheetData>
      <sheetData sheetId="560">
        <row r="35">
          <cell r="B35" t="str">
            <v>Longer cycle times at manufacturers continue to contribute to higher rental fees.</v>
          </cell>
        </row>
      </sheetData>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ow r="23">
          <cell r="B23" t="str">
            <v xml:space="preserve">Physical Utilization of 94.0% is up from 90.2% in the prior period.  The increase is due to a depot holding decrease of 3.3 million  to 2.3 million pallets. </v>
          </cell>
        </row>
      </sheetData>
      <sheetData sheetId="796">
        <row r="23">
          <cell r="B23" t="str">
            <v xml:space="preserve">Physical Utilization of 94.0% is up from 90.2% in the prior period.  The increase is due to a depot holding decrease of 3.3 million  to 2.3 million pallets. </v>
          </cell>
        </row>
      </sheetData>
      <sheetData sheetId="797">
        <row r="23">
          <cell r="B23" t="str">
            <v xml:space="preserve">Physical Utilization of 94.0% is up from 90.2% in the prior period.  The increase is due to a depot holding decrease of 3.3 million  to 2.3 million pallets. </v>
          </cell>
        </row>
      </sheetData>
      <sheetData sheetId="798">
        <row r="23">
          <cell r="B23" t="str">
            <v xml:space="preserve">Physical Utilization of 94.0% is up from 90.2% in the prior period.  The increase is due to a depot holding decrease of 3.3 million  to 2.3 million pallets. </v>
          </cell>
        </row>
      </sheetData>
      <sheetData sheetId="799">
        <row r="23">
          <cell r="B23" t="str">
            <v xml:space="preserve">Physical Utilization of 94.0% is up from 90.2% in the prior period.  The increase is due to a depot holding decrease of 3.3 million  to 2.3 million pallets. </v>
          </cell>
        </row>
      </sheetData>
      <sheetData sheetId="800">
        <row r="23">
          <cell r="B23" t="str">
            <v xml:space="preserve">Physical Utilization of 94.0% is up from 90.2% in the prior period.  The increase is due to a depot holding decrease of 3.3 million  to 2.3 million pallets. </v>
          </cell>
        </row>
      </sheetData>
      <sheetData sheetId="801">
        <row r="68">
          <cell r="C68" t="str">
            <v>J '97</v>
          </cell>
        </row>
      </sheetData>
      <sheetData sheetId="802">
        <row r="68">
          <cell r="C68" t="str">
            <v>J '97</v>
          </cell>
        </row>
      </sheetData>
      <sheetData sheetId="803">
        <row r="68">
          <cell r="C68" t="str">
            <v>J '97</v>
          </cell>
        </row>
      </sheetData>
      <sheetData sheetId="804">
        <row r="23">
          <cell r="B23" t="str">
            <v xml:space="preserve">Physical Utilization of 94.0% is up from 90.2% in the prior period.  The increase is due to a depot holding decrease of 3.3 million  to 2.3 million pallets. </v>
          </cell>
        </row>
      </sheetData>
      <sheetData sheetId="805"/>
      <sheetData sheetId="806"/>
      <sheetData sheetId="807">
        <row r="35">
          <cell r="B35" t="str">
            <v>Longer cycle times at manufacturers continue to contribute to higher rental fees.</v>
          </cell>
        </row>
      </sheetData>
      <sheetData sheetId="808">
        <row r="35">
          <cell r="B35" t="str">
            <v>Longer cycle times at manufacturers continue to contribute to higher rental fees.</v>
          </cell>
        </row>
      </sheetData>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ow r="23">
          <cell r="B23" t="str">
            <v xml:space="preserve">Physical Utilization of 94.0% is up from 90.2% in the prior period.  The increase is due to a depot holding decrease of 3.3 million  to 2.3 million pallets. </v>
          </cell>
        </row>
      </sheetData>
      <sheetData sheetId="866">
        <row r="23">
          <cell r="B23" t="str">
            <v xml:space="preserve">Physical Utilization of 94.0% is up from 90.2% in the prior period.  The increase is due to a depot holding decrease of 3.3 million  to 2.3 million pallets. </v>
          </cell>
        </row>
      </sheetData>
      <sheetData sheetId="867">
        <row r="23">
          <cell r="B23" t="str">
            <v xml:space="preserve">Physical Utilization of 94.0% is up from 90.2% in the prior period.  The increase is due to a depot holding decrease of 3.3 million  to 2.3 million pallets. </v>
          </cell>
        </row>
      </sheetData>
      <sheetData sheetId="868">
        <row r="23">
          <cell r="B23" t="str">
            <v xml:space="preserve">Physical Utilization of 94.0% is up from 90.2% in the prior period.  The increase is due to a depot holding decrease of 3.3 million  to 2.3 million pallets. </v>
          </cell>
        </row>
      </sheetData>
      <sheetData sheetId="869"/>
      <sheetData sheetId="870">
        <row r="23">
          <cell r="B23" t="str">
            <v xml:space="preserve">Physical Utilization of 94.0% is up from 90.2% in the prior period.  The increase is due to a depot holding decrease of 3.3 million  to 2.3 million pallets. </v>
          </cell>
        </row>
      </sheetData>
      <sheetData sheetId="871">
        <row r="68">
          <cell r="C68" t="str">
            <v>J '97</v>
          </cell>
        </row>
      </sheetData>
      <sheetData sheetId="872">
        <row r="68">
          <cell r="C68" t="str">
            <v>J '97</v>
          </cell>
        </row>
      </sheetData>
      <sheetData sheetId="873">
        <row r="68">
          <cell r="C68" t="str">
            <v>J '97</v>
          </cell>
        </row>
      </sheetData>
      <sheetData sheetId="874"/>
      <sheetData sheetId="875"/>
      <sheetData sheetId="876"/>
      <sheetData sheetId="877">
        <row r="35">
          <cell r="B35" t="str">
            <v>Longer cycle times at manufacturers continue to contribute to higher rental fees.</v>
          </cell>
        </row>
      </sheetData>
      <sheetData sheetId="878">
        <row r="35">
          <cell r="B35" t="str">
            <v>Longer cycle times at manufacturers continue to contribute to higher rental fees.</v>
          </cell>
        </row>
      </sheetData>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ow r="23">
          <cell r="B23" t="str">
            <v xml:space="preserve">Physical Utilization of 94.0% is up from 90.2% in the prior period.  The increase is due to a depot holding decrease of 3.3 million  to 2.3 million pallets. </v>
          </cell>
        </row>
      </sheetData>
      <sheetData sheetId="951">
        <row r="23">
          <cell r="B23" t="str">
            <v xml:space="preserve">Physical Utilization of 94.0% is up from 90.2% in the prior period.  The increase is due to a depot holding decrease of 3.3 million  to 2.3 million pallets. </v>
          </cell>
        </row>
      </sheetData>
      <sheetData sheetId="952">
        <row r="23">
          <cell r="B23" t="str">
            <v xml:space="preserve">Physical Utilization of 94.0% is up from 90.2% in the prior period.  The increase is due to a depot holding decrease of 3.3 million  to 2.3 million pallets. </v>
          </cell>
        </row>
      </sheetData>
      <sheetData sheetId="953">
        <row r="23">
          <cell r="B23" t="str">
            <v xml:space="preserve">Physical Utilization of 94.0% is up from 90.2% in the prior period.  The increase is due to a depot holding decrease of 3.3 million  to 2.3 million pallets. </v>
          </cell>
        </row>
      </sheetData>
      <sheetData sheetId="954">
        <row r="23">
          <cell r="B23" t="str">
            <v xml:space="preserve">Physical Utilization of 94.0% is up from 90.2% in the prior period.  The increase is due to a depot holding decrease of 3.3 million  to 2.3 million pallets. </v>
          </cell>
        </row>
      </sheetData>
      <sheetData sheetId="955">
        <row r="23">
          <cell r="B23" t="str">
            <v xml:space="preserve">Physical Utilization of 94.0% is up from 90.2% in the prior period.  The increase is due to a depot holding decrease of 3.3 million  to 2.3 million pallets. </v>
          </cell>
        </row>
      </sheetData>
      <sheetData sheetId="956">
        <row r="68">
          <cell r="C68" t="str">
            <v>J '97</v>
          </cell>
        </row>
      </sheetData>
      <sheetData sheetId="957">
        <row r="68">
          <cell r="C68" t="str">
            <v>J '97</v>
          </cell>
        </row>
      </sheetData>
      <sheetData sheetId="958">
        <row r="68">
          <cell r="C68" t="str">
            <v>J '97</v>
          </cell>
        </row>
      </sheetData>
      <sheetData sheetId="959">
        <row r="23">
          <cell r="B23" t="str">
            <v xml:space="preserve">Physical Utilization of 94.0% is up from 90.2% in the prior period.  The increase is due to a depot holding decrease of 3.3 million  to 2.3 million pallets. </v>
          </cell>
        </row>
      </sheetData>
      <sheetData sheetId="960"/>
      <sheetData sheetId="961"/>
      <sheetData sheetId="962">
        <row r="35">
          <cell r="B35" t="str">
            <v>Longer cycle times at manufacturers continue to contribute to higher rental fees.</v>
          </cell>
        </row>
      </sheetData>
      <sheetData sheetId="963">
        <row r="35">
          <cell r="B35" t="str">
            <v>Longer cycle times at manufacturers continue to contribute to higher rental fees.</v>
          </cell>
        </row>
      </sheetData>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ow r="23">
          <cell r="B23" t="str">
            <v xml:space="preserve">Physical Utilization of 94.0% is up from 90.2% in the prior period.  The increase is due to a depot holding decrease of 3.3 million  to 2.3 million pallets. </v>
          </cell>
        </row>
      </sheetData>
      <sheetData sheetId="1036">
        <row r="23">
          <cell r="B23" t="str">
            <v xml:space="preserve">Physical Utilization of 94.0% is up from 90.2% in the prior period.  The increase is due to a depot holding decrease of 3.3 million  to 2.3 million pallets. </v>
          </cell>
        </row>
      </sheetData>
      <sheetData sheetId="1037">
        <row r="23">
          <cell r="B23" t="str">
            <v xml:space="preserve">Physical Utilization of 94.0% is up from 90.2% in the prior period.  The increase is due to a depot holding decrease of 3.3 million  to 2.3 million pallets. </v>
          </cell>
        </row>
      </sheetData>
      <sheetData sheetId="1038">
        <row r="23">
          <cell r="B23" t="str">
            <v xml:space="preserve">Physical Utilization of 94.0% is up from 90.2% in the prior period.  The increase is due to a depot holding decrease of 3.3 million  to 2.3 million pallets. </v>
          </cell>
        </row>
      </sheetData>
      <sheetData sheetId="1039">
        <row r="23">
          <cell r="B23" t="str">
            <v xml:space="preserve">Physical Utilization of 94.0% is up from 90.2% in the prior period.  The increase is due to a depot holding decrease of 3.3 million  to 2.3 million pallets. </v>
          </cell>
        </row>
      </sheetData>
      <sheetData sheetId="1040">
        <row r="23">
          <cell r="B23" t="str">
            <v xml:space="preserve">Physical Utilization of 94.0% is up from 90.2% in the prior period.  The increase is due to a depot holding decrease of 3.3 million  to 2.3 million pallets. </v>
          </cell>
        </row>
      </sheetData>
      <sheetData sheetId="1041">
        <row r="68">
          <cell r="C68" t="str">
            <v>J '97</v>
          </cell>
        </row>
      </sheetData>
      <sheetData sheetId="1042">
        <row r="68">
          <cell r="C68" t="str">
            <v>J '97</v>
          </cell>
        </row>
      </sheetData>
      <sheetData sheetId="1043">
        <row r="68">
          <cell r="C68" t="str">
            <v>J '97</v>
          </cell>
        </row>
      </sheetData>
      <sheetData sheetId="1044">
        <row r="23">
          <cell r="B23" t="str">
            <v xml:space="preserve">Physical Utilization of 94.0% is up from 90.2% in the prior period.  The increase is due to a depot holding decrease of 3.3 million  to 2.3 million pallets. </v>
          </cell>
        </row>
      </sheetData>
      <sheetData sheetId="1045"/>
      <sheetData sheetId="1046"/>
      <sheetData sheetId="1047">
        <row r="35">
          <cell r="B35" t="str">
            <v>Longer cycle times at manufacturers continue to contribute to higher rental fees.</v>
          </cell>
        </row>
      </sheetData>
      <sheetData sheetId="1048">
        <row r="35">
          <cell r="B35" t="str">
            <v>Longer cycle times at manufacturers continue to contribute to higher rental fees.</v>
          </cell>
        </row>
      </sheetData>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refreshError="1"/>
      <sheetData sheetId="1717" refreshError="1"/>
      <sheetData sheetId="1718" refreshError="1"/>
      <sheetData sheetId="1719" refreshError="1"/>
      <sheetData sheetId="1720" refreshError="1"/>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refreshError="1"/>
      <sheetData sheetId="1738" refreshError="1"/>
      <sheetData sheetId="1739" refreshError="1"/>
      <sheetData sheetId="1740" refreshError="1"/>
      <sheetData sheetId="17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efreshError="1"/>
      <sheetData sheetId="1">
        <row r="1">
          <cell r="G1" t="str">
            <v>AJE</v>
          </cell>
          <cell r="H1" t="str">
            <v>Adjusted</v>
          </cell>
          <cell r="I1" t="str">
            <v>RJE</v>
          </cell>
          <cell r="J1" t="str">
            <v>Final 31-12-03</v>
          </cell>
          <cell r="K1" t="str">
            <v>31-12-02</v>
          </cell>
        </row>
        <row r="3">
          <cell r="G3">
            <v>0</v>
          </cell>
          <cell r="H3">
            <v>0</v>
          </cell>
          <cell r="I3">
            <v>0</v>
          </cell>
          <cell r="J3">
            <v>0</v>
          </cell>
          <cell r="K3">
            <v>0</v>
          </cell>
        </row>
        <row r="4">
          <cell r="G4">
            <v>0</v>
          </cell>
          <cell r="H4">
            <v>0</v>
          </cell>
          <cell r="I4">
            <v>0</v>
          </cell>
          <cell r="J4">
            <v>0</v>
          </cell>
          <cell r="K4">
            <v>-6.15</v>
          </cell>
        </row>
        <row r="5">
          <cell r="G5">
            <v>0</v>
          </cell>
          <cell r="H5">
            <v>0</v>
          </cell>
          <cell r="I5">
            <v>0</v>
          </cell>
          <cell r="J5">
            <v>0</v>
          </cell>
          <cell r="K5">
            <v>0</v>
          </cell>
        </row>
        <row r="6">
          <cell r="G6">
            <v>0</v>
          </cell>
          <cell r="H6">
            <v>9109.9500000000007</v>
          </cell>
          <cell r="I6">
            <v>0</v>
          </cell>
          <cell r="J6">
            <v>9109.9500000000007</v>
          </cell>
          <cell r="K6">
            <v>0</v>
          </cell>
        </row>
        <row r="7">
          <cell r="G7">
            <v>0</v>
          </cell>
          <cell r="H7">
            <v>3300</v>
          </cell>
          <cell r="I7">
            <v>0</v>
          </cell>
          <cell r="J7">
            <v>3300</v>
          </cell>
          <cell r="K7">
            <v>0</v>
          </cell>
        </row>
        <row r="8">
          <cell r="G8">
            <v>0</v>
          </cell>
          <cell r="H8">
            <v>3800</v>
          </cell>
          <cell r="I8">
            <v>0</v>
          </cell>
          <cell r="J8">
            <v>3800</v>
          </cell>
          <cell r="K8">
            <v>0</v>
          </cell>
        </row>
        <row r="9">
          <cell r="G9">
            <v>0</v>
          </cell>
          <cell r="H9">
            <v>0</v>
          </cell>
          <cell r="I9">
            <v>0</v>
          </cell>
          <cell r="J9">
            <v>0</v>
          </cell>
          <cell r="K9">
            <v>0</v>
          </cell>
        </row>
        <row r="10">
          <cell r="G10">
            <v>0</v>
          </cell>
          <cell r="H10">
            <v>2487.7399999999998</v>
          </cell>
          <cell r="I10">
            <v>0</v>
          </cell>
          <cell r="J10">
            <v>2487.7399999999998</v>
          </cell>
          <cell r="K10">
            <v>0</v>
          </cell>
        </row>
        <row r="11">
          <cell r="G11">
            <v>0</v>
          </cell>
          <cell r="H11">
            <v>0</v>
          </cell>
          <cell r="I11">
            <v>0</v>
          </cell>
          <cell r="J11">
            <v>0</v>
          </cell>
          <cell r="K11">
            <v>3780.84</v>
          </cell>
        </row>
        <row r="12">
          <cell r="G12">
            <v>0</v>
          </cell>
          <cell r="H12">
            <v>0</v>
          </cell>
          <cell r="I12">
            <v>0</v>
          </cell>
          <cell r="J12">
            <v>0</v>
          </cell>
          <cell r="K12">
            <v>2297.0700000000002</v>
          </cell>
        </row>
        <row r="13">
          <cell r="G13">
            <v>0</v>
          </cell>
          <cell r="H13">
            <v>0</v>
          </cell>
          <cell r="I13">
            <v>0</v>
          </cell>
          <cell r="J13">
            <v>0</v>
          </cell>
          <cell r="K13">
            <v>3500</v>
          </cell>
        </row>
        <row r="14">
          <cell r="G14">
            <v>0</v>
          </cell>
          <cell r="H14">
            <v>0</v>
          </cell>
          <cell r="I14">
            <v>0</v>
          </cell>
          <cell r="J14">
            <v>0</v>
          </cell>
          <cell r="K14">
            <v>0</v>
          </cell>
        </row>
        <row r="15">
          <cell r="G15">
            <v>0</v>
          </cell>
          <cell r="H15">
            <v>0</v>
          </cell>
          <cell r="I15">
            <v>0</v>
          </cell>
          <cell r="J15">
            <v>0</v>
          </cell>
          <cell r="K15">
            <v>0</v>
          </cell>
        </row>
        <row r="16">
          <cell r="G16">
            <v>0</v>
          </cell>
          <cell r="H16">
            <v>0</v>
          </cell>
          <cell r="I16">
            <v>0</v>
          </cell>
          <cell r="J16">
            <v>0</v>
          </cell>
          <cell r="K16">
            <v>0</v>
          </cell>
        </row>
        <row r="17">
          <cell r="G17">
            <v>0</v>
          </cell>
          <cell r="H17">
            <v>18697.689999999999</v>
          </cell>
          <cell r="I17">
            <v>0</v>
          </cell>
          <cell r="J17">
            <v>18697.689999999999</v>
          </cell>
          <cell r="K17">
            <v>9571.76</v>
          </cell>
        </row>
        <row r="19">
          <cell r="G19">
            <v>0</v>
          </cell>
          <cell r="H19">
            <v>0</v>
          </cell>
          <cell r="I19">
            <v>0</v>
          </cell>
          <cell r="J19">
            <v>0</v>
          </cell>
          <cell r="K19">
            <v>0</v>
          </cell>
        </row>
        <row r="20">
          <cell r="G20">
            <v>0</v>
          </cell>
          <cell r="H20">
            <v>0</v>
          </cell>
          <cell r="I20">
            <v>0</v>
          </cell>
          <cell r="J20">
            <v>0</v>
          </cell>
          <cell r="K20">
            <v>141969.29</v>
          </cell>
        </row>
        <row r="21">
          <cell r="G21">
            <v>0</v>
          </cell>
          <cell r="H21">
            <v>0</v>
          </cell>
          <cell r="I21">
            <v>0</v>
          </cell>
          <cell r="J21">
            <v>0</v>
          </cell>
          <cell r="K21">
            <v>141969.29</v>
          </cell>
        </row>
        <row r="23">
          <cell r="G23">
            <v>0</v>
          </cell>
          <cell r="H23">
            <v>0</v>
          </cell>
          <cell r="I23">
            <v>0</v>
          </cell>
          <cell r="J23">
            <v>0</v>
          </cell>
          <cell r="K23">
            <v>20</v>
          </cell>
        </row>
        <row r="24">
          <cell r="G24">
            <v>0</v>
          </cell>
          <cell r="H24">
            <v>1015905.72</v>
          </cell>
          <cell r="I24">
            <v>0</v>
          </cell>
          <cell r="J24">
            <v>1015905.72</v>
          </cell>
          <cell r="K24">
            <v>0</v>
          </cell>
        </row>
        <row r="25">
          <cell r="G25">
            <v>0</v>
          </cell>
          <cell r="H25">
            <v>188.12</v>
          </cell>
          <cell r="I25">
            <v>0</v>
          </cell>
          <cell r="J25">
            <v>188.12</v>
          </cell>
          <cell r="K25">
            <v>0</v>
          </cell>
        </row>
        <row r="26">
          <cell r="G26">
            <v>0</v>
          </cell>
          <cell r="H26">
            <v>0</v>
          </cell>
          <cell r="I26">
            <v>0</v>
          </cell>
          <cell r="J26">
            <v>0</v>
          </cell>
          <cell r="K26">
            <v>219648.08</v>
          </cell>
        </row>
        <row r="27">
          <cell r="G27">
            <v>0</v>
          </cell>
          <cell r="H27">
            <v>0</v>
          </cell>
          <cell r="I27">
            <v>0</v>
          </cell>
          <cell r="J27">
            <v>0</v>
          </cell>
          <cell r="K27">
            <v>0</v>
          </cell>
        </row>
        <row r="28">
          <cell r="G28">
            <v>0</v>
          </cell>
          <cell r="H28">
            <v>0</v>
          </cell>
          <cell r="I28">
            <v>0</v>
          </cell>
          <cell r="J28">
            <v>0</v>
          </cell>
          <cell r="K28">
            <v>0</v>
          </cell>
        </row>
        <row r="29">
          <cell r="G29">
            <v>0</v>
          </cell>
          <cell r="H29">
            <v>0</v>
          </cell>
          <cell r="I29">
            <v>0</v>
          </cell>
          <cell r="J29">
            <v>0</v>
          </cell>
          <cell r="K29">
            <v>0</v>
          </cell>
        </row>
        <row r="30">
          <cell r="G30">
            <v>0</v>
          </cell>
          <cell r="H30">
            <v>1016093.84</v>
          </cell>
          <cell r="I30">
            <v>0</v>
          </cell>
          <cell r="J30">
            <v>1016093.84</v>
          </cell>
          <cell r="K30">
            <v>219668.08</v>
          </cell>
        </row>
        <row r="32">
          <cell r="G32">
            <v>0</v>
          </cell>
          <cell r="H32">
            <v>0</v>
          </cell>
          <cell r="I32">
            <v>0</v>
          </cell>
          <cell r="J32">
            <v>0</v>
          </cell>
          <cell r="K32">
            <v>0</v>
          </cell>
        </row>
        <row r="34">
          <cell r="G34">
            <v>0</v>
          </cell>
          <cell r="H34">
            <v>0</v>
          </cell>
          <cell r="I34">
            <v>0</v>
          </cell>
          <cell r="J34">
            <v>0</v>
          </cell>
          <cell r="K34">
            <v>0</v>
          </cell>
        </row>
        <row r="36">
          <cell r="G36">
            <v>0</v>
          </cell>
          <cell r="H36">
            <v>-6000</v>
          </cell>
          <cell r="I36">
            <v>0</v>
          </cell>
          <cell r="J36">
            <v>-6000</v>
          </cell>
          <cell r="K36">
            <v>0</v>
          </cell>
        </row>
        <row r="37">
          <cell r="G37">
            <v>0</v>
          </cell>
          <cell r="H37">
            <v>-180422.85</v>
          </cell>
          <cell r="I37">
            <v>0</v>
          </cell>
          <cell r="J37">
            <v>-180422.85</v>
          </cell>
          <cell r="K37">
            <v>0</v>
          </cell>
        </row>
        <row r="38">
          <cell r="G38">
            <v>0</v>
          </cell>
          <cell r="H38">
            <v>1918399.19</v>
          </cell>
          <cell r="I38">
            <v>0</v>
          </cell>
          <cell r="J38">
            <v>1918399.19</v>
          </cell>
          <cell r="K38">
            <v>0</v>
          </cell>
        </row>
        <row r="39">
          <cell r="G39">
            <v>0</v>
          </cell>
          <cell r="H39">
            <v>6417.48</v>
          </cell>
          <cell r="I39">
            <v>0</v>
          </cell>
          <cell r="J39">
            <v>6417.48</v>
          </cell>
          <cell r="K39">
            <v>0</v>
          </cell>
        </row>
        <row r="40">
          <cell r="G40">
            <v>0</v>
          </cell>
          <cell r="H40">
            <v>0</v>
          </cell>
          <cell r="I40">
            <v>0</v>
          </cell>
          <cell r="J40">
            <v>0</v>
          </cell>
          <cell r="K40">
            <v>578574.86</v>
          </cell>
        </row>
        <row r="41">
          <cell r="G41">
            <v>0</v>
          </cell>
          <cell r="H41">
            <v>44800.35</v>
          </cell>
          <cell r="I41">
            <v>0</v>
          </cell>
          <cell r="J41">
            <v>44800.35</v>
          </cell>
          <cell r="K41">
            <v>0</v>
          </cell>
        </row>
        <row r="42">
          <cell r="G42">
            <v>0</v>
          </cell>
          <cell r="H42">
            <v>0</v>
          </cell>
          <cell r="I42">
            <v>0</v>
          </cell>
          <cell r="J42">
            <v>0</v>
          </cell>
          <cell r="K42">
            <v>21668.560000000001</v>
          </cell>
        </row>
        <row r="43">
          <cell r="G43">
            <v>0</v>
          </cell>
          <cell r="H43">
            <v>0</v>
          </cell>
          <cell r="I43">
            <v>0</v>
          </cell>
          <cell r="J43">
            <v>0</v>
          </cell>
          <cell r="K43">
            <v>-26553.85</v>
          </cell>
        </row>
        <row r="44">
          <cell r="G44">
            <v>0</v>
          </cell>
          <cell r="H44">
            <v>0</v>
          </cell>
          <cell r="I44">
            <v>0</v>
          </cell>
          <cell r="J44">
            <v>0</v>
          </cell>
          <cell r="K44">
            <v>0</v>
          </cell>
        </row>
        <row r="45">
          <cell r="G45">
            <v>0</v>
          </cell>
          <cell r="H45">
            <v>0</v>
          </cell>
          <cell r="I45">
            <v>0</v>
          </cell>
          <cell r="J45">
            <v>0</v>
          </cell>
          <cell r="K45">
            <v>3000</v>
          </cell>
        </row>
        <row r="46">
          <cell r="G46">
            <v>0</v>
          </cell>
          <cell r="H46">
            <v>92503.03</v>
          </cell>
          <cell r="I46">
            <v>0</v>
          </cell>
          <cell r="J46">
            <v>92503.03</v>
          </cell>
          <cell r="K46">
            <v>0</v>
          </cell>
        </row>
        <row r="47">
          <cell r="G47">
            <v>0</v>
          </cell>
          <cell r="H47">
            <v>0</v>
          </cell>
          <cell r="I47">
            <v>0</v>
          </cell>
          <cell r="J47">
            <v>0</v>
          </cell>
          <cell r="K47">
            <v>42194.02</v>
          </cell>
        </row>
        <row r="48">
          <cell r="G48">
            <v>0</v>
          </cell>
          <cell r="H48">
            <v>1875697.2</v>
          </cell>
          <cell r="I48">
            <v>0</v>
          </cell>
          <cell r="J48">
            <v>1875697.2</v>
          </cell>
          <cell r="K48">
            <v>618883.59</v>
          </cell>
        </row>
        <row r="50">
          <cell r="G50">
            <v>0</v>
          </cell>
          <cell r="H50">
            <v>35401.660000000003</v>
          </cell>
          <cell r="I50">
            <v>0</v>
          </cell>
          <cell r="J50">
            <v>35401.660000000003</v>
          </cell>
          <cell r="K50">
            <v>0</v>
          </cell>
        </row>
        <row r="51">
          <cell r="G51">
            <v>0</v>
          </cell>
          <cell r="H51">
            <v>21612.86</v>
          </cell>
          <cell r="I51">
            <v>0</v>
          </cell>
          <cell r="J51">
            <v>21612.86</v>
          </cell>
          <cell r="K51">
            <v>0</v>
          </cell>
        </row>
        <row r="52">
          <cell r="G52">
            <v>0</v>
          </cell>
          <cell r="H52">
            <v>103961.95</v>
          </cell>
          <cell r="I52">
            <v>0</v>
          </cell>
          <cell r="J52">
            <v>103961.95</v>
          </cell>
          <cell r="K52">
            <v>0</v>
          </cell>
        </row>
        <row r="53">
          <cell r="G53">
            <v>0</v>
          </cell>
          <cell r="H53">
            <v>5972.87</v>
          </cell>
          <cell r="I53">
            <v>0</v>
          </cell>
          <cell r="J53">
            <v>5972.87</v>
          </cell>
          <cell r="K53">
            <v>0</v>
          </cell>
        </row>
        <row r="54">
          <cell r="G54">
            <v>0</v>
          </cell>
          <cell r="H54">
            <v>215.6</v>
          </cell>
          <cell r="I54">
            <v>0</v>
          </cell>
          <cell r="J54">
            <v>215.6</v>
          </cell>
          <cell r="K54">
            <v>0</v>
          </cell>
        </row>
        <row r="55">
          <cell r="G55">
            <v>0</v>
          </cell>
          <cell r="H55">
            <v>0</v>
          </cell>
          <cell r="I55">
            <v>0</v>
          </cell>
          <cell r="J55">
            <v>0</v>
          </cell>
          <cell r="K55">
            <v>0</v>
          </cell>
        </row>
        <row r="56">
          <cell r="G56">
            <v>0</v>
          </cell>
          <cell r="H56">
            <v>0</v>
          </cell>
          <cell r="I56">
            <v>0</v>
          </cell>
          <cell r="J56">
            <v>0</v>
          </cell>
          <cell r="K56">
            <v>95594.05</v>
          </cell>
        </row>
        <row r="57">
          <cell r="G57">
            <v>0</v>
          </cell>
          <cell r="H57">
            <v>167164.94</v>
          </cell>
          <cell r="I57">
            <v>0</v>
          </cell>
          <cell r="J57">
            <v>167164.94</v>
          </cell>
          <cell r="K57">
            <v>95594.05</v>
          </cell>
        </row>
        <row r="59">
          <cell r="G59">
            <v>0</v>
          </cell>
          <cell r="H59">
            <v>-25484.89</v>
          </cell>
          <cell r="I59">
            <v>0</v>
          </cell>
          <cell r="J59">
            <v>-25484.89</v>
          </cell>
          <cell r="K59">
            <v>0</v>
          </cell>
        </row>
        <row r="60">
          <cell r="G60">
            <v>0</v>
          </cell>
          <cell r="H60">
            <v>0</v>
          </cell>
          <cell r="I60">
            <v>0</v>
          </cell>
          <cell r="J60">
            <v>0</v>
          </cell>
          <cell r="K60">
            <v>-1351.33</v>
          </cell>
        </row>
        <row r="61">
          <cell r="G61">
            <v>0</v>
          </cell>
          <cell r="H61">
            <v>-25484.89</v>
          </cell>
          <cell r="I61">
            <v>0</v>
          </cell>
          <cell r="J61">
            <v>-25484.89</v>
          </cell>
          <cell r="K61">
            <v>-1351.33</v>
          </cell>
        </row>
        <row r="63">
          <cell r="G63">
            <v>0</v>
          </cell>
          <cell r="H63">
            <v>28653.67</v>
          </cell>
          <cell r="I63">
            <v>0</v>
          </cell>
          <cell r="J63">
            <v>28653.67</v>
          </cell>
          <cell r="K63">
            <v>0</v>
          </cell>
        </row>
        <row r="64">
          <cell r="G64">
            <v>0</v>
          </cell>
          <cell r="H64">
            <v>10436.69</v>
          </cell>
          <cell r="I64">
            <v>0</v>
          </cell>
          <cell r="J64">
            <v>10436.69</v>
          </cell>
          <cell r="K64">
            <v>0</v>
          </cell>
        </row>
        <row r="65">
          <cell r="G65">
            <v>0</v>
          </cell>
          <cell r="H65">
            <v>0</v>
          </cell>
          <cell r="I65">
            <v>0</v>
          </cell>
          <cell r="J65">
            <v>0</v>
          </cell>
          <cell r="K65">
            <v>25755.96</v>
          </cell>
        </row>
        <row r="66">
          <cell r="G66">
            <v>0</v>
          </cell>
          <cell r="H66">
            <v>22678.94</v>
          </cell>
          <cell r="I66">
            <v>0</v>
          </cell>
          <cell r="J66">
            <v>22678.94</v>
          </cell>
          <cell r="K66">
            <v>0</v>
          </cell>
        </row>
        <row r="67">
          <cell r="G67">
            <v>0</v>
          </cell>
          <cell r="H67">
            <v>0</v>
          </cell>
          <cell r="I67">
            <v>0</v>
          </cell>
          <cell r="J67">
            <v>0</v>
          </cell>
          <cell r="K67">
            <v>9170.35</v>
          </cell>
        </row>
        <row r="68">
          <cell r="G68">
            <v>0</v>
          </cell>
          <cell r="H68">
            <v>0</v>
          </cell>
          <cell r="I68">
            <v>0</v>
          </cell>
          <cell r="J68">
            <v>0</v>
          </cell>
          <cell r="K68">
            <v>16300.49</v>
          </cell>
        </row>
        <row r="69">
          <cell r="G69">
            <v>0</v>
          </cell>
          <cell r="H69">
            <v>61769.3</v>
          </cell>
          <cell r="I69">
            <v>0</v>
          </cell>
          <cell r="J69">
            <v>61769.3</v>
          </cell>
          <cell r="K69">
            <v>51226.8</v>
          </cell>
        </row>
        <row r="71">
          <cell r="G71">
            <v>0</v>
          </cell>
          <cell r="H71">
            <v>1838008.96</v>
          </cell>
          <cell r="I71">
            <v>0</v>
          </cell>
          <cell r="J71">
            <v>1838008.96</v>
          </cell>
          <cell r="K71">
            <v>0</v>
          </cell>
        </row>
        <row r="72">
          <cell r="G72">
            <v>0</v>
          </cell>
          <cell r="H72">
            <v>314707.13</v>
          </cell>
          <cell r="I72">
            <v>0</v>
          </cell>
          <cell r="J72">
            <v>314707.13</v>
          </cell>
          <cell r="K72">
            <v>0</v>
          </cell>
        </row>
        <row r="73">
          <cell r="G73">
            <v>0</v>
          </cell>
          <cell r="H73">
            <v>0</v>
          </cell>
          <cell r="I73">
            <v>0</v>
          </cell>
          <cell r="J73">
            <v>0</v>
          </cell>
          <cell r="K73">
            <v>2899544.36</v>
          </cell>
        </row>
        <row r="74">
          <cell r="G74">
            <v>0</v>
          </cell>
          <cell r="H74">
            <v>0</v>
          </cell>
          <cell r="I74">
            <v>0</v>
          </cell>
          <cell r="J74">
            <v>0</v>
          </cell>
          <cell r="K74">
            <v>85833.35</v>
          </cell>
        </row>
        <row r="75">
          <cell r="G75">
            <v>0</v>
          </cell>
          <cell r="H75">
            <v>0</v>
          </cell>
          <cell r="I75">
            <v>0</v>
          </cell>
          <cell r="J75">
            <v>0</v>
          </cell>
          <cell r="K75">
            <v>0</v>
          </cell>
        </row>
        <row r="76">
          <cell r="G76">
            <v>0</v>
          </cell>
          <cell r="H76">
            <v>0</v>
          </cell>
          <cell r="I76">
            <v>0</v>
          </cell>
          <cell r="J76">
            <v>0</v>
          </cell>
          <cell r="K76">
            <v>0</v>
          </cell>
        </row>
        <row r="77">
          <cell r="G77">
            <v>0</v>
          </cell>
          <cell r="H77">
            <v>2152716.09</v>
          </cell>
          <cell r="I77">
            <v>0</v>
          </cell>
          <cell r="J77">
            <v>2152716.09</v>
          </cell>
          <cell r="K77">
            <v>2985377.71</v>
          </cell>
        </row>
        <row r="79">
          <cell r="G79">
            <v>0</v>
          </cell>
          <cell r="H79">
            <v>0</v>
          </cell>
          <cell r="I79">
            <v>0</v>
          </cell>
          <cell r="J79">
            <v>0</v>
          </cell>
          <cell r="K79">
            <v>0</v>
          </cell>
        </row>
        <row r="81">
          <cell r="G81">
            <v>0</v>
          </cell>
          <cell r="H81">
            <v>35497.870000000003</v>
          </cell>
          <cell r="I81">
            <v>0</v>
          </cell>
          <cell r="J81">
            <v>35497.870000000003</v>
          </cell>
          <cell r="K81">
            <v>0</v>
          </cell>
        </row>
        <row r="82">
          <cell r="G82">
            <v>0</v>
          </cell>
          <cell r="H82">
            <v>0</v>
          </cell>
          <cell r="I82">
            <v>0</v>
          </cell>
          <cell r="J82">
            <v>0</v>
          </cell>
          <cell r="K82">
            <v>0</v>
          </cell>
        </row>
        <row r="83">
          <cell r="G83">
            <v>0</v>
          </cell>
          <cell r="H83">
            <v>0</v>
          </cell>
          <cell r="I83">
            <v>0</v>
          </cell>
          <cell r="J83">
            <v>0</v>
          </cell>
          <cell r="K83">
            <v>0</v>
          </cell>
        </row>
        <row r="84">
          <cell r="G84">
            <v>0</v>
          </cell>
          <cell r="H84">
            <v>0</v>
          </cell>
          <cell r="I84">
            <v>0</v>
          </cell>
          <cell r="J84">
            <v>0</v>
          </cell>
          <cell r="K84">
            <v>0</v>
          </cell>
        </row>
        <row r="85">
          <cell r="G85">
            <v>0</v>
          </cell>
          <cell r="H85">
            <v>1301.92</v>
          </cell>
          <cell r="I85">
            <v>0</v>
          </cell>
          <cell r="J85">
            <v>1301.92</v>
          </cell>
          <cell r="K85">
            <v>0</v>
          </cell>
        </row>
        <row r="86">
          <cell r="G86">
            <v>0</v>
          </cell>
          <cell r="H86">
            <v>0</v>
          </cell>
          <cell r="I86">
            <v>0</v>
          </cell>
          <cell r="J86">
            <v>0</v>
          </cell>
          <cell r="K86">
            <v>68167.33</v>
          </cell>
        </row>
        <row r="87">
          <cell r="G87">
            <v>0</v>
          </cell>
          <cell r="H87">
            <v>0</v>
          </cell>
          <cell r="I87">
            <v>0</v>
          </cell>
          <cell r="J87">
            <v>0</v>
          </cell>
          <cell r="K87">
            <v>0</v>
          </cell>
        </row>
        <row r="88">
          <cell r="G88">
            <v>0</v>
          </cell>
          <cell r="H88">
            <v>0</v>
          </cell>
          <cell r="I88">
            <v>0</v>
          </cell>
          <cell r="J88">
            <v>0</v>
          </cell>
          <cell r="K88">
            <v>0</v>
          </cell>
        </row>
        <row r="89">
          <cell r="G89">
            <v>0</v>
          </cell>
          <cell r="H89">
            <v>0</v>
          </cell>
          <cell r="I89">
            <v>0</v>
          </cell>
          <cell r="J89">
            <v>0</v>
          </cell>
          <cell r="K89">
            <v>0</v>
          </cell>
        </row>
        <row r="90">
          <cell r="G90">
            <v>0</v>
          </cell>
          <cell r="H90">
            <v>0</v>
          </cell>
          <cell r="I90">
            <v>0</v>
          </cell>
          <cell r="J90">
            <v>0</v>
          </cell>
          <cell r="K90">
            <v>0</v>
          </cell>
        </row>
        <row r="91">
          <cell r="G91">
            <v>0</v>
          </cell>
          <cell r="H91">
            <v>0</v>
          </cell>
          <cell r="I91">
            <v>0</v>
          </cell>
          <cell r="J91">
            <v>0</v>
          </cell>
          <cell r="K91">
            <v>1733.32</v>
          </cell>
        </row>
        <row r="92">
          <cell r="G92">
            <v>0</v>
          </cell>
          <cell r="H92">
            <v>36799.79</v>
          </cell>
          <cell r="I92">
            <v>0</v>
          </cell>
          <cell r="J92">
            <v>36799.79</v>
          </cell>
          <cell r="K92">
            <v>69900.649999999994</v>
          </cell>
        </row>
        <row r="94">
          <cell r="G94">
            <v>0</v>
          </cell>
          <cell r="H94">
            <v>0</v>
          </cell>
          <cell r="I94">
            <v>0</v>
          </cell>
          <cell r="J94">
            <v>0</v>
          </cell>
          <cell r="K94">
            <v>0</v>
          </cell>
        </row>
        <row r="96">
          <cell r="G96">
            <v>0</v>
          </cell>
          <cell r="H96">
            <v>28853.98</v>
          </cell>
          <cell r="I96">
            <v>0</v>
          </cell>
          <cell r="J96">
            <v>28853.98</v>
          </cell>
          <cell r="K96">
            <v>0</v>
          </cell>
        </row>
        <row r="97">
          <cell r="G97">
            <v>0</v>
          </cell>
          <cell r="H97">
            <v>22790.27</v>
          </cell>
          <cell r="I97">
            <v>0</v>
          </cell>
          <cell r="J97">
            <v>22790.27</v>
          </cell>
          <cell r="K97">
            <v>0</v>
          </cell>
        </row>
        <row r="98">
          <cell r="G98">
            <v>0</v>
          </cell>
          <cell r="H98">
            <v>0</v>
          </cell>
          <cell r="I98">
            <v>0</v>
          </cell>
          <cell r="J98">
            <v>0</v>
          </cell>
          <cell r="K98">
            <v>9054.49</v>
          </cell>
        </row>
        <row r="99">
          <cell r="G99">
            <v>0</v>
          </cell>
          <cell r="H99">
            <v>0</v>
          </cell>
          <cell r="I99">
            <v>0</v>
          </cell>
          <cell r="J99">
            <v>0</v>
          </cell>
          <cell r="K99">
            <v>9284.16</v>
          </cell>
        </row>
        <row r="100">
          <cell r="G100">
            <v>0</v>
          </cell>
          <cell r="H100">
            <v>0</v>
          </cell>
          <cell r="I100">
            <v>0</v>
          </cell>
          <cell r="J100">
            <v>0</v>
          </cell>
          <cell r="K100">
            <v>-285.85000000000002</v>
          </cell>
        </row>
        <row r="101">
          <cell r="G101">
            <v>0</v>
          </cell>
          <cell r="H101">
            <v>0</v>
          </cell>
          <cell r="I101">
            <v>0</v>
          </cell>
          <cell r="J101">
            <v>0</v>
          </cell>
          <cell r="K101">
            <v>-15502.85</v>
          </cell>
        </row>
        <row r="102">
          <cell r="G102">
            <v>0</v>
          </cell>
          <cell r="H102">
            <v>0</v>
          </cell>
          <cell r="I102">
            <v>0</v>
          </cell>
          <cell r="J102">
            <v>0</v>
          </cell>
          <cell r="K102">
            <v>0</v>
          </cell>
        </row>
        <row r="103">
          <cell r="G103">
            <v>0</v>
          </cell>
          <cell r="H103">
            <v>51644.25</v>
          </cell>
          <cell r="I103">
            <v>0</v>
          </cell>
          <cell r="J103">
            <v>51644.25</v>
          </cell>
          <cell r="K103">
            <v>2549.9499999999998</v>
          </cell>
        </row>
        <row r="105">
          <cell r="G105">
            <v>0</v>
          </cell>
          <cell r="H105">
            <v>-858061.45</v>
          </cell>
          <cell r="I105">
            <v>0</v>
          </cell>
          <cell r="J105">
            <v>-858061.45</v>
          </cell>
          <cell r="K105">
            <v>0</v>
          </cell>
        </row>
        <row r="106">
          <cell r="G106">
            <v>0</v>
          </cell>
          <cell r="H106">
            <v>0</v>
          </cell>
          <cell r="I106">
            <v>0</v>
          </cell>
          <cell r="J106">
            <v>0</v>
          </cell>
          <cell r="K106">
            <v>1489873.87</v>
          </cell>
        </row>
        <row r="107">
          <cell r="G107">
            <v>0</v>
          </cell>
          <cell r="H107">
            <v>0</v>
          </cell>
          <cell r="I107">
            <v>0</v>
          </cell>
          <cell r="J107">
            <v>0</v>
          </cell>
          <cell r="K107">
            <v>0</v>
          </cell>
        </row>
        <row r="108">
          <cell r="G108">
            <v>0</v>
          </cell>
          <cell r="H108">
            <v>16949.18</v>
          </cell>
          <cell r="I108">
            <v>0</v>
          </cell>
          <cell r="J108">
            <v>16949.18</v>
          </cell>
          <cell r="K108">
            <v>0</v>
          </cell>
        </row>
        <row r="109">
          <cell r="G109">
            <v>0</v>
          </cell>
          <cell r="H109">
            <v>-841112.27</v>
          </cell>
          <cell r="I109">
            <v>0</v>
          </cell>
          <cell r="J109">
            <v>-841112.27</v>
          </cell>
          <cell r="K109">
            <v>1489873.87</v>
          </cell>
        </row>
        <row r="111">
          <cell r="G111">
            <v>0</v>
          </cell>
          <cell r="H111">
            <v>129554.46</v>
          </cell>
          <cell r="I111">
            <v>0</v>
          </cell>
          <cell r="J111">
            <v>129554.46</v>
          </cell>
          <cell r="K111">
            <v>0</v>
          </cell>
        </row>
        <row r="112">
          <cell r="G112">
            <v>0</v>
          </cell>
          <cell r="H112">
            <v>16657.48</v>
          </cell>
          <cell r="I112">
            <v>0</v>
          </cell>
          <cell r="J112">
            <v>16657.48</v>
          </cell>
          <cell r="K112">
            <v>0</v>
          </cell>
        </row>
        <row r="113">
          <cell r="G113">
            <v>0</v>
          </cell>
          <cell r="H113">
            <v>105829.26</v>
          </cell>
          <cell r="I113">
            <v>0</v>
          </cell>
          <cell r="J113">
            <v>105829.26</v>
          </cell>
          <cell r="K113">
            <v>0</v>
          </cell>
        </row>
        <row r="114">
          <cell r="G114">
            <v>0</v>
          </cell>
          <cell r="H114">
            <v>0</v>
          </cell>
          <cell r="I114">
            <v>0</v>
          </cell>
          <cell r="J114">
            <v>0</v>
          </cell>
          <cell r="K114">
            <v>105829.26</v>
          </cell>
        </row>
        <row r="115">
          <cell r="G115">
            <v>0</v>
          </cell>
          <cell r="H115">
            <v>0</v>
          </cell>
          <cell r="I115">
            <v>0</v>
          </cell>
          <cell r="J115">
            <v>0</v>
          </cell>
          <cell r="K115">
            <v>16657.48</v>
          </cell>
        </row>
        <row r="116">
          <cell r="G116">
            <v>0</v>
          </cell>
          <cell r="H116">
            <v>252041.2</v>
          </cell>
          <cell r="I116">
            <v>0</v>
          </cell>
          <cell r="J116">
            <v>252041.2</v>
          </cell>
          <cell r="K116">
            <v>122486.74</v>
          </cell>
        </row>
        <row r="118">
          <cell r="G118">
            <v>0</v>
          </cell>
          <cell r="H118">
            <v>0</v>
          </cell>
          <cell r="I118">
            <v>0</v>
          </cell>
          <cell r="J118">
            <v>0</v>
          </cell>
          <cell r="K118">
            <v>0</v>
          </cell>
        </row>
        <row r="119">
          <cell r="G119">
            <v>0</v>
          </cell>
          <cell r="H119">
            <v>18510.57</v>
          </cell>
          <cell r="I119">
            <v>0</v>
          </cell>
          <cell r="J119">
            <v>18510.57</v>
          </cell>
          <cell r="K119">
            <v>0</v>
          </cell>
        </row>
        <row r="120">
          <cell r="G120">
            <v>0</v>
          </cell>
          <cell r="H120">
            <v>0</v>
          </cell>
          <cell r="I120">
            <v>0</v>
          </cell>
          <cell r="J120">
            <v>0</v>
          </cell>
          <cell r="K120">
            <v>18510.57</v>
          </cell>
        </row>
        <row r="121">
          <cell r="G121">
            <v>0</v>
          </cell>
          <cell r="H121">
            <v>18510.57</v>
          </cell>
          <cell r="I121">
            <v>0</v>
          </cell>
          <cell r="J121">
            <v>18510.57</v>
          </cell>
          <cell r="K121">
            <v>18510.57</v>
          </cell>
        </row>
        <row r="123">
          <cell r="G123">
            <v>0</v>
          </cell>
          <cell r="H123">
            <v>4501449.0199999996</v>
          </cell>
          <cell r="I123">
            <v>0</v>
          </cell>
          <cell r="J123">
            <v>4501449.0199999996</v>
          </cell>
          <cell r="K123">
            <v>0</v>
          </cell>
        </row>
        <row r="124">
          <cell r="G124">
            <v>0</v>
          </cell>
          <cell r="H124">
            <v>0</v>
          </cell>
          <cell r="I124">
            <v>0</v>
          </cell>
          <cell r="J124">
            <v>0</v>
          </cell>
          <cell r="K124">
            <v>2062898.26</v>
          </cell>
        </row>
        <row r="125">
          <cell r="G125">
            <v>0</v>
          </cell>
          <cell r="H125">
            <v>24652291.699999999</v>
          </cell>
          <cell r="I125">
            <v>0</v>
          </cell>
          <cell r="J125">
            <v>24652291.699999999</v>
          </cell>
          <cell r="K125">
            <v>0</v>
          </cell>
        </row>
        <row r="126">
          <cell r="G126">
            <v>0</v>
          </cell>
          <cell r="H126">
            <v>448194.72</v>
          </cell>
          <cell r="I126">
            <v>0</v>
          </cell>
          <cell r="J126">
            <v>448194.72</v>
          </cell>
          <cell r="K126">
            <v>0</v>
          </cell>
        </row>
        <row r="127">
          <cell r="G127">
            <v>0</v>
          </cell>
          <cell r="H127">
            <v>3641527.41</v>
          </cell>
          <cell r="I127">
            <v>0</v>
          </cell>
          <cell r="J127">
            <v>3641527.41</v>
          </cell>
          <cell r="K127">
            <v>0</v>
          </cell>
        </row>
        <row r="128">
          <cell r="G128">
            <v>0</v>
          </cell>
          <cell r="H128">
            <v>0</v>
          </cell>
          <cell r="I128">
            <v>0</v>
          </cell>
          <cell r="J128">
            <v>0</v>
          </cell>
          <cell r="K128">
            <v>205396.11</v>
          </cell>
        </row>
        <row r="129">
          <cell r="G129">
            <v>0</v>
          </cell>
          <cell r="H129">
            <v>0</v>
          </cell>
          <cell r="I129">
            <v>0</v>
          </cell>
          <cell r="J129">
            <v>0</v>
          </cell>
          <cell r="K129">
            <v>1668920.62</v>
          </cell>
        </row>
        <row r="130">
          <cell r="G130">
            <v>0</v>
          </cell>
          <cell r="H130">
            <v>0</v>
          </cell>
          <cell r="I130">
            <v>0</v>
          </cell>
          <cell r="J130">
            <v>0</v>
          </cell>
          <cell r="K130">
            <v>11297510.970000001</v>
          </cell>
        </row>
        <row r="131">
          <cell r="G131">
            <v>0</v>
          </cell>
          <cell r="H131">
            <v>33243462.849999998</v>
          </cell>
          <cell r="I131">
            <v>0</v>
          </cell>
          <cell r="J131">
            <v>33243462.849999998</v>
          </cell>
          <cell r="K131">
            <v>15234725.960000001</v>
          </cell>
        </row>
        <row r="133">
          <cell r="G133">
            <v>0</v>
          </cell>
          <cell r="H133">
            <v>266063.23</v>
          </cell>
          <cell r="I133">
            <v>0</v>
          </cell>
          <cell r="J133">
            <v>266063.23</v>
          </cell>
          <cell r="K133">
            <v>0</v>
          </cell>
        </row>
        <row r="134">
          <cell r="G134">
            <v>0</v>
          </cell>
          <cell r="H134">
            <v>0</v>
          </cell>
          <cell r="I134">
            <v>0</v>
          </cell>
          <cell r="J134">
            <v>0</v>
          </cell>
          <cell r="K134">
            <v>60028.81</v>
          </cell>
        </row>
        <row r="135">
          <cell r="G135">
            <v>0</v>
          </cell>
          <cell r="H135">
            <v>266063.23</v>
          </cell>
          <cell r="I135">
            <v>0</v>
          </cell>
          <cell r="J135">
            <v>266063.23</v>
          </cell>
          <cell r="K135">
            <v>60028.81</v>
          </cell>
        </row>
        <row r="137">
          <cell r="G137">
            <v>0</v>
          </cell>
          <cell r="H137">
            <v>2451945.34</v>
          </cell>
          <cell r="I137">
            <v>0</v>
          </cell>
          <cell r="J137">
            <v>2451945.34</v>
          </cell>
          <cell r="K137">
            <v>0</v>
          </cell>
        </row>
        <row r="138">
          <cell r="G138">
            <v>0</v>
          </cell>
          <cell r="H138">
            <v>1266501.04</v>
          </cell>
          <cell r="I138">
            <v>0</v>
          </cell>
          <cell r="J138">
            <v>1266501.04</v>
          </cell>
          <cell r="K138">
            <v>0</v>
          </cell>
        </row>
        <row r="139">
          <cell r="G139">
            <v>0</v>
          </cell>
          <cell r="H139">
            <v>4036718.15</v>
          </cell>
          <cell r="I139">
            <v>0</v>
          </cell>
          <cell r="J139">
            <v>4036718.15</v>
          </cell>
          <cell r="K139">
            <v>0</v>
          </cell>
        </row>
        <row r="140">
          <cell r="G140">
            <v>0</v>
          </cell>
          <cell r="H140">
            <v>585769.56000000006</v>
          </cell>
          <cell r="I140">
            <v>0</v>
          </cell>
          <cell r="J140">
            <v>585769.56000000006</v>
          </cell>
          <cell r="K140">
            <v>0</v>
          </cell>
        </row>
        <row r="141">
          <cell r="G141">
            <v>0</v>
          </cell>
          <cell r="H141">
            <v>1307187.22</v>
          </cell>
          <cell r="I141">
            <v>0</v>
          </cell>
          <cell r="J141">
            <v>1307187.22</v>
          </cell>
          <cell r="K141">
            <v>0</v>
          </cell>
        </row>
        <row r="142">
          <cell r="G142">
            <v>0</v>
          </cell>
          <cell r="H142">
            <v>9085.27</v>
          </cell>
          <cell r="I142">
            <v>0</v>
          </cell>
          <cell r="J142">
            <v>9085.27</v>
          </cell>
          <cell r="K142">
            <v>0</v>
          </cell>
        </row>
        <row r="143">
          <cell r="G143">
            <v>0</v>
          </cell>
          <cell r="H143">
            <v>1065319.23</v>
          </cell>
          <cell r="I143">
            <v>0</v>
          </cell>
          <cell r="J143">
            <v>1065319.23</v>
          </cell>
          <cell r="K143">
            <v>0</v>
          </cell>
        </row>
        <row r="144">
          <cell r="G144">
            <v>0</v>
          </cell>
          <cell r="H144">
            <v>3008032.81</v>
          </cell>
          <cell r="I144">
            <v>0</v>
          </cell>
          <cell r="J144">
            <v>3008032.81</v>
          </cell>
          <cell r="K144">
            <v>0</v>
          </cell>
        </row>
        <row r="145">
          <cell r="G145">
            <v>0</v>
          </cell>
          <cell r="H145">
            <v>2144343.1</v>
          </cell>
          <cell r="I145">
            <v>0</v>
          </cell>
          <cell r="J145">
            <v>2144343.1</v>
          </cell>
          <cell r="K145">
            <v>0</v>
          </cell>
        </row>
        <row r="146">
          <cell r="G146">
            <v>0</v>
          </cell>
          <cell r="H146">
            <v>671109.6</v>
          </cell>
          <cell r="I146">
            <v>0</v>
          </cell>
          <cell r="J146">
            <v>671109.6</v>
          </cell>
          <cell r="K146">
            <v>0</v>
          </cell>
        </row>
        <row r="147">
          <cell r="G147">
            <v>0</v>
          </cell>
          <cell r="H147">
            <v>343124.32</v>
          </cell>
          <cell r="I147">
            <v>0</v>
          </cell>
          <cell r="J147">
            <v>343124.32</v>
          </cell>
          <cell r="K147">
            <v>0</v>
          </cell>
        </row>
        <row r="148">
          <cell r="G148">
            <v>0</v>
          </cell>
          <cell r="H148">
            <v>1740584.94</v>
          </cell>
          <cell r="I148">
            <v>0</v>
          </cell>
          <cell r="J148">
            <v>1740584.94</v>
          </cell>
          <cell r="K148">
            <v>0</v>
          </cell>
        </row>
        <row r="149">
          <cell r="G149">
            <v>0</v>
          </cell>
          <cell r="H149">
            <v>154994.43</v>
          </cell>
          <cell r="I149">
            <v>0</v>
          </cell>
          <cell r="J149">
            <v>154994.43</v>
          </cell>
          <cell r="K149">
            <v>0</v>
          </cell>
        </row>
        <row r="150">
          <cell r="G150">
            <v>0</v>
          </cell>
          <cell r="H150">
            <v>162374.34</v>
          </cell>
          <cell r="I150">
            <v>0</v>
          </cell>
          <cell r="J150">
            <v>162374.34</v>
          </cell>
          <cell r="K150">
            <v>0</v>
          </cell>
        </row>
        <row r="151">
          <cell r="G151">
            <v>0</v>
          </cell>
          <cell r="H151">
            <v>290402.67</v>
          </cell>
          <cell r="I151">
            <v>0</v>
          </cell>
          <cell r="J151">
            <v>290402.67</v>
          </cell>
          <cell r="K151">
            <v>0</v>
          </cell>
        </row>
        <row r="152">
          <cell r="G152">
            <v>0</v>
          </cell>
          <cell r="H152">
            <v>2006320.98</v>
          </cell>
          <cell r="I152">
            <v>0</v>
          </cell>
          <cell r="J152">
            <v>2006320.98</v>
          </cell>
          <cell r="K152">
            <v>0</v>
          </cell>
        </row>
        <row r="153">
          <cell r="G153">
            <v>0</v>
          </cell>
          <cell r="H153">
            <v>34845.519999999997</v>
          </cell>
          <cell r="I153">
            <v>0</v>
          </cell>
          <cell r="J153">
            <v>34845.519999999997</v>
          </cell>
          <cell r="K153">
            <v>0</v>
          </cell>
        </row>
        <row r="154">
          <cell r="G154">
            <v>0</v>
          </cell>
          <cell r="H154">
            <v>612545.19999999995</v>
          </cell>
          <cell r="I154">
            <v>0</v>
          </cell>
          <cell r="J154">
            <v>612545.19999999995</v>
          </cell>
          <cell r="K154">
            <v>0</v>
          </cell>
        </row>
        <row r="155">
          <cell r="G155">
            <v>0</v>
          </cell>
          <cell r="H155">
            <v>4537557.07</v>
          </cell>
          <cell r="I155">
            <v>0</v>
          </cell>
          <cell r="J155">
            <v>4537557.07</v>
          </cell>
          <cell r="K155">
            <v>0</v>
          </cell>
        </row>
        <row r="156">
          <cell r="G156">
            <v>0</v>
          </cell>
          <cell r="H156">
            <v>175428.48000000001</v>
          </cell>
          <cell r="I156">
            <v>0</v>
          </cell>
          <cell r="J156">
            <v>175428.48000000001</v>
          </cell>
          <cell r="K156">
            <v>0</v>
          </cell>
        </row>
        <row r="157">
          <cell r="G157">
            <v>0</v>
          </cell>
          <cell r="H157">
            <v>153233.09</v>
          </cell>
          <cell r="I157">
            <v>0</v>
          </cell>
          <cell r="J157">
            <v>153233.09</v>
          </cell>
          <cell r="K157">
            <v>0</v>
          </cell>
        </row>
        <row r="158">
          <cell r="G158">
            <v>0</v>
          </cell>
          <cell r="H158">
            <v>108535.24</v>
          </cell>
          <cell r="I158">
            <v>0</v>
          </cell>
          <cell r="J158">
            <v>108535.24</v>
          </cell>
          <cell r="K158">
            <v>0</v>
          </cell>
        </row>
        <row r="159">
          <cell r="G159">
            <v>0</v>
          </cell>
          <cell r="H159">
            <v>0</v>
          </cell>
          <cell r="I159">
            <v>0</v>
          </cell>
          <cell r="J159">
            <v>0</v>
          </cell>
          <cell r="K159">
            <v>1123939.74</v>
          </cell>
        </row>
        <row r="160">
          <cell r="G160">
            <v>0</v>
          </cell>
          <cell r="H160">
            <v>0</v>
          </cell>
          <cell r="I160">
            <v>0</v>
          </cell>
          <cell r="J160">
            <v>0</v>
          </cell>
          <cell r="K160">
            <v>580954.44999999995</v>
          </cell>
        </row>
        <row r="161">
          <cell r="G161">
            <v>0</v>
          </cell>
          <cell r="H161">
            <v>0</v>
          </cell>
          <cell r="I161">
            <v>0</v>
          </cell>
          <cell r="J161">
            <v>0</v>
          </cell>
          <cell r="K161">
            <v>1853791.98</v>
          </cell>
        </row>
        <row r="162">
          <cell r="G162">
            <v>0</v>
          </cell>
          <cell r="H162">
            <v>0</v>
          </cell>
          <cell r="I162">
            <v>0</v>
          </cell>
          <cell r="J162">
            <v>0</v>
          </cell>
          <cell r="K162">
            <v>272695.95</v>
          </cell>
        </row>
        <row r="163">
          <cell r="G163">
            <v>0</v>
          </cell>
          <cell r="H163">
            <v>0</v>
          </cell>
          <cell r="I163">
            <v>0</v>
          </cell>
          <cell r="J163">
            <v>0</v>
          </cell>
          <cell r="K163">
            <v>599049.84</v>
          </cell>
        </row>
        <row r="164">
          <cell r="G164">
            <v>0</v>
          </cell>
          <cell r="H164">
            <v>0</v>
          </cell>
          <cell r="I164">
            <v>0</v>
          </cell>
          <cell r="J164">
            <v>0</v>
          </cell>
          <cell r="K164">
            <v>4548.51</v>
          </cell>
        </row>
        <row r="165">
          <cell r="G165">
            <v>0</v>
          </cell>
          <cell r="H165">
            <v>0</v>
          </cell>
          <cell r="I165">
            <v>0</v>
          </cell>
          <cell r="J165">
            <v>0</v>
          </cell>
          <cell r="K165">
            <v>488208.39</v>
          </cell>
        </row>
        <row r="166">
          <cell r="G166">
            <v>0</v>
          </cell>
          <cell r="H166">
            <v>0</v>
          </cell>
          <cell r="I166">
            <v>0</v>
          </cell>
          <cell r="J166">
            <v>0</v>
          </cell>
          <cell r="K166">
            <v>1378740.41</v>
          </cell>
        </row>
        <row r="167">
          <cell r="G167">
            <v>0</v>
          </cell>
          <cell r="H167">
            <v>0</v>
          </cell>
          <cell r="I167">
            <v>0</v>
          </cell>
          <cell r="J167">
            <v>0</v>
          </cell>
          <cell r="K167">
            <v>995350.8</v>
          </cell>
        </row>
        <row r="168">
          <cell r="G168">
            <v>0</v>
          </cell>
          <cell r="H168">
            <v>0</v>
          </cell>
          <cell r="I168">
            <v>0</v>
          </cell>
          <cell r="J168">
            <v>0</v>
          </cell>
          <cell r="K168">
            <v>307552.26</v>
          </cell>
        </row>
        <row r="169">
          <cell r="G169">
            <v>0</v>
          </cell>
          <cell r="H169">
            <v>0</v>
          </cell>
          <cell r="I169">
            <v>0</v>
          </cell>
          <cell r="J169">
            <v>0</v>
          </cell>
          <cell r="K169">
            <v>156357.47</v>
          </cell>
        </row>
        <row r="170">
          <cell r="G170">
            <v>0</v>
          </cell>
          <cell r="H170">
            <v>0</v>
          </cell>
          <cell r="I170">
            <v>0</v>
          </cell>
          <cell r="J170">
            <v>0</v>
          </cell>
          <cell r="K170">
            <v>802991.83</v>
          </cell>
        </row>
        <row r="171">
          <cell r="G171">
            <v>0</v>
          </cell>
          <cell r="H171">
            <v>0</v>
          </cell>
          <cell r="I171">
            <v>0</v>
          </cell>
          <cell r="J171">
            <v>0</v>
          </cell>
          <cell r="K171">
            <v>74728.22</v>
          </cell>
        </row>
        <row r="172">
          <cell r="G172">
            <v>0</v>
          </cell>
          <cell r="H172">
            <v>0</v>
          </cell>
          <cell r="I172">
            <v>0</v>
          </cell>
          <cell r="J172">
            <v>0</v>
          </cell>
          <cell r="K172">
            <v>74411.98</v>
          </cell>
        </row>
        <row r="173">
          <cell r="G173">
            <v>0</v>
          </cell>
          <cell r="H173">
            <v>0</v>
          </cell>
          <cell r="I173">
            <v>0</v>
          </cell>
          <cell r="J173">
            <v>0</v>
          </cell>
          <cell r="K173">
            <v>132967.72</v>
          </cell>
        </row>
        <row r="174">
          <cell r="G174">
            <v>0</v>
          </cell>
          <cell r="H174">
            <v>0</v>
          </cell>
          <cell r="I174">
            <v>0</v>
          </cell>
          <cell r="J174">
            <v>0</v>
          </cell>
          <cell r="K174">
            <v>919445.28</v>
          </cell>
        </row>
        <row r="175">
          <cell r="G175">
            <v>0</v>
          </cell>
          <cell r="H175">
            <v>0</v>
          </cell>
          <cell r="I175">
            <v>0</v>
          </cell>
          <cell r="J175">
            <v>0</v>
          </cell>
          <cell r="K175">
            <v>16778.47</v>
          </cell>
        </row>
        <row r="176">
          <cell r="G176">
            <v>0</v>
          </cell>
          <cell r="H176">
            <v>0</v>
          </cell>
          <cell r="I176">
            <v>0</v>
          </cell>
          <cell r="J176">
            <v>0</v>
          </cell>
          <cell r="K176">
            <v>284703.18</v>
          </cell>
        </row>
        <row r="177">
          <cell r="G177">
            <v>0</v>
          </cell>
          <cell r="H177">
            <v>0</v>
          </cell>
          <cell r="I177">
            <v>0</v>
          </cell>
          <cell r="J177">
            <v>0</v>
          </cell>
          <cell r="K177">
            <v>2556387.46</v>
          </cell>
        </row>
        <row r="178">
          <cell r="G178">
            <v>0</v>
          </cell>
          <cell r="H178">
            <v>0</v>
          </cell>
          <cell r="I178">
            <v>0</v>
          </cell>
          <cell r="J178">
            <v>0</v>
          </cell>
          <cell r="K178">
            <v>80394.36</v>
          </cell>
        </row>
        <row r="179">
          <cell r="G179">
            <v>0</v>
          </cell>
          <cell r="H179">
            <v>0</v>
          </cell>
          <cell r="I179">
            <v>0</v>
          </cell>
          <cell r="J179">
            <v>0</v>
          </cell>
          <cell r="K179">
            <v>19720</v>
          </cell>
        </row>
        <row r="180">
          <cell r="G180">
            <v>0</v>
          </cell>
          <cell r="H180">
            <v>0</v>
          </cell>
          <cell r="I180">
            <v>0</v>
          </cell>
          <cell r="J180">
            <v>0</v>
          </cell>
          <cell r="K180">
            <v>100561.75</v>
          </cell>
        </row>
        <row r="181">
          <cell r="G181">
            <v>0</v>
          </cell>
          <cell r="H181">
            <v>0</v>
          </cell>
          <cell r="I181">
            <v>0</v>
          </cell>
          <cell r="J181">
            <v>0</v>
          </cell>
          <cell r="K181">
            <v>49738.91</v>
          </cell>
        </row>
        <row r="182">
          <cell r="G182">
            <v>0</v>
          </cell>
          <cell r="H182">
            <v>226115.93</v>
          </cell>
          <cell r="I182">
            <v>0</v>
          </cell>
          <cell r="J182">
            <v>226115.93</v>
          </cell>
          <cell r="K182">
            <v>0</v>
          </cell>
        </row>
        <row r="183">
          <cell r="G183">
            <v>0</v>
          </cell>
          <cell r="H183">
            <v>27092073.530000001</v>
          </cell>
          <cell r="I183">
            <v>0</v>
          </cell>
          <cell r="J183">
            <v>27092073.530000001</v>
          </cell>
          <cell r="K183">
            <v>12874018.960000001</v>
          </cell>
        </row>
        <row r="185">
          <cell r="G185">
            <v>0</v>
          </cell>
          <cell r="H185">
            <v>189334.68</v>
          </cell>
          <cell r="I185">
            <v>0</v>
          </cell>
          <cell r="J185">
            <v>189334.68</v>
          </cell>
          <cell r="K185">
            <v>0</v>
          </cell>
        </row>
        <row r="186">
          <cell r="G186">
            <v>0</v>
          </cell>
          <cell r="H186">
            <v>96759.07</v>
          </cell>
          <cell r="I186">
            <v>0</v>
          </cell>
          <cell r="J186">
            <v>96759.07</v>
          </cell>
          <cell r="K186">
            <v>0</v>
          </cell>
        </row>
        <row r="187">
          <cell r="G187">
            <v>0</v>
          </cell>
          <cell r="H187">
            <v>499713.89</v>
          </cell>
          <cell r="I187">
            <v>0</v>
          </cell>
          <cell r="J187">
            <v>499713.89</v>
          </cell>
          <cell r="K187">
            <v>0</v>
          </cell>
        </row>
        <row r="188">
          <cell r="G188">
            <v>0</v>
          </cell>
          <cell r="H188">
            <v>2669.07</v>
          </cell>
          <cell r="I188">
            <v>0</v>
          </cell>
          <cell r="J188">
            <v>2669.07</v>
          </cell>
          <cell r="K188">
            <v>0</v>
          </cell>
        </row>
        <row r="189">
          <cell r="G189">
            <v>0</v>
          </cell>
          <cell r="H189">
            <v>156586.74</v>
          </cell>
          <cell r="I189">
            <v>0</v>
          </cell>
          <cell r="J189">
            <v>156586.74</v>
          </cell>
          <cell r="K189">
            <v>0</v>
          </cell>
        </row>
        <row r="190">
          <cell r="G190">
            <v>0</v>
          </cell>
          <cell r="H190">
            <v>45892.56</v>
          </cell>
          <cell r="I190">
            <v>0</v>
          </cell>
          <cell r="J190">
            <v>45892.56</v>
          </cell>
          <cell r="K190">
            <v>0</v>
          </cell>
        </row>
        <row r="191">
          <cell r="G191">
            <v>0</v>
          </cell>
          <cell r="H191">
            <v>61391.75</v>
          </cell>
          <cell r="I191">
            <v>0</v>
          </cell>
          <cell r="J191">
            <v>61391.75</v>
          </cell>
          <cell r="K191">
            <v>0</v>
          </cell>
        </row>
        <row r="192">
          <cell r="G192">
            <v>0</v>
          </cell>
          <cell r="H192">
            <v>324009.73</v>
          </cell>
          <cell r="I192">
            <v>0</v>
          </cell>
          <cell r="J192">
            <v>324009.73</v>
          </cell>
          <cell r="K192">
            <v>0</v>
          </cell>
        </row>
        <row r="193">
          <cell r="G193">
            <v>0</v>
          </cell>
          <cell r="H193">
            <v>25216.75</v>
          </cell>
          <cell r="I193">
            <v>0</v>
          </cell>
          <cell r="J193">
            <v>25216.75</v>
          </cell>
          <cell r="K193">
            <v>0</v>
          </cell>
        </row>
        <row r="194">
          <cell r="G194">
            <v>0</v>
          </cell>
          <cell r="H194">
            <v>45405.58</v>
          </cell>
          <cell r="I194">
            <v>0</v>
          </cell>
          <cell r="J194">
            <v>45405.58</v>
          </cell>
          <cell r="K194">
            <v>0</v>
          </cell>
        </row>
        <row r="195">
          <cell r="G195">
            <v>0</v>
          </cell>
          <cell r="H195">
            <v>303176.99</v>
          </cell>
          <cell r="I195">
            <v>0</v>
          </cell>
          <cell r="J195">
            <v>303176.99</v>
          </cell>
          <cell r="K195">
            <v>0</v>
          </cell>
        </row>
        <row r="196">
          <cell r="G196">
            <v>0</v>
          </cell>
          <cell r="H196">
            <v>76391.39</v>
          </cell>
          <cell r="I196">
            <v>0</v>
          </cell>
          <cell r="J196">
            <v>76391.39</v>
          </cell>
          <cell r="K196">
            <v>0</v>
          </cell>
        </row>
        <row r="197">
          <cell r="G197">
            <v>0</v>
          </cell>
          <cell r="H197">
            <v>394628.9</v>
          </cell>
          <cell r="I197">
            <v>0</v>
          </cell>
          <cell r="J197">
            <v>394628.9</v>
          </cell>
          <cell r="K197">
            <v>0</v>
          </cell>
        </row>
        <row r="198">
          <cell r="G198">
            <v>0</v>
          </cell>
          <cell r="H198">
            <v>309882.78999999998</v>
          </cell>
          <cell r="I198">
            <v>0</v>
          </cell>
          <cell r="J198">
            <v>309882.78999999998</v>
          </cell>
          <cell r="K198">
            <v>0</v>
          </cell>
        </row>
        <row r="199">
          <cell r="G199">
            <v>0</v>
          </cell>
          <cell r="H199">
            <v>271152.88</v>
          </cell>
          <cell r="I199">
            <v>0</v>
          </cell>
          <cell r="J199">
            <v>271152.88</v>
          </cell>
          <cell r="K199">
            <v>0</v>
          </cell>
        </row>
        <row r="200">
          <cell r="G200">
            <v>0</v>
          </cell>
          <cell r="H200">
            <v>121849.97</v>
          </cell>
          <cell r="I200">
            <v>0</v>
          </cell>
          <cell r="J200">
            <v>121849.97</v>
          </cell>
          <cell r="K200">
            <v>0</v>
          </cell>
        </row>
        <row r="201">
          <cell r="G201">
            <v>0</v>
          </cell>
          <cell r="H201">
            <v>838761.67</v>
          </cell>
          <cell r="I201">
            <v>0</v>
          </cell>
          <cell r="J201">
            <v>838761.67</v>
          </cell>
          <cell r="K201">
            <v>0</v>
          </cell>
        </row>
        <row r="202">
          <cell r="G202">
            <v>0</v>
          </cell>
          <cell r="H202">
            <v>184.49</v>
          </cell>
          <cell r="I202">
            <v>0</v>
          </cell>
          <cell r="J202">
            <v>184.49</v>
          </cell>
          <cell r="K202">
            <v>0</v>
          </cell>
        </row>
        <row r="203">
          <cell r="G203">
            <v>0</v>
          </cell>
          <cell r="H203">
            <v>449654.88</v>
          </cell>
          <cell r="I203">
            <v>0</v>
          </cell>
          <cell r="J203">
            <v>449654.88</v>
          </cell>
          <cell r="K203">
            <v>0</v>
          </cell>
        </row>
        <row r="204">
          <cell r="G204">
            <v>0</v>
          </cell>
          <cell r="H204">
            <v>287305.53999999998</v>
          </cell>
          <cell r="I204">
            <v>0</v>
          </cell>
          <cell r="J204">
            <v>287305.53999999998</v>
          </cell>
          <cell r="K204">
            <v>0</v>
          </cell>
        </row>
        <row r="205">
          <cell r="G205">
            <v>0</v>
          </cell>
          <cell r="H205">
            <v>179605.38</v>
          </cell>
          <cell r="I205">
            <v>0</v>
          </cell>
          <cell r="J205">
            <v>179605.38</v>
          </cell>
          <cell r="K205">
            <v>0</v>
          </cell>
        </row>
        <row r="206">
          <cell r="G206">
            <v>0</v>
          </cell>
          <cell r="H206">
            <v>538047.80000000005</v>
          </cell>
          <cell r="I206">
            <v>0</v>
          </cell>
          <cell r="J206">
            <v>538047.80000000005</v>
          </cell>
          <cell r="K206">
            <v>0</v>
          </cell>
        </row>
        <row r="207">
          <cell r="G207">
            <v>0</v>
          </cell>
          <cell r="H207">
            <v>113330.65</v>
          </cell>
          <cell r="I207">
            <v>0</v>
          </cell>
          <cell r="J207">
            <v>113330.65</v>
          </cell>
          <cell r="K207">
            <v>0</v>
          </cell>
        </row>
        <row r="208">
          <cell r="G208">
            <v>0</v>
          </cell>
          <cell r="H208">
            <v>97897.67</v>
          </cell>
          <cell r="I208">
            <v>0</v>
          </cell>
          <cell r="J208">
            <v>97897.67</v>
          </cell>
          <cell r="K208">
            <v>0</v>
          </cell>
        </row>
        <row r="209">
          <cell r="G209">
            <v>0</v>
          </cell>
          <cell r="H209">
            <v>10503.56</v>
          </cell>
          <cell r="I209">
            <v>0</v>
          </cell>
          <cell r="J209">
            <v>10503.56</v>
          </cell>
          <cell r="K209">
            <v>0</v>
          </cell>
        </row>
        <row r="210">
          <cell r="G210">
            <v>0</v>
          </cell>
          <cell r="H210">
            <v>158682.66</v>
          </cell>
          <cell r="I210">
            <v>0</v>
          </cell>
          <cell r="J210">
            <v>158682.66</v>
          </cell>
          <cell r="K210">
            <v>0</v>
          </cell>
        </row>
        <row r="211">
          <cell r="G211">
            <v>0</v>
          </cell>
          <cell r="H211">
            <v>23968.68</v>
          </cell>
          <cell r="I211">
            <v>0</v>
          </cell>
          <cell r="J211">
            <v>23968.68</v>
          </cell>
          <cell r="K211">
            <v>0</v>
          </cell>
        </row>
        <row r="212">
          <cell r="G212">
            <v>0</v>
          </cell>
          <cell r="H212">
            <v>38759.65</v>
          </cell>
          <cell r="I212">
            <v>0</v>
          </cell>
          <cell r="J212">
            <v>38759.65</v>
          </cell>
          <cell r="K212">
            <v>0</v>
          </cell>
        </row>
        <row r="213">
          <cell r="G213">
            <v>0</v>
          </cell>
          <cell r="H213">
            <v>0</v>
          </cell>
          <cell r="I213">
            <v>0</v>
          </cell>
          <cell r="J213">
            <v>0</v>
          </cell>
          <cell r="K213">
            <v>91926.3</v>
          </cell>
        </row>
        <row r="214">
          <cell r="G214">
            <v>0</v>
          </cell>
          <cell r="H214">
            <v>0</v>
          </cell>
          <cell r="I214">
            <v>0</v>
          </cell>
          <cell r="J214">
            <v>0</v>
          </cell>
          <cell r="K214">
            <v>45354.65</v>
          </cell>
        </row>
        <row r="215">
          <cell r="G215">
            <v>0</v>
          </cell>
          <cell r="H215">
            <v>0</v>
          </cell>
          <cell r="I215">
            <v>0</v>
          </cell>
          <cell r="J215">
            <v>0</v>
          </cell>
          <cell r="K215">
            <v>233622.62</v>
          </cell>
        </row>
        <row r="216">
          <cell r="G216">
            <v>0</v>
          </cell>
          <cell r="H216">
            <v>0</v>
          </cell>
          <cell r="I216">
            <v>0</v>
          </cell>
          <cell r="J216">
            <v>0</v>
          </cell>
          <cell r="K216">
            <v>2212</v>
          </cell>
        </row>
        <row r="217">
          <cell r="G217">
            <v>0</v>
          </cell>
          <cell r="H217">
            <v>0</v>
          </cell>
          <cell r="I217">
            <v>0</v>
          </cell>
          <cell r="J217">
            <v>0</v>
          </cell>
          <cell r="K217">
            <v>68862.23</v>
          </cell>
        </row>
        <row r="218">
          <cell r="G218">
            <v>0</v>
          </cell>
          <cell r="H218">
            <v>0</v>
          </cell>
          <cell r="I218">
            <v>0</v>
          </cell>
          <cell r="J218">
            <v>0</v>
          </cell>
          <cell r="K218">
            <v>21031.38</v>
          </cell>
        </row>
        <row r="219">
          <cell r="G219">
            <v>0</v>
          </cell>
          <cell r="H219">
            <v>0</v>
          </cell>
          <cell r="I219">
            <v>0</v>
          </cell>
          <cell r="J219">
            <v>0</v>
          </cell>
          <cell r="K219">
            <v>27404.45</v>
          </cell>
        </row>
        <row r="220">
          <cell r="G220">
            <v>0</v>
          </cell>
          <cell r="H220">
            <v>0</v>
          </cell>
          <cell r="I220">
            <v>0</v>
          </cell>
          <cell r="J220">
            <v>0</v>
          </cell>
          <cell r="K220">
            <v>146627.51</v>
          </cell>
        </row>
        <row r="221">
          <cell r="G221">
            <v>0</v>
          </cell>
          <cell r="H221">
            <v>0</v>
          </cell>
          <cell r="I221">
            <v>0</v>
          </cell>
          <cell r="J221">
            <v>0</v>
          </cell>
          <cell r="K221">
            <v>11855.86</v>
          </cell>
        </row>
        <row r="222">
          <cell r="G222">
            <v>0</v>
          </cell>
          <cell r="H222">
            <v>0</v>
          </cell>
          <cell r="I222">
            <v>0</v>
          </cell>
          <cell r="J222">
            <v>0</v>
          </cell>
          <cell r="K222">
            <v>22030.17</v>
          </cell>
        </row>
        <row r="223">
          <cell r="G223">
            <v>0</v>
          </cell>
          <cell r="H223">
            <v>0</v>
          </cell>
          <cell r="I223">
            <v>0</v>
          </cell>
          <cell r="J223">
            <v>0</v>
          </cell>
          <cell r="K223">
            <v>146166.65</v>
          </cell>
        </row>
        <row r="224">
          <cell r="G224">
            <v>0</v>
          </cell>
          <cell r="H224">
            <v>0</v>
          </cell>
          <cell r="I224">
            <v>0</v>
          </cell>
          <cell r="J224">
            <v>0</v>
          </cell>
          <cell r="K224">
            <v>35225.919999999998</v>
          </cell>
        </row>
        <row r="225">
          <cell r="G225">
            <v>0</v>
          </cell>
          <cell r="H225">
            <v>0</v>
          </cell>
          <cell r="I225">
            <v>0</v>
          </cell>
          <cell r="J225">
            <v>0</v>
          </cell>
          <cell r="K225">
            <v>180848.27</v>
          </cell>
        </row>
        <row r="226">
          <cell r="G226">
            <v>0</v>
          </cell>
          <cell r="H226">
            <v>0</v>
          </cell>
          <cell r="I226">
            <v>0</v>
          </cell>
          <cell r="J226">
            <v>0</v>
          </cell>
          <cell r="K226">
            <v>168665</v>
          </cell>
        </row>
        <row r="227">
          <cell r="G227">
            <v>0</v>
          </cell>
          <cell r="H227">
            <v>0</v>
          </cell>
          <cell r="I227">
            <v>0</v>
          </cell>
          <cell r="J227">
            <v>0</v>
          </cell>
          <cell r="K227">
            <v>147038.71</v>
          </cell>
        </row>
        <row r="228">
          <cell r="G228">
            <v>0</v>
          </cell>
          <cell r="H228">
            <v>0</v>
          </cell>
          <cell r="I228">
            <v>0</v>
          </cell>
          <cell r="J228">
            <v>0</v>
          </cell>
          <cell r="K228">
            <v>55765.34</v>
          </cell>
        </row>
        <row r="229">
          <cell r="G229">
            <v>0</v>
          </cell>
          <cell r="H229">
            <v>0</v>
          </cell>
          <cell r="I229">
            <v>0</v>
          </cell>
          <cell r="J229">
            <v>0</v>
          </cell>
          <cell r="K229">
            <v>432345.65</v>
          </cell>
        </row>
        <row r="230">
          <cell r="G230">
            <v>0</v>
          </cell>
          <cell r="H230">
            <v>0</v>
          </cell>
          <cell r="I230">
            <v>0</v>
          </cell>
          <cell r="J230">
            <v>0</v>
          </cell>
          <cell r="K230">
            <v>226266.63</v>
          </cell>
        </row>
        <row r="231">
          <cell r="G231">
            <v>0</v>
          </cell>
          <cell r="H231">
            <v>0</v>
          </cell>
          <cell r="I231">
            <v>0</v>
          </cell>
          <cell r="J231">
            <v>0</v>
          </cell>
          <cell r="K231">
            <v>142099.26</v>
          </cell>
        </row>
        <row r="232">
          <cell r="G232">
            <v>0</v>
          </cell>
          <cell r="H232">
            <v>0</v>
          </cell>
          <cell r="I232">
            <v>0</v>
          </cell>
          <cell r="J232">
            <v>0</v>
          </cell>
          <cell r="K232">
            <v>79079.44</v>
          </cell>
        </row>
        <row r="233">
          <cell r="G233">
            <v>0</v>
          </cell>
          <cell r="H233">
            <v>0</v>
          </cell>
          <cell r="I233">
            <v>0</v>
          </cell>
          <cell r="J233">
            <v>0</v>
          </cell>
          <cell r="K233">
            <v>246825.66</v>
          </cell>
        </row>
        <row r="234">
          <cell r="G234">
            <v>0</v>
          </cell>
          <cell r="H234">
            <v>0</v>
          </cell>
          <cell r="I234">
            <v>0</v>
          </cell>
          <cell r="J234">
            <v>0</v>
          </cell>
          <cell r="K234">
            <v>51936.52</v>
          </cell>
        </row>
        <row r="235">
          <cell r="G235">
            <v>0</v>
          </cell>
          <cell r="H235">
            <v>0</v>
          </cell>
          <cell r="I235">
            <v>0</v>
          </cell>
          <cell r="J235">
            <v>0</v>
          </cell>
          <cell r="K235">
            <v>37110.36</v>
          </cell>
        </row>
        <row r="236">
          <cell r="G236">
            <v>0</v>
          </cell>
          <cell r="H236">
            <v>0</v>
          </cell>
          <cell r="I236">
            <v>0</v>
          </cell>
          <cell r="J236">
            <v>0</v>
          </cell>
          <cell r="K236">
            <v>4813.51</v>
          </cell>
        </row>
        <row r="237">
          <cell r="G237">
            <v>0</v>
          </cell>
          <cell r="H237">
            <v>0</v>
          </cell>
          <cell r="I237">
            <v>0</v>
          </cell>
          <cell r="J237">
            <v>0</v>
          </cell>
          <cell r="K237">
            <v>72902.399999999994</v>
          </cell>
        </row>
        <row r="238">
          <cell r="G238">
            <v>0</v>
          </cell>
          <cell r="H238">
            <v>0</v>
          </cell>
          <cell r="I238">
            <v>0</v>
          </cell>
          <cell r="J238">
            <v>0</v>
          </cell>
          <cell r="K238">
            <v>10879.14</v>
          </cell>
        </row>
        <row r="239">
          <cell r="G239">
            <v>0</v>
          </cell>
          <cell r="H239">
            <v>0</v>
          </cell>
          <cell r="I239">
            <v>0</v>
          </cell>
          <cell r="J239">
            <v>0</v>
          </cell>
          <cell r="K239">
            <v>19390.5</v>
          </cell>
        </row>
        <row r="240">
          <cell r="G240">
            <v>0</v>
          </cell>
          <cell r="H240">
            <v>5660765.3700000001</v>
          </cell>
          <cell r="I240">
            <v>0</v>
          </cell>
          <cell r="J240">
            <v>5660765.3700000001</v>
          </cell>
          <cell r="K240">
            <v>2728286.13</v>
          </cell>
        </row>
        <row r="242">
          <cell r="G242">
            <v>0</v>
          </cell>
          <cell r="H242">
            <v>57899.71</v>
          </cell>
          <cell r="I242">
            <v>0</v>
          </cell>
          <cell r="J242">
            <v>57899.71</v>
          </cell>
          <cell r="K242">
            <v>0</v>
          </cell>
        </row>
        <row r="243">
          <cell r="G243">
            <v>0</v>
          </cell>
          <cell r="H243">
            <v>65867.72</v>
          </cell>
          <cell r="I243">
            <v>0</v>
          </cell>
          <cell r="J243">
            <v>65867.72</v>
          </cell>
          <cell r="K243">
            <v>0</v>
          </cell>
        </row>
        <row r="244">
          <cell r="G244">
            <v>0</v>
          </cell>
          <cell r="H244">
            <v>172767.72</v>
          </cell>
          <cell r="I244">
            <v>0</v>
          </cell>
          <cell r="J244">
            <v>172767.72</v>
          </cell>
          <cell r="K244">
            <v>0</v>
          </cell>
        </row>
        <row r="245">
          <cell r="G245">
            <v>0</v>
          </cell>
          <cell r="H245">
            <v>16405.189999999999</v>
          </cell>
          <cell r="I245">
            <v>0</v>
          </cell>
          <cell r="J245">
            <v>16405.189999999999</v>
          </cell>
          <cell r="K245">
            <v>0</v>
          </cell>
        </row>
        <row r="246">
          <cell r="G246">
            <v>0</v>
          </cell>
          <cell r="H246">
            <v>0</v>
          </cell>
          <cell r="I246">
            <v>0</v>
          </cell>
          <cell r="J246">
            <v>0</v>
          </cell>
          <cell r="K246">
            <v>18951.8</v>
          </cell>
        </row>
        <row r="247">
          <cell r="G247">
            <v>0</v>
          </cell>
          <cell r="H247">
            <v>0</v>
          </cell>
          <cell r="I247">
            <v>0</v>
          </cell>
          <cell r="J247">
            <v>0</v>
          </cell>
          <cell r="K247">
            <v>35815</v>
          </cell>
        </row>
        <row r="248">
          <cell r="G248">
            <v>0</v>
          </cell>
          <cell r="H248">
            <v>0</v>
          </cell>
          <cell r="I248">
            <v>0</v>
          </cell>
          <cell r="J248">
            <v>0</v>
          </cell>
          <cell r="K248">
            <v>79177.97</v>
          </cell>
        </row>
        <row r="249">
          <cell r="G249">
            <v>0</v>
          </cell>
          <cell r="H249">
            <v>0</v>
          </cell>
          <cell r="I249">
            <v>0</v>
          </cell>
          <cell r="J249">
            <v>0</v>
          </cell>
          <cell r="K249">
            <v>1131.48</v>
          </cell>
        </row>
        <row r="250">
          <cell r="G250">
            <v>0</v>
          </cell>
          <cell r="H250">
            <v>312940.34000000003</v>
          </cell>
          <cell r="I250">
            <v>0</v>
          </cell>
          <cell r="J250">
            <v>312940.34000000003</v>
          </cell>
          <cell r="K250">
            <v>135076.25</v>
          </cell>
        </row>
        <row r="252">
          <cell r="G252">
            <v>0</v>
          </cell>
          <cell r="H252">
            <v>-4299182.16</v>
          </cell>
          <cell r="I252">
            <v>0</v>
          </cell>
          <cell r="J252">
            <v>-4299182.16</v>
          </cell>
          <cell r="K252">
            <v>0</v>
          </cell>
        </row>
        <row r="253">
          <cell r="G253">
            <v>0</v>
          </cell>
          <cell r="H253">
            <v>-16199.08</v>
          </cell>
          <cell r="I253">
            <v>0</v>
          </cell>
          <cell r="J253">
            <v>-16199.08</v>
          </cell>
          <cell r="K253">
            <v>0</v>
          </cell>
        </row>
        <row r="254">
          <cell r="G254">
            <v>0</v>
          </cell>
          <cell r="H254">
            <v>-131412.70000000001</v>
          </cell>
          <cell r="I254">
            <v>0</v>
          </cell>
          <cell r="J254">
            <v>-131412.70000000001</v>
          </cell>
          <cell r="K254">
            <v>0</v>
          </cell>
        </row>
        <row r="255">
          <cell r="G255">
            <v>0</v>
          </cell>
          <cell r="H255">
            <v>0</v>
          </cell>
          <cell r="I255">
            <v>0</v>
          </cell>
          <cell r="J255">
            <v>0</v>
          </cell>
          <cell r="K255">
            <v>-3315.7</v>
          </cell>
        </row>
        <row r="256">
          <cell r="G256">
            <v>0</v>
          </cell>
          <cell r="H256">
            <v>0</v>
          </cell>
          <cell r="I256">
            <v>0</v>
          </cell>
          <cell r="J256">
            <v>0</v>
          </cell>
          <cell r="K256">
            <v>-26847.89</v>
          </cell>
        </row>
        <row r="257">
          <cell r="G257">
            <v>0</v>
          </cell>
          <cell r="H257">
            <v>0</v>
          </cell>
          <cell r="I257">
            <v>0</v>
          </cell>
          <cell r="J257">
            <v>0</v>
          </cell>
          <cell r="K257">
            <v>-1742179.1</v>
          </cell>
        </row>
        <row r="258">
          <cell r="G258">
            <v>0</v>
          </cell>
          <cell r="H258">
            <v>-4446793.9400000004</v>
          </cell>
          <cell r="I258">
            <v>0</v>
          </cell>
          <cell r="J258">
            <v>-4446793.9400000004</v>
          </cell>
          <cell r="K258">
            <v>-1772342.69</v>
          </cell>
        </row>
        <row r="260">
          <cell r="G260">
            <v>0</v>
          </cell>
          <cell r="H260">
            <v>0</v>
          </cell>
          <cell r="I260">
            <v>0</v>
          </cell>
          <cell r="J260">
            <v>0</v>
          </cell>
          <cell r="K260">
            <v>-72476.88</v>
          </cell>
        </row>
        <row r="261">
          <cell r="G261">
            <v>0</v>
          </cell>
          <cell r="H261">
            <v>0</v>
          </cell>
          <cell r="I261">
            <v>0</v>
          </cell>
          <cell r="J261">
            <v>0</v>
          </cell>
          <cell r="K261">
            <v>-26055.29</v>
          </cell>
        </row>
        <row r="262">
          <cell r="G262">
            <v>0</v>
          </cell>
          <cell r="H262">
            <v>0</v>
          </cell>
          <cell r="I262">
            <v>0</v>
          </cell>
          <cell r="J262">
            <v>0</v>
          </cell>
          <cell r="K262">
            <v>-148868.32999999999</v>
          </cell>
        </row>
        <row r="263">
          <cell r="G263">
            <v>0</v>
          </cell>
          <cell r="H263">
            <v>0</v>
          </cell>
          <cell r="I263">
            <v>0</v>
          </cell>
          <cell r="J263">
            <v>0</v>
          </cell>
          <cell r="K263">
            <v>-20715.68</v>
          </cell>
        </row>
        <row r="264">
          <cell r="G264">
            <v>0</v>
          </cell>
          <cell r="H264">
            <v>0</v>
          </cell>
          <cell r="I264">
            <v>0</v>
          </cell>
          <cell r="J264">
            <v>0</v>
          </cell>
          <cell r="K264">
            <v>-48406.31</v>
          </cell>
        </row>
        <row r="265">
          <cell r="G265">
            <v>0</v>
          </cell>
          <cell r="H265">
            <v>0</v>
          </cell>
          <cell r="I265">
            <v>0</v>
          </cell>
          <cell r="J265">
            <v>0</v>
          </cell>
          <cell r="K265">
            <v>-344</v>
          </cell>
        </row>
        <row r="266">
          <cell r="G266">
            <v>0</v>
          </cell>
          <cell r="H266">
            <v>0</v>
          </cell>
          <cell r="I266">
            <v>0</v>
          </cell>
          <cell r="J266">
            <v>0</v>
          </cell>
          <cell r="K266">
            <v>-19730.43</v>
          </cell>
        </row>
        <row r="267">
          <cell r="G267">
            <v>0</v>
          </cell>
          <cell r="H267">
            <v>0</v>
          </cell>
          <cell r="I267">
            <v>0</v>
          </cell>
          <cell r="J267">
            <v>0</v>
          </cell>
          <cell r="K267">
            <v>-22285.01</v>
          </cell>
        </row>
        <row r="268">
          <cell r="G268">
            <v>0</v>
          </cell>
          <cell r="H268">
            <v>0</v>
          </cell>
          <cell r="I268">
            <v>0</v>
          </cell>
          <cell r="J268">
            <v>0</v>
          </cell>
          <cell r="K268">
            <v>-78914.240000000005</v>
          </cell>
        </row>
        <row r="269">
          <cell r="G269">
            <v>0</v>
          </cell>
          <cell r="H269">
            <v>0</v>
          </cell>
          <cell r="I269">
            <v>0</v>
          </cell>
          <cell r="J269">
            <v>0</v>
          </cell>
          <cell r="K269">
            <v>-5000.76</v>
          </cell>
        </row>
        <row r="270">
          <cell r="G270">
            <v>0</v>
          </cell>
          <cell r="H270">
            <v>0</v>
          </cell>
          <cell r="I270">
            <v>0</v>
          </cell>
          <cell r="J270">
            <v>0</v>
          </cell>
          <cell r="K270">
            <v>-2487.27</v>
          </cell>
        </row>
        <row r="271">
          <cell r="G271">
            <v>0</v>
          </cell>
          <cell r="H271">
            <v>0</v>
          </cell>
          <cell r="I271">
            <v>0</v>
          </cell>
          <cell r="J271">
            <v>0</v>
          </cell>
          <cell r="K271">
            <v>-64250.37</v>
          </cell>
        </row>
        <row r="272">
          <cell r="G272">
            <v>0</v>
          </cell>
          <cell r="H272">
            <v>0</v>
          </cell>
          <cell r="I272">
            <v>0</v>
          </cell>
          <cell r="J272">
            <v>0</v>
          </cell>
          <cell r="K272">
            <v>-1073.54</v>
          </cell>
        </row>
        <row r="273">
          <cell r="G273">
            <v>0</v>
          </cell>
          <cell r="H273">
            <v>0</v>
          </cell>
          <cell r="I273">
            <v>0</v>
          </cell>
          <cell r="J273">
            <v>0</v>
          </cell>
          <cell r="K273">
            <v>-5906.89</v>
          </cell>
        </row>
        <row r="274">
          <cell r="G274">
            <v>0</v>
          </cell>
          <cell r="H274">
            <v>0</v>
          </cell>
          <cell r="I274">
            <v>0</v>
          </cell>
          <cell r="J274">
            <v>0</v>
          </cell>
          <cell r="K274">
            <v>-10687.1</v>
          </cell>
        </row>
        <row r="275">
          <cell r="G275">
            <v>0</v>
          </cell>
          <cell r="H275">
            <v>0</v>
          </cell>
          <cell r="I275">
            <v>0</v>
          </cell>
          <cell r="J275">
            <v>0</v>
          </cell>
          <cell r="K275">
            <v>-74299.039999999994</v>
          </cell>
        </row>
        <row r="276">
          <cell r="G276">
            <v>0</v>
          </cell>
          <cell r="H276">
            <v>0</v>
          </cell>
          <cell r="I276">
            <v>0</v>
          </cell>
          <cell r="J276">
            <v>0</v>
          </cell>
          <cell r="K276">
            <v>-1227.29</v>
          </cell>
        </row>
        <row r="277">
          <cell r="G277">
            <v>0</v>
          </cell>
          <cell r="H277">
            <v>0</v>
          </cell>
          <cell r="I277">
            <v>0</v>
          </cell>
          <cell r="J277">
            <v>0</v>
          </cell>
          <cell r="K277">
            <v>-21858.55</v>
          </cell>
        </row>
        <row r="278">
          <cell r="G278">
            <v>0</v>
          </cell>
          <cell r="H278">
            <v>0</v>
          </cell>
          <cell r="I278">
            <v>0</v>
          </cell>
          <cell r="J278">
            <v>0</v>
          </cell>
          <cell r="K278">
            <v>-35514.120000000003</v>
          </cell>
        </row>
        <row r="279">
          <cell r="G279">
            <v>0</v>
          </cell>
          <cell r="H279">
            <v>0</v>
          </cell>
          <cell r="I279">
            <v>0</v>
          </cell>
          <cell r="J279">
            <v>0</v>
          </cell>
          <cell r="K279">
            <v>-6497.2</v>
          </cell>
        </row>
        <row r="280">
          <cell r="G280">
            <v>0</v>
          </cell>
          <cell r="H280">
            <v>0</v>
          </cell>
          <cell r="I280">
            <v>0</v>
          </cell>
          <cell r="J280">
            <v>0</v>
          </cell>
          <cell r="K280">
            <v>-1165.08</v>
          </cell>
        </row>
        <row r="281">
          <cell r="G281">
            <v>0</v>
          </cell>
          <cell r="H281">
            <v>0</v>
          </cell>
          <cell r="I281">
            <v>0</v>
          </cell>
          <cell r="J281">
            <v>0</v>
          </cell>
          <cell r="K281">
            <v>-7732.36</v>
          </cell>
        </row>
        <row r="282">
          <cell r="G282">
            <v>0</v>
          </cell>
          <cell r="H282">
            <v>0</v>
          </cell>
          <cell r="I282">
            <v>0</v>
          </cell>
          <cell r="J282">
            <v>0</v>
          </cell>
          <cell r="K282">
            <v>-3979.76</v>
          </cell>
        </row>
        <row r="283">
          <cell r="G283">
            <v>0</v>
          </cell>
          <cell r="H283">
            <v>-354307.37</v>
          </cell>
          <cell r="I283">
            <v>0</v>
          </cell>
          <cell r="J283">
            <v>-354307.37</v>
          </cell>
          <cell r="K283">
            <v>0</v>
          </cell>
        </row>
        <row r="284">
          <cell r="G284">
            <v>0</v>
          </cell>
          <cell r="H284">
            <v>-127250.33</v>
          </cell>
          <cell r="I284">
            <v>0</v>
          </cell>
          <cell r="J284">
            <v>-127250.33</v>
          </cell>
          <cell r="K284">
            <v>0</v>
          </cell>
        </row>
        <row r="285">
          <cell r="G285">
            <v>0</v>
          </cell>
          <cell r="H285">
            <v>-727905.6</v>
          </cell>
          <cell r="I285">
            <v>0</v>
          </cell>
          <cell r="J285">
            <v>-727905.6</v>
          </cell>
          <cell r="K285">
            <v>0</v>
          </cell>
        </row>
        <row r="286">
          <cell r="G286">
            <v>0</v>
          </cell>
          <cell r="H286">
            <v>-103359.36</v>
          </cell>
          <cell r="I286">
            <v>0</v>
          </cell>
          <cell r="J286">
            <v>-103359.36</v>
          </cell>
          <cell r="K286">
            <v>0</v>
          </cell>
        </row>
        <row r="287">
          <cell r="G287">
            <v>0</v>
          </cell>
          <cell r="H287">
            <v>-236346.13</v>
          </cell>
          <cell r="I287">
            <v>0</v>
          </cell>
          <cell r="J287">
            <v>-236346.13</v>
          </cell>
          <cell r="K287">
            <v>0</v>
          </cell>
        </row>
        <row r="288">
          <cell r="G288">
            <v>0</v>
          </cell>
          <cell r="H288">
            <v>-1608.78</v>
          </cell>
          <cell r="I288">
            <v>0</v>
          </cell>
          <cell r="J288">
            <v>-1608.78</v>
          </cell>
          <cell r="K288">
            <v>0</v>
          </cell>
        </row>
        <row r="289">
          <cell r="G289">
            <v>0</v>
          </cell>
          <cell r="H289">
            <v>-96319.75</v>
          </cell>
          <cell r="I289">
            <v>0</v>
          </cell>
          <cell r="J289">
            <v>-96319.75</v>
          </cell>
          <cell r="K289">
            <v>0</v>
          </cell>
        </row>
        <row r="290">
          <cell r="G290">
            <v>0</v>
          </cell>
          <cell r="H290">
            <v>-108781.92</v>
          </cell>
          <cell r="I290">
            <v>0</v>
          </cell>
          <cell r="J290">
            <v>-108781.92</v>
          </cell>
          <cell r="K290">
            <v>0</v>
          </cell>
        </row>
        <row r="291">
          <cell r="G291">
            <v>0</v>
          </cell>
          <cell r="H291">
            <v>-384858.5</v>
          </cell>
          <cell r="I291">
            <v>0</v>
          </cell>
          <cell r="J291">
            <v>-384858.5</v>
          </cell>
          <cell r="K291">
            <v>0</v>
          </cell>
        </row>
        <row r="292">
          <cell r="G292">
            <v>0</v>
          </cell>
          <cell r="H292">
            <v>-24334.34</v>
          </cell>
          <cell r="I292">
            <v>0</v>
          </cell>
          <cell r="J292">
            <v>-24334.34</v>
          </cell>
          <cell r="K292">
            <v>0</v>
          </cell>
        </row>
        <row r="293">
          <cell r="G293">
            <v>0</v>
          </cell>
          <cell r="H293">
            <v>-12273.74</v>
          </cell>
          <cell r="I293">
            <v>0</v>
          </cell>
          <cell r="J293">
            <v>-12273.74</v>
          </cell>
          <cell r="K293">
            <v>0</v>
          </cell>
        </row>
        <row r="294">
          <cell r="G294">
            <v>0</v>
          </cell>
          <cell r="H294">
            <v>-313419.37</v>
          </cell>
          <cell r="I294">
            <v>0</v>
          </cell>
          <cell r="J294">
            <v>-313419.37</v>
          </cell>
          <cell r="K294">
            <v>0</v>
          </cell>
        </row>
        <row r="295">
          <cell r="G295">
            <v>0</v>
          </cell>
          <cell r="H295">
            <v>-5340.61</v>
          </cell>
          <cell r="I295">
            <v>0</v>
          </cell>
          <cell r="J295">
            <v>-5340.61</v>
          </cell>
          <cell r="K295">
            <v>0</v>
          </cell>
        </row>
        <row r="296">
          <cell r="G296">
            <v>0</v>
          </cell>
          <cell r="H296">
            <v>-29126.880000000001</v>
          </cell>
          <cell r="I296">
            <v>0</v>
          </cell>
          <cell r="J296">
            <v>-29126.880000000001</v>
          </cell>
          <cell r="K296">
            <v>0</v>
          </cell>
        </row>
        <row r="297">
          <cell r="G297">
            <v>0</v>
          </cell>
          <cell r="H297">
            <v>-52071.68</v>
          </cell>
          <cell r="I297">
            <v>0</v>
          </cell>
          <cell r="J297">
            <v>-52071.68</v>
          </cell>
          <cell r="K297">
            <v>0</v>
          </cell>
        </row>
        <row r="298">
          <cell r="G298">
            <v>0</v>
          </cell>
          <cell r="H298">
            <v>-362760.03</v>
          </cell>
          <cell r="I298">
            <v>0</v>
          </cell>
          <cell r="J298">
            <v>-362760.03</v>
          </cell>
          <cell r="K298">
            <v>0</v>
          </cell>
        </row>
        <row r="299">
          <cell r="G299">
            <v>0</v>
          </cell>
          <cell r="H299">
            <v>-6077.74</v>
          </cell>
          <cell r="I299">
            <v>0</v>
          </cell>
          <cell r="J299">
            <v>-6077.74</v>
          </cell>
          <cell r="K299">
            <v>0</v>
          </cell>
        </row>
        <row r="300">
          <cell r="G300">
            <v>0</v>
          </cell>
          <cell r="H300">
            <v>-107660.91</v>
          </cell>
          <cell r="I300">
            <v>0</v>
          </cell>
          <cell r="J300">
            <v>-107660.91</v>
          </cell>
          <cell r="K300">
            <v>0</v>
          </cell>
        </row>
        <row r="301">
          <cell r="G301">
            <v>0</v>
          </cell>
          <cell r="H301">
            <v>-156258.85</v>
          </cell>
          <cell r="I301">
            <v>0</v>
          </cell>
          <cell r="J301">
            <v>-156258.85</v>
          </cell>
          <cell r="K301">
            <v>0</v>
          </cell>
        </row>
        <row r="302">
          <cell r="G302">
            <v>0</v>
          </cell>
          <cell r="H302">
            <v>-31720.37</v>
          </cell>
          <cell r="I302">
            <v>0</v>
          </cell>
          <cell r="J302">
            <v>-31720.37</v>
          </cell>
          <cell r="K302">
            <v>0</v>
          </cell>
        </row>
        <row r="303">
          <cell r="G303">
            <v>0</v>
          </cell>
          <cell r="H303">
            <v>-5759.66</v>
          </cell>
          <cell r="I303">
            <v>0</v>
          </cell>
          <cell r="J303">
            <v>-5759.66</v>
          </cell>
          <cell r="K303">
            <v>0</v>
          </cell>
        </row>
        <row r="304">
          <cell r="G304">
            <v>0</v>
          </cell>
          <cell r="H304">
            <v>-19537.71</v>
          </cell>
          <cell r="I304">
            <v>0</v>
          </cell>
          <cell r="J304">
            <v>-19537.71</v>
          </cell>
          <cell r="K304">
            <v>0</v>
          </cell>
        </row>
        <row r="305">
          <cell r="G305">
            <v>0</v>
          </cell>
          <cell r="H305">
            <v>-39230.660000000003</v>
          </cell>
          <cell r="I305">
            <v>0</v>
          </cell>
          <cell r="J305">
            <v>-39230.660000000003</v>
          </cell>
          <cell r="K305">
            <v>0</v>
          </cell>
        </row>
        <row r="306">
          <cell r="G306">
            <v>0</v>
          </cell>
          <cell r="H306">
            <v>-3306310.29</v>
          </cell>
          <cell r="I306">
            <v>0</v>
          </cell>
          <cell r="J306">
            <v>-3306310.29</v>
          </cell>
          <cell r="K306">
            <v>-679475.5</v>
          </cell>
        </row>
        <row r="308">
          <cell r="G308">
            <v>0</v>
          </cell>
          <cell r="H308">
            <v>0</v>
          </cell>
          <cell r="I308">
            <v>0</v>
          </cell>
          <cell r="J308">
            <v>0</v>
          </cell>
          <cell r="K308">
            <v>-6852.72</v>
          </cell>
        </row>
        <row r="309">
          <cell r="G309">
            <v>0</v>
          </cell>
          <cell r="H309">
            <v>0</v>
          </cell>
          <cell r="I309">
            <v>0</v>
          </cell>
          <cell r="J309">
            <v>0</v>
          </cell>
          <cell r="K309">
            <v>-35938.870000000003</v>
          </cell>
        </row>
        <row r="310">
          <cell r="G310">
            <v>0</v>
          </cell>
          <cell r="H310">
            <v>0</v>
          </cell>
          <cell r="I310">
            <v>0</v>
          </cell>
          <cell r="J310">
            <v>0</v>
          </cell>
          <cell r="K310">
            <v>-247.03</v>
          </cell>
        </row>
        <row r="311">
          <cell r="G311">
            <v>0</v>
          </cell>
          <cell r="H311">
            <v>0</v>
          </cell>
          <cell r="I311">
            <v>0</v>
          </cell>
          <cell r="J311">
            <v>0</v>
          </cell>
          <cell r="K311">
            <v>-10728.04</v>
          </cell>
        </row>
        <row r="312">
          <cell r="G312">
            <v>0</v>
          </cell>
          <cell r="H312">
            <v>0</v>
          </cell>
          <cell r="I312">
            <v>0</v>
          </cell>
          <cell r="J312">
            <v>0</v>
          </cell>
          <cell r="K312">
            <v>-3224.78</v>
          </cell>
        </row>
        <row r="313">
          <cell r="G313">
            <v>0</v>
          </cell>
          <cell r="H313">
            <v>0</v>
          </cell>
          <cell r="I313">
            <v>0</v>
          </cell>
          <cell r="J313">
            <v>0</v>
          </cell>
          <cell r="K313">
            <v>-4392.2700000000004</v>
          </cell>
        </row>
        <row r="314">
          <cell r="G314">
            <v>0</v>
          </cell>
          <cell r="H314">
            <v>0</v>
          </cell>
          <cell r="I314">
            <v>0</v>
          </cell>
          <cell r="J314">
            <v>0</v>
          </cell>
          <cell r="K314">
            <v>-22903.83</v>
          </cell>
        </row>
        <row r="315">
          <cell r="G315">
            <v>0</v>
          </cell>
          <cell r="H315">
            <v>0</v>
          </cell>
          <cell r="I315">
            <v>0</v>
          </cell>
          <cell r="J315">
            <v>0</v>
          </cell>
          <cell r="K315">
            <v>-1831.9</v>
          </cell>
        </row>
        <row r="316">
          <cell r="G316">
            <v>0</v>
          </cell>
          <cell r="H316">
            <v>0</v>
          </cell>
          <cell r="I316">
            <v>0</v>
          </cell>
          <cell r="J316">
            <v>0</v>
          </cell>
          <cell r="K316">
            <v>-3366.31</v>
          </cell>
        </row>
        <row r="317">
          <cell r="G317">
            <v>0</v>
          </cell>
          <cell r="H317">
            <v>0</v>
          </cell>
          <cell r="I317">
            <v>0</v>
          </cell>
          <cell r="J317">
            <v>0</v>
          </cell>
          <cell r="K317">
            <v>-22715.18</v>
          </cell>
        </row>
        <row r="318">
          <cell r="G318">
            <v>0</v>
          </cell>
          <cell r="H318">
            <v>0</v>
          </cell>
          <cell r="I318">
            <v>0</v>
          </cell>
          <cell r="J318">
            <v>0</v>
          </cell>
          <cell r="K318">
            <v>-5408.38</v>
          </cell>
        </row>
        <row r="319">
          <cell r="G319">
            <v>0</v>
          </cell>
          <cell r="H319">
            <v>0</v>
          </cell>
          <cell r="I319">
            <v>0</v>
          </cell>
          <cell r="J319">
            <v>0</v>
          </cell>
          <cell r="K319">
            <v>-13865.02</v>
          </cell>
        </row>
        <row r="320">
          <cell r="G320">
            <v>0</v>
          </cell>
          <cell r="H320">
            <v>0</v>
          </cell>
          <cell r="I320">
            <v>0</v>
          </cell>
          <cell r="J320">
            <v>0</v>
          </cell>
          <cell r="K320">
            <v>-11525.43</v>
          </cell>
        </row>
        <row r="321">
          <cell r="G321">
            <v>0</v>
          </cell>
          <cell r="H321">
            <v>0</v>
          </cell>
          <cell r="I321">
            <v>0</v>
          </cell>
          <cell r="J321">
            <v>0</v>
          </cell>
          <cell r="K321">
            <v>-10131.69</v>
          </cell>
        </row>
        <row r="322">
          <cell r="G322">
            <v>0</v>
          </cell>
          <cell r="H322">
            <v>0</v>
          </cell>
          <cell r="I322">
            <v>0</v>
          </cell>
          <cell r="J322">
            <v>0</v>
          </cell>
          <cell r="K322">
            <v>-4507.71</v>
          </cell>
        </row>
        <row r="323">
          <cell r="G323">
            <v>0</v>
          </cell>
          <cell r="H323">
            <v>0</v>
          </cell>
          <cell r="I323">
            <v>0</v>
          </cell>
          <cell r="J323">
            <v>0</v>
          </cell>
          <cell r="K323">
            <v>-30949.06</v>
          </cell>
        </row>
        <row r="324">
          <cell r="G324">
            <v>0</v>
          </cell>
          <cell r="H324">
            <v>0</v>
          </cell>
          <cell r="I324">
            <v>0</v>
          </cell>
          <cell r="J324">
            <v>0</v>
          </cell>
          <cell r="K324">
            <v>-16473.25</v>
          </cell>
        </row>
        <row r="325">
          <cell r="G325">
            <v>0</v>
          </cell>
          <cell r="H325">
            <v>0</v>
          </cell>
          <cell r="I325">
            <v>0</v>
          </cell>
          <cell r="J325">
            <v>0</v>
          </cell>
          <cell r="K325">
            <v>-10558.49</v>
          </cell>
        </row>
        <row r="326">
          <cell r="G326">
            <v>0</v>
          </cell>
          <cell r="H326">
            <v>0</v>
          </cell>
          <cell r="I326">
            <v>0</v>
          </cell>
          <cell r="J326">
            <v>0</v>
          </cell>
          <cell r="K326">
            <v>-6183.54</v>
          </cell>
        </row>
        <row r="327">
          <cell r="G327">
            <v>0</v>
          </cell>
          <cell r="H327">
            <v>0</v>
          </cell>
          <cell r="I327">
            <v>0</v>
          </cell>
          <cell r="J327">
            <v>0</v>
          </cell>
          <cell r="K327">
            <v>-19924.72</v>
          </cell>
        </row>
        <row r="328">
          <cell r="G328">
            <v>0</v>
          </cell>
          <cell r="H328">
            <v>0</v>
          </cell>
          <cell r="I328">
            <v>0</v>
          </cell>
          <cell r="J328">
            <v>0</v>
          </cell>
          <cell r="K328">
            <v>-4182.74</v>
          </cell>
        </row>
        <row r="329">
          <cell r="G329">
            <v>0</v>
          </cell>
          <cell r="H329">
            <v>0</v>
          </cell>
          <cell r="I329">
            <v>0</v>
          </cell>
          <cell r="J329">
            <v>0</v>
          </cell>
          <cell r="K329">
            <v>-2865.18</v>
          </cell>
        </row>
        <row r="330">
          <cell r="G330">
            <v>0</v>
          </cell>
          <cell r="H330">
            <v>0</v>
          </cell>
          <cell r="I330">
            <v>0</v>
          </cell>
          <cell r="J330">
            <v>0</v>
          </cell>
          <cell r="K330">
            <v>-388.04</v>
          </cell>
        </row>
        <row r="331">
          <cell r="G331">
            <v>0</v>
          </cell>
          <cell r="H331">
            <v>0</v>
          </cell>
          <cell r="I331">
            <v>0</v>
          </cell>
          <cell r="J331">
            <v>0</v>
          </cell>
          <cell r="K331">
            <v>-5862.67</v>
          </cell>
        </row>
        <row r="332">
          <cell r="G332">
            <v>0</v>
          </cell>
          <cell r="H332">
            <v>0</v>
          </cell>
          <cell r="I332">
            <v>0</v>
          </cell>
          <cell r="J332">
            <v>0</v>
          </cell>
          <cell r="K332">
            <v>-866.52</v>
          </cell>
        </row>
        <row r="333">
          <cell r="G333">
            <v>0</v>
          </cell>
          <cell r="H333">
            <v>0</v>
          </cell>
          <cell r="I333">
            <v>0</v>
          </cell>
          <cell r="J333">
            <v>0</v>
          </cell>
          <cell r="K333">
            <v>-1363.99</v>
          </cell>
        </row>
        <row r="334">
          <cell r="G334">
            <v>0</v>
          </cell>
          <cell r="H334">
            <v>0</v>
          </cell>
          <cell r="I334">
            <v>0</v>
          </cell>
          <cell r="J334">
            <v>0</v>
          </cell>
          <cell r="K334">
            <v>-16806.990000000002</v>
          </cell>
        </row>
        <row r="335">
          <cell r="G335">
            <v>0</v>
          </cell>
          <cell r="H335">
            <v>-82082.33</v>
          </cell>
          <cell r="I335">
            <v>0</v>
          </cell>
          <cell r="J335">
            <v>-82082.33</v>
          </cell>
          <cell r="K335">
            <v>0</v>
          </cell>
        </row>
        <row r="336">
          <cell r="G336">
            <v>0</v>
          </cell>
          <cell r="H336">
            <v>-33977.9</v>
          </cell>
          <cell r="I336">
            <v>0</v>
          </cell>
          <cell r="J336">
            <v>-33977.9</v>
          </cell>
          <cell r="K336">
            <v>0</v>
          </cell>
        </row>
        <row r="337">
          <cell r="G337">
            <v>0</v>
          </cell>
          <cell r="H337">
            <v>-176947.37</v>
          </cell>
          <cell r="I337">
            <v>0</v>
          </cell>
          <cell r="J337">
            <v>-176947.37</v>
          </cell>
          <cell r="K337">
            <v>0</v>
          </cell>
        </row>
        <row r="338">
          <cell r="G338">
            <v>0</v>
          </cell>
          <cell r="H338">
            <v>-831.86</v>
          </cell>
          <cell r="I338">
            <v>0</v>
          </cell>
          <cell r="J338">
            <v>-831.86</v>
          </cell>
          <cell r="K338">
            <v>0</v>
          </cell>
        </row>
        <row r="339">
          <cell r="G339">
            <v>0</v>
          </cell>
          <cell r="H339">
            <v>-54239.57</v>
          </cell>
          <cell r="I339">
            <v>0</v>
          </cell>
          <cell r="J339">
            <v>-54239.57</v>
          </cell>
          <cell r="K339">
            <v>0</v>
          </cell>
        </row>
        <row r="340">
          <cell r="G340">
            <v>0</v>
          </cell>
          <cell r="H340">
            <v>-16215.37</v>
          </cell>
          <cell r="I340">
            <v>0</v>
          </cell>
          <cell r="J340">
            <v>-16215.37</v>
          </cell>
          <cell r="K340">
            <v>0</v>
          </cell>
        </row>
        <row r="341">
          <cell r="G341">
            <v>0</v>
          </cell>
          <cell r="H341">
            <v>-21901.200000000001</v>
          </cell>
          <cell r="I341">
            <v>0</v>
          </cell>
          <cell r="J341">
            <v>-21901.200000000001</v>
          </cell>
          <cell r="K341">
            <v>0</v>
          </cell>
        </row>
        <row r="342">
          <cell r="G342">
            <v>0</v>
          </cell>
          <cell r="H342">
            <v>-112609.95</v>
          </cell>
          <cell r="I342">
            <v>0</v>
          </cell>
          <cell r="J342">
            <v>-112609.95</v>
          </cell>
          <cell r="K342">
            <v>0</v>
          </cell>
        </row>
        <row r="343">
          <cell r="G343">
            <v>0</v>
          </cell>
          <cell r="H343">
            <v>-8970.57</v>
          </cell>
          <cell r="I343">
            <v>0</v>
          </cell>
          <cell r="J343">
            <v>-8970.57</v>
          </cell>
          <cell r="K343">
            <v>0</v>
          </cell>
        </row>
        <row r="344">
          <cell r="G344">
            <v>0</v>
          </cell>
          <cell r="H344">
            <v>-16084.59</v>
          </cell>
          <cell r="I344">
            <v>0</v>
          </cell>
          <cell r="J344">
            <v>-16084.59</v>
          </cell>
          <cell r="K344">
            <v>0</v>
          </cell>
        </row>
        <row r="345">
          <cell r="G345">
            <v>0</v>
          </cell>
          <cell r="H345">
            <v>-108661.03</v>
          </cell>
          <cell r="I345">
            <v>0</v>
          </cell>
          <cell r="J345">
            <v>-108661.03</v>
          </cell>
          <cell r="K345">
            <v>0</v>
          </cell>
        </row>
        <row r="346">
          <cell r="G346">
            <v>0</v>
          </cell>
          <cell r="H346">
            <v>-26756.75</v>
          </cell>
          <cell r="I346">
            <v>0</v>
          </cell>
          <cell r="J346">
            <v>-26756.75</v>
          </cell>
          <cell r="K346">
            <v>0</v>
          </cell>
        </row>
        <row r="347">
          <cell r="G347">
            <v>0</v>
          </cell>
          <cell r="H347">
            <v>-69717.77</v>
          </cell>
          <cell r="I347">
            <v>0</v>
          </cell>
          <cell r="J347">
            <v>-69717.77</v>
          </cell>
          <cell r="K347">
            <v>0</v>
          </cell>
        </row>
        <row r="348">
          <cell r="G348">
            <v>0</v>
          </cell>
          <cell r="H348">
            <v>-52163.6</v>
          </cell>
          <cell r="I348">
            <v>0</v>
          </cell>
          <cell r="J348">
            <v>-52163.6</v>
          </cell>
          <cell r="K348">
            <v>0</v>
          </cell>
        </row>
        <row r="349">
          <cell r="G349">
            <v>0</v>
          </cell>
          <cell r="H349">
            <v>-45804.04</v>
          </cell>
          <cell r="I349">
            <v>0</v>
          </cell>
          <cell r="J349">
            <v>-45804.04</v>
          </cell>
          <cell r="K349">
            <v>0</v>
          </cell>
        </row>
        <row r="350">
          <cell r="G350">
            <v>0</v>
          </cell>
          <cell r="H350">
            <v>-22011.65</v>
          </cell>
          <cell r="I350">
            <v>0</v>
          </cell>
          <cell r="J350">
            <v>-22011.65</v>
          </cell>
          <cell r="K350">
            <v>0</v>
          </cell>
        </row>
        <row r="351">
          <cell r="G351">
            <v>0</v>
          </cell>
          <cell r="H351">
            <v>-144792.34</v>
          </cell>
          <cell r="I351">
            <v>0</v>
          </cell>
          <cell r="J351">
            <v>-144792.34</v>
          </cell>
          <cell r="K351">
            <v>0</v>
          </cell>
        </row>
        <row r="352">
          <cell r="G352">
            <v>0</v>
          </cell>
          <cell r="H352">
            <v>-6.27</v>
          </cell>
          <cell r="I352">
            <v>0</v>
          </cell>
          <cell r="J352">
            <v>-6.27</v>
          </cell>
          <cell r="K352">
            <v>0</v>
          </cell>
        </row>
        <row r="353">
          <cell r="G353">
            <v>0</v>
          </cell>
          <cell r="H353">
            <v>-78146.81</v>
          </cell>
          <cell r="I353">
            <v>0</v>
          </cell>
          <cell r="J353">
            <v>-78146.81</v>
          </cell>
          <cell r="K353">
            <v>0</v>
          </cell>
        </row>
        <row r="354">
          <cell r="G354">
            <v>0</v>
          </cell>
          <cell r="H354">
            <v>-50329.61</v>
          </cell>
          <cell r="I354">
            <v>0</v>
          </cell>
          <cell r="J354">
            <v>-50329.61</v>
          </cell>
          <cell r="K354">
            <v>0</v>
          </cell>
        </row>
        <row r="355">
          <cell r="G355">
            <v>0</v>
          </cell>
          <cell r="H355">
            <v>-32196.76</v>
          </cell>
          <cell r="I355">
            <v>0</v>
          </cell>
          <cell r="J355">
            <v>-32196.76</v>
          </cell>
          <cell r="K355">
            <v>0</v>
          </cell>
        </row>
        <row r="356">
          <cell r="G356">
            <v>0</v>
          </cell>
          <cell r="H356">
            <v>-97244.53</v>
          </cell>
          <cell r="I356">
            <v>0</v>
          </cell>
          <cell r="J356">
            <v>-97244.53</v>
          </cell>
          <cell r="K356">
            <v>0</v>
          </cell>
        </row>
        <row r="357">
          <cell r="G357">
            <v>0</v>
          </cell>
          <cell r="H357">
            <v>-20460.3</v>
          </cell>
          <cell r="I357">
            <v>0</v>
          </cell>
          <cell r="J357">
            <v>-20460.3</v>
          </cell>
          <cell r="K357">
            <v>0</v>
          </cell>
        </row>
        <row r="358">
          <cell r="G358">
            <v>0</v>
          </cell>
          <cell r="H358">
            <v>-14045.76</v>
          </cell>
          <cell r="I358">
            <v>0</v>
          </cell>
          <cell r="J358">
            <v>-14045.76</v>
          </cell>
          <cell r="K358">
            <v>0</v>
          </cell>
        </row>
        <row r="359">
          <cell r="G359">
            <v>0</v>
          </cell>
          <cell r="H359">
            <v>-1897.06</v>
          </cell>
          <cell r="I359">
            <v>0</v>
          </cell>
          <cell r="J359">
            <v>-1897.06</v>
          </cell>
          <cell r="K359">
            <v>0</v>
          </cell>
        </row>
        <row r="360">
          <cell r="G360">
            <v>0</v>
          </cell>
          <cell r="H360">
            <v>-28638.41</v>
          </cell>
          <cell r="I360">
            <v>0</v>
          </cell>
          <cell r="J360">
            <v>-28638.41</v>
          </cell>
          <cell r="K360">
            <v>0</v>
          </cell>
        </row>
        <row r="361">
          <cell r="G361">
            <v>0</v>
          </cell>
          <cell r="H361">
            <v>-4271.68</v>
          </cell>
          <cell r="I361">
            <v>0</v>
          </cell>
          <cell r="J361">
            <v>-4271.68</v>
          </cell>
          <cell r="K361">
            <v>0</v>
          </cell>
        </row>
        <row r="362">
          <cell r="G362">
            <v>0</v>
          </cell>
          <cell r="H362">
            <v>-6508.04</v>
          </cell>
          <cell r="I362">
            <v>0</v>
          </cell>
          <cell r="J362">
            <v>-6508.04</v>
          </cell>
          <cell r="K362">
            <v>0</v>
          </cell>
        </row>
        <row r="363">
          <cell r="G363">
            <v>0</v>
          </cell>
          <cell r="H363">
            <v>-22018.560000000001</v>
          </cell>
          <cell r="I363">
            <v>0</v>
          </cell>
          <cell r="J363">
            <v>-22018.560000000001</v>
          </cell>
          <cell r="K363">
            <v>0</v>
          </cell>
        </row>
        <row r="364">
          <cell r="G364">
            <v>0</v>
          </cell>
          <cell r="H364">
            <v>-1349531.68</v>
          </cell>
          <cell r="I364">
            <v>0</v>
          </cell>
          <cell r="J364">
            <v>-1349531.68</v>
          </cell>
          <cell r="K364">
            <v>-274064.34999999998</v>
          </cell>
        </row>
        <row r="366">
          <cell r="G366">
            <v>0</v>
          </cell>
          <cell r="H366">
            <v>0</v>
          </cell>
          <cell r="I366">
            <v>0</v>
          </cell>
          <cell r="J366">
            <v>0</v>
          </cell>
          <cell r="K366">
            <v>-3829.81</v>
          </cell>
        </row>
        <row r="367">
          <cell r="G367">
            <v>0</v>
          </cell>
          <cell r="H367">
            <v>0</v>
          </cell>
          <cell r="I367">
            <v>0</v>
          </cell>
          <cell r="J367">
            <v>0</v>
          </cell>
          <cell r="K367">
            <v>-6269.43</v>
          </cell>
        </row>
        <row r="368">
          <cell r="G368">
            <v>0</v>
          </cell>
          <cell r="H368">
            <v>0</v>
          </cell>
          <cell r="I368">
            <v>0</v>
          </cell>
          <cell r="J368">
            <v>0</v>
          </cell>
          <cell r="K368">
            <v>-15996.42</v>
          </cell>
        </row>
        <row r="369">
          <cell r="G369">
            <v>0</v>
          </cell>
          <cell r="H369">
            <v>0</v>
          </cell>
          <cell r="I369">
            <v>0</v>
          </cell>
          <cell r="J369">
            <v>0</v>
          </cell>
          <cell r="K369">
            <v>-221.23</v>
          </cell>
        </row>
        <row r="370">
          <cell r="G370">
            <v>0</v>
          </cell>
          <cell r="H370">
            <v>-28552.16</v>
          </cell>
          <cell r="I370">
            <v>0</v>
          </cell>
          <cell r="J370">
            <v>-28552.16</v>
          </cell>
          <cell r="K370">
            <v>0</v>
          </cell>
        </row>
        <row r="371">
          <cell r="G371">
            <v>0</v>
          </cell>
          <cell r="H371">
            <v>-78096.539999999994</v>
          </cell>
          <cell r="I371">
            <v>0</v>
          </cell>
          <cell r="J371">
            <v>-78096.539999999994</v>
          </cell>
          <cell r="K371">
            <v>0</v>
          </cell>
        </row>
        <row r="372">
          <cell r="G372">
            <v>0</v>
          </cell>
          <cell r="H372">
            <v>-3162.79</v>
          </cell>
          <cell r="I372">
            <v>0</v>
          </cell>
          <cell r="J372">
            <v>-3162.79</v>
          </cell>
          <cell r="K372">
            <v>0</v>
          </cell>
        </row>
        <row r="373">
          <cell r="G373">
            <v>0</v>
          </cell>
          <cell r="H373">
            <v>-109811.49</v>
          </cell>
          <cell r="I373">
            <v>0</v>
          </cell>
          <cell r="J373">
            <v>-109811.49</v>
          </cell>
          <cell r="K373">
            <v>-26316.89</v>
          </cell>
        </row>
        <row r="375">
          <cell r="G375">
            <v>0</v>
          </cell>
          <cell r="H375">
            <v>3902.28</v>
          </cell>
          <cell r="I375">
            <v>0</v>
          </cell>
          <cell r="J375">
            <v>3902.28</v>
          </cell>
          <cell r="K375">
            <v>0</v>
          </cell>
        </row>
        <row r="376">
          <cell r="G376">
            <v>0</v>
          </cell>
          <cell r="H376">
            <v>0</v>
          </cell>
          <cell r="I376">
            <v>0</v>
          </cell>
          <cell r="J376">
            <v>0</v>
          </cell>
          <cell r="K376">
            <v>2400</v>
          </cell>
        </row>
        <row r="377">
          <cell r="G377">
            <v>0</v>
          </cell>
          <cell r="H377">
            <v>3902.28</v>
          </cell>
          <cell r="I377">
            <v>0</v>
          </cell>
          <cell r="J377">
            <v>3902.28</v>
          </cell>
          <cell r="K377">
            <v>2400</v>
          </cell>
        </row>
        <row r="379">
          <cell r="G379">
            <v>0</v>
          </cell>
          <cell r="H379">
            <v>-1281.25</v>
          </cell>
          <cell r="I379">
            <v>0</v>
          </cell>
          <cell r="J379">
            <v>-1281.25</v>
          </cell>
          <cell r="K379">
            <v>0</v>
          </cell>
        </row>
        <row r="380">
          <cell r="G380">
            <v>0</v>
          </cell>
          <cell r="H380">
            <v>0</v>
          </cell>
          <cell r="I380">
            <v>0</v>
          </cell>
          <cell r="J380">
            <v>0</v>
          </cell>
          <cell r="K380">
            <v>-180</v>
          </cell>
        </row>
        <row r="381">
          <cell r="G381">
            <v>0</v>
          </cell>
          <cell r="H381">
            <v>-1281.25</v>
          </cell>
          <cell r="I381">
            <v>0</v>
          </cell>
          <cell r="J381">
            <v>-1281.25</v>
          </cell>
          <cell r="K381">
            <v>-180</v>
          </cell>
        </row>
        <row r="383">
          <cell r="G383">
            <v>0</v>
          </cell>
          <cell r="H383">
            <v>-254007.19</v>
          </cell>
          <cell r="I383">
            <v>0</v>
          </cell>
          <cell r="J383">
            <v>-254007.19</v>
          </cell>
          <cell r="K383">
            <v>0</v>
          </cell>
        </row>
        <row r="384">
          <cell r="G384">
            <v>0</v>
          </cell>
          <cell r="H384">
            <v>0</v>
          </cell>
          <cell r="I384">
            <v>0</v>
          </cell>
          <cell r="J384">
            <v>0</v>
          </cell>
          <cell r="K384">
            <v>0</v>
          </cell>
        </row>
        <row r="385">
          <cell r="G385">
            <v>0</v>
          </cell>
          <cell r="H385">
            <v>0</v>
          </cell>
          <cell r="I385">
            <v>0</v>
          </cell>
          <cell r="J385">
            <v>0</v>
          </cell>
          <cell r="K385">
            <v>-148717.32</v>
          </cell>
        </row>
        <row r="386">
          <cell r="G386">
            <v>0</v>
          </cell>
          <cell r="H386">
            <v>0</v>
          </cell>
          <cell r="I386">
            <v>0</v>
          </cell>
          <cell r="J386">
            <v>0</v>
          </cell>
          <cell r="K386">
            <v>-13362.32</v>
          </cell>
        </row>
        <row r="387">
          <cell r="G387">
            <v>0</v>
          </cell>
          <cell r="H387">
            <v>0</v>
          </cell>
          <cell r="I387">
            <v>0</v>
          </cell>
          <cell r="J387">
            <v>0</v>
          </cell>
          <cell r="K387">
            <v>470</v>
          </cell>
        </row>
        <row r="388">
          <cell r="G388">
            <v>0</v>
          </cell>
          <cell r="H388">
            <v>89547.05</v>
          </cell>
          <cell r="I388">
            <v>0</v>
          </cell>
          <cell r="J388">
            <v>89547.05</v>
          </cell>
          <cell r="K388">
            <v>0</v>
          </cell>
        </row>
        <row r="389">
          <cell r="G389">
            <v>0</v>
          </cell>
          <cell r="H389">
            <v>0</v>
          </cell>
          <cell r="I389">
            <v>0</v>
          </cell>
          <cell r="J389">
            <v>0</v>
          </cell>
          <cell r="K389">
            <v>9304.44</v>
          </cell>
        </row>
        <row r="390">
          <cell r="G390">
            <v>0</v>
          </cell>
          <cell r="H390">
            <v>1150</v>
          </cell>
          <cell r="I390">
            <v>0</v>
          </cell>
          <cell r="J390">
            <v>1150</v>
          </cell>
          <cell r="K390">
            <v>0</v>
          </cell>
        </row>
        <row r="391">
          <cell r="G391">
            <v>0</v>
          </cell>
          <cell r="H391">
            <v>-163310.14000000001</v>
          </cell>
          <cell r="I391">
            <v>0</v>
          </cell>
          <cell r="J391">
            <v>-163310.14000000001</v>
          </cell>
          <cell r="K391">
            <v>-152305.20000000001</v>
          </cell>
        </row>
        <row r="393">
          <cell r="G393">
            <v>0</v>
          </cell>
          <cell r="H393">
            <v>0</v>
          </cell>
          <cell r="I393">
            <v>0</v>
          </cell>
          <cell r="J393">
            <v>0</v>
          </cell>
          <cell r="K393">
            <v>0</v>
          </cell>
        </row>
        <row r="395">
          <cell r="G395">
            <v>0</v>
          </cell>
          <cell r="H395">
            <v>0</v>
          </cell>
          <cell r="I395">
            <v>0</v>
          </cell>
          <cell r="J395">
            <v>0</v>
          </cell>
          <cell r="K395">
            <v>-49521.01</v>
          </cell>
        </row>
        <row r="396">
          <cell r="G396">
            <v>0</v>
          </cell>
          <cell r="H396">
            <v>0</v>
          </cell>
          <cell r="I396">
            <v>0</v>
          </cell>
          <cell r="J396">
            <v>0</v>
          </cell>
          <cell r="K396">
            <v>-12817.03</v>
          </cell>
        </row>
        <row r="397">
          <cell r="G397">
            <v>0</v>
          </cell>
          <cell r="H397">
            <v>0</v>
          </cell>
          <cell r="I397">
            <v>0</v>
          </cell>
          <cell r="J397">
            <v>0</v>
          </cell>
          <cell r="K397">
            <v>-523.19000000000005</v>
          </cell>
        </row>
        <row r="398">
          <cell r="G398">
            <v>0</v>
          </cell>
          <cell r="H398">
            <v>0</v>
          </cell>
          <cell r="I398">
            <v>0</v>
          </cell>
          <cell r="J398">
            <v>0</v>
          </cell>
          <cell r="K398">
            <v>-483.04</v>
          </cell>
        </row>
        <row r="399">
          <cell r="G399">
            <v>0</v>
          </cell>
          <cell r="H399">
            <v>0</v>
          </cell>
          <cell r="I399">
            <v>0</v>
          </cell>
          <cell r="J399">
            <v>0</v>
          </cell>
          <cell r="K399">
            <v>-9512.06</v>
          </cell>
        </row>
        <row r="400">
          <cell r="G400">
            <v>0</v>
          </cell>
          <cell r="H400">
            <v>-165836.57999999999</v>
          </cell>
          <cell r="I400">
            <v>0</v>
          </cell>
          <cell r="J400">
            <v>-165836.57999999999</v>
          </cell>
          <cell r="K400">
            <v>0</v>
          </cell>
        </row>
        <row r="401">
          <cell r="G401">
            <v>0</v>
          </cell>
          <cell r="H401">
            <v>-11620.17</v>
          </cell>
          <cell r="I401">
            <v>0</v>
          </cell>
          <cell r="J401">
            <v>-11620.17</v>
          </cell>
          <cell r="K401">
            <v>0</v>
          </cell>
        </row>
        <row r="402">
          <cell r="G402">
            <v>0</v>
          </cell>
          <cell r="H402">
            <v>-578.01</v>
          </cell>
          <cell r="I402">
            <v>0</v>
          </cell>
          <cell r="J402">
            <v>-578.01</v>
          </cell>
          <cell r="K402">
            <v>0</v>
          </cell>
        </row>
        <row r="403">
          <cell r="G403">
            <v>0</v>
          </cell>
          <cell r="H403">
            <v>-4169.13</v>
          </cell>
          <cell r="I403">
            <v>0</v>
          </cell>
          <cell r="J403">
            <v>-4169.13</v>
          </cell>
          <cell r="K403">
            <v>0</v>
          </cell>
        </row>
        <row r="404">
          <cell r="G404">
            <v>0</v>
          </cell>
          <cell r="H404">
            <v>-9721.77</v>
          </cell>
          <cell r="I404">
            <v>0</v>
          </cell>
          <cell r="J404">
            <v>-9721.77</v>
          </cell>
          <cell r="K404">
            <v>0</v>
          </cell>
        </row>
        <row r="405">
          <cell r="G405">
            <v>0</v>
          </cell>
          <cell r="H405">
            <v>0</v>
          </cell>
          <cell r="I405">
            <v>0</v>
          </cell>
          <cell r="J405">
            <v>0</v>
          </cell>
          <cell r="K405">
            <v>-49252.12</v>
          </cell>
        </row>
        <row r="406">
          <cell r="G406">
            <v>0</v>
          </cell>
          <cell r="H406">
            <v>-191925.66</v>
          </cell>
          <cell r="I406">
            <v>0</v>
          </cell>
          <cell r="J406">
            <v>-191925.66</v>
          </cell>
          <cell r="K406">
            <v>-122108.45</v>
          </cell>
        </row>
        <row r="408">
          <cell r="G408">
            <v>0</v>
          </cell>
          <cell r="H408">
            <v>5432.52</v>
          </cell>
          <cell r="I408">
            <v>0</v>
          </cell>
          <cell r="J408">
            <v>5432.52</v>
          </cell>
          <cell r="K408">
            <v>0</v>
          </cell>
        </row>
        <row r="409">
          <cell r="G409">
            <v>0</v>
          </cell>
          <cell r="H409">
            <v>0</v>
          </cell>
          <cell r="I409">
            <v>0</v>
          </cell>
          <cell r="J409">
            <v>0</v>
          </cell>
          <cell r="K409">
            <v>5432.52</v>
          </cell>
        </row>
        <row r="410">
          <cell r="G410">
            <v>0</v>
          </cell>
          <cell r="H410">
            <v>0</v>
          </cell>
          <cell r="I410">
            <v>0</v>
          </cell>
          <cell r="J410">
            <v>0</v>
          </cell>
          <cell r="K410">
            <v>35.21</v>
          </cell>
        </row>
        <row r="411">
          <cell r="G411">
            <v>0</v>
          </cell>
          <cell r="H411">
            <v>-23697.09</v>
          </cell>
          <cell r="I411">
            <v>0</v>
          </cell>
          <cell r="J411">
            <v>-23697.09</v>
          </cell>
          <cell r="K411">
            <v>0</v>
          </cell>
        </row>
        <row r="412">
          <cell r="G412">
            <v>0</v>
          </cell>
          <cell r="H412">
            <v>-14530.97</v>
          </cell>
          <cell r="I412">
            <v>0</v>
          </cell>
          <cell r="J412">
            <v>-14530.97</v>
          </cell>
          <cell r="K412">
            <v>0</v>
          </cell>
        </row>
        <row r="413">
          <cell r="G413">
            <v>0</v>
          </cell>
          <cell r="H413">
            <v>-6998.31</v>
          </cell>
          <cell r="I413">
            <v>0</v>
          </cell>
          <cell r="J413">
            <v>-6998.31</v>
          </cell>
          <cell r="K413">
            <v>0</v>
          </cell>
        </row>
        <row r="414">
          <cell r="G414">
            <v>0</v>
          </cell>
          <cell r="H414">
            <v>-3423.26</v>
          </cell>
          <cell r="I414">
            <v>0</v>
          </cell>
          <cell r="J414">
            <v>-3423.26</v>
          </cell>
          <cell r="K414">
            <v>0</v>
          </cell>
        </row>
        <row r="415">
          <cell r="G415">
            <v>0</v>
          </cell>
          <cell r="H415">
            <v>-3032.85</v>
          </cell>
          <cell r="I415">
            <v>0</v>
          </cell>
          <cell r="J415">
            <v>-3032.85</v>
          </cell>
          <cell r="K415">
            <v>0</v>
          </cell>
        </row>
        <row r="416">
          <cell r="G416">
            <v>0</v>
          </cell>
          <cell r="H416">
            <v>-1253.1300000000001</v>
          </cell>
          <cell r="I416">
            <v>0</v>
          </cell>
          <cell r="J416">
            <v>-1253.1300000000001</v>
          </cell>
          <cell r="K416">
            <v>0</v>
          </cell>
        </row>
        <row r="417">
          <cell r="G417">
            <v>0</v>
          </cell>
          <cell r="H417">
            <v>-135.94999999999999</v>
          </cell>
          <cell r="I417">
            <v>0</v>
          </cell>
          <cell r="J417">
            <v>-135.94999999999999</v>
          </cell>
          <cell r="K417">
            <v>0</v>
          </cell>
        </row>
        <row r="418">
          <cell r="G418">
            <v>0</v>
          </cell>
          <cell r="H418">
            <v>0</v>
          </cell>
          <cell r="I418">
            <v>0</v>
          </cell>
          <cell r="J418">
            <v>0</v>
          </cell>
          <cell r="K418">
            <v>-27592.3</v>
          </cell>
        </row>
        <row r="419">
          <cell r="G419">
            <v>0</v>
          </cell>
          <cell r="H419">
            <v>0</v>
          </cell>
          <cell r="I419">
            <v>0</v>
          </cell>
          <cell r="J419">
            <v>0</v>
          </cell>
          <cell r="K419">
            <v>-13517.58</v>
          </cell>
        </row>
        <row r="420">
          <cell r="G420">
            <v>0</v>
          </cell>
          <cell r="H420">
            <v>0</v>
          </cell>
          <cell r="I420">
            <v>0</v>
          </cell>
          <cell r="J420">
            <v>0</v>
          </cell>
          <cell r="K420">
            <v>-7961.23</v>
          </cell>
        </row>
        <row r="421">
          <cell r="G421">
            <v>0</v>
          </cell>
          <cell r="H421">
            <v>0</v>
          </cell>
          <cell r="I421">
            <v>0</v>
          </cell>
          <cell r="J421">
            <v>0</v>
          </cell>
          <cell r="K421">
            <v>-3811.05</v>
          </cell>
        </row>
        <row r="422">
          <cell r="G422">
            <v>0</v>
          </cell>
          <cell r="H422">
            <v>0</v>
          </cell>
          <cell r="I422">
            <v>0</v>
          </cell>
          <cell r="J422">
            <v>0</v>
          </cell>
          <cell r="K422">
            <v>-1583.89</v>
          </cell>
        </row>
        <row r="423">
          <cell r="G423">
            <v>0</v>
          </cell>
          <cell r="H423">
            <v>0</v>
          </cell>
          <cell r="I423">
            <v>0</v>
          </cell>
          <cell r="J423">
            <v>0</v>
          </cell>
          <cell r="K423">
            <v>-1401.58</v>
          </cell>
        </row>
        <row r="424">
          <cell r="G424">
            <v>0</v>
          </cell>
          <cell r="H424">
            <v>0</v>
          </cell>
          <cell r="I424">
            <v>0</v>
          </cell>
          <cell r="J424">
            <v>0</v>
          </cell>
          <cell r="K424">
            <v>0</v>
          </cell>
        </row>
        <row r="425">
          <cell r="G425">
            <v>0</v>
          </cell>
          <cell r="H425">
            <v>-47639.040000000001</v>
          </cell>
          <cell r="I425">
            <v>0</v>
          </cell>
          <cell r="J425">
            <v>-47639.040000000001</v>
          </cell>
          <cell r="K425">
            <v>-50399.9</v>
          </cell>
        </row>
        <row r="427">
          <cell r="G427">
            <v>0</v>
          </cell>
          <cell r="H427">
            <v>3982</v>
          </cell>
          <cell r="I427">
            <v>0</v>
          </cell>
          <cell r="J427">
            <v>3982</v>
          </cell>
          <cell r="K427">
            <v>0</v>
          </cell>
        </row>
        <row r="428">
          <cell r="G428">
            <v>0</v>
          </cell>
          <cell r="H428">
            <v>-488</v>
          </cell>
          <cell r="I428">
            <v>0</v>
          </cell>
          <cell r="J428">
            <v>-488</v>
          </cell>
          <cell r="K428">
            <v>0</v>
          </cell>
        </row>
        <row r="429">
          <cell r="G429">
            <v>0</v>
          </cell>
          <cell r="H429">
            <v>0</v>
          </cell>
          <cell r="I429">
            <v>0</v>
          </cell>
          <cell r="J429">
            <v>0</v>
          </cell>
          <cell r="K429">
            <v>0</v>
          </cell>
        </row>
        <row r="430">
          <cell r="G430">
            <v>0</v>
          </cell>
          <cell r="H430">
            <v>-48345</v>
          </cell>
          <cell r="I430">
            <v>0</v>
          </cell>
          <cell r="J430">
            <v>-48345</v>
          </cell>
          <cell r="K430">
            <v>0</v>
          </cell>
        </row>
        <row r="431">
          <cell r="G431">
            <v>0</v>
          </cell>
          <cell r="H431">
            <v>0</v>
          </cell>
          <cell r="I431">
            <v>0</v>
          </cell>
          <cell r="J431">
            <v>0</v>
          </cell>
          <cell r="K431">
            <v>0</v>
          </cell>
        </row>
        <row r="432">
          <cell r="G432">
            <v>0</v>
          </cell>
          <cell r="H432">
            <v>-42864</v>
          </cell>
          <cell r="I432">
            <v>0</v>
          </cell>
          <cell r="J432">
            <v>-42864</v>
          </cell>
          <cell r="K432">
            <v>0</v>
          </cell>
        </row>
        <row r="433">
          <cell r="G433">
            <v>0</v>
          </cell>
          <cell r="H433">
            <v>0</v>
          </cell>
          <cell r="I433">
            <v>0</v>
          </cell>
          <cell r="J433">
            <v>0</v>
          </cell>
          <cell r="K433">
            <v>0</v>
          </cell>
        </row>
        <row r="434">
          <cell r="G434">
            <v>0</v>
          </cell>
          <cell r="H434">
            <v>0</v>
          </cell>
          <cell r="I434">
            <v>0</v>
          </cell>
          <cell r="J434">
            <v>0</v>
          </cell>
          <cell r="K434">
            <v>0</v>
          </cell>
        </row>
        <row r="435">
          <cell r="G435">
            <v>0</v>
          </cell>
          <cell r="H435">
            <v>0</v>
          </cell>
          <cell r="I435">
            <v>0</v>
          </cell>
          <cell r="J435">
            <v>0</v>
          </cell>
          <cell r="K435">
            <v>0</v>
          </cell>
        </row>
        <row r="436">
          <cell r="G436">
            <v>0</v>
          </cell>
          <cell r="H436">
            <v>-10641</v>
          </cell>
          <cell r="I436">
            <v>0</v>
          </cell>
          <cell r="J436">
            <v>-10641</v>
          </cell>
          <cell r="K436">
            <v>0</v>
          </cell>
        </row>
        <row r="437">
          <cell r="G437">
            <v>0</v>
          </cell>
          <cell r="H437">
            <v>0</v>
          </cell>
          <cell r="I437">
            <v>0</v>
          </cell>
          <cell r="J437">
            <v>0</v>
          </cell>
          <cell r="K437">
            <v>0</v>
          </cell>
        </row>
        <row r="438">
          <cell r="G438">
            <v>0</v>
          </cell>
          <cell r="H438">
            <v>-98356</v>
          </cell>
          <cell r="I438">
            <v>0</v>
          </cell>
          <cell r="J438">
            <v>-98356</v>
          </cell>
          <cell r="K438">
            <v>0</v>
          </cell>
        </row>
        <row r="440">
          <cell r="G440">
            <v>0</v>
          </cell>
          <cell r="H440">
            <v>-724200.01</v>
          </cell>
          <cell r="I440">
            <v>0</v>
          </cell>
          <cell r="J440">
            <v>-724200.01</v>
          </cell>
          <cell r="K440">
            <v>0</v>
          </cell>
        </row>
        <row r="441">
          <cell r="G441">
            <v>0</v>
          </cell>
          <cell r="H441">
            <v>-323111.89</v>
          </cell>
          <cell r="I441">
            <v>0</v>
          </cell>
          <cell r="J441">
            <v>-323111.89</v>
          </cell>
          <cell r="K441">
            <v>0</v>
          </cell>
        </row>
        <row r="442">
          <cell r="G442">
            <v>0</v>
          </cell>
          <cell r="H442">
            <v>0</v>
          </cell>
          <cell r="I442">
            <v>0</v>
          </cell>
          <cell r="J442">
            <v>0</v>
          </cell>
          <cell r="K442">
            <v>0</v>
          </cell>
        </row>
        <row r="443">
          <cell r="G443">
            <v>0</v>
          </cell>
          <cell r="H443">
            <v>0</v>
          </cell>
          <cell r="I443">
            <v>0</v>
          </cell>
          <cell r="J443">
            <v>0</v>
          </cell>
          <cell r="K443">
            <v>-700000.01</v>
          </cell>
        </row>
        <row r="444">
          <cell r="G444">
            <v>0</v>
          </cell>
          <cell r="H444">
            <v>0</v>
          </cell>
          <cell r="I444">
            <v>0</v>
          </cell>
          <cell r="J444">
            <v>0</v>
          </cell>
          <cell r="K444">
            <v>-25520.94</v>
          </cell>
        </row>
        <row r="445">
          <cell r="G445">
            <v>0</v>
          </cell>
          <cell r="H445">
            <v>-1047311.9</v>
          </cell>
          <cell r="I445">
            <v>0</v>
          </cell>
          <cell r="J445">
            <v>-1047311.9</v>
          </cell>
          <cell r="K445">
            <v>-725520.95</v>
          </cell>
        </row>
        <row r="447">
          <cell r="G447">
            <v>0</v>
          </cell>
          <cell r="H447">
            <v>0</v>
          </cell>
          <cell r="I447">
            <v>0</v>
          </cell>
          <cell r="J447">
            <v>0</v>
          </cell>
          <cell r="K447">
            <v>0</v>
          </cell>
        </row>
        <row r="449">
          <cell r="G449">
            <v>0</v>
          </cell>
          <cell r="H449">
            <v>-3137500</v>
          </cell>
          <cell r="I449">
            <v>0</v>
          </cell>
          <cell r="J449">
            <v>-3137500</v>
          </cell>
          <cell r="K449">
            <v>0</v>
          </cell>
        </row>
        <row r="450">
          <cell r="G450">
            <v>0</v>
          </cell>
          <cell r="H450">
            <v>-1130597.83</v>
          </cell>
          <cell r="I450">
            <v>0</v>
          </cell>
          <cell r="J450">
            <v>-1130597.83</v>
          </cell>
          <cell r="K450">
            <v>0</v>
          </cell>
        </row>
        <row r="451">
          <cell r="G451">
            <v>0</v>
          </cell>
          <cell r="H451">
            <v>-1417850</v>
          </cell>
          <cell r="I451">
            <v>0</v>
          </cell>
          <cell r="J451">
            <v>-1417850</v>
          </cell>
          <cell r="K451">
            <v>0</v>
          </cell>
        </row>
        <row r="452">
          <cell r="G452">
            <v>0</v>
          </cell>
          <cell r="H452">
            <v>0</v>
          </cell>
          <cell r="I452">
            <v>0</v>
          </cell>
          <cell r="J452">
            <v>0</v>
          </cell>
          <cell r="K452">
            <v>-4650000</v>
          </cell>
        </row>
        <row r="453">
          <cell r="G453">
            <v>0</v>
          </cell>
          <cell r="H453">
            <v>0</v>
          </cell>
          <cell r="I453">
            <v>0</v>
          </cell>
          <cell r="J453">
            <v>0</v>
          </cell>
          <cell r="K453">
            <v>-740436.2</v>
          </cell>
        </row>
        <row r="454">
          <cell r="G454">
            <v>0</v>
          </cell>
          <cell r="H454">
            <v>0</v>
          </cell>
          <cell r="I454">
            <v>0</v>
          </cell>
          <cell r="J454">
            <v>0</v>
          </cell>
          <cell r="K454">
            <v>-1751831.03</v>
          </cell>
        </row>
        <row r="455">
          <cell r="G455">
            <v>0</v>
          </cell>
          <cell r="H455">
            <v>-2652123</v>
          </cell>
          <cell r="I455">
            <v>0</v>
          </cell>
          <cell r="J455">
            <v>-2652123</v>
          </cell>
          <cell r="K455">
            <v>0</v>
          </cell>
        </row>
        <row r="456">
          <cell r="G456">
            <v>0</v>
          </cell>
          <cell r="H456">
            <v>-1076986.25</v>
          </cell>
          <cell r="I456">
            <v>0</v>
          </cell>
          <cell r="J456">
            <v>-1076986.25</v>
          </cell>
          <cell r="K456">
            <v>0</v>
          </cell>
        </row>
        <row r="457">
          <cell r="G457">
            <v>0</v>
          </cell>
          <cell r="H457">
            <v>-1418710.03</v>
          </cell>
          <cell r="I457">
            <v>0</v>
          </cell>
          <cell r="J457">
            <v>-1418710.03</v>
          </cell>
          <cell r="K457">
            <v>0</v>
          </cell>
        </row>
        <row r="458">
          <cell r="G458">
            <v>0</v>
          </cell>
          <cell r="H458">
            <v>0</v>
          </cell>
          <cell r="I458">
            <v>0</v>
          </cell>
          <cell r="J458">
            <v>0</v>
          </cell>
          <cell r="K458">
            <v>-4002123</v>
          </cell>
        </row>
        <row r="459">
          <cell r="G459">
            <v>0</v>
          </cell>
          <cell r="H459">
            <v>0</v>
          </cell>
          <cell r="I459">
            <v>0</v>
          </cell>
          <cell r="J459">
            <v>0</v>
          </cell>
          <cell r="K459">
            <v>-673650.47</v>
          </cell>
        </row>
        <row r="460">
          <cell r="G460">
            <v>0</v>
          </cell>
          <cell r="H460">
            <v>0</v>
          </cell>
          <cell r="I460">
            <v>0</v>
          </cell>
          <cell r="J460">
            <v>0</v>
          </cell>
          <cell r="K460">
            <v>-1609143.07</v>
          </cell>
        </row>
        <row r="461">
          <cell r="G461">
            <v>0</v>
          </cell>
          <cell r="H461">
            <v>-10833767.109999999</v>
          </cell>
          <cell r="I461">
            <v>0</v>
          </cell>
          <cell r="J461">
            <v>-10833767.109999999</v>
          </cell>
          <cell r="K461">
            <v>-13427183.770000001</v>
          </cell>
        </row>
        <row r="463">
          <cell r="G463">
            <v>0</v>
          </cell>
          <cell r="H463">
            <v>0</v>
          </cell>
          <cell r="I463">
            <v>0</v>
          </cell>
          <cell r="J463">
            <v>0</v>
          </cell>
          <cell r="K463">
            <v>0</v>
          </cell>
        </row>
        <row r="465">
          <cell r="G465">
            <v>0</v>
          </cell>
          <cell r="H465">
            <v>0</v>
          </cell>
          <cell r="I465">
            <v>0</v>
          </cell>
          <cell r="J465">
            <v>0</v>
          </cell>
          <cell r="K465">
            <v>0</v>
          </cell>
        </row>
        <row r="467">
          <cell r="G467">
            <v>0</v>
          </cell>
          <cell r="H467">
            <v>-3809.08</v>
          </cell>
          <cell r="I467">
            <v>0</v>
          </cell>
          <cell r="J467">
            <v>-3809.08</v>
          </cell>
          <cell r="K467">
            <v>0</v>
          </cell>
        </row>
        <row r="468">
          <cell r="G468">
            <v>0</v>
          </cell>
          <cell r="H468">
            <v>-3441</v>
          </cell>
          <cell r="I468">
            <v>0</v>
          </cell>
          <cell r="J468">
            <v>-3441</v>
          </cell>
          <cell r="K468">
            <v>0</v>
          </cell>
        </row>
        <row r="469">
          <cell r="G469">
            <v>0</v>
          </cell>
          <cell r="H469">
            <v>-210.54</v>
          </cell>
          <cell r="I469">
            <v>0</v>
          </cell>
          <cell r="J469">
            <v>-210.54</v>
          </cell>
          <cell r="K469">
            <v>0</v>
          </cell>
        </row>
        <row r="470">
          <cell r="G470">
            <v>0</v>
          </cell>
          <cell r="H470">
            <v>-7460.62</v>
          </cell>
          <cell r="I470">
            <v>0</v>
          </cell>
          <cell r="J470">
            <v>-7460.62</v>
          </cell>
          <cell r="K470">
            <v>0</v>
          </cell>
        </row>
        <row r="472">
          <cell r="G472">
            <v>0</v>
          </cell>
          <cell r="H472">
            <v>0</v>
          </cell>
          <cell r="I472">
            <v>0</v>
          </cell>
          <cell r="J472">
            <v>0</v>
          </cell>
          <cell r="K472">
            <v>0</v>
          </cell>
        </row>
        <row r="473">
          <cell r="G473">
            <v>0</v>
          </cell>
          <cell r="H473">
            <v>0</v>
          </cell>
          <cell r="I473">
            <v>0</v>
          </cell>
          <cell r="J473">
            <v>0</v>
          </cell>
          <cell r="K473">
            <v>0</v>
          </cell>
        </row>
        <row r="475">
          <cell r="G475">
            <v>0</v>
          </cell>
          <cell r="H475">
            <v>0</v>
          </cell>
          <cell r="I475">
            <v>0</v>
          </cell>
          <cell r="J475">
            <v>0</v>
          </cell>
          <cell r="K475">
            <v>-9788.08</v>
          </cell>
        </row>
        <row r="476">
          <cell r="G476">
            <v>0</v>
          </cell>
          <cell r="H476">
            <v>0</v>
          </cell>
          <cell r="I476">
            <v>0</v>
          </cell>
          <cell r="J476">
            <v>0</v>
          </cell>
          <cell r="K476">
            <v>-18510.57</v>
          </cell>
        </row>
        <row r="477">
          <cell r="G477">
            <v>0</v>
          </cell>
          <cell r="H477">
            <v>-17420.62</v>
          </cell>
          <cell r="I477">
            <v>0</v>
          </cell>
          <cell r="J477">
            <v>-17420.62</v>
          </cell>
          <cell r="K477">
            <v>0</v>
          </cell>
        </row>
        <row r="478">
          <cell r="G478">
            <v>0</v>
          </cell>
          <cell r="H478">
            <v>-18510.57</v>
          </cell>
          <cell r="I478">
            <v>0</v>
          </cell>
          <cell r="J478">
            <v>-18510.57</v>
          </cell>
          <cell r="K478">
            <v>0</v>
          </cell>
        </row>
        <row r="479">
          <cell r="G479">
            <v>0</v>
          </cell>
          <cell r="H479">
            <v>-35931.19</v>
          </cell>
          <cell r="I479">
            <v>0</v>
          </cell>
          <cell r="J479">
            <v>-35931.19</v>
          </cell>
          <cell r="K479">
            <v>-28298.65</v>
          </cell>
        </row>
        <row r="481">
          <cell r="G481">
            <v>0</v>
          </cell>
          <cell r="H481">
            <v>0</v>
          </cell>
          <cell r="I481">
            <v>0</v>
          </cell>
          <cell r="J481">
            <v>0</v>
          </cell>
          <cell r="K481">
            <v>0</v>
          </cell>
        </row>
        <row r="483">
          <cell r="G483">
            <v>0</v>
          </cell>
          <cell r="H483">
            <v>-12772.76</v>
          </cell>
          <cell r="I483">
            <v>0</v>
          </cell>
          <cell r="J483">
            <v>-12772.76</v>
          </cell>
          <cell r="K483">
            <v>0</v>
          </cell>
        </row>
        <row r="484">
          <cell r="G484">
            <v>0</v>
          </cell>
          <cell r="H484">
            <v>0</v>
          </cell>
          <cell r="I484">
            <v>0</v>
          </cell>
          <cell r="J484">
            <v>0</v>
          </cell>
          <cell r="K484">
            <v>-12772.76</v>
          </cell>
        </row>
        <row r="485">
          <cell r="G485">
            <v>0</v>
          </cell>
          <cell r="H485">
            <v>-12772.76</v>
          </cell>
          <cell r="I485">
            <v>0</v>
          </cell>
          <cell r="J485">
            <v>-12772.76</v>
          </cell>
          <cell r="K485">
            <v>-12772.76</v>
          </cell>
        </row>
        <row r="487">
          <cell r="G487">
            <v>0</v>
          </cell>
          <cell r="H487">
            <v>0</v>
          </cell>
          <cell r="I487">
            <v>0</v>
          </cell>
          <cell r="J487">
            <v>0</v>
          </cell>
          <cell r="K487">
            <v>-6000</v>
          </cell>
        </row>
        <row r="488">
          <cell r="G488">
            <v>0</v>
          </cell>
          <cell r="H488">
            <v>0</v>
          </cell>
          <cell r="I488">
            <v>0</v>
          </cell>
          <cell r="J488">
            <v>0</v>
          </cell>
          <cell r="K488">
            <v>-6000</v>
          </cell>
        </row>
        <row r="490">
          <cell r="G490">
            <v>0</v>
          </cell>
          <cell r="H490">
            <v>-28367291.960000001</v>
          </cell>
          <cell r="I490">
            <v>0</v>
          </cell>
          <cell r="J490">
            <v>-28367291.960000001</v>
          </cell>
          <cell r="K490">
            <v>0</v>
          </cell>
        </row>
        <row r="491">
          <cell r="G491">
            <v>0</v>
          </cell>
          <cell r="H491">
            <v>0</v>
          </cell>
          <cell r="I491">
            <v>0</v>
          </cell>
          <cell r="J491">
            <v>0</v>
          </cell>
          <cell r="K491">
            <v>-13000000</v>
          </cell>
        </row>
        <row r="492">
          <cell r="G492">
            <v>0</v>
          </cell>
          <cell r="H492">
            <v>-28367291.960000001</v>
          </cell>
          <cell r="I492">
            <v>0</v>
          </cell>
          <cell r="J492">
            <v>-28367291.960000001</v>
          </cell>
          <cell r="K492">
            <v>-13000000</v>
          </cell>
        </row>
        <row r="494">
          <cell r="G494">
            <v>0</v>
          </cell>
          <cell r="H494">
            <v>-707803.67</v>
          </cell>
          <cell r="I494">
            <v>0</v>
          </cell>
          <cell r="J494">
            <v>-707803.67</v>
          </cell>
          <cell r="K494">
            <v>0</v>
          </cell>
        </row>
        <row r="495">
          <cell r="G495">
            <v>0</v>
          </cell>
          <cell r="H495">
            <v>0</v>
          </cell>
          <cell r="I495">
            <v>0</v>
          </cell>
          <cell r="J495">
            <v>0</v>
          </cell>
          <cell r="K495">
            <v>-324368.21000000002</v>
          </cell>
        </row>
        <row r="496">
          <cell r="G496">
            <v>0</v>
          </cell>
          <cell r="H496">
            <v>-707803.67</v>
          </cell>
          <cell r="I496">
            <v>0</v>
          </cell>
          <cell r="J496">
            <v>-707803.67</v>
          </cell>
          <cell r="K496">
            <v>-324368.21000000002</v>
          </cell>
        </row>
        <row r="498">
          <cell r="G498">
            <v>0</v>
          </cell>
          <cell r="H498">
            <v>-518811.37</v>
          </cell>
          <cell r="I498">
            <v>0</v>
          </cell>
          <cell r="J498">
            <v>-518811.37</v>
          </cell>
          <cell r="K498">
            <v>0</v>
          </cell>
        </row>
        <row r="499">
          <cell r="G499">
            <v>0</v>
          </cell>
          <cell r="H499">
            <v>0</v>
          </cell>
          <cell r="I499">
            <v>0</v>
          </cell>
          <cell r="J499">
            <v>0</v>
          </cell>
          <cell r="K499">
            <v>-237757.9</v>
          </cell>
        </row>
        <row r="500">
          <cell r="G500">
            <v>0</v>
          </cell>
          <cell r="H500">
            <v>-518811.37</v>
          </cell>
          <cell r="I500">
            <v>0</v>
          </cell>
          <cell r="J500">
            <v>-518811.37</v>
          </cell>
          <cell r="K500">
            <v>-237757.9</v>
          </cell>
        </row>
        <row r="502">
          <cell r="G502">
            <v>0</v>
          </cell>
          <cell r="H502">
            <v>-219482.48</v>
          </cell>
          <cell r="I502">
            <v>0</v>
          </cell>
          <cell r="J502">
            <v>-219482.48</v>
          </cell>
          <cell r="K502">
            <v>0</v>
          </cell>
        </row>
        <row r="503">
          <cell r="G503">
            <v>0</v>
          </cell>
          <cell r="H503">
            <v>0</v>
          </cell>
          <cell r="I503">
            <v>0</v>
          </cell>
          <cell r="J503">
            <v>0</v>
          </cell>
          <cell r="K503">
            <v>-32000.01</v>
          </cell>
        </row>
        <row r="504">
          <cell r="G504">
            <v>0</v>
          </cell>
          <cell r="H504">
            <v>-219482.48</v>
          </cell>
          <cell r="I504">
            <v>0</v>
          </cell>
          <cell r="J504">
            <v>-219482.48</v>
          </cell>
          <cell r="K504">
            <v>-32000.01</v>
          </cell>
        </row>
        <row r="506">
          <cell r="G506">
            <v>0</v>
          </cell>
          <cell r="H506">
            <v>-20739804.91</v>
          </cell>
          <cell r="I506">
            <v>0</v>
          </cell>
          <cell r="J506">
            <v>-20739804.91</v>
          </cell>
          <cell r="K506">
            <v>0</v>
          </cell>
        </row>
        <row r="507">
          <cell r="G507">
            <v>0</v>
          </cell>
          <cell r="H507">
            <v>0</v>
          </cell>
          <cell r="I507">
            <v>0</v>
          </cell>
          <cell r="J507">
            <v>0</v>
          </cell>
          <cell r="K507">
            <v>-9664258.4000000004</v>
          </cell>
        </row>
        <row r="508">
          <cell r="G508">
            <v>0</v>
          </cell>
          <cell r="H508">
            <v>-20739804.91</v>
          </cell>
          <cell r="I508">
            <v>0</v>
          </cell>
          <cell r="J508">
            <v>-20739804.91</v>
          </cell>
          <cell r="K508">
            <v>-9664258.4000000004</v>
          </cell>
        </row>
        <row r="510">
          <cell r="G510">
            <v>0</v>
          </cell>
          <cell r="H510">
            <v>0</v>
          </cell>
          <cell r="I510">
            <v>0</v>
          </cell>
          <cell r="J510">
            <v>0</v>
          </cell>
          <cell r="K510">
            <v>0</v>
          </cell>
        </row>
        <row r="511">
          <cell r="G511">
            <v>0</v>
          </cell>
          <cell r="H511">
            <v>19590.71</v>
          </cell>
          <cell r="I511">
            <v>0</v>
          </cell>
          <cell r="J511">
            <v>19590.71</v>
          </cell>
          <cell r="K511">
            <v>0</v>
          </cell>
        </row>
        <row r="512">
          <cell r="G512">
            <v>0</v>
          </cell>
          <cell r="H512">
            <v>1471304.16</v>
          </cell>
          <cell r="I512">
            <v>0</v>
          </cell>
          <cell r="J512">
            <v>1471304.16</v>
          </cell>
          <cell r="K512">
            <v>0</v>
          </cell>
        </row>
        <row r="513">
          <cell r="G513">
            <v>0</v>
          </cell>
          <cell r="H513">
            <v>543950.44999999995</v>
          </cell>
          <cell r="I513">
            <v>0</v>
          </cell>
          <cell r="J513">
            <v>543950.44999999995</v>
          </cell>
          <cell r="K513">
            <v>0</v>
          </cell>
        </row>
        <row r="514">
          <cell r="G514">
            <v>0</v>
          </cell>
          <cell r="H514">
            <v>-2843450.4</v>
          </cell>
          <cell r="I514">
            <v>0</v>
          </cell>
          <cell r="J514">
            <v>-2843450.4</v>
          </cell>
          <cell r="K514">
            <v>0</v>
          </cell>
        </row>
        <row r="515">
          <cell r="G515">
            <v>0</v>
          </cell>
          <cell r="H515">
            <v>0</v>
          </cell>
          <cell r="I515">
            <v>0</v>
          </cell>
          <cell r="J515">
            <v>0</v>
          </cell>
          <cell r="K515">
            <v>8977.92</v>
          </cell>
        </row>
        <row r="516">
          <cell r="G516">
            <v>0</v>
          </cell>
          <cell r="H516">
            <v>0</v>
          </cell>
          <cell r="I516">
            <v>0</v>
          </cell>
          <cell r="J516">
            <v>0</v>
          </cell>
          <cell r="K516">
            <v>0</v>
          </cell>
        </row>
        <row r="517">
          <cell r="G517">
            <v>0</v>
          </cell>
          <cell r="H517">
            <v>0</v>
          </cell>
          <cell r="I517">
            <v>0</v>
          </cell>
          <cell r="J517">
            <v>0</v>
          </cell>
          <cell r="K517">
            <v>20072.849999999999</v>
          </cell>
        </row>
        <row r="518">
          <cell r="G518">
            <v>0</v>
          </cell>
          <cell r="H518">
            <v>0</v>
          </cell>
          <cell r="I518">
            <v>0</v>
          </cell>
          <cell r="J518">
            <v>0</v>
          </cell>
          <cell r="K518">
            <v>674260.84</v>
          </cell>
        </row>
        <row r="519">
          <cell r="G519">
            <v>0</v>
          </cell>
          <cell r="H519">
            <v>0</v>
          </cell>
          <cell r="I519">
            <v>0</v>
          </cell>
          <cell r="J519">
            <v>0</v>
          </cell>
          <cell r="K519">
            <v>450800.58</v>
          </cell>
        </row>
        <row r="520">
          <cell r="G520">
            <v>0</v>
          </cell>
          <cell r="H520">
            <v>483542.17</v>
          </cell>
          <cell r="I520">
            <v>0</v>
          </cell>
          <cell r="J520">
            <v>483542.17</v>
          </cell>
          <cell r="K520">
            <v>0</v>
          </cell>
        </row>
        <row r="521">
          <cell r="G521">
            <v>0</v>
          </cell>
          <cell r="H521">
            <v>-325062.90999999997</v>
          </cell>
          <cell r="I521">
            <v>0</v>
          </cell>
          <cell r="J521">
            <v>-325062.90999999997</v>
          </cell>
          <cell r="K521">
            <v>1154112.19</v>
          </cell>
        </row>
        <row r="523">
          <cell r="G523">
            <v>0</v>
          </cell>
          <cell r="H523">
            <v>-452043.08</v>
          </cell>
          <cell r="I523">
            <v>0</v>
          </cell>
          <cell r="J523">
            <v>-452043.08</v>
          </cell>
          <cell r="K523">
            <v>0</v>
          </cell>
        </row>
        <row r="524">
          <cell r="G524">
            <v>0</v>
          </cell>
          <cell r="H524">
            <v>0</v>
          </cell>
          <cell r="I524">
            <v>0</v>
          </cell>
          <cell r="J524">
            <v>0</v>
          </cell>
          <cell r="K524">
            <v>-207159.71</v>
          </cell>
        </row>
        <row r="525">
          <cell r="G525">
            <v>0</v>
          </cell>
          <cell r="H525">
            <v>-452043.08</v>
          </cell>
          <cell r="I525">
            <v>0</v>
          </cell>
          <cell r="J525">
            <v>-452043.08</v>
          </cell>
          <cell r="K525">
            <v>-207159.71</v>
          </cell>
        </row>
        <row r="527">
          <cell r="G527">
            <v>0</v>
          </cell>
          <cell r="H527">
            <v>0</v>
          </cell>
          <cell r="I527">
            <v>0</v>
          </cell>
          <cell r="J527">
            <v>0</v>
          </cell>
          <cell r="K527">
            <v>0</v>
          </cell>
        </row>
        <row r="528">
          <cell r="G528">
            <v>0</v>
          </cell>
          <cell r="H528">
            <v>0</v>
          </cell>
          <cell r="I528">
            <v>0</v>
          </cell>
          <cell r="J528">
            <v>0</v>
          </cell>
          <cell r="K528">
            <v>0</v>
          </cell>
        </row>
        <row r="530">
          <cell r="G530">
            <v>0</v>
          </cell>
          <cell r="H530">
            <v>0</v>
          </cell>
          <cell r="I530">
            <v>0</v>
          </cell>
          <cell r="J530">
            <v>0</v>
          </cell>
          <cell r="K530">
            <v>0</v>
          </cell>
        </row>
        <row r="531">
          <cell r="G531">
            <v>0</v>
          </cell>
          <cell r="H531">
            <v>0</v>
          </cell>
          <cell r="I531">
            <v>0</v>
          </cell>
          <cell r="J531">
            <v>0</v>
          </cell>
          <cell r="K531">
            <v>0</v>
          </cell>
        </row>
        <row r="533">
          <cell r="G533">
            <v>0</v>
          </cell>
          <cell r="H533">
            <v>-5802004.71</v>
          </cell>
          <cell r="I533">
            <v>0</v>
          </cell>
          <cell r="J533">
            <v>-5802004.71</v>
          </cell>
          <cell r="K533">
            <v>0</v>
          </cell>
        </row>
        <row r="534">
          <cell r="G534">
            <v>0</v>
          </cell>
          <cell r="H534">
            <v>-290946.53000000003</v>
          </cell>
          <cell r="I534">
            <v>0</v>
          </cell>
          <cell r="J534">
            <v>-290946.53000000003</v>
          </cell>
          <cell r="K534">
            <v>0</v>
          </cell>
        </row>
        <row r="535">
          <cell r="G535">
            <v>0</v>
          </cell>
          <cell r="H535">
            <v>-110967.14</v>
          </cell>
          <cell r="I535">
            <v>0</v>
          </cell>
          <cell r="J535">
            <v>-110967.14</v>
          </cell>
          <cell r="K535">
            <v>0</v>
          </cell>
        </row>
        <row r="536">
          <cell r="G536">
            <v>0</v>
          </cell>
          <cell r="H536">
            <v>-4017.52</v>
          </cell>
          <cell r="I536">
            <v>0</v>
          </cell>
          <cell r="J536">
            <v>-4017.52</v>
          </cell>
          <cell r="K536">
            <v>0</v>
          </cell>
        </row>
        <row r="537">
          <cell r="G537">
            <v>0</v>
          </cell>
          <cell r="H537">
            <v>-596289.81999999995</v>
          </cell>
          <cell r="I537">
            <v>0</v>
          </cell>
          <cell r="J537">
            <v>-596289.81999999995</v>
          </cell>
          <cell r="K537">
            <v>0</v>
          </cell>
        </row>
        <row r="538">
          <cell r="G538">
            <v>0</v>
          </cell>
          <cell r="H538">
            <v>-398705.43</v>
          </cell>
          <cell r="I538">
            <v>0</v>
          </cell>
          <cell r="J538">
            <v>-398705.43</v>
          </cell>
          <cell r="K538">
            <v>0</v>
          </cell>
        </row>
        <row r="539">
          <cell r="G539">
            <v>0</v>
          </cell>
          <cell r="H539">
            <v>-617185.47</v>
          </cell>
          <cell r="I539">
            <v>0</v>
          </cell>
          <cell r="J539">
            <v>-617185.47</v>
          </cell>
          <cell r="K539">
            <v>0</v>
          </cell>
        </row>
        <row r="540">
          <cell r="G540">
            <v>0</v>
          </cell>
          <cell r="H540">
            <v>-125109.75</v>
          </cell>
          <cell r="I540">
            <v>0</v>
          </cell>
          <cell r="J540">
            <v>-125109.75</v>
          </cell>
          <cell r="K540">
            <v>0</v>
          </cell>
        </row>
        <row r="541">
          <cell r="G541">
            <v>0</v>
          </cell>
          <cell r="H541">
            <v>-5525.46</v>
          </cell>
          <cell r="I541">
            <v>0</v>
          </cell>
          <cell r="J541">
            <v>-5525.46</v>
          </cell>
          <cell r="K541">
            <v>0</v>
          </cell>
        </row>
        <row r="542">
          <cell r="G542">
            <v>0</v>
          </cell>
          <cell r="H542">
            <v>-81837.13</v>
          </cell>
          <cell r="I542">
            <v>0</v>
          </cell>
          <cell r="J542">
            <v>-81837.13</v>
          </cell>
          <cell r="K542">
            <v>0</v>
          </cell>
        </row>
        <row r="543">
          <cell r="G543">
            <v>0</v>
          </cell>
          <cell r="H543">
            <v>-71050.39</v>
          </cell>
          <cell r="I543">
            <v>0</v>
          </cell>
          <cell r="J543">
            <v>-71050.39</v>
          </cell>
          <cell r="K543">
            <v>0</v>
          </cell>
        </row>
        <row r="544">
          <cell r="G544">
            <v>0</v>
          </cell>
          <cell r="H544">
            <v>-223441.45</v>
          </cell>
          <cell r="I544">
            <v>0</v>
          </cell>
          <cell r="J544">
            <v>-223441.45</v>
          </cell>
          <cell r="K544">
            <v>0</v>
          </cell>
        </row>
        <row r="545">
          <cell r="G545">
            <v>0</v>
          </cell>
          <cell r="H545">
            <v>-7535</v>
          </cell>
          <cell r="I545">
            <v>0</v>
          </cell>
          <cell r="J545">
            <v>-7535</v>
          </cell>
          <cell r="K545">
            <v>0</v>
          </cell>
        </row>
        <row r="546">
          <cell r="G546">
            <v>0</v>
          </cell>
          <cell r="H546">
            <v>-273541.83</v>
          </cell>
          <cell r="I546">
            <v>0</v>
          </cell>
          <cell r="J546">
            <v>-273541.83</v>
          </cell>
          <cell r="K546">
            <v>0</v>
          </cell>
        </row>
        <row r="547">
          <cell r="G547">
            <v>0</v>
          </cell>
          <cell r="H547">
            <v>-31256.79</v>
          </cell>
          <cell r="I547">
            <v>0</v>
          </cell>
          <cell r="J547">
            <v>-31256.79</v>
          </cell>
          <cell r="K547">
            <v>0</v>
          </cell>
        </row>
        <row r="548">
          <cell r="G548">
            <v>0</v>
          </cell>
          <cell r="H548">
            <v>0</v>
          </cell>
          <cell r="I548">
            <v>0</v>
          </cell>
          <cell r="J548">
            <v>0</v>
          </cell>
          <cell r="K548">
            <v>-1926565.63</v>
          </cell>
        </row>
        <row r="549">
          <cell r="G549">
            <v>0</v>
          </cell>
          <cell r="H549">
            <v>0</v>
          </cell>
          <cell r="I549">
            <v>0</v>
          </cell>
          <cell r="J549">
            <v>0</v>
          </cell>
          <cell r="K549">
            <v>-299618.95</v>
          </cell>
        </row>
        <row r="550">
          <cell r="G550">
            <v>0</v>
          </cell>
          <cell r="H550">
            <v>0</v>
          </cell>
          <cell r="I550">
            <v>0</v>
          </cell>
          <cell r="J550">
            <v>0</v>
          </cell>
          <cell r="K550">
            <v>-66592.69</v>
          </cell>
        </row>
        <row r="551">
          <cell r="G551">
            <v>0</v>
          </cell>
          <cell r="H551">
            <v>0</v>
          </cell>
          <cell r="I551">
            <v>0</v>
          </cell>
          <cell r="J551">
            <v>0</v>
          </cell>
          <cell r="K551">
            <v>-44617.24</v>
          </cell>
        </row>
        <row r="552">
          <cell r="G552">
            <v>0</v>
          </cell>
          <cell r="H552">
            <v>0</v>
          </cell>
          <cell r="I552">
            <v>0</v>
          </cell>
          <cell r="J552">
            <v>0</v>
          </cell>
          <cell r="K552">
            <v>-191508.73</v>
          </cell>
        </row>
        <row r="553">
          <cell r="G553">
            <v>0</v>
          </cell>
          <cell r="H553">
            <v>0</v>
          </cell>
          <cell r="I553">
            <v>0</v>
          </cell>
          <cell r="J553">
            <v>0</v>
          </cell>
          <cell r="K553">
            <v>-5101.47</v>
          </cell>
        </row>
        <row r="554">
          <cell r="G554">
            <v>0</v>
          </cell>
          <cell r="H554">
            <v>0</v>
          </cell>
          <cell r="I554">
            <v>0</v>
          </cell>
          <cell r="J554">
            <v>0</v>
          </cell>
          <cell r="K554">
            <v>-33468.410000000003</v>
          </cell>
        </row>
        <row r="555">
          <cell r="G555">
            <v>0</v>
          </cell>
          <cell r="H555">
            <v>0</v>
          </cell>
          <cell r="I555">
            <v>0</v>
          </cell>
          <cell r="J555">
            <v>0</v>
          </cell>
          <cell r="K555">
            <v>-243863.92</v>
          </cell>
        </row>
        <row r="556">
          <cell r="G556">
            <v>0</v>
          </cell>
          <cell r="H556">
            <v>0</v>
          </cell>
          <cell r="I556">
            <v>0</v>
          </cell>
          <cell r="J556">
            <v>0</v>
          </cell>
          <cell r="K556">
            <v>-150307.26</v>
          </cell>
        </row>
        <row r="557">
          <cell r="G557">
            <v>0</v>
          </cell>
          <cell r="H557">
            <v>0</v>
          </cell>
          <cell r="I557">
            <v>0</v>
          </cell>
          <cell r="J557">
            <v>0</v>
          </cell>
          <cell r="K557">
            <v>-43297.11</v>
          </cell>
        </row>
        <row r="558">
          <cell r="G558">
            <v>0</v>
          </cell>
          <cell r="H558">
            <v>0</v>
          </cell>
          <cell r="I558">
            <v>0</v>
          </cell>
          <cell r="J558">
            <v>0</v>
          </cell>
          <cell r="K558">
            <v>-54647.16</v>
          </cell>
        </row>
        <row r="559">
          <cell r="G559">
            <v>0</v>
          </cell>
          <cell r="H559">
            <v>0</v>
          </cell>
          <cell r="I559">
            <v>0</v>
          </cell>
          <cell r="J559">
            <v>0</v>
          </cell>
          <cell r="K559">
            <v>-13432.87</v>
          </cell>
        </row>
        <row r="560">
          <cell r="G560">
            <v>0</v>
          </cell>
          <cell r="H560">
            <v>0</v>
          </cell>
          <cell r="I560">
            <v>0</v>
          </cell>
          <cell r="J560">
            <v>0</v>
          </cell>
          <cell r="K560">
            <v>-77947.31</v>
          </cell>
        </row>
        <row r="561">
          <cell r="G561">
            <v>0</v>
          </cell>
          <cell r="H561">
            <v>-8639414.4199999981</v>
          </cell>
          <cell r="I561">
            <v>0</v>
          </cell>
          <cell r="J561">
            <v>-8639414.4199999981</v>
          </cell>
          <cell r="K561">
            <v>-3150968.75</v>
          </cell>
        </row>
        <row r="563">
          <cell r="G563">
            <v>0</v>
          </cell>
          <cell r="H563">
            <v>255573.78</v>
          </cell>
          <cell r="I563">
            <v>0</v>
          </cell>
          <cell r="J563">
            <v>255573.78</v>
          </cell>
          <cell r="K563">
            <v>0</v>
          </cell>
        </row>
        <row r="564">
          <cell r="G564">
            <v>0</v>
          </cell>
          <cell r="H564">
            <v>0</v>
          </cell>
          <cell r="I564">
            <v>0</v>
          </cell>
          <cell r="J564">
            <v>0</v>
          </cell>
          <cell r="K564">
            <v>94075.12</v>
          </cell>
        </row>
        <row r="565">
          <cell r="G565">
            <v>0</v>
          </cell>
          <cell r="H565">
            <v>255573.78</v>
          </cell>
          <cell r="I565">
            <v>0</v>
          </cell>
          <cell r="J565">
            <v>255573.78</v>
          </cell>
          <cell r="K565">
            <v>94075.12</v>
          </cell>
        </row>
        <row r="567">
          <cell r="G567">
            <v>0</v>
          </cell>
          <cell r="H567">
            <v>0</v>
          </cell>
          <cell r="I567">
            <v>0</v>
          </cell>
          <cell r="J567">
            <v>0</v>
          </cell>
          <cell r="K567">
            <v>78164.22</v>
          </cell>
        </row>
        <row r="568">
          <cell r="G568">
            <v>0</v>
          </cell>
          <cell r="H568">
            <v>467770.15</v>
          </cell>
          <cell r="I568">
            <v>0</v>
          </cell>
          <cell r="J568">
            <v>467770.15</v>
          </cell>
          <cell r="K568">
            <v>0</v>
          </cell>
        </row>
        <row r="569">
          <cell r="G569">
            <v>0</v>
          </cell>
          <cell r="H569">
            <v>132631.46</v>
          </cell>
          <cell r="I569">
            <v>0</v>
          </cell>
          <cell r="J569">
            <v>132631.46</v>
          </cell>
          <cell r="K569">
            <v>0</v>
          </cell>
        </row>
        <row r="570">
          <cell r="G570">
            <v>0</v>
          </cell>
          <cell r="H570">
            <v>160455.04000000001</v>
          </cell>
          <cell r="I570">
            <v>0</v>
          </cell>
          <cell r="J570">
            <v>160455.04000000001</v>
          </cell>
          <cell r="K570">
            <v>0</v>
          </cell>
        </row>
        <row r="571">
          <cell r="G571">
            <v>0</v>
          </cell>
          <cell r="H571">
            <v>30688.17</v>
          </cell>
          <cell r="I571">
            <v>0</v>
          </cell>
          <cell r="J571">
            <v>30688.17</v>
          </cell>
          <cell r="K571">
            <v>0</v>
          </cell>
        </row>
        <row r="572">
          <cell r="G572">
            <v>0</v>
          </cell>
          <cell r="H572">
            <v>0</v>
          </cell>
          <cell r="I572">
            <v>0</v>
          </cell>
          <cell r="J572">
            <v>0</v>
          </cell>
          <cell r="K572">
            <v>254877.28</v>
          </cell>
        </row>
        <row r="573">
          <cell r="G573">
            <v>0</v>
          </cell>
          <cell r="H573">
            <v>0</v>
          </cell>
          <cell r="I573">
            <v>0</v>
          </cell>
          <cell r="J573">
            <v>0</v>
          </cell>
          <cell r="K573">
            <v>64893.06</v>
          </cell>
        </row>
        <row r="574">
          <cell r="G574">
            <v>0</v>
          </cell>
          <cell r="H574">
            <v>0</v>
          </cell>
          <cell r="I574">
            <v>0</v>
          </cell>
          <cell r="J574">
            <v>0</v>
          </cell>
          <cell r="K574">
            <v>24953.46</v>
          </cell>
        </row>
        <row r="575">
          <cell r="G575">
            <v>0</v>
          </cell>
          <cell r="H575">
            <v>0</v>
          </cell>
          <cell r="I575">
            <v>0</v>
          </cell>
          <cell r="J575">
            <v>0</v>
          </cell>
          <cell r="K575">
            <v>114.09</v>
          </cell>
        </row>
        <row r="576">
          <cell r="G576">
            <v>0</v>
          </cell>
          <cell r="H576">
            <v>213230.85</v>
          </cell>
          <cell r="I576">
            <v>0</v>
          </cell>
          <cell r="J576">
            <v>213230.85</v>
          </cell>
          <cell r="K576">
            <v>0</v>
          </cell>
        </row>
        <row r="577">
          <cell r="G577">
            <v>0</v>
          </cell>
          <cell r="H577">
            <v>10779.64</v>
          </cell>
          <cell r="I577">
            <v>0</v>
          </cell>
          <cell r="J577">
            <v>10779.64</v>
          </cell>
          <cell r="K577">
            <v>0</v>
          </cell>
        </row>
        <row r="578">
          <cell r="G578">
            <v>0</v>
          </cell>
          <cell r="H578">
            <v>0</v>
          </cell>
          <cell r="I578">
            <v>0</v>
          </cell>
          <cell r="J578">
            <v>0</v>
          </cell>
          <cell r="K578">
            <v>85316.47</v>
          </cell>
        </row>
        <row r="579">
          <cell r="G579">
            <v>0</v>
          </cell>
          <cell r="H579">
            <v>0</v>
          </cell>
          <cell r="I579">
            <v>0</v>
          </cell>
          <cell r="J579">
            <v>0</v>
          </cell>
          <cell r="K579">
            <v>1657</v>
          </cell>
        </row>
        <row r="580">
          <cell r="G580">
            <v>0</v>
          </cell>
          <cell r="H580">
            <v>0</v>
          </cell>
          <cell r="I580">
            <v>0</v>
          </cell>
          <cell r="J580">
            <v>0</v>
          </cell>
          <cell r="K580">
            <v>53711.06</v>
          </cell>
        </row>
        <row r="581">
          <cell r="G581">
            <v>0</v>
          </cell>
          <cell r="H581">
            <v>219716.04</v>
          </cell>
          <cell r="I581">
            <v>0</v>
          </cell>
          <cell r="J581">
            <v>219716.04</v>
          </cell>
          <cell r="K581">
            <v>0</v>
          </cell>
        </row>
        <row r="582">
          <cell r="G582">
            <v>0</v>
          </cell>
          <cell r="H582">
            <v>0</v>
          </cell>
          <cell r="I582">
            <v>0</v>
          </cell>
          <cell r="J582">
            <v>0</v>
          </cell>
          <cell r="K582">
            <v>-8429.6299999999992</v>
          </cell>
        </row>
        <row r="583">
          <cell r="G583">
            <v>0</v>
          </cell>
          <cell r="H583">
            <v>-8164.77</v>
          </cell>
          <cell r="I583">
            <v>0</v>
          </cell>
          <cell r="J583">
            <v>-8164.77</v>
          </cell>
          <cell r="K583">
            <v>0</v>
          </cell>
        </row>
        <row r="584">
          <cell r="G584">
            <v>0</v>
          </cell>
          <cell r="H584">
            <v>-1266.3399999999999</v>
          </cell>
          <cell r="I584">
            <v>0</v>
          </cell>
          <cell r="J584">
            <v>-1266.3399999999999</v>
          </cell>
          <cell r="K584">
            <v>0</v>
          </cell>
        </row>
        <row r="585">
          <cell r="G585">
            <v>0</v>
          </cell>
          <cell r="H585">
            <v>-1111.3900000000001</v>
          </cell>
          <cell r="I585">
            <v>0</v>
          </cell>
          <cell r="J585">
            <v>-1111.3900000000001</v>
          </cell>
          <cell r="K585">
            <v>0</v>
          </cell>
        </row>
        <row r="586">
          <cell r="G586">
            <v>0</v>
          </cell>
          <cell r="H586">
            <v>0</v>
          </cell>
          <cell r="I586">
            <v>0</v>
          </cell>
          <cell r="J586">
            <v>0</v>
          </cell>
          <cell r="K586">
            <v>-3662.3</v>
          </cell>
        </row>
        <row r="587">
          <cell r="G587">
            <v>0</v>
          </cell>
          <cell r="H587">
            <v>0</v>
          </cell>
          <cell r="I587">
            <v>0</v>
          </cell>
          <cell r="J587">
            <v>0</v>
          </cell>
          <cell r="K587">
            <v>-15835.49</v>
          </cell>
        </row>
        <row r="588">
          <cell r="G588">
            <v>0</v>
          </cell>
          <cell r="H588">
            <v>289557.86</v>
          </cell>
          <cell r="I588">
            <v>0</v>
          </cell>
          <cell r="J588">
            <v>289557.86</v>
          </cell>
          <cell r="K588">
            <v>0</v>
          </cell>
        </row>
        <row r="589">
          <cell r="G589">
            <v>0</v>
          </cell>
          <cell r="H589">
            <v>340751.86</v>
          </cell>
          <cell r="I589">
            <v>0</v>
          </cell>
          <cell r="J589">
            <v>340751.86</v>
          </cell>
          <cell r="K589">
            <v>0</v>
          </cell>
        </row>
        <row r="590">
          <cell r="G590">
            <v>0</v>
          </cell>
          <cell r="H590">
            <v>485.13</v>
          </cell>
          <cell r="I590">
            <v>0</v>
          </cell>
          <cell r="J590">
            <v>485.13</v>
          </cell>
          <cell r="K590">
            <v>0</v>
          </cell>
        </row>
        <row r="591">
          <cell r="G591">
            <v>0</v>
          </cell>
          <cell r="H591">
            <v>4218.1099999999997</v>
          </cell>
          <cell r="I591">
            <v>0</v>
          </cell>
          <cell r="J591">
            <v>4218.1099999999997</v>
          </cell>
          <cell r="K591">
            <v>0</v>
          </cell>
        </row>
        <row r="592">
          <cell r="G592">
            <v>0</v>
          </cell>
          <cell r="H592">
            <v>0</v>
          </cell>
          <cell r="I592">
            <v>0</v>
          </cell>
          <cell r="J592">
            <v>0</v>
          </cell>
          <cell r="K592">
            <v>2337.8000000000002</v>
          </cell>
        </row>
        <row r="593">
          <cell r="G593">
            <v>0</v>
          </cell>
          <cell r="H593">
            <v>69014</v>
          </cell>
          <cell r="I593">
            <v>0</v>
          </cell>
          <cell r="J593">
            <v>69014</v>
          </cell>
          <cell r="K593">
            <v>0</v>
          </cell>
        </row>
        <row r="594">
          <cell r="G594">
            <v>0</v>
          </cell>
          <cell r="H594">
            <v>5093.2700000000004</v>
          </cell>
          <cell r="I594">
            <v>0</v>
          </cell>
          <cell r="J594">
            <v>5093.2700000000004</v>
          </cell>
          <cell r="K594">
            <v>0</v>
          </cell>
        </row>
        <row r="595">
          <cell r="G595">
            <v>0</v>
          </cell>
          <cell r="H595">
            <v>68348.240000000005</v>
          </cell>
          <cell r="I595">
            <v>0</v>
          </cell>
          <cell r="J595">
            <v>68348.240000000005</v>
          </cell>
          <cell r="K595">
            <v>0</v>
          </cell>
        </row>
        <row r="596">
          <cell r="G596">
            <v>0</v>
          </cell>
          <cell r="H596">
            <v>4431.4399999999996</v>
          </cell>
          <cell r="I596">
            <v>0</v>
          </cell>
          <cell r="J596">
            <v>4431.4399999999996</v>
          </cell>
          <cell r="K596">
            <v>0</v>
          </cell>
        </row>
        <row r="597">
          <cell r="G597">
            <v>0</v>
          </cell>
          <cell r="H597">
            <v>539.9</v>
          </cell>
          <cell r="I597">
            <v>0</v>
          </cell>
          <cell r="J597">
            <v>539.9</v>
          </cell>
          <cell r="K597">
            <v>0</v>
          </cell>
        </row>
        <row r="598">
          <cell r="G598">
            <v>0</v>
          </cell>
          <cell r="H598">
            <v>1800</v>
          </cell>
          <cell r="I598">
            <v>0</v>
          </cell>
          <cell r="J598">
            <v>1800</v>
          </cell>
          <cell r="K598">
            <v>0</v>
          </cell>
        </row>
        <row r="599">
          <cell r="G599">
            <v>0</v>
          </cell>
          <cell r="H599">
            <v>0</v>
          </cell>
          <cell r="I599">
            <v>0</v>
          </cell>
          <cell r="J599">
            <v>0</v>
          </cell>
          <cell r="K599">
            <v>27898.74</v>
          </cell>
        </row>
        <row r="600">
          <cell r="G600">
            <v>0</v>
          </cell>
          <cell r="H600">
            <v>12918.39</v>
          </cell>
          <cell r="I600">
            <v>0</v>
          </cell>
          <cell r="J600">
            <v>12918.39</v>
          </cell>
          <cell r="K600">
            <v>0</v>
          </cell>
        </row>
        <row r="601">
          <cell r="G601">
            <v>0</v>
          </cell>
          <cell r="H601">
            <v>4544</v>
          </cell>
          <cell r="I601">
            <v>0</v>
          </cell>
          <cell r="J601">
            <v>4544</v>
          </cell>
          <cell r="K601">
            <v>0</v>
          </cell>
        </row>
        <row r="602">
          <cell r="G602">
            <v>0</v>
          </cell>
          <cell r="H602">
            <v>2400</v>
          </cell>
          <cell r="I602">
            <v>0</v>
          </cell>
          <cell r="J602">
            <v>2400</v>
          </cell>
          <cell r="K602">
            <v>0</v>
          </cell>
        </row>
        <row r="603">
          <cell r="G603">
            <v>0</v>
          </cell>
          <cell r="H603">
            <v>26400</v>
          </cell>
          <cell r="I603">
            <v>0</v>
          </cell>
          <cell r="J603">
            <v>26400</v>
          </cell>
          <cell r="K603">
            <v>0</v>
          </cell>
        </row>
        <row r="604">
          <cell r="G604">
            <v>0</v>
          </cell>
          <cell r="H604">
            <v>731.5</v>
          </cell>
          <cell r="I604">
            <v>0</v>
          </cell>
          <cell r="J604">
            <v>731.5</v>
          </cell>
          <cell r="K604">
            <v>0</v>
          </cell>
        </row>
        <row r="605">
          <cell r="G605">
            <v>0</v>
          </cell>
          <cell r="H605">
            <v>3738.3</v>
          </cell>
          <cell r="I605">
            <v>0</v>
          </cell>
          <cell r="J605">
            <v>3738.3</v>
          </cell>
          <cell r="K605">
            <v>0</v>
          </cell>
        </row>
        <row r="606">
          <cell r="G606">
            <v>0</v>
          </cell>
          <cell r="H606">
            <v>0</v>
          </cell>
          <cell r="I606">
            <v>0</v>
          </cell>
          <cell r="J606">
            <v>0</v>
          </cell>
          <cell r="K606">
            <v>17561.61</v>
          </cell>
        </row>
        <row r="607">
          <cell r="G607">
            <v>0</v>
          </cell>
          <cell r="H607">
            <v>0</v>
          </cell>
          <cell r="I607">
            <v>0</v>
          </cell>
          <cell r="J607">
            <v>0</v>
          </cell>
          <cell r="K607">
            <v>2863</v>
          </cell>
        </row>
        <row r="608">
          <cell r="G608">
            <v>0</v>
          </cell>
          <cell r="H608">
            <v>0</v>
          </cell>
          <cell r="I608">
            <v>0</v>
          </cell>
          <cell r="J608">
            <v>0</v>
          </cell>
          <cell r="K608">
            <v>3200</v>
          </cell>
        </row>
        <row r="609">
          <cell r="G609">
            <v>0</v>
          </cell>
          <cell r="H609">
            <v>0</v>
          </cell>
          <cell r="I609">
            <v>0</v>
          </cell>
          <cell r="J609">
            <v>0</v>
          </cell>
          <cell r="K609">
            <v>14030.2</v>
          </cell>
        </row>
        <row r="610">
          <cell r="G610">
            <v>0</v>
          </cell>
          <cell r="H610">
            <v>0</v>
          </cell>
          <cell r="I610">
            <v>0</v>
          </cell>
          <cell r="J610">
            <v>0</v>
          </cell>
          <cell r="K610">
            <v>14400</v>
          </cell>
        </row>
        <row r="611">
          <cell r="G611">
            <v>0</v>
          </cell>
          <cell r="H611">
            <v>0</v>
          </cell>
          <cell r="I611">
            <v>0</v>
          </cell>
          <cell r="J611">
            <v>0</v>
          </cell>
          <cell r="K611">
            <v>6800</v>
          </cell>
        </row>
        <row r="612">
          <cell r="G612">
            <v>0</v>
          </cell>
          <cell r="H612">
            <v>0</v>
          </cell>
          <cell r="I612">
            <v>0</v>
          </cell>
          <cell r="J612">
            <v>0</v>
          </cell>
          <cell r="K612">
            <v>2194.6</v>
          </cell>
        </row>
        <row r="613">
          <cell r="G613">
            <v>0</v>
          </cell>
          <cell r="H613">
            <v>0</v>
          </cell>
          <cell r="I613">
            <v>0</v>
          </cell>
          <cell r="J613">
            <v>0</v>
          </cell>
          <cell r="K613">
            <v>371.4</v>
          </cell>
        </row>
        <row r="614">
          <cell r="G614">
            <v>0</v>
          </cell>
          <cell r="H614">
            <v>0</v>
          </cell>
          <cell r="I614">
            <v>0</v>
          </cell>
          <cell r="J614">
            <v>0</v>
          </cell>
          <cell r="K614">
            <v>2311.5</v>
          </cell>
        </row>
        <row r="615">
          <cell r="G615">
            <v>0</v>
          </cell>
          <cell r="H615">
            <v>0</v>
          </cell>
          <cell r="I615">
            <v>0</v>
          </cell>
          <cell r="J615">
            <v>0</v>
          </cell>
          <cell r="K615">
            <v>3740</v>
          </cell>
        </row>
        <row r="616">
          <cell r="G616">
            <v>0</v>
          </cell>
          <cell r="H616">
            <v>0</v>
          </cell>
          <cell r="I616">
            <v>0</v>
          </cell>
          <cell r="J616">
            <v>0</v>
          </cell>
          <cell r="K616">
            <v>48962.17</v>
          </cell>
        </row>
        <row r="617">
          <cell r="G617">
            <v>0</v>
          </cell>
          <cell r="H617">
            <v>0</v>
          </cell>
          <cell r="I617">
            <v>0</v>
          </cell>
          <cell r="J617">
            <v>0</v>
          </cell>
          <cell r="K617">
            <v>1668.74</v>
          </cell>
        </row>
        <row r="618">
          <cell r="G618">
            <v>0</v>
          </cell>
          <cell r="H618">
            <v>0</v>
          </cell>
          <cell r="I618">
            <v>0</v>
          </cell>
          <cell r="J618">
            <v>0</v>
          </cell>
          <cell r="K618">
            <v>2120</v>
          </cell>
        </row>
        <row r="619">
          <cell r="G619">
            <v>0</v>
          </cell>
          <cell r="H619">
            <v>0</v>
          </cell>
          <cell r="I619">
            <v>0</v>
          </cell>
          <cell r="J619">
            <v>0</v>
          </cell>
          <cell r="K619">
            <v>16305.2</v>
          </cell>
        </row>
        <row r="620">
          <cell r="G620">
            <v>0</v>
          </cell>
          <cell r="H620">
            <v>756.71</v>
          </cell>
          <cell r="I620">
            <v>0</v>
          </cell>
          <cell r="J620">
            <v>756.71</v>
          </cell>
          <cell r="K620">
            <v>0</v>
          </cell>
        </row>
        <row r="621">
          <cell r="G621">
            <v>0</v>
          </cell>
          <cell r="H621">
            <v>1862.2</v>
          </cell>
          <cell r="I621">
            <v>0</v>
          </cell>
          <cell r="J621">
            <v>1862.2</v>
          </cell>
          <cell r="K621">
            <v>0</v>
          </cell>
        </row>
        <row r="622">
          <cell r="G622">
            <v>0</v>
          </cell>
          <cell r="H622">
            <v>0</v>
          </cell>
          <cell r="I622">
            <v>0</v>
          </cell>
          <cell r="J622">
            <v>0</v>
          </cell>
          <cell r="K622">
            <v>242.3</v>
          </cell>
        </row>
        <row r="623">
          <cell r="G623">
            <v>0</v>
          </cell>
          <cell r="H623">
            <v>72453.36</v>
          </cell>
          <cell r="I623">
            <v>0</v>
          </cell>
          <cell r="J623">
            <v>72453.36</v>
          </cell>
          <cell r="K623">
            <v>0</v>
          </cell>
        </row>
        <row r="624">
          <cell r="G624">
            <v>0</v>
          </cell>
          <cell r="H624">
            <v>0</v>
          </cell>
          <cell r="I624">
            <v>0</v>
          </cell>
          <cell r="J624">
            <v>0</v>
          </cell>
          <cell r="K624">
            <v>15796.04</v>
          </cell>
        </row>
        <row r="625">
          <cell r="G625">
            <v>0</v>
          </cell>
          <cell r="H625">
            <v>5148</v>
          </cell>
          <cell r="I625">
            <v>0</v>
          </cell>
          <cell r="J625">
            <v>5148</v>
          </cell>
          <cell r="K625">
            <v>0</v>
          </cell>
        </row>
        <row r="626">
          <cell r="G626">
            <v>0</v>
          </cell>
          <cell r="H626">
            <v>11791.81</v>
          </cell>
          <cell r="I626">
            <v>0</v>
          </cell>
          <cell r="J626">
            <v>11791.81</v>
          </cell>
          <cell r="K626">
            <v>0</v>
          </cell>
        </row>
        <row r="627">
          <cell r="G627">
            <v>0</v>
          </cell>
          <cell r="H627">
            <v>1805</v>
          </cell>
          <cell r="I627">
            <v>0</v>
          </cell>
          <cell r="J627">
            <v>1805</v>
          </cell>
          <cell r="K627">
            <v>0</v>
          </cell>
        </row>
        <row r="628">
          <cell r="G628">
            <v>0</v>
          </cell>
          <cell r="H628">
            <v>5853.54</v>
          </cell>
          <cell r="I628">
            <v>0</v>
          </cell>
          <cell r="J628">
            <v>5853.54</v>
          </cell>
          <cell r="K628">
            <v>0</v>
          </cell>
        </row>
        <row r="629">
          <cell r="G629">
            <v>0</v>
          </cell>
          <cell r="H629">
            <v>15754.29</v>
          </cell>
          <cell r="I629">
            <v>0</v>
          </cell>
          <cell r="J629">
            <v>15754.29</v>
          </cell>
          <cell r="K629">
            <v>0</v>
          </cell>
        </row>
        <row r="630">
          <cell r="G630">
            <v>0</v>
          </cell>
          <cell r="H630">
            <v>54867.68</v>
          </cell>
          <cell r="I630">
            <v>0</v>
          </cell>
          <cell r="J630">
            <v>54867.68</v>
          </cell>
          <cell r="K630">
            <v>0</v>
          </cell>
        </row>
        <row r="631">
          <cell r="G631">
            <v>0</v>
          </cell>
          <cell r="H631">
            <v>0</v>
          </cell>
          <cell r="I631">
            <v>0</v>
          </cell>
          <cell r="J631">
            <v>0</v>
          </cell>
          <cell r="K631">
            <v>11557.41</v>
          </cell>
        </row>
        <row r="632">
          <cell r="G632">
            <v>0</v>
          </cell>
          <cell r="H632">
            <v>0</v>
          </cell>
          <cell r="I632">
            <v>0</v>
          </cell>
          <cell r="J632">
            <v>0</v>
          </cell>
          <cell r="K632">
            <v>3537.26</v>
          </cell>
        </row>
        <row r="633">
          <cell r="G633">
            <v>0</v>
          </cell>
          <cell r="H633">
            <v>0</v>
          </cell>
          <cell r="I633">
            <v>0</v>
          </cell>
          <cell r="J633">
            <v>0</v>
          </cell>
          <cell r="K633">
            <v>11819.4</v>
          </cell>
        </row>
        <row r="634">
          <cell r="G634">
            <v>0</v>
          </cell>
          <cell r="H634">
            <v>0</v>
          </cell>
          <cell r="I634">
            <v>0</v>
          </cell>
          <cell r="J634">
            <v>0</v>
          </cell>
          <cell r="K634">
            <v>721.55</v>
          </cell>
        </row>
        <row r="635">
          <cell r="G635">
            <v>0</v>
          </cell>
          <cell r="H635">
            <v>0</v>
          </cell>
          <cell r="I635">
            <v>0</v>
          </cell>
          <cell r="J635">
            <v>0</v>
          </cell>
          <cell r="K635">
            <v>41481.67</v>
          </cell>
        </row>
        <row r="636">
          <cell r="G636">
            <v>0</v>
          </cell>
          <cell r="H636">
            <v>0</v>
          </cell>
          <cell r="I636">
            <v>0</v>
          </cell>
          <cell r="J636">
            <v>0</v>
          </cell>
          <cell r="K636">
            <v>3028.65</v>
          </cell>
        </row>
        <row r="637">
          <cell r="G637">
            <v>0</v>
          </cell>
          <cell r="H637">
            <v>25536.03</v>
          </cell>
          <cell r="I637">
            <v>0</v>
          </cell>
          <cell r="J637">
            <v>25536.03</v>
          </cell>
          <cell r="K637">
            <v>0</v>
          </cell>
        </row>
        <row r="638">
          <cell r="G638">
            <v>0</v>
          </cell>
          <cell r="H638">
            <v>16870.62</v>
          </cell>
          <cell r="I638">
            <v>0</v>
          </cell>
          <cell r="J638">
            <v>16870.62</v>
          </cell>
          <cell r="K638">
            <v>0</v>
          </cell>
        </row>
        <row r="639">
          <cell r="G639">
            <v>0</v>
          </cell>
          <cell r="H639">
            <v>323.02</v>
          </cell>
          <cell r="I639">
            <v>0</v>
          </cell>
          <cell r="J639">
            <v>323.02</v>
          </cell>
          <cell r="K639">
            <v>0</v>
          </cell>
        </row>
        <row r="640">
          <cell r="G640">
            <v>0</v>
          </cell>
          <cell r="H640">
            <v>140995.79</v>
          </cell>
          <cell r="I640">
            <v>0</v>
          </cell>
          <cell r="J640">
            <v>140995.79</v>
          </cell>
          <cell r="K640">
            <v>0</v>
          </cell>
        </row>
        <row r="641">
          <cell r="G641">
            <v>0</v>
          </cell>
          <cell r="H641">
            <v>162963.49</v>
          </cell>
          <cell r="I641">
            <v>0</v>
          </cell>
          <cell r="J641">
            <v>162963.49</v>
          </cell>
          <cell r="K641">
            <v>0</v>
          </cell>
        </row>
        <row r="642">
          <cell r="G642">
            <v>0</v>
          </cell>
          <cell r="H642">
            <v>11390.99</v>
          </cell>
          <cell r="I642">
            <v>0</v>
          </cell>
          <cell r="J642">
            <v>11390.99</v>
          </cell>
          <cell r="K642">
            <v>0</v>
          </cell>
        </row>
        <row r="643">
          <cell r="G643">
            <v>0</v>
          </cell>
          <cell r="H643">
            <v>70925.87</v>
          </cell>
          <cell r="I643">
            <v>0</v>
          </cell>
          <cell r="J643">
            <v>70925.87</v>
          </cell>
          <cell r="K643">
            <v>0</v>
          </cell>
        </row>
        <row r="644">
          <cell r="G644">
            <v>0</v>
          </cell>
          <cell r="H644">
            <v>0</v>
          </cell>
          <cell r="I644">
            <v>0</v>
          </cell>
          <cell r="J644">
            <v>0</v>
          </cell>
          <cell r="K644">
            <v>110760.25</v>
          </cell>
        </row>
        <row r="645">
          <cell r="G645">
            <v>0</v>
          </cell>
          <cell r="H645">
            <v>0</v>
          </cell>
          <cell r="I645">
            <v>0</v>
          </cell>
          <cell r="J645">
            <v>0</v>
          </cell>
          <cell r="K645">
            <v>5474.33</v>
          </cell>
        </row>
        <row r="646">
          <cell r="G646">
            <v>0</v>
          </cell>
          <cell r="H646">
            <v>0</v>
          </cell>
          <cell r="I646">
            <v>0</v>
          </cell>
          <cell r="J646">
            <v>0</v>
          </cell>
          <cell r="K646">
            <v>9842.8700000000008</v>
          </cell>
        </row>
        <row r="647">
          <cell r="G647">
            <v>0</v>
          </cell>
          <cell r="H647">
            <v>0</v>
          </cell>
          <cell r="I647">
            <v>0</v>
          </cell>
          <cell r="J647">
            <v>0</v>
          </cell>
          <cell r="K647">
            <v>11930.73</v>
          </cell>
        </row>
        <row r="648">
          <cell r="G648">
            <v>0</v>
          </cell>
          <cell r="H648">
            <v>0</v>
          </cell>
          <cell r="I648">
            <v>0</v>
          </cell>
          <cell r="J648">
            <v>0</v>
          </cell>
          <cell r="K648">
            <v>45301.48</v>
          </cell>
        </row>
        <row r="649">
          <cell r="G649">
            <v>0</v>
          </cell>
          <cell r="H649">
            <v>0</v>
          </cell>
          <cell r="I649">
            <v>0</v>
          </cell>
          <cell r="J649">
            <v>0</v>
          </cell>
          <cell r="K649">
            <v>136381.76999999999</v>
          </cell>
        </row>
        <row r="650">
          <cell r="G650">
            <v>0</v>
          </cell>
          <cell r="H650">
            <v>0</v>
          </cell>
          <cell r="I650">
            <v>0</v>
          </cell>
          <cell r="J650">
            <v>0</v>
          </cell>
          <cell r="K650">
            <v>10816.95</v>
          </cell>
        </row>
        <row r="651">
          <cell r="G651">
            <v>0</v>
          </cell>
          <cell r="H651">
            <v>0</v>
          </cell>
          <cell r="I651">
            <v>0</v>
          </cell>
          <cell r="J651">
            <v>0</v>
          </cell>
          <cell r="K651">
            <v>18660.38</v>
          </cell>
        </row>
        <row r="652">
          <cell r="G652">
            <v>0</v>
          </cell>
          <cell r="H652">
            <v>0</v>
          </cell>
          <cell r="I652">
            <v>0</v>
          </cell>
          <cell r="J652">
            <v>0</v>
          </cell>
          <cell r="K652">
            <v>45254.77</v>
          </cell>
        </row>
        <row r="653">
          <cell r="G653">
            <v>0</v>
          </cell>
          <cell r="H653">
            <v>69312.009999999995</v>
          </cell>
          <cell r="I653">
            <v>0</v>
          </cell>
          <cell r="J653">
            <v>69312.009999999995</v>
          </cell>
          <cell r="K653">
            <v>0</v>
          </cell>
        </row>
        <row r="654">
          <cell r="G654">
            <v>0</v>
          </cell>
          <cell r="H654">
            <v>2912.72</v>
          </cell>
          <cell r="I654">
            <v>0</v>
          </cell>
          <cell r="J654">
            <v>2912.72</v>
          </cell>
          <cell r="K654">
            <v>0</v>
          </cell>
        </row>
        <row r="655">
          <cell r="G655">
            <v>0</v>
          </cell>
          <cell r="H655">
            <v>8894.31</v>
          </cell>
          <cell r="I655">
            <v>0</v>
          </cell>
          <cell r="J655">
            <v>8894.31</v>
          </cell>
          <cell r="K655">
            <v>0</v>
          </cell>
        </row>
        <row r="656">
          <cell r="G656">
            <v>0</v>
          </cell>
          <cell r="H656">
            <v>23493.8</v>
          </cell>
          <cell r="I656">
            <v>0</v>
          </cell>
          <cell r="J656">
            <v>23493.8</v>
          </cell>
          <cell r="K656">
            <v>0</v>
          </cell>
        </row>
        <row r="657">
          <cell r="G657">
            <v>0</v>
          </cell>
          <cell r="H657">
            <v>54629.2</v>
          </cell>
          <cell r="I657">
            <v>0</v>
          </cell>
          <cell r="J657">
            <v>54629.2</v>
          </cell>
          <cell r="K657">
            <v>0</v>
          </cell>
        </row>
        <row r="658">
          <cell r="G658">
            <v>0</v>
          </cell>
          <cell r="H658">
            <v>91172.87</v>
          </cell>
          <cell r="I658">
            <v>0</v>
          </cell>
          <cell r="J658">
            <v>91172.87</v>
          </cell>
          <cell r="K658">
            <v>0</v>
          </cell>
        </row>
        <row r="659">
          <cell r="G659">
            <v>0</v>
          </cell>
          <cell r="H659">
            <v>24021.34</v>
          </cell>
          <cell r="I659">
            <v>0</v>
          </cell>
          <cell r="J659">
            <v>24021.34</v>
          </cell>
          <cell r="K659">
            <v>0</v>
          </cell>
        </row>
        <row r="660">
          <cell r="G660">
            <v>0</v>
          </cell>
          <cell r="H660">
            <v>53884.800000000003</v>
          </cell>
          <cell r="I660">
            <v>0</v>
          </cell>
          <cell r="J660">
            <v>53884.800000000003</v>
          </cell>
          <cell r="K660">
            <v>0</v>
          </cell>
        </row>
        <row r="661">
          <cell r="G661">
            <v>0</v>
          </cell>
          <cell r="H661">
            <v>12235.75</v>
          </cell>
          <cell r="I661">
            <v>0</v>
          </cell>
          <cell r="J661">
            <v>12235.75</v>
          </cell>
          <cell r="K661">
            <v>0</v>
          </cell>
        </row>
        <row r="662">
          <cell r="G662">
            <v>0</v>
          </cell>
          <cell r="H662">
            <v>11327.64</v>
          </cell>
          <cell r="I662">
            <v>0</v>
          </cell>
          <cell r="J662">
            <v>11327.64</v>
          </cell>
          <cell r="K662">
            <v>0</v>
          </cell>
        </row>
        <row r="663">
          <cell r="G663">
            <v>0</v>
          </cell>
          <cell r="H663">
            <v>2569.1799999999998</v>
          </cell>
          <cell r="I663">
            <v>0</v>
          </cell>
          <cell r="J663">
            <v>2569.1799999999998</v>
          </cell>
          <cell r="K663">
            <v>0</v>
          </cell>
        </row>
        <row r="664">
          <cell r="G664">
            <v>0</v>
          </cell>
          <cell r="H664">
            <v>6128.73</v>
          </cell>
          <cell r="I664">
            <v>0</v>
          </cell>
          <cell r="J664">
            <v>6128.73</v>
          </cell>
          <cell r="K664">
            <v>0</v>
          </cell>
        </row>
        <row r="665">
          <cell r="G665">
            <v>0</v>
          </cell>
          <cell r="H665">
            <v>73608.539999999994</v>
          </cell>
          <cell r="I665">
            <v>0</v>
          </cell>
          <cell r="J665">
            <v>73608.539999999994</v>
          </cell>
          <cell r="K665">
            <v>0</v>
          </cell>
        </row>
        <row r="666">
          <cell r="G666">
            <v>0</v>
          </cell>
          <cell r="H666">
            <v>6283.59</v>
          </cell>
          <cell r="I666">
            <v>0</v>
          </cell>
          <cell r="J666">
            <v>6283.59</v>
          </cell>
          <cell r="K666">
            <v>0</v>
          </cell>
        </row>
        <row r="667">
          <cell r="G667">
            <v>0</v>
          </cell>
          <cell r="H667">
            <v>4391.66</v>
          </cell>
          <cell r="I667">
            <v>0</v>
          </cell>
          <cell r="J667">
            <v>4391.66</v>
          </cell>
          <cell r="K667">
            <v>0</v>
          </cell>
        </row>
        <row r="668">
          <cell r="G668">
            <v>0</v>
          </cell>
          <cell r="H668">
            <v>39</v>
          </cell>
          <cell r="I668">
            <v>0</v>
          </cell>
          <cell r="J668">
            <v>39</v>
          </cell>
          <cell r="K668">
            <v>0</v>
          </cell>
        </row>
        <row r="669">
          <cell r="G669">
            <v>0</v>
          </cell>
          <cell r="H669">
            <v>5726.8</v>
          </cell>
          <cell r="I669">
            <v>0</v>
          </cell>
          <cell r="J669">
            <v>5726.8</v>
          </cell>
          <cell r="K669">
            <v>0</v>
          </cell>
        </row>
        <row r="670">
          <cell r="G670">
            <v>0</v>
          </cell>
          <cell r="H670">
            <v>7740.69</v>
          </cell>
          <cell r="I670">
            <v>0</v>
          </cell>
          <cell r="J670">
            <v>7740.69</v>
          </cell>
          <cell r="K670">
            <v>0</v>
          </cell>
        </row>
        <row r="671">
          <cell r="G671">
            <v>0</v>
          </cell>
          <cell r="H671">
            <v>0</v>
          </cell>
          <cell r="I671">
            <v>0</v>
          </cell>
          <cell r="J671">
            <v>0</v>
          </cell>
          <cell r="K671">
            <v>3219.55</v>
          </cell>
        </row>
        <row r="672">
          <cell r="G672">
            <v>0</v>
          </cell>
          <cell r="H672">
            <v>0</v>
          </cell>
          <cell r="I672">
            <v>0</v>
          </cell>
          <cell r="J672">
            <v>0</v>
          </cell>
          <cell r="K672">
            <v>9201.06</v>
          </cell>
        </row>
        <row r="673">
          <cell r="G673">
            <v>0</v>
          </cell>
          <cell r="H673">
            <v>0</v>
          </cell>
          <cell r="I673">
            <v>0</v>
          </cell>
          <cell r="J673">
            <v>0</v>
          </cell>
          <cell r="K673">
            <v>70056.89</v>
          </cell>
        </row>
        <row r="674">
          <cell r="G674">
            <v>0</v>
          </cell>
          <cell r="H674">
            <v>0</v>
          </cell>
          <cell r="I674">
            <v>0</v>
          </cell>
          <cell r="J674">
            <v>0</v>
          </cell>
          <cell r="K674">
            <v>6855.47</v>
          </cell>
        </row>
        <row r="675">
          <cell r="G675">
            <v>0</v>
          </cell>
          <cell r="H675">
            <v>0</v>
          </cell>
          <cell r="I675">
            <v>0</v>
          </cell>
          <cell r="J675">
            <v>0</v>
          </cell>
          <cell r="K675">
            <v>61</v>
          </cell>
        </row>
        <row r="676">
          <cell r="G676">
            <v>0</v>
          </cell>
          <cell r="H676">
            <v>0</v>
          </cell>
          <cell r="I676">
            <v>0</v>
          </cell>
          <cell r="J676">
            <v>0</v>
          </cell>
          <cell r="K676">
            <v>5585.55</v>
          </cell>
        </row>
        <row r="677">
          <cell r="G677">
            <v>0</v>
          </cell>
          <cell r="H677">
            <v>0</v>
          </cell>
          <cell r="I677">
            <v>0</v>
          </cell>
          <cell r="J677">
            <v>0</v>
          </cell>
          <cell r="K677">
            <v>7626.2</v>
          </cell>
        </row>
        <row r="678">
          <cell r="G678">
            <v>0</v>
          </cell>
          <cell r="H678">
            <v>0</v>
          </cell>
          <cell r="I678">
            <v>0</v>
          </cell>
          <cell r="J678">
            <v>0</v>
          </cell>
          <cell r="K678">
            <v>9129.2099999999991</v>
          </cell>
        </row>
        <row r="679">
          <cell r="G679">
            <v>0</v>
          </cell>
          <cell r="H679">
            <v>0</v>
          </cell>
          <cell r="I679">
            <v>0</v>
          </cell>
          <cell r="J679">
            <v>0</v>
          </cell>
          <cell r="K679">
            <v>19489.919999999998</v>
          </cell>
        </row>
        <row r="680">
          <cell r="G680">
            <v>0</v>
          </cell>
          <cell r="H680">
            <v>0</v>
          </cell>
          <cell r="I680">
            <v>0</v>
          </cell>
          <cell r="J680">
            <v>0</v>
          </cell>
          <cell r="K680">
            <v>5298.74</v>
          </cell>
        </row>
        <row r="681">
          <cell r="G681">
            <v>0</v>
          </cell>
          <cell r="H681">
            <v>0</v>
          </cell>
          <cell r="I681">
            <v>0</v>
          </cell>
          <cell r="J681">
            <v>0</v>
          </cell>
          <cell r="K681">
            <v>2757.08</v>
          </cell>
        </row>
        <row r="682">
          <cell r="G682">
            <v>0</v>
          </cell>
          <cell r="H682">
            <v>0</v>
          </cell>
          <cell r="I682">
            <v>0</v>
          </cell>
          <cell r="J682">
            <v>0</v>
          </cell>
          <cell r="K682">
            <v>217.95</v>
          </cell>
        </row>
        <row r="683">
          <cell r="G683">
            <v>0</v>
          </cell>
          <cell r="H683">
            <v>62198.400000000001</v>
          </cell>
          <cell r="I683">
            <v>0</v>
          </cell>
          <cell r="J683">
            <v>62198.400000000001</v>
          </cell>
          <cell r="K683">
            <v>0</v>
          </cell>
        </row>
        <row r="684">
          <cell r="G684">
            <v>0</v>
          </cell>
          <cell r="H684">
            <v>9788.44</v>
          </cell>
          <cell r="I684">
            <v>0</v>
          </cell>
          <cell r="J684">
            <v>9788.44</v>
          </cell>
          <cell r="K684">
            <v>0</v>
          </cell>
        </row>
        <row r="685">
          <cell r="G685">
            <v>0</v>
          </cell>
          <cell r="H685">
            <v>28997.86</v>
          </cell>
          <cell r="I685">
            <v>0</v>
          </cell>
          <cell r="J685">
            <v>28997.86</v>
          </cell>
          <cell r="K685">
            <v>0</v>
          </cell>
        </row>
        <row r="686">
          <cell r="G686">
            <v>0</v>
          </cell>
          <cell r="H686">
            <v>2499.98</v>
          </cell>
          <cell r="I686">
            <v>0</v>
          </cell>
          <cell r="J686">
            <v>2499.98</v>
          </cell>
          <cell r="K686">
            <v>0</v>
          </cell>
        </row>
        <row r="687">
          <cell r="G687">
            <v>0</v>
          </cell>
          <cell r="H687">
            <v>125.01</v>
          </cell>
          <cell r="I687">
            <v>0</v>
          </cell>
          <cell r="J687">
            <v>125.01</v>
          </cell>
          <cell r="K687">
            <v>0</v>
          </cell>
        </row>
        <row r="688">
          <cell r="G688">
            <v>0</v>
          </cell>
          <cell r="H688">
            <v>0</v>
          </cell>
          <cell r="I688">
            <v>0</v>
          </cell>
          <cell r="J688">
            <v>0</v>
          </cell>
          <cell r="K688">
            <v>2500</v>
          </cell>
        </row>
        <row r="689">
          <cell r="G689">
            <v>0</v>
          </cell>
          <cell r="H689">
            <v>0</v>
          </cell>
          <cell r="I689">
            <v>0</v>
          </cell>
          <cell r="J689">
            <v>0</v>
          </cell>
          <cell r="K689">
            <v>6377.45</v>
          </cell>
        </row>
        <row r="690">
          <cell r="G690">
            <v>0</v>
          </cell>
          <cell r="H690">
            <v>0</v>
          </cell>
          <cell r="I690">
            <v>0</v>
          </cell>
          <cell r="J690">
            <v>0</v>
          </cell>
          <cell r="K690">
            <v>429.3</v>
          </cell>
        </row>
        <row r="691">
          <cell r="G691">
            <v>0</v>
          </cell>
          <cell r="H691">
            <v>0</v>
          </cell>
          <cell r="I691">
            <v>0</v>
          </cell>
          <cell r="J691">
            <v>0</v>
          </cell>
          <cell r="K691">
            <v>29523.15</v>
          </cell>
        </row>
        <row r="692">
          <cell r="G692">
            <v>0</v>
          </cell>
          <cell r="H692">
            <v>0</v>
          </cell>
          <cell r="I692">
            <v>0</v>
          </cell>
          <cell r="J692">
            <v>0</v>
          </cell>
          <cell r="K692">
            <v>98400.6</v>
          </cell>
        </row>
        <row r="693">
          <cell r="G693">
            <v>0</v>
          </cell>
          <cell r="H693">
            <v>843978.03</v>
          </cell>
          <cell r="I693">
            <v>0</v>
          </cell>
          <cell r="J693">
            <v>843978.03</v>
          </cell>
          <cell r="K693">
            <v>0</v>
          </cell>
        </row>
        <row r="694">
          <cell r="G694">
            <v>0</v>
          </cell>
          <cell r="H694">
            <v>78952.7</v>
          </cell>
          <cell r="I694">
            <v>0</v>
          </cell>
          <cell r="J694">
            <v>78952.7</v>
          </cell>
          <cell r="K694">
            <v>0</v>
          </cell>
        </row>
        <row r="695">
          <cell r="G695">
            <v>0</v>
          </cell>
          <cell r="H695">
            <v>87823.81</v>
          </cell>
          <cell r="I695">
            <v>0</v>
          </cell>
          <cell r="J695">
            <v>87823.81</v>
          </cell>
          <cell r="K695">
            <v>0</v>
          </cell>
        </row>
        <row r="696">
          <cell r="G696">
            <v>0</v>
          </cell>
          <cell r="H696">
            <v>14977</v>
          </cell>
          <cell r="I696">
            <v>0</v>
          </cell>
          <cell r="J696">
            <v>14977</v>
          </cell>
          <cell r="K696">
            <v>0</v>
          </cell>
        </row>
        <row r="697">
          <cell r="G697">
            <v>0</v>
          </cell>
          <cell r="H697">
            <v>1025</v>
          </cell>
          <cell r="I697">
            <v>0</v>
          </cell>
          <cell r="J697">
            <v>1025</v>
          </cell>
          <cell r="K697">
            <v>0</v>
          </cell>
        </row>
        <row r="698">
          <cell r="G698">
            <v>0</v>
          </cell>
          <cell r="H698">
            <v>4054.43</v>
          </cell>
          <cell r="I698">
            <v>0</v>
          </cell>
          <cell r="J698">
            <v>4054.43</v>
          </cell>
          <cell r="K698">
            <v>0</v>
          </cell>
        </row>
        <row r="699">
          <cell r="G699">
            <v>0</v>
          </cell>
          <cell r="H699">
            <v>68956.17</v>
          </cell>
          <cell r="I699">
            <v>0</v>
          </cell>
          <cell r="J699">
            <v>68956.17</v>
          </cell>
          <cell r="K699">
            <v>0</v>
          </cell>
        </row>
        <row r="700">
          <cell r="G700">
            <v>0</v>
          </cell>
          <cell r="H700">
            <v>14342.07</v>
          </cell>
          <cell r="I700">
            <v>0</v>
          </cell>
          <cell r="J700">
            <v>14342.07</v>
          </cell>
          <cell r="K700">
            <v>0</v>
          </cell>
        </row>
        <row r="701">
          <cell r="G701">
            <v>0</v>
          </cell>
          <cell r="H701">
            <v>24965.25</v>
          </cell>
          <cell r="I701">
            <v>0</v>
          </cell>
          <cell r="J701">
            <v>24965.25</v>
          </cell>
          <cell r="K701">
            <v>0</v>
          </cell>
        </row>
        <row r="702">
          <cell r="G702">
            <v>0</v>
          </cell>
          <cell r="H702">
            <v>2083.1</v>
          </cell>
          <cell r="I702">
            <v>0</v>
          </cell>
          <cell r="J702">
            <v>2083.1</v>
          </cell>
          <cell r="K702">
            <v>0</v>
          </cell>
        </row>
        <row r="703">
          <cell r="G703">
            <v>0</v>
          </cell>
          <cell r="H703">
            <v>980</v>
          </cell>
          <cell r="I703">
            <v>0</v>
          </cell>
          <cell r="J703">
            <v>980</v>
          </cell>
          <cell r="K703">
            <v>0</v>
          </cell>
        </row>
        <row r="704">
          <cell r="G704">
            <v>0</v>
          </cell>
          <cell r="H704">
            <v>413771.82</v>
          </cell>
          <cell r="I704">
            <v>0</v>
          </cell>
          <cell r="J704">
            <v>413771.82</v>
          </cell>
          <cell r="K704">
            <v>0</v>
          </cell>
        </row>
        <row r="705">
          <cell r="G705">
            <v>0</v>
          </cell>
          <cell r="H705">
            <v>0</v>
          </cell>
          <cell r="I705">
            <v>0</v>
          </cell>
          <cell r="J705">
            <v>0</v>
          </cell>
          <cell r="K705">
            <v>792046.9</v>
          </cell>
        </row>
        <row r="706">
          <cell r="G706">
            <v>0</v>
          </cell>
          <cell r="H706">
            <v>0</v>
          </cell>
          <cell r="I706">
            <v>0</v>
          </cell>
          <cell r="J706">
            <v>0</v>
          </cell>
          <cell r="K706">
            <v>94804.32</v>
          </cell>
        </row>
        <row r="707">
          <cell r="G707">
            <v>0</v>
          </cell>
          <cell r="H707">
            <v>0</v>
          </cell>
          <cell r="I707">
            <v>0</v>
          </cell>
          <cell r="J707">
            <v>0</v>
          </cell>
          <cell r="K707">
            <v>22754.21</v>
          </cell>
        </row>
        <row r="708">
          <cell r="G708">
            <v>0</v>
          </cell>
          <cell r="H708">
            <v>0</v>
          </cell>
          <cell r="I708">
            <v>0</v>
          </cell>
          <cell r="J708">
            <v>0</v>
          </cell>
          <cell r="K708">
            <v>2120.42</v>
          </cell>
        </row>
        <row r="709">
          <cell r="G709">
            <v>0</v>
          </cell>
          <cell r="H709">
            <v>0</v>
          </cell>
          <cell r="I709">
            <v>0</v>
          </cell>
          <cell r="J709">
            <v>0</v>
          </cell>
          <cell r="K709">
            <v>286.02999999999997</v>
          </cell>
        </row>
        <row r="710">
          <cell r="G710">
            <v>0</v>
          </cell>
          <cell r="H710">
            <v>0</v>
          </cell>
          <cell r="I710">
            <v>0</v>
          </cell>
          <cell r="J710">
            <v>0</v>
          </cell>
          <cell r="K710">
            <v>20733.34</v>
          </cell>
        </row>
        <row r="711">
          <cell r="G711">
            <v>0</v>
          </cell>
          <cell r="H711">
            <v>620.69000000000005</v>
          </cell>
          <cell r="I711">
            <v>0</v>
          </cell>
          <cell r="J711">
            <v>620.69000000000005</v>
          </cell>
          <cell r="K711">
            <v>0</v>
          </cell>
        </row>
        <row r="712">
          <cell r="G712">
            <v>0</v>
          </cell>
          <cell r="H712">
            <v>1632.96</v>
          </cell>
          <cell r="I712">
            <v>0</v>
          </cell>
          <cell r="J712">
            <v>1632.96</v>
          </cell>
          <cell r="K712">
            <v>0</v>
          </cell>
        </row>
        <row r="713">
          <cell r="G713">
            <v>0</v>
          </cell>
          <cell r="H713">
            <v>3064.3</v>
          </cell>
          <cell r="I713">
            <v>0</v>
          </cell>
          <cell r="J713">
            <v>3064.3</v>
          </cell>
          <cell r="K713">
            <v>0</v>
          </cell>
        </row>
        <row r="714">
          <cell r="G714">
            <v>0</v>
          </cell>
          <cell r="H714">
            <v>0</v>
          </cell>
          <cell r="I714">
            <v>0</v>
          </cell>
          <cell r="J714">
            <v>0</v>
          </cell>
          <cell r="K714">
            <v>8893.67</v>
          </cell>
        </row>
        <row r="715">
          <cell r="G715">
            <v>0</v>
          </cell>
          <cell r="H715">
            <v>184418.65</v>
          </cell>
          <cell r="I715">
            <v>0</v>
          </cell>
          <cell r="J715">
            <v>184418.65</v>
          </cell>
          <cell r="K715">
            <v>0</v>
          </cell>
        </row>
        <row r="716">
          <cell r="G716">
            <v>0</v>
          </cell>
          <cell r="H716">
            <v>4314.67</v>
          </cell>
          <cell r="I716">
            <v>0</v>
          </cell>
          <cell r="J716">
            <v>4314.67</v>
          </cell>
          <cell r="K716">
            <v>0</v>
          </cell>
        </row>
        <row r="717">
          <cell r="G717">
            <v>0</v>
          </cell>
          <cell r="H717">
            <v>0</v>
          </cell>
          <cell r="I717">
            <v>0</v>
          </cell>
          <cell r="J717">
            <v>0</v>
          </cell>
          <cell r="K717">
            <v>146849.76</v>
          </cell>
        </row>
        <row r="718">
          <cell r="G718">
            <v>0</v>
          </cell>
          <cell r="H718">
            <v>53217.59</v>
          </cell>
          <cell r="I718">
            <v>0</v>
          </cell>
          <cell r="J718">
            <v>53217.59</v>
          </cell>
          <cell r="K718">
            <v>0</v>
          </cell>
        </row>
        <row r="719">
          <cell r="G719">
            <v>0</v>
          </cell>
          <cell r="H719">
            <v>8195.5300000000007</v>
          </cell>
          <cell r="I719">
            <v>0</v>
          </cell>
          <cell r="J719">
            <v>8195.5300000000007</v>
          </cell>
          <cell r="K719">
            <v>0</v>
          </cell>
        </row>
        <row r="720">
          <cell r="G720">
            <v>0</v>
          </cell>
          <cell r="H720">
            <v>9732.4500000000007</v>
          </cell>
          <cell r="I720">
            <v>0</v>
          </cell>
          <cell r="J720">
            <v>9732.4500000000007</v>
          </cell>
          <cell r="K720">
            <v>0</v>
          </cell>
        </row>
        <row r="721">
          <cell r="G721">
            <v>0</v>
          </cell>
          <cell r="H721">
            <v>9031.67</v>
          </cell>
          <cell r="I721">
            <v>0</v>
          </cell>
          <cell r="J721">
            <v>9031.67</v>
          </cell>
          <cell r="K721">
            <v>0</v>
          </cell>
        </row>
        <row r="722">
          <cell r="G722">
            <v>0</v>
          </cell>
          <cell r="H722">
            <v>1573.72</v>
          </cell>
          <cell r="I722">
            <v>0</v>
          </cell>
          <cell r="J722">
            <v>1573.72</v>
          </cell>
          <cell r="K722">
            <v>0</v>
          </cell>
        </row>
        <row r="723">
          <cell r="G723">
            <v>0</v>
          </cell>
          <cell r="H723">
            <v>505.85</v>
          </cell>
          <cell r="I723">
            <v>0</v>
          </cell>
          <cell r="J723">
            <v>505.85</v>
          </cell>
          <cell r="K723">
            <v>0</v>
          </cell>
        </row>
        <row r="724">
          <cell r="G724">
            <v>0</v>
          </cell>
          <cell r="H724">
            <v>68.47</v>
          </cell>
          <cell r="I724">
            <v>0</v>
          </cell>
          <cell r="J724">
            <v>68.47</v>
          </cell>
          <cell r="K724">
            <v>0</v>
          </cell>
        </row>
        <row r="725">
          <cell r="G725">
            <v>0</v>
          </cell>
          <cell r="H725">
            <v>0</v>
          </cell>
          <cell r="I725">
            <v>0</v>
          </cell>
          <cell r="J725">
            <v>0</v>
          </cell>
          <cell r="K725">
            <v>44807.56</v>
          </cell>
        </row>
        <row r="726">
          <cell r="G726">
            <v>0</v>
          </cell>
          <cell r="H726">
            <v>0</v>
          </cell>
          <cell r="I726">
            <v>0</v>
          </cell>
          <cell r="J726">
            <v>0</v>
          </cell>
          <cell r="K726">
            <v>12452.72</v>
          </cell>
        </row>
        <row r="727">
          <cell r="G727">
            <v>0</v>
          </cell>
          <cell r="H727">
            <v>0</v>
          </cell>
          <cell r="I727">
            <v>0</v>
          </cell>
          <cell r="J727">
            <v>0</v>
          </cell>
          <cell r="K727">
            <v>6947.78</v>
          </cell>
        </row>
        <row r="728">
          <cell r="G728">
            <v>0</v>
          </cell>
          <cell r="H728">
            <v>0</v>
          </cell>
          <cell r="I728">
            <v>0</v>
          </cell>
          <cell r="J728">
            <v>0</v>
          </cell>
          <cell r="K728">
            <v>8242.5300000000007</v>
          </cell>
        </row>
        <row r="729">
          <cell r="G729">
            <v>0</v>
          </cell>
          <cell r="H729">
            <v>13414.72</v>
          </cell>
          <cell r="I729">
            <v>0</v>
          </cell>
          <cell r="J729">
            <v>13414.72</v>
          </cell>
          <cell r="K729">
            <v>0</v>
          </cell>
        </row>
        <row r="730">
          <cell r="G730">
            <v>0</v>
          </cell>
          <cell r="H730">
            <v>6202.3</v>
          </cell>
          <cell r="I730">
            <v>0</v>
          </cell>
          <cell r="J730">
            <v>6202.3</v>
          </cell>
          <cell r="K730">
            <v>0</v>
          </cell>
        </row>
        <row r="731">
          <cell r="G731">
            <v>0</v>
          </cell>
          <cell r="H731">
            <v>2490.56</v>
          </cell>
          <cell r="I731">
            <v>0</v>
          </cell>
          <cell r="J731">
            <v>2490.56</v>
          </cell>
          <cell r="K731">
            <v>0</v>
          </cell>
        </row>
        <row r="732">
          <cell r="G732">
            <v>0</v>
          </cell>
          <cell r="H732">
            <v>4250.28</v>
          </cell>
          <cell r="I732">
            <v>0</v>
          </cell>
          <cell r="J732">
            <v>4250.28</v>
          </cell>
          <cell r="K732">
            <v>0</v>
          </cell>
        </row>
        <row r="733">
          <cell r="G733">
            <v>0</v>
          </cell>
          <cell r="H733">
            <v>64872.26</v>
          </cell>
          <cell r="I733">
            <v>0</v>
          </cell>
          <cell r="J733">
            <v>64872.26</v>
          </cell>
          <cell r="K733">
            <v>0</v>
          </cell>
        </row>
        <row r="734">
          <cell r="G734">
            <v>0</v>
          </cell>
          <cell r="H734">
            <v>21665.07</v>
          </cell>
          <cell r="I734">
            <v>0</v>
          </cell>
          <cell r="J734">
            <v>21665.07</v>
          </cell>
          <cell r="K734">
            <v>0</v>
          </cell>
        </row>
        <row r="735">
          <cell r="G735">
            <v>0</v>
          </cell>
          <cell r="H735">
            <v>8727.7999999999993</v>
          </cell>
          <cell r="I735">
            <v>0</v>
          </cell>
          <cell r="J735">
            <v>8727.7999999999993</v>
          </cell>
          <cell r="K735">
            <v>0</v>
          </cell>
        </row>
        <row r="736">
          <cell r="G736">
            <v>0</v>
          </cell>
          <cell r="H736">
            <v>3625.04</v>
          </cell>
          <cell r="I736">
            <v>0</v>
          </cell>
          <cell r="J736">
            <v>3625.04</v>
          </cell>
          <cell r="K736">
            <v>0</v>
          </cell>
        </row>
        <row r="737">
          <cell r="G737">
            <v>0</v>
          </cell>
          <cell r="H737">
            <v>0</v>
          </cell>
          <cell r="I737">
            <v>0</v>
          </cell>
          <cell r="J737">
            <v>0</v>
          </cell>
          <cell r="K737">
            <v>2375.2199999999998</v>
          </cell>
        </row>
        <row r="738">
          <cell r="G738">
            <v>0</v>
          </cell>
          <cell r="H738">
            <v>0</v>
          </cell>
          <cell r="I738">
            <v>0</v>
          </cell>
          <cell r="J738">
            <v>0</v>
          </cell>
          <cell r="K738">
            <v>62750</v>
          </cell>
        </row>
        <row r="739">
          <cell r="G739">
            <v>0</v>
          </cell>
          <cell r="H739">
            <v>0</v>
          </cell>
          <cell r="I739">
            <v>0</v>
          </cell>
          <cell r="J739">
            <v>0</v>
          </cell>
          <cell r="K739">
            <v>7544.57</v>
          </cell>
        </row>
        <row r="740">
          <cell r="G740">
            <v>0</v>
          </cell>
          <cell r="H740">
            <v>0</v>
          </cell>
          <cell r="I740">
            <v>0</v>
          </cell>
          <cell r="J740">
            <v>0</v>
          </cell>
          <cell r="K740">
            <v>15973.61</v>
          </cell>
        </row>
        <row r="741">
          <cell r="G741">
            <v>0</v>
          </cell>
          <cell r="H741">
            <v>0</v>
          </cell>
          <cell r="I741">
            <v>0</v>
          </cell>
          <cell r="J741">
            <v>0</v>
          </cell>
          <cell r="K741">
            <v>12854.47</v>
          </cell>
        </row>
        <row r="742">
          <cell r="G742">
            <v>0</v>
          </cell>
          <cell r="H742">
            <v>0</v>
          </cell>
          <cell r="I742">
            <v>0</v>
          </cell>
          <cell r="J742">
            <v>0</v>
          </cell>
          <cell r="K742">
            <v>4189.58</v>
          </cell>
        </row>
        <row r="743">
          <cell r="G743">
            <v>0</v>
          </cell>
          <cell r="H743">
            <v>0</v>
          </cell>
          <cell r="I743">
            <v>0</v>
          </cell>
          <cell r="J743">
            <v>0</v>
          </cell>
          <cell r="K743">
            <v>162678.51999999999</v>
          </cell>
        </row>
        <row r="744">
          <cell r="G744">
            <v>0</v>
          </cell>
          <cell r="H744">
            <v>24133.56</v>
          </cell>
          <cell r="I744">
            <v>0</v>
          </cell>
          <cell r="J744">
            <v>24133.56</v>
          </cell>
          <cell r="K744">
            <v>0</v>
          </cell>
        </row>
        <row r="745">
          <cell r="G745">
            <v>0</v>
          </cell>
          <cell r="H745">
            <v>196.98</v>
          </cell>
          <cell r="I745">
            <v>0</v>
          </cell>
          <cell r="J745">
            <v>196.98</v>
          </cell>
          <cell r="K745">
            <v>0</v>
          </cell>
        </row>
        <row r="746">
          <cell r="G746">
            <v>0</v>
          </cell>
          <cell r="H746">
            <v>0</v>
          </cell>
          <cell r="I746">
            <v>0</v>
          </cell>
          <cell r="J746">
            <v>0</v>
          </cell>
          <cell r="K746">
            <v>81.69</v>
          </cell>
        </row>
        <row r="747">
          <cell r="G747">
            <v>0</v>
          </cell>
          <cell r="H747">
            <v>0</v>
          </cell>
          <cell r="I747">
            <v>0</v>
          </cell>
          <cell r="J747">
            <v>0</v>
          </cell>
          <cell r="K747">
            <v>3259.14</v>
          </cell>
        </row>
        <row r="748">
          <cell r="G748">
            <v>0</v>
          </cell>
          <cell r="H748">
            <v>0</v>
          </cell>
          <cell r="I748">
            <v>0</v>
          </cell>
          <cell r="J748">
            <v>0</v>
          </cell>
          <cell r="K748">
            <v>125444.69</v>
          </cell>
        </row>
        <row r="749">
          <cell r="G749">
            <v>0</v>
          </cell>
          <cell r="H749">
            <v>0</v>
          </cell>
          <cell r="I749">
            <v>0</v>
          </cell>
          <cell r="J749">
            <v>0</v>
          </cell>
          <cell r="K749">
            <v>180</v>
          </cell>
        </row>
        <row r="750">
          <cell r="G750">
            <v>0</v>
          </cell>
          <cell r="H750">
            <v>1030.8699999999999</v>
          </cell>
          <cell r="I750">
            <v>0</v>
          </cell>
          <cell r="J750">
            <v>1030.8699999999999</v>
          </cell>
          <cell r="K750">
            <v>0</v>
          </cell>
        </row>
        <row r="751">
          <cell r="G751">
            <v>0</v>
          </cell>
          <cell r="H751">
            <v>226272.14</v>
          </cell>
          <cell r="I751">
            <v>0</v>
          </cell>
          <cell r="J751">
            <v>226272.14</v>
          </cell>
          <cell r="K751">
            <v>0</v>
          </cell>
        </row>
        <row r="752">
          <cell r="G752">
            <v>0</v>
          </cell>
          <cell r="H752">
            <v>1842544.21</v>
          </cell>
          <cell r="I752">
            <v>0</v>
          </cell>
          <cell r="J752">
            <v>1842544.21</v>
          </cell>
          <cell r="K752">
            <v>0</v>
          </cell>
        </row>
        <row r="753">
          <cell r="G753">
            <v>0</v>
          </cell>
          <cell r="H753">
            <v>47126.25</v>
          </cell>
          <cell r="I753">
            <v>0</v>
          </cell>
          <cell r="J753">
            <v>47126.25</v>
          </cell>
          <cell r="K753">
            <v>0</v>
          </cell>
        </row>
        <row r="754">
          <cell r="G754">
            <v>0</v>
          </cell>
          <cell r="H754">
            <v>0</v>
          </cell>
          <cell r="I754">
            <v>0</v>
          </cell>
          <cell r="J754">
            <v>0</v>
          </cell>
          <cell r="K754">
            <v>74083.289999999994</v>
          </cell>
        </row>
        <row r="755">
          <cell r="G755">
            <v>0</v>
          </cell>
          <cell r="H755">
            <v>0</v>
          </cell>
          <cell r="I755">
            <v>0</v>
          </cell>
          <cell r="J755">
            <v>0</v>
          </cell>
          <cell r="K755">
            <v>649219.01</v>
          </cell>
        </row>
        <row r="756">
          <cell r="G756">
            <v>0</v>
          </cell>
          <cell r="H756">
            <v>0</v>
          </cell>
          <cell r="I756">
            <v>0</v>
          </cell>
          <cell r="J756">
            <v>0</v>
          </cell>
          <cell r="K756">
            <v>114752.99</v>
          </cell>
        </row>
        <row r="757">
          <cell r="G757">
            <v>0</v>
          </cell>
          <cell r="H757">
            <v>0</v>
          </cell>
          <cell r="I757">
            <v>0</v>
          </cell>
          <cell r="J757">
            <v>0</v>
          </cell>
          <cell r="K757">
            <v>137329.67000000001</v>
          </cell>
        </row>
        <row r="758">
          <cell r="G758">
            <v>0</v>
          </cell>
          <cell r="H758">
            <v>0</v>
          </cell>
          <cell r="I758">
            <v>0</v>
          </cell>
          <cell r="J758">
            <v>0</v>
          </cell>
          <cell r="K758">
            <v>25083.35</v>
          </cell>
        </row>
        <row r="759">
          <cell r="G759">
            <v>0</v>
          </cell>
          <cell r="H759">
            <v>0</v>
          </cell>
          <cell r="I759">
            <v>0</v>
          </cell>
          <cell r="J759">
            <v>0</v>
          </cell>
          <cell r="K759">
            <v>16777.080000000002</v>
          </cell>
        </row>
        <row r="760">
          <cell r="G760">
            <v>0</v>
          </cell>
          <cell r="H760">
            <v>326278.71999999997</v>
          </cell>
          <cell r="I760">
            <v>0</v>
          </cell>
          <cell r="J760">
            <v>326278.71999999997</v>
          </cell>
          <cell r="K760">
            <v>0</v>
          </cell>
        </row>
        <row r="761">
          <cell r="G761">
            <v>0</v>
          </cell>
          <cell r="H761">
            <v>381260.55</v>
          </cell>
          <cell r="I761">
            <v>0</v>
          </cell>
          <cell r="J761">
            <v>381260.55</v>
          </cell>
          <cell r="K761">
            <v>0</v>
          </cell>
        </row>
        <row r="762">
          <cell r="G762">
            <v>0</v>
          </cell>
          <cell r="H762">
            <v>76469.259999999995</v>
          </cell>
          <cell r="I762">
            <v>0</v>
          </cell>
          <cell r="J762">
            <v>76469.259999999995</v>
          </cell>
          <cell r="K762">
            <v>0</v>
          </cell>
        </row>
        <row r="763">
          <cell r="G763">
            <v>0</v>
          </cell>
          <cell r="H763">
            <v>0</v>
          </cell>
          <cell r="I763">
            <v>0</v>
          </cell>
          <cell r="J763">
            <v>0</v>
          </cell>
          <cell r="K763">
            <v>1351.33</v>
          </cell>
        </row>
        <row r="764">
          <cell r="G764">
            <v>0</v>
          </cell>
          <cell r="H764">
            <v>0</v>
          </cell>
          <cell r="I764">
            <v>0</v>
          </cell>
          <cell r="J764">
            <v>0</v>
          </cell>
          <cell r="K764">
            <v>-1489873.87</v>
          </cell>
        </row>
        <row r="765">
          <cell r="G765">
            <v>0</v>
          </cell>
          <cell r="H765">
            <v>506061.45</v>
          </cell>
          <cell r="I765">
            <v>0</v>
          </cell>
          <cell r="J765">
            <v>506061.45</v>
          </cell>
          <cell r="K765">
            <v>0</v>
          </cell>
        </row>
        <row r="766">
          <cell r="G766">
            <v>0</v>
          </cell>
          <cell r="H766">
            <v>8609889.5199999977</v>
          </cell>
          <cell r="I766">
            <v>0</v>
          </cell>
          <cell r="J766">
            <v>8609889.5199999977</v>
          </cell>
          <cell r="K766">
            <v>2548854.69</v>
          </cell>
        </row>
        <row r="768">
          <cell r="G768">
            <v>0</v>
          </cell>
          <cell r="H768">
            <v>0</v>
          </cell>
          <cell r="I768">
            <v>0</v>
          </cell>
          <cell r="J768">
            <v>0</v>
          </cell>
          <cell r="K768">
            <v>-388187.88</v>
          </cell>
        </row>
        <row r="769">
          <cell r="G769">
            <v>0</v>
          </cell>
          <cell r="H769">
            <v>-3296.08</v>
          </cell>
          <cell r="I769">
            <v>0</v>
          </cell>
          <cell r="J769">
            <v>-3296.08</v>
          </cell>
          <cell r="K769">
            <v>0</v>
          </cell>
        </row>
        <row r="770">
          <cell r="G770">
            <v>0</v>
          </cell>
          <cell r="H770">
            <v>-2690.09</v>
          </cell>
          <cell r="I770">
            <v>0</v>
          </cell>
          <cell r="J770">
            <v>-2690.09</v>
          </cell>
          <cell r="K770">
            <v>0</v>
          </cell>
        </row>
        <row r="771">
          <cell r="G771">
            <v>0</v>
          </cell>
          <cell r="H771">
            <v>-5986.17</v>
          </cell>
          <cell r="I771">
            <v>0</v>
          </cell>
          <cell r="J771">
            <v>-5986.17</v>
          </cell>
          <cell r="K771">
            <v>-388187.88</v>
          </cell>
        </row>
        <row r="773">
          <cell r="G773">
            <v>0</v>
          </cell>
          <cell r="H773">
            <v>6376.63</v>
          </cell>
          <cell r="I773">
            <v>0</v>
          </cell>
          <cell r="J773">
            <v>6376.63</v>
          </cell>
          <cell r="K773">
            <v>0</v>
          </cell>
        </row>
        <row r="774">
          <cell r="G774">
            <v>0</v>
          </cell>
          <cell r="H774">
            <v>0</v>
          </cell>
          <cell r="I774">
            <v>0</v>
          </cell>
          <cell r="J774">
            <v>0</v>
          </cell>
          <cell r="K774">
            <v>35733.82</v>
          </cell>
        </row>
        <row r="775">
          <cell r="G775">
            <v>0</v>
          </cell>
          <cell r="H775">
            <v>0</v>
          </cell>
          <cell r="I775">
            <v>0</v>
          </cell>
          <cell r="J775">
            <v>0</v>
          </cell>
          <cell r="K775">
            <v>0</v>
          </cell>
        </row>
        <row r="776">
          <cell r="G776">
            <v>0</v>
          </cell>
          <cell r="H776">
            <v>6376.63</v>
          </cell>
          <cell r="I776">
            <v>0</v>
          </cell>
          <cell r="J776">
            <v>6376.63</v>
          </cell>
          <cell r="K776">
            <v>35733.82</v>
          </cell>
        </row>
        <row r="778">
          <cell r="G778">
            <v>0</v>
          </cell>
          <cell r="H778">
            <v>0</v>
          </cell>
          <cell r="I778">
            <v>0</v>
          </cell>
          <cell r="J778">
            <v>0</v>
          </cell>
          <cell r="K778">
            <v>0</v>
          </cell>
        </row>
        <row r="780">
          <cell r="G780">
            <v>0</v>
          </cell>
          <cell r="H780">
            <v>0</v>
          </cell>
          <cell r="I780">
            <v>0</v>
          </cell>
          <cell r="J780">
            <v>0</v>
          </cell>
          <cell r="K780">
            <v>0</v>
          </cell>
        </row>
        <row r="782">
          <cell r="G782">
            <v>0</v>
          </cell>
          <cell r="H782">
            <v>0</v>
          </cell>
          <cell r="I782">
            <v>0</v>
          </cell>
          <cell r="J782">
            <v>0</v>
          </cell>
          <cell r="K782">
            <v>64.3</v>
          </cell>
        </row>
        <row r="783">
          <cell r="G783">
            <v>0</v>
          </cell>
          <cell r="H783">
            <v>0</v>
          </cell>
          <cell r="I783">
            <v>0</v>
          </cell>
          <cell r="J783">
            <v>0</v>
          </cell>
          <cell r="K783">
            <v>64.3</v>
          </cell>
        </row>
        <row r="785">
          <cell r="G785">
            <v>0</v>
          </cell>
          <cell r="H785">
            <v>0</v>
          </cell>
          <cell r="I785">
            <v>0</v>
          </cell>
          <cell r="J785">
            <v>0</v>
          </cell>
          <cell r="K785">
            <v>0</v>
          </cell>
        </row>
        <row r="787">
          <cell r="G787">
            <v>0</v>
          </cell>
          <cell r="H787">
            <v>25081.4</v>
          </cell>
          <cell r="I787">
            <v>0</v>
          </cell>
          <cell r="J787">
            <v>25081.4</v>
          </cell>
          <cell r="K787">
            <v>0</v>
          </cell>
        </row>
        <row r="788">
          <cell r="G788">
            <v>0</v>
          </cell>
          <cell r="H788">
            <v>0</v>
          </cell>
          <cell r="I788">
            <v>0</v>
          </cell>
          <cell r="J788">
            <v>0</v>
          </cell>
          <cell r="K788">
            <v>-32119.59</v>
          </cell>
        </row>
        <row r="789">
          <cell r="G789">
            <v>0</v>
          </cell>
          <cell r="H789">
            <v>25081.4</v>
          </cell>
          <cell r="I789">
            <v>0</v>
          </cell>
          <cell r="J789">
            <v>25081.4</v>
          </cell>
          <cell r="K789">
            <v>-32119.59</v>
          </cell>
        </row>
        <row r="791">
          <cell r="G791">
            <v>0</v>
          </cell>
          <cell r="H791">
            <v>568040.39</v>
          </cell>
          <cell r="I791">
            <v>0</v>
          </cell>
          <cell r="J791">
            <v>568040.39</v>
          </cell>
          <cell r="K791">
            <v>0</v>
          </cell>
        </row>
        <row r="792">
          <cell r="G792">
            <v>0</v>
          </cell>
          <cell r="H792">
            <v>0</v>
          </cell>
          <cell r="I792">
            <v>0</v>
          </cell>
          <cell r="J792">
            <v>0</v>
          </cell>
          <cell r="K792">
            <v>521773.38</v>
          </cell>
        </row>
        <row r="793">
          <cell r="G793">
            <v>0</v>
          </cell>
          <cell r="H793">
            <v>0</v>
          </cell>
          <cell r="I793">
            <v>0</v>
          </cell>
          <cell r="J793">
            <v>0</v>
          </cell>
          <cell r="K793">
            <v>468183.87</v>
          </cell>
        </row>
        <row r="794">
          <cell r="G794">
            <v>0</v>
          </cell>
          <cell r="H794">
            <v>193830.2</v>
          </cell>
          <cell r="I794">
            <v>0</v>
          </cell>
          <cell r="J794">
            <v>193830.2</v>
          </cell>
          <cell r="K794">
            <v>0</v>
          </cell>
        </row>
        <row r="795">
          <cell r="G795">
            <v>0</v>
          </cell>
          <cell r="H795">
            <v>300868.17</v>
          </cell>
          <cell r="I795">
            <v>0</v>
          </cell>
          <cell r="J795">
            <v>300868.17</v>
          </cell>
          <cell r="K795">
            <v>0</v>
          </cell>
        </row>
        <row r="796">
          <cell r="G796">
            <v>0</v>
          </cell>
          <cell r="H796">
            <v>0</v>
          </cell>
          <cell r="I796">
            <v>0</v>
          </cell>
          <cell r="J796">
            <v>0</v>
          </cell>
          <cell r="K796">
            <v>203.64</v>
          </cell>
        </row>
        <row r="797">
          <cell r="G797">
            <v>0</v>
          </cell>
          <cell r="H797">
            <v>1062738.76</v>
          </cell>
          <cell r="I797">
            <v>0</v>
          </cell>
          <cell r="J797">
            <v>1062738.76</v>
          </cell>
          <cell r="K797">
            <v>990160.89</v>
          </cell>
        </row>
        <row r="799">
          <cell r="G799">
            <v>0</v>
          </cell>
          <cell r="H799">
            <v>0</v>
          </cell>
          <cell r="I799">
            <v>0</v>
          </cell>
          <cell r="J799">
            <v>0</v>
          </cell>
          <cell r="K799">
            <v>0</v>
          </cell>
        </row>
        <row r="800">
          <cell r="G800">
            <v>0</v>
          </cell>
          <cell r="H800">
            <v>0</v>
          </cell>
          <cell r="I800">
            <v>0</v>
          </cell>
          <cell r="J800">
            <v>0</v>
          </cell>
          <cell r="K800">
            <v>2482083.12</v>
          </cell>
        </row>
        <row r="801">
          <cell r="G801">
            <v>0</v>
          </cell>
          <cell r="H801">
            <v>0</v>
          </cell>
          <cell r="I801">
            <v>0</v>
          </cell>
          <cell r="J801">
            <v>0</v>
          </cell>
          <cell r="K801">
            <v>2482083.12</v>
          </cell>
        </row>
        <row r="803">
          <cell r="G803">
            <v>0</v>
          </cell>
          <cell r="H803">
            <v>46151.31</v>
          </cell>
          <cell r="I803">
            <v>0</v>
          </cell>
          <cell r="J803">
            <v>46151.31</v>
          </cell>
          <cell r="K803">
            <v>0</v>
          </cell>
        </row>
        <row r="804">
          <cell r="G804">
            <v>0</v>
          </cell>
          <cell r="H804">
            <v>0</v>
          </cell>
          <cell r="I804">
            <v>0</v>
          </cell>
          <cell r="J804">
            <v>0</v>
          </cell>
          <cell r="K804">
            <v>4153.9799999999996</v>
          </cell>
        </row>
        <row r="805">
          <cell r="G805">
            <v>0</v>
          </cell>
          <cell r="H805">
            <v>-31627.19</v>
          </cell>
          <cell r="I805">
            <v>0</v>
          </cell>
          <cell r="J805">
            <v>-31627.19</v>
          </cell>
          <cell r="K805">
            <v>0</v>
          </cell>
        </row>
        <row r="806">
          <cell r="G806">
            <v>0</v>
          </cell>
          <cell r="H806">
            <v>14524.12</v>
          </cell>
          <cell r="I806">
            <v>0</v>
          </cell>
          <cell r="J806">
            <v>14524.12</v>
          </cell>
          <cell r="K806">
            <v>4153.9799999999996</v>
          </cell>
        </row>
        <row r="808">
          <cell r="G808">
            <v>0</v>
          </cell>
          <cell r="H808">
            <v>159483.76999999999</v>
          </cell>
          <cell r="I808">
            <v>0</v>
          </cell>
          <cell r="J808">
            <v>159483.76999999999</v>
          </cell>
          <cell r="K808">
            <v>0</v>
          </cell>
        </row>
        <row r="809">
          <cell r="G809">
            <v>0</v>
          </cell>
          <cell r="H809">
            <v>-7517.56</v>
          </cell>
          <cell r="I809">
            <v>0</v>
          </cell>
          <cell r="J809">
            <v>-7517.56</v>
          </cell>
          <cell r="K809">
            <v>0</v>
          </cell>
        </row>
        <row r="810">
          <cell r="G810">
            <v>0</v>
          </cell>
          <cell r="H810">
            <v>138008.31</v>
          </cell>
          <cell r="I810">
            <v>0</v>
          </cell>
          <cell r="J810">
            <v>138008.31</v>
          </cell>
          <cell r="K810">
            <v>0</v>
          </cell>
        </row>
        <row r="811">
          <cell r="G811">
            <v>0</v>
          </cell>
          <cell r="H811">
            <v>0</v>
          </cell>
          <cell r="I811">
            <v>0</v>
          </cell>
          <cell r="J811">
            <v>0</v>
          </cell>
          <cell r="K811">
            <v>51402.19</v>
          </cell>
        </row>
        <row r="812">
          <cell r="G812">
            <v>0</v>
          </cell>
          <cell r="H812">
            <v>0</v>
          </cell>
          <cell r="I812">
            <v>0</v>
          </cell>
          <cell r="J812">
            <v>0</v>
          </cell>
          <cell r="K812">
            <v>8350.3799999999992</v>
          </cell>
        </row>
        <row r="813">
          <cell r="G813">
            <v>0</v>
          </cell>
          <cell r="H813">
            <v>0</v>
          </cell>
          <cell r="I813">
            <v>0</v>
          </cell>
          <cell r="J813">
            <v>0</v>
          </cell>
          <cell r="K813">
            <v>73443.77</v>
          </cell>
        </row>
        <row r="814">
          <cell r="G814">
            <v>0</v>
          </cell>
          <cell r="H814">
            <v>289974.52</v>
          </cell>
          <cell r="I814">
            <v>0</v>
          </cell>
          <cell r="J814">
            <v>289974.52</v>
          </cell>
          <cell r="K814">
            <v>133196.34</v>
          </cell>
        </row>
        <row r="816">
          <cell r="G816">
            <v>0</v>
          </cell>
          <cell r="H816">
            <v>0</v>
          </cell>
          <cell r="I816">
            <v>0</v>
          </cell>
          <cell r="J816">
            <v>0</v>
          </cell>
          <cell r="K816">
            <v>12557.27</v>
          </cell>
        </row>
        <row r="817">
          <cell r="G817">
            <v>0</v>
          </cell>
          <cell r="H817">
            <v>0</v>
          </cell>
          <cell r="I817">
            <v>0</v>
          </cell>
          <cell r="J817">
            <v>0</v>
          </cell>
          <cell r="K817">
            <v>12557.27</v>
          </cell>
        </row>
        <row r="818">
          <cell r="G818">
            <v>0</v>
          </cell>
          <cell r="H818">
            <v>1.0390067473053932E-8</v>
          </cell>
          <cell r="I818">
            <v>0</v>
          </cell>
          <cell r="J818">
            <v>1.0390067473053932E-8</v>
          </cell>
          <cell r="K818">
            <v>-1.9852450350299478E-8</v>
          </cell>
        </row>
      </sheetData>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emo"/>
      <sheetName val="XREF"/>
      <sheetName val="Tickmarks"/>
    </sheetNames>
    <sheetDataSet>
      <sheetData sheetId="0">
        <row r="2">
          <cell r="I2" t="str">
            <v>31-12-03</v>
          </cell>
        </row>
        <row r="4">
          <cell r="I4">
            <v>-724200.01</v>
          </cell>
        </row>
        <row r="5">
          <cell r="I5">
            <v>-323111.89</v>
          </cell>
        </row>
        <row r="6">
          <cell r="I6">
            <v>-124587.65</v>
          </cell>
        </row>
        <row r="7">
          <cell r="I7">
            <v>0</v>
          </cell>
        </row>
        <row r="8">
          <cell r="I8">
            <v>0</v>
          </cell>
        </row>
        <row r="9">
          <cell r="I9">
            <v>-1171899.55</v>
          </cell>
        </row>
        <row r="11">
          <cell r="I11">
            <v>0</v>
          </cell>
        </row>
        <row r="12">
          <cell r="I12">
            <v>-1171899.55</v>
          </cell>
        </row>
      </sheetData>
      <sheetData sheetId="1">
        <row r="1">
          <cell r="F1" t="str">
            <v>31-12-03</v>
          </cell>
        </row>
        <row r="3">
          <cell r="F3">
            <v>-724200.01</v>
          </cell>
        </row>
        <row r="4">
          <cell r="F4">
            <v>-323111.89</v>
          </cell>
        </row>
        <row r="5">
          <cell r="F5">
            <v>-124587.65</v>
          </cell>
        </row>
        <row r="6">
          <cell r="F6">
            <v>0</v>
          </cell>
        </row>
        <row r="7">
          <cell r="F7">
            <v>0</v>
          </cell>
        </row>
        <row r="8">
          <cell r="F8">
            <v>-1171899.55</v>
          </cell>
        </row>
        <row r="10">
          <cell r="F10">
            <v>0</v>
          </cell>
        </row>
        <row r="11">
          <cell r="F11">
            <v>-1171899.55</v>
          </cell>
        </row>
      </sheetData>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icio"/>
      <sheetName val="PEPS_TEMPLATE_T&amp;L"/>
      <sheetName val="Assets"/>
      <sheetName val="System"/>
      <sheetName val="Índice"/>
      <sheetName val="Armado 2024 "/>
      <sheetName val="713 PY"/>
      <sheetName val="SF PY"/>
      <sheetName val="BS"/>
      <sheetName val="BS|1"/>
      <sheetName val="GAN"/>
      <sheetName val="EEPN"/>
      <sheetName val="GAN PY"/>
      <sheetName val="Notas"/>
      <sheetName val="GAN|2"/>
      <sheetName val="GAN|2-1"/>
      <sheetName val="GAN|2-2"/>
      <sheetName val="GAN|3"/>
      <sheetName val="GAN|4"/>
      <sheetName val="GAN|4-1"/>
      <sheetName val="GAN|6"/>
      <sheetName val="GAN-1"/>
      <sheetName val="GAN-1|1"/>
      <sheetName val="GAN-2"/>
      <sheetName val="GAN-2|1"/>
      <sheetName val="GAN-3"/>
      <sheetName val="GAN-3|1"/>
      <sheetName val="GAN-3|1-1"/>
      <sheetName val="GAN-4"/>
      <sheetName val="GAN-4|1"/>
      <sheetName val="GAN-5"/>
      <sheetName val="GAN-5|1"/>
      <sheetName val="GAN-6"/>
      <sheetName val="GAN-6|1"/>
      <sheetName val="GAN-7"/>
      <sheetName val="GAN-7|1"/>
      <sheetName val="GAN-8"/>
      <sheetName val="GAN-8|1"/>
      <sheetName val="GAN-9"/>
      <sheetName val="GAN-9|1"/>
      <sheetName val="GAN-10"/>
      <sheetName val="GAN-11"/>
      <sheetName val="GAN-11|1"/>
      <sheetName val="GAN-12"/>
      <sheetName val="GAN-12|1"/>
      <sheetName val="GAN-13"/>
      <sheetName val="GAN-14"/>
      <sheetName val="GAN-15"/>
      <sheetName val="GAN-15|1"/>
      <sheetName val="GAN-16"/>
      <sheetName val="GAN-16|1"/>
      <sheetName val="CTF|PG"/>
      <sheetName val="EEBU"/>
      <sheetName val="CTF|PG|1"/>
      <sheetName val="CTF|PG|2"/>
      <sheetName val="CTF|PG|3"/>
      <sheetName val="PEPS T&amp;L DTT"/>
      <sheetName val="Resumen Tenencias DTT"/>
      <sheetName val="Resumen Ventas DTT"/>
      <sheetName val="AxI"/>
      <sheetName val="AxI|1"/>
      <sheetName val="AxI|2"/>
      <sheetName val="AxI|3"/>
      <sheetName val="EquipoTrabajo"/>
      <sheetName val="PalabrasClave"/>
      <sheetName val="GAN_TEMPLATE_T&amp;L"/>
      <sheetName val="GAN-"/>
      <sheetName val="TEMPLATE-T&amp;L-GAN|1"/>
      <sheetName val="TEMPLATE-T&amp;L-GAN|6"/>
      <sheetName val="TEMPLATE-T&amp;L-GAN|3"/>
      <sheetName val="TEMPLATE-T&amp;L-GAN|4"/>
      <sheetName val="TEMPLATE-T&amp;L-GAN|5"/>
      <sheetName val="TEMPLATE-T&amp;L-GAN|7"/>
      <sheetName val="ESP-TEMPLATE-T&amp;L"/>
      <sheetName val="TEMPLATE-T&amp;L-GAN|2"/>
      <sheetName val="ESCALA"/>
      <sheetName val="GAN_163724"/>
      <sheetName val="IPC-Update"/>
      <sheetName val="TCP"/>
      <sheetName val="DDJJ IG 2025 - Faurecia Sistema"/>
    </sheetNames>
    <definedNames>
      <definedName name="Calcular_Peps"/>
    </definedNames>
    <sheetDataSet>
      <sheetData sheetId="0">
        <row r="2">
          <cell r="B2" t="str">
            <v>FAURECIA SISTEMAS DE ESCAPE ARGENTINA S.A</v>
          </cell>
        </row>
        <row r="3">
          <cell r="B3" t="str">
            <v>30-68837468-1</v>
          </cell>
        </row>
        <row r="4">
          <cell r="B4">
            <v>2025</v>
          </cell>
          <cell r="E4">
            <v>12</v>
          </cell>
        </row>
        <row r="5">
          <cell r="B5" t="str">
            <v>Original</v>
          </cell>
        </row>
      </sheetData>
      <sheetData sheetId="1" refreshError="1"/>
      <sheetData sheetId="2" refreshError="1"/>
      <sheetData sheetId="3">
        <row r="1">
          <cell r="AK1" t="str">
            <v>Bienes de Uso</v>
          </cell>
          <cell r="AL1" t="str">
            <v xml:space="preserve">Aportes o anticipos recibidos a cuenta de futuras integraciones de capital </v>
          </cell>
        </row>
        <row r="2">
          <cell r="AK2" t="str">
            <v>Bienes Inmateriales</v>
          </cell>
          <cell r="AL2" t="str">
            <v>Saldos acreedores del titular dueño o socios</v>
          </cell>
          <cell r="AN2" t="str">
            <v>Ajuste standard</v>
          </cell>
        </row>
        <row r="3">
          <cell r="AK3" t="str">
            <v>Acciones cuotas y participaciones sociales incluidas las cuotas partes de los fondos comunes de inversión.</v>
          </cell>
          <cell r="AN3" t="str">
            <v>Donaciones</v>
          </cell>
        </row>
        <row r="4">
          <cell r="AK4" t="str">
            <v>Inversiones en el exterior - Fuente Extranjera</v>
          </cell>
          <cell r="AN4" t="str">
            <v>Fondos Comunes de Inversión</v>
          </cell>
        </row>
        <row r="5">
          <cell r="AK5" t="str">
            <v>Créditos que representen señas o anticipos que congelen precios efectuados con anterioridad a la adquisición de los bienes comprendidos en los puntos 1 a 9.</v>
          </cell>
          <cell r="AN5" t="str">
            <v>FCI PEPS</v>
          </cell>
        </row>
        <row r="6">
          <cell r="AK6" t="str">
            <v>Aportes y anticipos efectuados a cuenta de futuras integraciones de capital</v>
          </cell>
          <cell r="AN6" t="str">
            <v>EEBU</v>
          </cell>
        </row>
        <row r="7">
          <cell r="AK7" t="str">
            <v>Saldos pendientes de integración de los accionistas.</v>
          </cell>
          <cell r="AN7" t="str">
            <v>EEBI</v>
          </cell>
        </row>
        <row r="8">
          <cell r="AK8" t="str">
            <v>Saldos deudores del titular dueño o socios</v>
          </cell>
          <cell r="AN8" t="str">
            <v>CTF|PG</v>
          </cell>
        </row>
        <row r="9">
          <cell r="AK9" t="str">
            <v>Anticipos retenciones y pagos a cuenta de impuestos y gastos no deducibles a los fines del presente gravamen que figuren registrados en el activo.</v>
          </cell>
          <cell r="AN9" t="str">
            <v>EEIP</v>
          </cell>
        </row>
        <row r="10">
          <cell r="AN10" t="str">
            <v>GAN|1</v>
          </cell>
        </row>
        <row r="11">
          <cell r="AN11" t="str">
            <v>GAN|2</v>
          </cell>
        </row>
        <row r="12">
          <cell r="AN12" t="str">
            <v>GAN|3</v>
          </cell>
        </row>
        <row r="13">
          <cell r="AN13" t="str">
            <v>GAN|4</v>
          </cell>
        </row>
        <row r="14">
          <cell r="AN14" t="str">
            <v>GAN|5</v>
          </cell>
        </row>
        <row r="15">
          <cell r="AN15" t="str">
            <v>GAN|6</v>
          </cell>
        </row>
        <row r="16">
          <cell r="AN16" t="str">
            <v>GAN|7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1">
          <cell r="E61">
            <v>6240408652.342782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6">
          <cell r="N16">
            <v>13137290900.27</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B1" t="str">
            <v>Ultima actualizacion:</v>
          </cell>
          <cell r="C1">
            <v>46146</v>
          </cell>
        </row>
        <row r="2">
          <cell r="B2" t="str">
            <v>Índice de Precios al Consumidor (IPC)</v>
          </cell>
        </row>
        <row r="4">
          <cell r="B4" t="str">
            <v>Periodo</v>
          </cell>
          <cell r="C4" t="str">
            <v>Índice</v>
          </cell>
        </row>
        <row r="5">
          <cell r="B5">
            <v>43070</v>
          </cell>
          <cell r="C5">
            <v>124.79559999999999</v>
          </cell>
        </row>
        <row r="6">
          <cell r="B6">
            <v>43101</v>
          </cell>
          <cell r="C6">
            <v>126.98869999999999</v>
          </cell>
        </row>
        <row r="7">
          <cell r="B7">
            <v>43132</v>
          </cell>
          <cell r="C7">
            <v>130.06059999999999</v>
          </cell>
        </row>
        <row r="8">
          <cell r="B8">
            <v>43160</v>
          </cell>
          <cell r="C8">
            <v>133.1054</v>
          </cell>
        </row>
        <row r="9">
          <cell r="B9">
            <v>43191</v>
          </cell>
          <cell r="C9">
            <v>136.75120000000001</v>
          </cell>
        </row>
        <row r="10">
          <cell r="B10">
            <v>43221</v>
          </cell>
          <cell r="C10">
            <v>139.58930000000001</v>
          </cell>
        </row>
        <row r="11">
          <cell r="B11">
            <v>43252</v>
          </cell>
          <cell r="C11">
            <v>144.80529999999999</v>
          </cell>
        </row>
        <row r="12">
          <cell r="B12">
            <v>43282</v>
          </cell>
          <cell r="C12">
            <v>149.29660000000001</v>
          </cell>
        </row>
        <row r="13">
          <cell r="B13">
            <v>43313</v>
          </cell>
          <cell r="C13">
            <v>155.10339999999999</v>
          </cell>
        </row>
        <row r="14">
          <cell r="B14">
            <v>43344</v>
          </cell>
          <cell r="C14">
            <v>165.23830000000001</v>
          </cell>
        </row>
        <row r="15">
          <cell r="B15">
            <v>43374</v>
          </cell>
          <cell r="C15">
            <v>174.1473</v>
          </cell>
        </row>
        <row r="16">
          <cell r="B16">
            <v>43405</v>
          </cell>
          <cell r="C16">
            <v>179.6388</v>
          </cell>
        </row>
        <row r="17">
          <cell r="B17">
            <v>43435</v>
          </cell>
          <cell r="C17">
            <v>184.2552</v>
          </cell>
        </row>
        <row r="18">
          <cell r="B18">
            <v>43466</v>
          </cell>
          <cell r="C18">
            <v>189.61009999999999</v>
          </cell>
        </row>
        <row r="19">
          <cell r="B19">
            <v>43497</v>
          </cell>
          <cell r="C19">
            <v>196.7501</v>
          </cell>
        </row>
        <row r="20">
          <cell r="B20">
            <v>43525</v>
          </cell>
          <cell r="C20">
            <v>205.9571</v>
          </cell>
        </row>
        <row r="21">
          <cell r="B21">
            <v>43556</v>
          </cell>
          <cell r="C21">
            <v>213.05170000000001</v>
          </cell>
        </row>
        <row r="22">
          <cell r="B22">
            <v>43586</v>
          </cell>
          <cell r="C22">
            <v>219.56909999999999</v>
          </cell>
        </row>
        <row r="23">
          <cell r="B23">
            <v>43617</v>
          </cell>
          <cell r="C23">
            <v>225.53700000000001</v>
          </cell>
        </row>
        <row r="24">
          <cell r="B24">
            <v>43647</v>
          </cell>
          <cell r="C24">
            <v>230.494</v>
          </cell>
        </row>
        <row r="25">
          <cell r="B25">
            <v>43678</v>
          </cell>
          <cell r="C25">
            <v>239.60769999999999</v>
          </cell>
        </row>
        <row r="26">
          <cell r="B26">
            <v>43709</v>
          </cell>
          <cell r="C26">
            <v>253.71019999999999</v>
          </cell>
        </row>
        <row r="27">
          <cell r="B27">
            <v>43739</v>
          </cell>
          <cell r="C27">
            <v>262.06610000000001</v>
          </cell>
        </row>
        <row r="28">
          <cell r="B28">
            <v>43770</v>
          </cell>
          <cell r="C28">
            <v>273.2158</v>
          </cell>
        </row>
        <row r="29">
          <cell r="B29">
            <v>43800</v>
          </cell>
          <cell r="C29">
            <v>283.44420000000002</v>
          </cell>
        </row>
        <row r="30">
          <cell r="B30">
            <v>43831</v>
          </cell>
          <cell r="C30">
            <v>289.82990000000001</v>
          </cell>
        </row>
        <row r="31">
          <cell r="B31">
            <v>43862</v>
          </cell>
          <cell r="C31">
            <v>295.666</v>
          </cell>
        </row>
        <row r="32">
          <cell r="B32">
            <v>43891</v>
          </cell>
          <cell r="C32">
            <v>305.55149999999998</v>
          </cell>
        </row>
        <row r="33">
          <cell r="B33">
            <v>43922</v>
          </cell>
          <cell r="C33">
            <v>310.12430000000001</v>
          </cell>
        </row>
        <row r="34">
          <cell r="B34">
            <v>43952</v>
          </cell>
          <cell r="C34">
            <v>314.90870000000001</v>
          </cell>
        </row>
        <row r="35">
          <cell r="B35">
            <v>43983</v>
          </cell>
          <cell r="C35">
            <v>321.97379999999998</v>
          </cell>
        </row>
        <row r="36">
          <cell r="B36">
            <v>44013</v>
          </cell>
          <cell r="C36">
            <v>328.20139999999998</v>
          </cell>
        </row>
        <row r="37">
          <cell r="B37">
            <v>44044</v>
          </cell>
          <cell r="C37">
            <v>337.06319999999999</v>
          </cell>
        </row>
        <row r="38">
          <cell r="B38">
            <v>44075</v>
          </cell>
          <cell r="C38">
            <v>346.6207</v>
          </cell>
        </row>
        <row r="39">
          <cell r="B39">
            <v>44105</v>
          </cell>
          <cell r="C39">
            <v>359.65699999999998</v>
          </cell>
        </row>
        <row r="40">
          <cell r="B40">
            <v>44136</v>
          </cell>
          <cell r="C40">
            <v>371.02109999999999</v>
          </cell>
        </row>
        <row r="41">
          <cell r="B41">
            <v>44166</v>
          </cell>
          <cell r="C41">
            <v>385.88260000000002</v>
          </cell>
        </row>
        <row r="42">
          <cell r="B42">
            <v>44197</v>
          </cell>
          <cell r="C42">
            <v>401.50709999999998</v>
          </cell>
        </row>
        <row r="43">
          <cell r="B43">
            <v>44228</v>
          </cell>
          <cell r="C43">
            <v>415.85950000000003</v>
          </cell>
        </row>
        <row r="44">
          <cell r="B44">
            <v>44256</v>
          </cell>
          <cell r="C44">
            <v>435.8657</v>
          </cell>
        </row>
        <row r="45">
          <cell r="B45">
            <v>44287</v>
          </cell>
          <cell r="C45">
            <v>453.65030000000002</v>
          </cell>
        </row>
        <row r="46">
          <cell r="B46">
            <v>44317</v>
          </cell>
          <cell r="C46">
            <v>468.72500000000002</v>
          </cell>
        </row>
        <row r="47">
          <cell r="B47">
            <v>44348</v>
          </cell>
          <cell r="C47">
            <v>483.60489999999999</v>
          </cell>
        </row>
        <row r="48">
          <cell r="B48">
            <v>44378</v>
          </cell>
          <cell r="C48">
            <v>498.09870000000001</v>
          </cell>
        </row>
        <row r="49">
          <cell r="B49">
            <v>44409</v>
          </cell>
          <cell r="C49">
            <v>510.39420000000001</v>
          </cell>
        </row>
        <row r="50">
          <cell r="B50">
            <v>44440</v>
          </cell>
          <cell r="C50">
            <v>528.49680000000001</v>
          </cell>
        </row>
        <row r="51">
          <cell r="B51">
            <v>44470</v>
          </cell>
          <cell r="C51">
            <v>547.08019999999999</v>
          </cell>
        </row>
        <row r="52">
          <cell r="B52">
            <v>44501</v>
          </cell>
          <cell r="C52">
            <v>560.91840000000002</v>
          </cell>
        </row>
        <row r="53">
          <cell r="B53">
            <v>44531</v>
          </cell>
          <cell r="C53">
            <v>582.45749999999998</v>
          </cell>
        </row>
        <row r="54">
          <cell r="B54">
            <v>44562</v>
          </cell>
          <cell r="C54">
            <v>605.0317</v>
          </cell>
        </row>
        <row r="55">
          <cell r="B55">
            <v>44593</v>
          </cell>
          <cell r="C55">
            <v>633.43409999999994</v>
          </cell>
        </row>
        <row r="56">
          <cell r="B56">
            <v>44621</v>
          </cell>
          <cell r="C56">
            <v>676.0566</v>
          </cell>
        </row>
        <row r="57">
          <cell r="B57">
            <v>44652</v>
          </cell>
          <cell r="C57">
            <v>716.93989999999997</v>
          </cell>
        </row>
        <row r="58">
          <cell r="B58">
            <v>44682</v>
          </cell>
          <cell r="C58">
            <v>753.14700000000005</v>
          </cell>
        </row>
        <row r="59">
          <cell r="B59">
            <v>44713</v>
          </cell>
          <cell r="C59">
            <v>793.02779999999996</v>
          </cell>
        </row>
        <row r="60">
          <cell r="B60">
            <v>44743</v>
          </cell>
          <cell r="C60">
            <v>851.76099999999997</v>
          </cell>
        </row>
        <row r="61">
          <cell r="B61">
            <v>44774</v>
          </cell>
          <cell r="C61">
            <v>911.13160000000005</v>
          </cell>
        </row>
        <row r="62">
          <cell r="B62">
            <v>44805</v>
          </cell>
          <cell r="C62">
            <v>967.30759999999998</v>
          </cell>
        </row>
        <row r="63">
          <cell r="B63">
            <v>44835</v>
          </cell>
          <cell r="C63">
            <v>1028.7059999999999</v>
          </cell>
        </row>
        <row r="64">
          <cell r="B64">
            <v>44866</v>
          </cell>
          <cell r="C64">
            <v>1079.2787000000001</v>
          </cell>
        </row>
        <row r="65">
          <cell r="B65">
            <v>44896</v>
          </cell>
          <cell r="C65">
            <v>1134.5875000000001</v>
          </cell>
        </row>
        <row r="66">
          <cell r="B66">
            <v>44927</v>
          </cell>
          <cell r="C66">
            <v>1202.979</v>
          </cell>
        </row>
        <row r="67">
          <cell r="B67">
            <v>44958</v>
          </cell>
          <cell r="C67">
            <v>1282.7091</v>
          </cell>
        </row>
        <row r="68">
          <cell r="B68">
            <v>44986</v>
          </cell>
          <cell r="C68">
            <v>1381.1601000000001</v>
          </cell>
        </row>
        <row r="69">
          <cell r="B69">
            <v>45017</v>
          </cell>
          <cell r="C69">
            <v>1497.2147</v>
          </cell>
        </row>
        <row r="70">
          <cell r="B70">
            <v>45047</v>
          </cell>
          <cell r="C70">
            <v>1613.5895</v>
          </cell>
        </row>
        <row r="71">
          <cell r="B71">
            <v>45078</v>
          </cell>
          <cell r="C71">
            <v>1709.6115</v>
          </cell>
        </row>
        <row r="72">
          <cell r="B72">
            <v>45108</v>
          </cell>
          <cell r="C72">
            <v>1818.0838000000001</v>
          </cell>
        </row>
        <row r="73">
          <cell r="B73">
            <v>45139</v>
          </cell>
          <cell r="C73">
            <v>2044.2832000000001</v>
          </cell>
        </row>
        <row r="74">
          <cell r="B74">
            <v>45170</v>
          </cell>
          <cell r="C74">
            <v>2304.9241999999999</v>
          </cell>
        </row>
        <row r="75">
          <cell r="B75">
            <v>45200</v>
          </cell>
          <cell r="C75">
            <v>2496.2730000000001</v>
          </cell>
        </row>
        <row r="76">
          <cell r="B76">
            <v>45231</v>
          </cell>
          <cell r="C76">
            <v>2816.0628000000002</v>
          </cell>
        </row>
        <row r="77">
          <cell r="B77">
            <v>45261</v>
          </cell>
          <cell r="C77">
            <v>3533.1922</v>
          </cell>
        </row>
        <row r="78">
          <cell r="B78">
            <v>45292</v>
          </cell>
          <cell r="C78">
            <v>4261.5324000000001</v>
          </cell>
        </row>
        <row r="79">
          <cell r="B79">
            <v>45323</v>
          </cell>
          <cell r="C79">
            <v>4825.7880999999998</v>
          </cell>
        </row>
        <row r="80">
          <cell r="B80">
            <v>45352</v>
          </cell>
          <cell r="C80">
            <v>5357.0928999999996</v>
          </cell>
        </row>
        <row r="81">
          <cell r="B81">
            <v>45383</v>
          </cell>
          <cell r="C81">
            <v>5830.2271000000001</v>
          </cell>
        </row>
        <row r="82">
          <cell r="B82">
            <v>45413</v>
          </cell>
          <cell r="C82">
            <v>6073.7165000000005</v>
          </cell>
        </row>
        <row r="83">
          <cell r="B83">
            <v>45444</v>
          </cell>
          <cell r="C83">
            <v>6351.7145</v>
          </cell>
        </row>
        <row r="84">
          <cell r="B84">
            <v>45474</v>
          </cell>
          <cell r="C84">
            <v>6607.7479000000003</v>
          </cell>
        </row>
        <row r="85">
          <cell r="B85">
            <v>45505</v>
          </cell>
          <cell r="C85">
            <v>6883.4412000000002</v>
          </cell>
        </row>
        <row r="86">
          <cell r="B86">
            <v>45536</v>
          </cell>
          <cell r="C86">
            <v>7122.2421000000004</v>
          </cell>
        </row>
        <row r="87">
          <cell r="B87">
            <v>45566</v>
          </cell>
          <cell r="C87">
            <v>7313.9542000000001</v>
          </cell>
        </row>
        <row r="88">
          <cell r="B88">
            <v>45597</v>
          </cell>
          <cell r="C88">
            <v>7491.4314000000004</v>
          </cell>
        </row>
        <row r="89">
          <cell r="B89">
            <v>45627</v>
          </cell>
          <cell r="C89">
            <v>7694.0074999999997</v>
          </cell>
        </row>
        <row r="90">
          <cell r="B90">
            <v>45658</v>
          </cell>
          <cell r="C90">
            <v>7864.1256999999996</v>
          </cell>
        </row>
        <row r="91">
          <cell r="B91">
            <v>45689</v>
          </cell>
          <cell r="C91">
            <v>8052.9926999999998</v>
          </cell>
        </row>
        <row r="92">
          <cell r="B92">
            <v>45717</v>
          </cell>
          <cell r="C92">
            <v>8353.3158000000003</v>
          </cell>
        </row>
        <row r="93">
          <cell r="B93">
            <v>45748</v>
          </cell>
          <cell r="C93">
            <v>8585.6077999999998</v>
          </cell>
        </row>
        <row r="94">
          <cell r="B94">
            <v>45778</v>
          </cell>
          <cell r="C94">
            <v>8714.4871000000003</v>
          </cell>
        </row>
        <row r="95">
          <cell r="B95">
            <v>45809</v>
          </cell>
          <cell r="C95">
            <v>8855.5681000000004</v>
          </cell>
        </row>
        <row r="96">
          <cell r="B96">
            <v>45839</v>
          </cell>
          <cell r="C96">
            <v>9023.973</v>
          </cell>
        </row>
        <row r="97">
          <cell r="B97">
            <v>45870</v>
          </cell>
          <cell r="C97">
            <v>9193.2440999999999</v>
          </cell>
        </row>
        <row r="98">
          <cell r="B98">
            <v>45901</v>
          </cell>
          <cell r="C98">
            <v>9384.0921999999991</v>
          </cell>
        </row>
        <row r="99">
          <cell r="B99">
            <v>45931</v>
          </cell>
          <cell r="C99">
            <v>9603.8623000000007</v>
          </cell>
        </row>
        <row r="100">
          <cell r="B100">
            <v>45962</v>
          </cell>
          <cell r="C100">
            <v>9841.3580999999995</v>
          </cell>
        </row>
        <row r="101">
          <cell r="B101">
            <v>45992</v>
          </cell>
          <cell r="C101">
            <v>10121.371499999999</v>
          </cell>
        </row>
        <row r="102">
          <cell r="B102">
            <v>46023</v>
          </cell>
          <cell r="C102">
            <v>10413.0309</v>
          </cell>
        </row>
        <row r="103">
          <cell r="B103">
            <v>46054</v>
          </cell>
          <cell r="C103">
            <v>10714.6255</v>
          </cell>
        </row>
        <row r="104">
          <cell r="B104">
            <v>46082</v>
          </cell>
          <cell r="C104">
            <v>11077.060799999999</v>
          </cell>
        </row>
      </sheetData>
      <sheetData sheetId="78" refreshError="1"/>
      <sheetData sheetId="7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REV."/>
      <sheetName val="DS.VTAS."/>
      <sheetName val="CH.RECH."/>
      <sheetName val="GEST.JUD."/>
      <sheetName val="COB.CTA.TERC."/>
      <sheetName val="CTRL.COB."/>
      <sheetName val="PREV.INC."/>
      <sheetName val="DOC.COB."/>
      <sheetName val="ANT.HON."/>
      <sheetName val="FINCABLE"/>
      <sheetName val="LATIN WEB"/>
      <sheetName val="LEAS.HP"/>
      <sheetName val="WEB SIDE"/>
      <sheetName val="FURCI"/>
      <sheetName val="CREDITO COMFER"/>
      <sheetName val="PMADERO"/>
      <sheetName val="INTERIOR"/>
      <sheetName val="THEME BAR"/>
      <sheetName val="RET.DE GCIAS."/>
      <sheetName val="RET.GCIAS.EXT."/>
      <sheetName val="PROG.PPIA."/>
      <sheetName val="ACT.ART."/>
      <sheetName val="DER.EX."/>
      <sheetName val="NEG"/>
      <sheetName val="MEJ.INM.3ROS."/>
      <sheetName val="LIC."/>
      <sheetName val="MARCAS"/>
      <sheetName val="CARG.DIF."/>
      <sheetName val="PREPRODUCCIONES"/>
      <sheetName val="DDA.EST.NAC."/>
      <sheetName val="PMO.$"/>
      <sheetName val="PMO.U$S"/>
      <sheetName val="DEUDAS FISCALES"/>
      <sheetName val="MATFIL"/>
      <sheetName val="JUICIOS"/>
      <sheetName val="GS.PAG.CJE."/>
      <sheetName val="CAN.INT."/>
      <sheetName val="GS.PAG.PNT."/>
      <sheetName val="GS.PAG.TV.PCIAS."/>
      <sheetName val="GS.PAG.COP."/>
      <sheetName val="ANT.CLI."/>
      <sheetName val="EEPN"/>
      <sheetName val="AM.HP."/>
      <sheetName val="AM.C.DIF."/>
      <sheetName val="AM.MEJ."/>
      <sheetName val="PAT"/>
      <sheetName val="COMFER"/>
      <sheetName val="SADAIC"/>
      <sheetName val="F.N.A."/>
      <sheetName val="AADI-CAPIF"/>
      <sheetName val="AM.DES.SIST."/>
      <sheetName val="PE.JUIC."/>
      <sheetName val="INCOBR."/>
      <sheetName val="AM.P.P."/>
      <sheetName val="juic"/>
      <sheetName val="TITULOS"/>
      <sheetName val="ORDEN"/>
      <sheetName val="Region South"/>
      <sheetName val="Chile"/>
      <sheetName val="Balance"/>
      <sheetName val="CONSUMO GASOIL"/>
      <sheetName val="Supuestos y Parámetros"/>
      <sheetName val="CTF 2"/>
      <sheetName val="Sheet1"/>
      <sheetName val="Analisis30-09-98"/>
      <sheetName val="INV_REV_"/>
      <sheetName val="DS_VTAS_"/>
      <sheetName val="CH_RECH_"/>
      <sheetName val="GEST_JUD_"/>
      <sheetName val="COB_CTA_TERC_"/>
      <sheetName val="CTRL_COB_"/>
      <sheetName val="PREV_INC_"/>
      <sheetName val="DOC_COB_"/>
      <sheetName val="ANT_HON_"/>
      <sheetName val="LATIN_WEB"/>
      <sheetName val="LEAS_HP"/>
      <sheetName val="WEB_SIDE"/>
      <sheetName val="CREDITO_COMFER"/>
      <sheetName val="THEME_BAR"/>
      <sheetName val="RET_DE_GCIAS_"/>
      <sheetName val="RET_GCIAS_EXT_"/>
      <sheetName val="PROG_PPIA_"/>
      <sheetName val="ACT_ART_"/>
      <sheetName val="DER_EX_"/>
      <sheetName val="MEJ_INM_3ROS_"/>
      <sheetName val="LIC_"/>
      <sheetName val="CARG_DIF_"/>
      <sheetName val="DDA_EST_NAC_"/>
      <sheetName val="PMO_$"/>
      <sheetName val="PMO_U$S"/>
      <sheetName val="DEUDAS_FISCALES"/>
      <sheetName val="GS_PAG_CJE_"/>
      <sheetName val="CAN_INT_"/>
      <sheetName val="GS_PAG_PNT_"/>
      <sheetName val="GS_PAG_TV_PCIAS_"/>
      <sheetName val="GS_PAG_COP_"/>
      <sheetName val="ANT_CLI_"/>
      <sheetName val="AM_HP_"/>
      <sheetName val="AM_C_DIF_"/>
      <sheetName val="AM_MEJ_"/>
      <sheetName val="F_N_A_"/>
      <sheetName val="AM_DES_SIST_"/>
      <sheetName val="PE_JUIC_"/>
      <sheetName val="INCOBR_"/>
      <sheetName val="AM_P_P_"/>
      <sheetName val="Hoja1"/>
      <sheetName val="TANGO"/>
      <sheetName val="ANEXOC0699"/>
      <sheetName val="713-3|3"/>
      <sheetName val="Pasivos omitidos"/>
      <sheetName val="Tickmarks"/>
      <sheetName val="P-L"/>
      <sheetName val="Links"/>
      <sheetName val="Lead"/>
      <sheetName val="Personal"/>
      <sheetName val="Milan"/>
      <sheetName val=" EEPN"/>
      <sheetName val="EOAF"/>
      <sheetName val="N2"/>
      <sheetName val="VPP"/>
      <sheetName val="Estoques PT"/>
      <sheetName val="WC analytics (+data pages)"/>
      <sheetName val="PRMAP001"/>
      <sheetName val="Book Basis"/>
      <sheetName val="BS-1"/>
      <sheetName val="LISTADO"/>
      <sheetName val="Headcount - Mapa de Horas e Fe"/>
      <sheetName val="GO TO PAGE"/>
      <sheetName val="Precios_Hoy"/>
      <sheetName val="Precios_Ant"/>
      <sheetName val="TABLA.XLS"/>
      <sheetName val="Patrimonial - SLee (2)"/>
      <sheetName val="Resultados (gral.) - SLee"/>
      <sheetName val="PSAFF-pivot"/>
      <sheetName val="PSCOMP-pivot"/>
      <sheetName val="PRECIO"/>
      <sheetName val="PUBLIC"/>
      <sheetName val="PT Detalles"/>
      <sheetName val="bienes de uso 2003"/>
      <sheetName val="#¡REF"/>
      <sheetName val="Organizaciones"/>
      <sheetName val="StandAlne"/>
      <sheetName val="CONSOLIDATED P&amp;L - TOTAL STORES"/>
      <sheetName val="Print Controls"/>
      <sheetName val="INV_REV_1"/>
      <sheetName val="DS_VTAS_1"/>
      <sheetName val="CH_RECH_1"/>
      <sheetName val="GEST_JUD_1"/>
      <sheetName val="COB_CTA_TERC_1"/>
      <sheetName val="CTRL_COB_1"/>
      <sheetName val="PREV_INC_1"/>
      <sheetName val="DOC_COB_1"/>
      <sheetName val="ANT_HON_1"/>
      <sheetName val="LATIN_WEB1"/>
      <sheetName val="LEAS_HP1"/>
      <sheetName val="WEB_SIDE1"/>
      <sheetName val="CREDITO_COMFER1"/>
      <sheetName val="THEME_BAR1"/>
      <sheetName val="RET_DE_GCIAS_1"/>
      <sheetName val="RET_GCIAS_EXT_1"/>
      <sheetName val="PROG_PPIA_1"/>
      <sheetName val="ACT_ART_1"/>
      <sheetName val="DER_EX_1"/>
      <sheetName val="MEJ_INM_3ROS_1"/>
      <sheetName val="LIC_1"/>
      <sheetName val="CARG_DIF_1"/>
      <sheetName val="DDA_EST_NAC_1"/>
      <sheetName val="PMO_$1"/>
      <sheetName val="PMO_U$S1"/>
      <sheetName val="DEUDAS_FISCALES1"/>
      <sheetName val="GS_PAG_CJE_1"/>
      <sheetName val="CAN_INT_1"/>
      <sheetName val="GS_PAG_PNT_1"/>
      <sheetName val="GS_PAG_TV_PCIAS_1"/>
      <sheetName val="GS_PAG_COP_1"/>
      <sheetName val="ANT_CLI_1"/>
      <sheetName val="AM_HP_1"/>
      <sheetName val="AM_C_DIF_1"/>
      <sheetName val="AM_MEJ_1"/>
      <sheetName val="F_N_A_1"/>
      <sheetName val="AM_DES_SIST_1"/>
      <sheetName val="PE_JUIC_1"/>
      <sheetName val="INCOBR_1"/>
      <sheetName val="AM_P_P_1"/>
      <sheetName val="INV_REV_2"/>
      <sheetName val="DS_VTAS_2"/>
      <sheetName val="CH_RECH_2"/>
      <sheetName val="GEST_JUD_2"/>
      <sheetName val="COB_CTA_TERC_2"/>
      <sheetName val="CTRL_COB_2"/>
      <sheetName val="PREV_INC_2"/>
      <sheetName val="DOC_COB_2"/>
      <sheetName val="ANT_HON_2"/>
      <sheetName val="LATIN_WEB2"/>
      <sheetName val="LEAS_HP2"/>
      <sheetName val="WEB_SIDE2"/>
      <sheetName val="CREDITO_COMFER2"/>
      <sheetName val="THEME_BAR2"/>
      <sheetName val="RET_DE_GCIAS_2"/>
      <sheetName val="RET_GCIAS_EXT_2"/>
      <sheetName val="PROG_PPIA_2"/>
      <sheetName val="ACT_ART_2"/>
      <sheetName val="DER_EX_2"/>
      <sheetName val="MEJ_INM_3ROS_2"/>
      <sheetName val="LIC_2"/>
      <sheetName val="CARG_DIF_2"/>
      <sheetName val="DDA_EST_NAC_2"/>
      <sheetName val="PMO_$2"/>
      <sheetName val="PMO_U$S2"/>
      <sheetName val="DEUDAS_FISCALES2"/>
      <sheetName val="GS_PAG_CJE_2"/>
      <sheetName val="CAN_INT_2"/>
      <sheetName val="GS_PAG_PNT_2"/>
      <sheetName val="GS_PAG_TV_PCIAS_2"/>
      <sheetName val="GS_PAG_COP_2"/>
      <sheetName val="ANT_CLI_2"/>
      <sheetName val="AM_HP_2"/>
      <sheetName val="AM_C_DIF_2"/>
      <sheetName val="AM_MEJ_2"/>
      <sheetName val="F_N_A_2"/>
      <sheetName val="AM_DES_SIST_2"/>
      <sheetName val="PE_JUIC_2"/>
      <sheetName val="INCOBR_2"/>
      <sheetName val="AM_P_P_2"/>
      <sheetName val="Patrimonial_-_SLee_(2)"/>
      <sheetName val="Resultados_(gral_)_-_SLee"/>
      <sheetName val="INV_REV_3"/>
      <sheetName val="DS_VTAS_3"/>
      <sheetName val="CH_RECH_3"/>
      <sheetName val="GEST_JUD_3"/>
      <sheetName val="COB_CTA_TERC_3"/>
      <sheetName val="CTRL_COB_3"/>
      <sheetName val="PREV_INC_3"/>
      <sheetName val="DOC_COB_3"/>
      <sheetName val="ANT_HON_3"/>
      <sheetName val="LATIN_WEB3"/>
      <sheetName val="LEAS_HP3"/>
      <sheetName val="WEB_SIDE3"/>
      <sheetName val="CREDITO_COMFER3"/>
      <sheetName val="THEME_BAR3"/>
      <sheetName val="RET_DE_GCIAS_3"/>
      <sheetName val="RET_GCIAS_EXT_3"/>
      <sheetName val="PROG_PPIA_3"/>
      <sheetName val="ACT_ART_3"/>
      <sheetName val="DER_EX_3"/>
      <sheetName val="MEJ_INM_3ROS_3"/>
      <sheetName val="LIC_3"/>
      <sheetName val="CARG_DIF_3"/>
      <sheetName val="DDA_EST_NAC_3"/>
      <sheetName val="PMO_$3"/>
      <sheetName val="PMO_U$S3"/>
      <sheetName val="DEUDAS_FISCALES3"/>
      <sheetName val="GS_PAG_CJE_3"/>
      <sheetName val="CAN_INT_3"/>
      <sheetName val="GS_PAG_PNT_3"/>
      <sheetName val="GS_PAG_TV_PCIAS_3"/>
      <sheetName val="GS_PAG_COP_3"/>
      <sheetName val="ANT_CLI_3"/>
      <sheetName val="AM_HP_3"/>
      <sheetName val="AM_C_DIF_3"/>
      <sheetName val="AM_MEJ_3"/>
      <sheetName val="F_N_A_3"/>
      <sheetName val="AM_DES_SIST_3"/>
      <sheetName val="PE_JUIC_3"/>
      <sheetName val="INCOBR_3"/>
      <sheetName val="AM_P_P_3"/>
      <sheetName val="Patrimonial_-_SLee_(2)1"/>
      <sheetName val="Resultados_(gral_)_-_SLe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Inv no ctes - resumen"/>
      <sheetName val="Movimiento para EOAF"/>
      <sheetName val="INTELSAT"/>
      <sheetName val="Intelsat - aportes"/>
      <sheetName val="Plazo Fijo - no hay"/>
      <sheetName val="Plazo Fijo - Evol del Trim - no"/>
      <sheetName val="VPP UTE Technology Impsat"/>
      <sheetName val="CLASIFICACION"/>
      <sheetName val="Tickmarks"/>
      <sheetName val="Plazo Fijo"/>
      <sheetName val="Memo"/>
      <sheetName val="Pasivos omitidos"/>
      <sheetName val="Anexo X"/>
      <sheetName val="Anexo I"/>
      <sheetName val="DF"/>
      <sheetName val="Limpio"/>
      <sheetName val="Cover Page"/>
      <sheetName val="PruebaGlobal"/>
      <sheetName val="Ret. y Perc. a pagar"/>
      <sheetName val="juic"/>
      <sheetName val="Intang"/>
      <sheetName val="ARMADO"/>
      <sheetName val="CTF-1"/>
      <sheetName val="ARMADO DEL DEBITO FISCAL"/>
      <sheetName val="COMPARACION DDJJ CON LIBRO"/>
      <sheetName val="PRUEBA GLOBAL"/>
      <sheetName val="Worksheet in 5240"/>
      <sheetName val="composición"/>
      <sheetName val="713-9|1"/>
      <sheetName val="Conciliaciones Bancarias"/>
      <sheetName val="Selección partidas que suman"/>
      <sheetName val="XREF"/>
      <sheetName val="ORDEN"/>
      <sheetName val="Precios_Hoy"/>
      <sheetName val="Precios_Ant"/>
      <sheetName val="CUADRE|1-3"/>
      <sheetName val="Actual Rates"/>
      <sheetName val="listado para prorrateos"/>
      <sheetName val="713-3|3"/>
      <sheetName val="GBP Rate"/>
      <sheetName val="Sheet1"/>
      <sheetName val="Ganancias"/>
      <sheetName val="PG - VR"/>
      <sheetName val="PG - Amort y altas"/>
      <sheetName val="Ac-Pa"/>
      <sheetName val="CASH FLOW-BASE BIZ"/>
      <sheetName val="cf. mp"/>
      <sheetName val="AJUSTE INICIAL"/>
      <sheetName val="anexo 1"/>
      <sheetName val="PL2"/>
      <sheetName val="Cash"/>
      <sheetName val="Fact Impagas"/>
      <sheetName val="F-5"/>
      <sheetName val="Worksheet%20in%205240.1%20INVER"/>
      <sheetName val="Date Update"/>
      <sheetName val="No Contabilizados"/>
      <sheetName val="No tomados x banco"/>
      <sheetName val="Bce SySaldos Inicial"/>
      <sheetName val="Worksheet in 5240.1 INVERSIONES"/>
      <sheetName val="Cruce del Mayor vs Estimación"/>
      <sheetName val="Contabilidad Vs Estimación"/>
      <sheetName val="Secco"/>
      <sheetName val="EERR"/>
      <sheetName val="ANEXOC0699"/>
      <sheetName val="Controles"/>
      <sheetName val=" Memo"/>
      <sheetName val="RAS Group - Level1"/>
      <sheetName val="Neto Result."/>
      <sheetName val="Altas"/>
      <sheetName val="Rev.Anal."/>
      <sheetName val="Table"/>
      <sheetName val="N"/>
      <sheetName val="2002-2003"/>
      <sheetName val="QUADRO"/>
      <sheetName val="FF3"/>
      <sheetName val="ELIMINAÇÕES"/>
      <sheetName val="RIS_TECNICHE"/>
      <sheetName val="INFO"/>
      <sheetName val="Medições a faturar"/>
      <sheetName val="Param"/>
      <sheetName val="PRECO"/>
      <sheetName val="PREÇOS"/>
      <sheetName val="Lists"/>
      <sheetName val="ce"/>
      <sheetName val="0000000"/>
      <sheetName val="ACT Input (2)"/>
      <sheetName val="Input"/>
      <sheetName val="BF"/>
      <sheetName val="Exces(Insuf) Prov.ISR "/>
      <sheetName val="LISTADO"/>
      <sheetName val="BIENES DE CAMBIO"/>
      <sheetName val="2.1.01.02.01.05"/>
      <sheetName val="2.1.01.02.01.06"/>
      <sheetName val="Telefonia"/>
      <sheetName val="Capex Bruto"/>
      <sheetName val="Macro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12-98"/>
      <sheetName val="Deudores en gestión "/>
      <sheetName val="Newco"/>
      <sheetName val="Tildes"/>
      <sheetName val="Pasivos omitidos"/>
      <sheetName val="Tickmarks"/>
      <sheetName val="INTELSAT"/>
      <sheetName val="Intang"/>
      <sheetName val="Ret. y Perc. a pagar"/>
      <sheetName val="F-5"/>
      <sheetName val="XREF"/>
      <sheetName val="ANEXO-G "/>
    </sheetNames>
    <sheetDataSet>
      <sheetData sheetId="0" refreshError="1"/>
      <sheetData sheetId="1" refreshError="1">
        <row r="350">
          <cell r="C350">
            <v>523343.62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ciliaciones"/>
      <sheetName val="2. BNP CC USD"/>
      <sheetName val="3. BNP CC $"/>
      <sheetName val="4.BNP off shore U$S"/>
      <sheetName val="XREF"/>
      <sheetName val="Tickmarks"/>
      <sheetName val="Conciliaciones"/>
      <sheetName val="BNP CC USD"/>
      <sheetName val="BNP CC $"/>
      <sheetName val="BNP off shore U$S"/>
      <sheetName val="A"/>
      <sheetName val="3) Prefinanciación"/>
      <sheetName val="Tabla"/>
      <sheetName val="P-A Clientes"/>
      <sheetName val="Clientes"/>
      <sheetName val="Worksheet 2i-WIP"/>
      <sheetName val="2.Anexo Bs Uso 31.12.03"/>
      <sheetName val="Análisis"/>
      <sheetName val="DISTBUSC"/>
      <sheetName val="AJUSTES"/>
      <sheetName val="Ret - 1"/>
      <sheetName val="Act-1"/>
      <sheetName val="SAU&amp;F"/>
      <sheetName val="Hoja1 (2)"/>
      <sheetName val="Worksheet in 5111 Análisis de c"/>
      <sheetName val="Tax Computation"/>
      <sheetName val="U$S"/>
      <sheetName val="Appendix 5"/>
      <sheetName val="Fdos Prop_Invest"/>
      <sheetName val="Perp U$S_Invest"/>
      <sheetName val="Perp $_Invest"/>
      <sheetName val="Ret $_Invest"/>
      <sheetName val="RVP U$S_Invest"/>
      <sheetName val="RVP $_Invest"/>
      <sheetName val="Vida_Invest"/>
      <sheetName val="Transf 1"/>
      <sheetName val="Tab"/>
      <sheetName val="Matriz"/>
      <sheetName val="Hoja1"/>
      <sheetName val="juic"/>
      <sheetName val="Detalle"/>
      <sheetName val="Movimiento"/>
      <sheetName val="Comparación"/>
      <sheetName val="Recon "/>
      <sheetName val="Confirm"/>
      <sheetName val="VALORES PUBLICO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es"/>
      <sheetName val="P-A Clientes"/>
    </sheetNames>
    <sheetDataSet>
      <sheetData sheetId="0" refreshError="1"/>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Resumen"/>
      <sheetName val="Fondo de Reparo"/>
      <sheetName val="3A Alternativa 1"/>
      <sheetName val="3A Alternativa 2"/>
      <sheetName val="Cálculo Cía"/>
      <sheetName val="Tickmarks"/>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A"/>
      <sheetName val="Clientes"/>
      <sheetName val="CLIENTES (2)"/>
      <sheetName val="Sheet1"/>
      <sheetName val="Sheet1 (2)"/>
      <sheetName val="P-A Clientes"/>
      <sheetName val="XREF"/>
      <sheetName val="Tickmarks"/>
      <sheetName val="Boletas de Pago"/>
      <sheetName val="1387-01"/>
      <sheetName val="Memo"/>
      <sheetName val="Letras y Notas BCRA"/>
      <sheetName val="GMP-2"/>
      <sheetName val="GMP-1"/>
      <sheetName val="GMP-11"/>
      <sheetName val="GMP-5"/>
      <sheetName val="GMP-9"/>
      <sheetName val="GMP-4"/>
      <sheetName val="GMP-6"/>
      <sheetName val="Cálculo Cía"/>
      <sheetName val="713-002}2"/>
      <sheetName val="525"/>
      <sheetName val="Ret. y Perc. a pagar"/>
      <sheetName val="Lead"/>
      <sheetName val="P_A Clientes"/>
      <sheetName val="P.G."/>
      <sheetName val="Resumen"/>
      <sheetName val="Resumen y Amort.Bajas"/>
      <sheetName val="P.Global_Sueldos"/>
      <sheetName val="VPP 2000"/>
      <sheetName val="2261-1"/>
      <sheetName val="Inventario"/>
      <sheetName val="IVA|PG DF"/>
      <sheetName val="Totales por clientes"/>
      <sheetName val="Clientes locales y exterior"/>
      <sheetName val="Interco"/>
      <sheetName val="#REF"/>
      <sheetName val="Cruce"/>
      <sheetName val="Previsión Incob."/>
      <sheetName val="PG Amortizaciones"/>
      <sheetName val="PG Valor Residual"/>
      <sheetName val="Altas"/>
      <sheetName val="Compilación"/>
      <sheetName val="Movimiento"/>
      <sheetName val="VEHICULOS"/>
      <sheetName val="Hoja1 (2)"/>
      <sheetName val="Cómputo"/>
      <sheetName val="Transporte"/>
      <sheetName val="IIBB"/>
      <sheetName val="CE_mapping"/>
      <sheetName val="1. C.Llave"/>
      <sheetName val="SSO"/>
      <sheetName val="Utilidades"/>
      <sheetName val="Prest. Soc."/>
      <sheetName val="Detalle cuadro de gastos"/>
      <sheetName val="Ligues contables"/>
      <sheetName val="EEPN|1"/>
      <sheetName val="CTF-2|1 1|"/>
      <sheetName val="Argentina"/>
      <sheetName val="analisis"/>
      <sheetName val="Cs. soc. a pagar"/>
      <sheetName val="Sub-selección"/>
      <sheetName val="Test de Transacciones"/>
      <sheetName val="Ganancias"/>
      <sheetName val="notas"/>
      <sheetName val="Moneda extranjera"/>
      <sheetName val="Analisis 1-01 a 6-01"/>
      <sheetName val="PL_Def_Numeric_List_01_04"/>
      <sheetName val="EMBI+ Brz vs. Arg"/>
      <sheetName val="IVA Estimado"/>
      <sheetName val="ORDEN"/>
      <sheetName val="Analisis P.A. al 31.10.07"/>
      <sheetName val="Caja"/>
      <sheetName val="Cuentas incluidas"/>
      <sheetName val="Resumen de Confirmaciones"/>
      <sheetName val="Conciliacion"/>
      <sheetName val="Cruce contable"/>
      <sheetName val="Links"/>
      <sheetName val="PLANILLAS"/>
      <sheetName val="CLIENTES_(2)"/>
      <sheetName val="Sheet1_(2)"/>
      <sheetName val="P-A_Clientes"/>
      <sheetName val="Boletas_de_Pago"/>
      <sheetName val="Ret__y_Perc__a_pagar"/>
      <sheetName val="Letras_y_Notas_BCRA"/>
      <sheetName val="Cálculo_Cía"/>
      <sheetName val="Previsión_Incob_"/>
      <sheetName val="Resumen_y_Amort_Bajas"/>
      <sheetName val="P_A_Clientes"/>
      <sheetName val="P_G_"/>
      <sheetName val="P_Global_Sueldos"/>
      <sheetName val="IVA|PG_DF"/>
      <sheetName val="VPP_2000"/>
      <sheetName val="Totales_por_clientes"/>
      <sheetName val="Clientes_locales_y_exterior"/>
      <sheetName val="PG_Amortizaciones"/>
      <sheetName val="PG_Valor_Residual"/>
      <sheetName val="Detalle_cuadro_de_gastos"/>
      <sheetName val="Hoja1_(2)"/>
      <sheetName val="1__C_Llave"/>
      <sheetName val="Prest__Soc_"/>
      <sheetName val="Ligues_contables"/>
      <sheetName val="CTF-2|1_1|"/>
      <sheetName val="T&amp;C"/>
      <sheetName val="TABLA"/>
      <sheetName val="Pasivos omitidos"/>
      <sheetName val="AFIJO"/>
      <sheetName val="P-A_Clientes1"/>
      <sheetName val="Ret Gan"/>
      <sheetName val="DDJJ Gcias"/>
      <sheetName val="#¡REF"/>
      <sheetName val="PopCache"/>
      <sheetName val="IVA_Estimado"/>
      <sheetName val="PASO 2"/>
      <sheetName val="TB"/>
      <sheetName val="LPH e INCE"/>
      <sheetName val="Assumptions"/>
      <sheetName val="50370,05"/>
      <sheetName val="Gz0axc0"/>
      <sheetName val="EMBI+_Brz_vs__Arg"/>
      <sheetName val="Suministro de Muestras"/>
      <sheetName val="Ganancias 2018 "/>
      <sheetName val="Patrimonio 2018"/>
      <sheetName val="acciones ubs"/>
      <sheetName val="morgan"/>
      <sheetName val="sueldos"/>
      <sheetName val="formulario 1357"/>
      <sheetName val="COTIZACION"/>
      <sheetName val="Gastos de lanzamiento"/>
    </sheetNames>
    <sheetDataSet>
      <sheetData sheetId="0" refreshError="1"/>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Neto resultante"/>
      <sheetName val="PBA GLOBAL Amortizaciones"/>
      <sheetName val="Composición del rubro"/>
      <sheetName val="Altas de Bienes de Uso"/>
      <sheetName val="Voucheo de altas"/>
      <sheetName val="Detalle de Bs de Uso"/>
      <sheetName val="MMA"/>
      <sheetName val="XREF"/>
      <sheetName val="Tickmark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GMP-3.2 Terminados"/>
      <sheetName val="50370,05"/>
      <sheetName val="tilde tickets "/>
      <sheetName val="PBA GLOBAL Amortizaciones"/>
      <sheetName val="PA "/>
      <sheetName val="Resumen Circularización"/>
      <sheetName val="Altas"/>
      <sheetName val="PG Amortizaciones"/>
    </sheetNames>
    <sheetDataSet>
      <sheetData sheetId="0" refreshError="1">
        <row r="20">
          <cell r="A20" t="str">
            <v>MAY 1998  : ACTUALS</v>
          </cell>
        </row>
        <row r="22">
          <cell r="C22">
            <v>1998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s>
    <sheetDataSet>
      <sheetData sheetId="0" refreshError="1">
        <row r="20">
          <cell r="A20" t="str">
            <v>MAY 1998  : ACTUALS</v>
          </cell>
        </row>
        <row r="22">
          <cell r="C22">
            <v>1998</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713"/>
      <sheetName val="713}Conciliación"/>
      <sheetName val="715"/>
      <sheetName val="715|1"/>
      <sheetName val="713|1"/>
      <sheetName val="713|2"/>
      <sheetName val="713|2-1"/>
      <sheetName val="713-1"/>
      <sheetName val="713-2"/>
      <sheetName val="713-3"/>
      <sheetName val="713-4"/>
      <sheetName val="713-6"/>
      <sheetName val="713-7 Prev IDCB"/>
      <sheetName val="713-8 Ds Fin"/>
      <sheetName val="713-8}1"/>
      <sheetName val="713-8}2"/>
      <sheetName val="713-8}3"/>
      <sheetName val="713-8}4"/>
      <sheetName val="713-9"/>
      <sheetName val="713-10"/>
      <sheetName val="713-11"/>
      <sheetName val="713-11|1"/>
      <sheetName val="EEBI"/>
      <sheetName val="CTF}PG"/>
      <sheetName val="CTF Resúmen"/>
      <sheetName val="Terrenos"/>
      <sheetName val="Bs Inmuebles"/>
      <sheetName val="Bs Muebles"/>
      <sheetName val="EEBU"/>
      <sheetName val="EEBU|1"/>
      <sheetName val="EEBU|1-1"/>
      <sheetName val="EEBU|1-2"/>
      <sheetName val="EEPN"/>
      <sheetName val="EEPN|1"/>
      <sheetName val="EEPN|2"/>
      <sheetName val="EEPN|3"/>
      <sheetName val="BS}1"/>
      <sheetName val="BS}2"/>
      <sheetName val="BS}2-1"/>
      <sheetName val="BS}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Resumen"/>
      <sheetName val="2.1.01.02.01.05"/>
      <sheetName val="2.1.01.02.01.06"/>
      <sheetName val="2.1.01.02.01.07"/>
      <sheetName val="2.1.01.02.01.08"/>
      <sheetName val="Cesiones HSBC"/>
      <sheetName val="OC  HSBC"/>
      <sheetName val="Intereses"/>
      <sheetName val="Marcas Estándar"/>
      <sheetName val="XREF"/>
      <sheetName val="EEPN"/>
      <sheetName val="EEPN|3"/>
      <sheetName val="Ctf-1"/>
      <sheetName val="Budget Assumptions"/>
      <sheetName val="Fat Anual 99_02"/>
      <sheetName val="Prueba Global LOCAL"/>
      <sheetName val="IVA|PG DF"/>
      <sheetName val="Taxes &amp; Deductions"/>
      <sheetName val="Lead"/>
      <sheetName val="Links"/>
      <sheetName val=""/>
      <sheetName val="Análisis"/>
      <sheetName val="Papel de trabajo"/>
      <sheetName val="Worksheet 2i-WIP"/>
      <sheetName val="PBA GLOBAL Amortizaciones"/>
      <sheetName val="IVABYLINE"/>
      <sheetName val="A-empre Escenario 2"/>
      <sheetName val="PIS-99"/>
      <sheetName val="U$S"/>
      <sheetName val="1. Analisis"/>
      <sheetName val="calculo convenios maraton 2000"/>
      <sheetName val="VALORES PUBLICOS"/>
      <sheetName val="ER"/>
      <sheetName val="EFE"/>
      <sheetName val="ESP"/>
      <sheetName val="Notas"/>
      <sheetName val="VidaRes"/>
      <sheetName val="Prueba global - Pasivo"/>
      <sheetName val="SSO"/>
      <sheetName val="LPH INCE"/>
      <sheetName val="DATOS"/>
      <sheetName val="Worksheet in 6240 Deudas Financ"/>
      <sheetName val="31-12-01"/>
      <sheetName val="30-06-02"/>
      <sheetName val="Cruce contable"/>
      <sheetName val="2_1_01_02_01_05"/>
      <sheetName val="2_1_01_02_01_06"/>
      <sheetName val="2_1_01_02_01_07"/>
      <sheetName val="2_1_01_02_01_08"/>
      <sheetName val="Cesiones_HSBC"/>
      <sheetName val="OC__HSBC"/>
      <sheetName val="Marcas_Estándar"/>
      <sheetName val="Prueba_Global_LOCAL"/>
      <sheetName val="Budget_Assumptions"/>
      <sheetName val="Fat_Anual_99_02"/>
      <sheetName val="A-empre_Escenario_2"/>
      <sheetName val="Worksheet_2i-WIP"/>
      <sheetName val="PBA_GLOBAL_Amortizaciones"/>
      <sheetName val="IVA|PG_DF"/>
      <sheetName val="Taxes_&amp;_Deductions"/>
      <sheetName val="Resultado-2001"/>
      <sheetName val="Asientos"/>
      <sheetName val="Papel_de_trabajo"/>
      <sheetName val="1__Analisis"/>
      <sheetName val="calculo_convenios_maraton_2000"/>
      <sheetName val="VALORES_PUBLICOS"/>
      <sheetName val="Shape"/>
      <sheetName val="Retrieve"/>
      <sheetName val="A-7 - Aug TB"/>
      <sheetName val="Hoja1"/>
      <sheetName val="ExistDec98"/>
      <sheetName val="ANEXOC0699"/>
      <sheetName val="Saldo a favor 2001"/>
      <sheetName val="UK"/>
      <sheetName val="BD"/>
      <sheetName val="Ganancias 2018 "/>
      <sheetName val="Patrimonio 2018"/>
      <sheetName val="acciones ubs"/>
      <sheetName val="morgan"/>
      <sheetName val="sueldos"/>
      <sheetName val="formulario 1357"/>
      <sheetName val="COTIZACION"/>
      <sheetName val="P.G. Amortizaciones"/>
      <sheetName val="Movimiento"/>
      <sheetName val="TITEQUIV"/>
      <sheetName val="ANIM"/>
      <sheetName val="PopCache"/>
      <sheetName val="DETAL0598"/>
      <sheetName val="rei"/>
      <sheetName val="2_1_01_02_01_051"/>
      <sheetName val="2_1_01_02_01_061"/>
      <sheetName val="2_1_01_02_01_071"/>
      <sheetName val="2_1_01_02_01_081"/>
      <sheetName val="Cesiones_HSBC1"/>
      <sheetName val="OC__HSBC1"/>
      <sheetName val="Marcas_Estándar1"/>
      <sheetName val="Prueba_Global_LOCAL1"/>
      <sheetName val="IVA|PG_DF1"/>
      <sheetName val="Taxes_&amp;_Deductions1"/>
      <sheetName val="Budget_Assumptions1"/>
      <sheetName val="Fat_Anual_99_021"/>
      <sheetName val="A-empre_Escenario_21"/>
      <sheetName val="Worksheet_2i-WIP1"/>
      <sheetName val="PBA_GLOBAL_Amortizaciones1"/>
      <sheetName val="Prueba_global_-_Pasivo"/>
      <sheetName val="Papel_de_trabajo1"/>
      <sheetName val="1__Analisis1"/>
      <sheetName val="calculo_convenios_maraton_20001"/>
      <sheetName val="VALORES_PUBLICOS1"/>
      <sheetName val="Conciliaciones"/>
      <sheetName val="Hoja3"/>
      <sheetName val="CUENTAS POR COBRAR NO COMERCIAL"/>
      <sheetName val="XN-2 Cruce Pasivo"/>
      <sheetName val="DATA GRAFICAS"/>
      <sheetName val="ILV ALC"/>
      <sheetName val="INV.SHAPAJA"/>
      <sheetName val="Warehouses"/>
    </sheetNames>
    <sheetDataSet>
      <sheetData sheetId="0" refreshError="1"/>
      <sheetData sheetId="1" refreshError="1"/>
      <sheetData sheetId="2"/>
      <sheetData sheetId="3"/>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Bs Uso"/>
      <sheetName val="Prueba Global Amort."/>
      <sheetName val="Instalaciones"/>
      <sheetName val="Rodados"/>
      <sheetName val="Muebles y Utiles"/>
      <sheetName val="Informatica"/>
      <sheetName val="Telefonia"/>
      <sheetName val="Otros Activos"/>
      <sheetName val="Obras en curso"/>
      <sheetName val="Apertura BU"/>
      <sheetName val="XREF"/>
      <sheetName val="Tickmarks"/>
      <sheetName val="Resumen"/>
      <sheetName val="1.Anexo Bs Uso"/>
      <sheetName val="2.PG Amortizaciones"/>
      <sheetName val="3.Amort Acelerada"/>
      <sheetName val="4.Instalaciones"/>
      <sheetName val="5.Rodados"/>
      <sheetName val="6.Muebles y Utiles"/>
      <sheetName val="7.Informatica"/>
      <sheetName val="8.Telefonia"/>
      <sheetName val="9.Otros Activos"/>
      <sheetName val="10.Obras en curso"/>
      <sheetName val="Analisis 1-01 a 6-01"/>
      <sheetName val="PG Débito Fiscal"/>
      <sheetName val="DDJJ"/>
      <sheetName val="PG Amortizaciones"/>
      <sheetName val="PG valor residual"/>
      <sheetName val="Prueba Global LOCAL"/>
      <sheetName val="Gastos de lanzamiento"/>
      <sheetName val="2.1.01.02.01.06"/>
      <sheetName val="2.1.01.02.01.05"/>
      <sheetName val="Ganancias"/>
      <sheetName val="ff1296"/>
      <sheetName val="DATVAR"/>
      <sheetName val="SSO"/>
      <sheetName val="LPH INCE"/>
      <sheetName val="38"/>
      <sheetName val="Convenios de pago - Chubut"/>
      <sheetName val="GAN-19|2"/>
      <sheetName val="GAN-5|2"/>
      <sheetName val="PG DF"/>
      <sheetName val="LPH e INCE"/>
      <sheetName val="ene nov 2001"/>
      <sheetName val="PAYROLL"/>
      <sheetName val="Mayor"/>
      <sheetName val="SALDO"/>
      <sheetName val="REPORTE"/>
      <sheetName val="DJJ"/>
      <sheetName val="Anexo_Bs_Uso"/>
      <sheetName val="Prueba_Global_Amort_"/>
      <sheetName val="Muebles_y_Utiles"/>
      <sheetName val="Otros_Activos"/>
      <sheetName val="Obras_en_curso"/>
      <sheetName val="Apertura_BU"/>
      <sheetName val="Gastos_de_lanzamiento"/>
      <sheetName val="1_Anexo_Bs_Uso"/>
      <sheetName val="2_PG_Amortizaciones"/>
      <sheetName val="3_Amort_Acelerada"/>
      <sheetName val="4_Instalaciones"/>
      <sheetName val="5_Rodados"/>
      <sheetName val="6_Muebles_y_Utiles"/>
      <sheetName val="7_Informatica"/>
      <sheetName val="8_Telefonia"/>
      <sheetName val="9_Otros_Activos"/>
      <sheetName val="10_Obras_en_curso"/>
      <sheetName val="Analisis_1-01_a_6-01"/>
      <sheetName val="PG_Débito_Fiscal"/>
      <sheetName val="PG_Amortizaciones"/>
      <sheetName val="PG_valor_residual"/>
      <sheetName val="Prueba_Global_LOCAL"/>
      <sheetName val="2_1_01_02_01_06"/>
      <sheetName val="2_1_01_02_01_05"/>
      <sheetName val="LPH_INC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3"/>
      <sheetName val="713| 1"/>
      <sheetName val="EEBI"/>
      <sheetName val="EEBI-1"/>
      <sheetName val="EEPN"/>
      <sheetName val="713-1"/>
      <sheetName val="713-2"/>
      <sheetName val="713-3"/>
      <sheetName val="713-4"/>
      <sheetName val="713-5"/>
      <sheetName val="713-6"/>
      <sheetName val="713-7"/>
      <sheetName val="713-8"/>
      <sheetName val="713-13"/>
      <sheetName val="713-14"/>
      <sheetName val="713-14 2]"/>
      <sheetName val="713-15"/>
      <sheetName val="713-16"/>
      <sheetName val="713-16 }1"/>
      <sheetName val="713-16}2"/>
      <sheetName val="713-17"/>
      <sheetName val="713-17}2"/>
      <sheetName val="713-18"/>
      <sheetName val="713-19"/>
      <sheetName val="713-20"/>
      <sheetName val="713-20  1}"/>
      <sheetName val="713-20 2}"/>
      <sheetName val="713-21"/>
      <sheetName val="713-22"/>
      <sheetName val="713-22 2}"/>
      <sheetName val="713-23"/>
      <sheetName val="713-24"/>
      <sheetName val="713-25"/>
      <sheetName val="713-26"/>
      <sheetName val="713-27"/>
      <sheetName val="713-27 }1"/>
      <sheetName val="713-29"/>
      <sheetName val="713-30"/>
      <sheetName val="713-31"/>
      <sheetName val="713-32"/>
      <sheetName val="713-33 "/>
      <sheetName val="713-002"/>
      <sheetName val="713-002}2"/>
      <sheetName val="713-002}3"/>
      <sheetName val="notas "/>
      <sheetName val="713-2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Deudores"/>
      <sheetName val="2.Prevision Incobrables"/>
      <sheetName val="XREF"/>
      <sheetName val="Tickmarks"/>
      <sheetName val="IIBB"/>
      <sheetName val="GAN-8|2"/>
      <sheetName val="PG CrF 09-02"/>
      <sheetName val="Transacciones - Otros saldos"/>
      <sheetName val="Saldos Interco Dic"/>
      <sheetName val="Conciliaciones Bancarias"/>
      <sheetName val="Caja"/>
      <sheetName val="MO y CF"/>
      <sheetName val="nombre"/>
      <sheetName val="P-A Clientes"/>
      <sheetName val="Clientes"/>
      <sheetName val="Conciliaciones"/>
      <sheetName val="Amercli"/>
      <sheetName val="composición"/>
      <sheetName val="PG 30-9-04"/>
      <sheetName val="TPO"/>
      <sheetName val="Cruce"/>
      <sheetName val="GMP-1"/>
      <sheetName val="GMP-5"/>
      <sheetName val="Gastos de lanzamiento"/>
      <sheetName val="713-002}2"/>
      <sheetName val="#¡REF"/>
      <sheetName val="DATOS"/>
      <sheetName val="2.1.01.02.01.06"/>
      <sheetName val="2.1.01.02.01.05"/>
      <sheetName val="VALORES PUBLICOS"/>
      <sheetName val="Contratos"/>
      <sheetName val="Selección Altas"/>
      <sheetName val="Conciliación Dic-03"/>
      <sheetName val="EEBU|1"/>
      <sheetName val="Previsión Incob"/>
      <sheetName val="Cruce contable"/>
      <sheetName val="Activo"/>
      <sheetName val="Costos"/>
      <sheetName val="DSO Ratio"/>
      <sheetName val="Resumen 31-03-01"/>
      <sheetName val="OP"/>
      <sheetName val="Test de Transacciones"/>
      <sheetName val="EEPN"/>
      <sheetName val="Sub-selección"/>
      <sheetName val="PG DF"/>
      <sheetName val="Resumen Previsiones"/>
      <sheetName val="Analisis 1-01 a 6-01"/>
      <sheetName val="pcQueryData"/>
      <sheetName val="Ints dev Mercantil"/>
      <sheetName val="CABLE_SAP"/>
      <sheetName val="IVA"/>
      <sheetName val="pago interes"/>
      <sheetName val="EEPN|3"/>
      <sheetName val="Worksheet in 5330 Aging de Clie"/>
      <sheetName val="1_Deudores"/>
      <sheetName val="2_Prevision_Incobrables"/>
      <sheetName val="PG_CrF_09-02"/>
      <sheetName val="Transacciones_-_Otros_saldos"/>
      <sheetName val="Saldos_Interco_Dic"/>
      <sheetName val="Conciliaciones_Bancarias"/>
      <sheetName val="MO_y_CF"/>
      <sheetName val="PG_30-9-04"/>
      <sheetName val="P-A_Clientes"/>
      <sheetName val="PG_DF"/>
      <sheetName val="Selección_Altas"/>
      <sheetName val="Gastos_de_lanzamiento"/>
      <sheetName val="Conciliación_Dic-03"/>
      <sheetName val="2_1_01_02_01_06"/>
      <sheetName val="2_1_01_02_01_05"/>
      <sheetName val="VALORES_PUBLICOS"/>
      <sheetName val="Previsión_Incob"/>
      <sheetName val="Cruce_contable"/>
      <sheetName val="Test_de_Transacciones"/>
      <sheetName val="DSO_Ratio"/>
      <sheetName val="Resumen_31-03-01"/>
      <sheetName val="Resumen_Previsiones"/>
      <sheetName val="Analisis_1-01_a_6-01"/>
      <sheetName val="Balance General-2004"/>
      <sheetName val="CTCOST34 MN TOTAL PROY"/>
      <sheetName val="Movimiento"/>
      <sheetName val="ES1"/>
      <sheetName val="nota6.2"/>
      <sheetName val="Ac-Pa"/>
      <sheetName val="DTR"/>
      <sheetName val="B.4.6 Td SUNAT"/>
      <sheetName val="Integraciones"/>
      <sheetName val="CTF|LEASING"/>
      <sheetName val="FINALPHP"/>
      <sheetName val="DIF FAT FEV 01"/>
      <sheetName val="#REF"/>
      <sheetName val="LPH e INCE"/>
      <sheetName val="Sheet2"/>
      <sheetName val="1_Deudores1"/>
      <sheetName val="2_Prevision_Incobrables1"/>
      <sheetName val="Transacciones_-_Otros_saldos1"/>
      <sheetName val="Saldos_Interco_Dic1"/>
      <sheetName val="PG_CrF_09-021"/>
      <sheetName val="Conciliaciones_Bancarias1"/>
      <sheetName val="MO_y_CF1"/>
      <sheetName val="PG_30-9-041"/>
      <sheetName val="Selección_Altas1"/>
      <sheetName val="Gastos_de_lanzamiento1"/>
      <sheetName val="P-A_Clientes1"/>
      <sheetName val="Conciliación_Dic-031"/>
      <sheetName val="2_1_01_02_01_061"/>
      <sheetName val="2_1_01_02_01_051"/>
      <sheetName val="VALORES_PUBLICOS1"/>
      <sheetName val="PG_DF1"/>
      <sheetName val="Previsión_Incob1"/>
      <sheetName val="Cruce_contable1"/>
      <sheetName val="Analisis_1-01_a_6-011"/>
      <sheetName val="DSO_Ratio1"/>
      <sheetName val="Resumen_31-03-011"/>
      <sheetName val="Test_de_Transacciones1"/>
      <sheetName val="Resumen_Previsiones1"/>
      <sheetName val="Worksheet_in_5330_Aging_de_Clie"/>
      <sheetName val="Balance_General-2004"/>
      <sheetName val="DIF_FAT_FEV_01"/>
      <sheetName val="CTCOST34_MN_TOTAL_PROY"/>
      <sheetName val="B_4_6_Td_SUNAT"/>
      <sheetName val="INICIO"/>
      <sheetName val="PATRIMONIO"/>
      <sheetName val="3.INPUT ACT"/>
      <sheetName val="Tablas"/>
      <sheetName val="ANIM"/>
      <sheetName val="0"/>
      <sheetName val="PROVEED"/>
      <sheetName val="Gastos Detallados Opt"/>
      <sheetName val=""/>
      <sheetName val="DATVAR"/>
      <sheetName val="Movimiento de Activo Fijo"/>
      <sheetName val="Prueba Gasto a Nov."/>
      <sheetName val="Retiros"/>
      <sheetName val="REFERENCIADO"/>
      <sheetName val="Listado Final Lima Capex "/>
      <sheetName val="US Investor Information"/>
      <sheetName val="FuE"/>
      <sheetName val="Restrukturierung"/>
      <sheetName val="Eingabesheet"/>
      <sheetName val="Geschäftsvermögen"/>
      <sheetName val="Resultado-2001"/>
      <sheetName val="Asientos"/>
      <sheetName val="ME-CXC"/>
      <sheetName val="ME-RO"/>
      <sheetName val="CXP Div"/>
      <sheetName val="Hoja1"/>
      <sheetName val="BD"/>
      <sheetName val="CRONOGRAMA"/>
      <sheetName val="EOAF_30-9-99"/>
      <sheetName val="BLP"/>
      <sheetName val="Quantity"/>
      <sheetName val="RESUMEN"/>
      <sheetName val="ILV ALC"/>
      <sheetName val="OTR.CRED."/>
      <sheetName val="Direct Labor Expenses"/>
      <sheetName val="Staff Labor"/>
      <sheetName val="Codes"/>
      <sheetName val="2-3"/>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Análisis"/>
      <sheetName val="Informes"/>
      <sheetName val="XREF"/>
      <sheetName val="Tickmarks"/>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MA"/>
      <sheetName val="TPO"/>
      <sheetName val="XREF"/>
      <sheetName val="Tickmarks"/>
    </sheetNames>
    <sheetDataSet>
      <sheetData sheetId="0" refreshError="1"/>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Cruce saldo con interco"/>
      <sheetName val="Latina de Gestion"/>
      <sheetName val="Florencio Aldrey "/>
      <sheetName val="Intereses"/>
      <sheetName val="XREF"/>
      <sheetName val="Tickmark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GMP"/>
      <sheetName val="GMP-1"/>
      <sheetName val="GMP-2"/>
      <sheetName val="GMP-3"/>
      <sheetName val="GAN"/>
      <sheetName val="GAN|1"/>
      <sheetName val="GAN|2"/>
      <sheetName val="GAN-1"/>
      <sheetName val="GAN-3"/>
      <sheetName val="GAN-3|1 Prev Inc"/>
      <sheetName val="GAN-4"/>
      <sheetName val="GAN-4|1"/>
      <sheetName val="GAN-5"/>
      <sheetName val="GAN-5|1"/>
      <sheetName val="GAN-5|2"/>
      <sheetName val="GAN-6"/>
      <sheetName val="GAN-7 Prev IDCB"/>
      <sheetName val="GAN-8"/>
      <sheetName val="GAN-8|1"/>
      <sheetName val="GAN-8|1-1"/>
      <sheetName val="GAN-8|1-2"/>
      <sheetName val="GAN-8|2"/>
      <sheetName val="GAN-8|2-1"/>
      <sheetName val="GAN-8|2-2"/>
      <sheetName val="GAN-8|3"/>
      <sheetName val="GAN-8|4"/>
      <sheetName val="Intereses"/>
      <sheetName val="GAN-9"/>
      <sheetName val="GAN-10"/>
      <sheetName val="GAN-10|1"/>
      <sheetName val="EEBI"/>
      <sheetName val="EEBU"/>
      <sheetName val="EEBU|1"/>
      <sheetName val="CTF|PG"/>
      <sheetName val="EEP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1. Neto resultante"/>
      <sheetName val="2. PBA GLOBAL Amortizaciones"/>
      <sheetName val="3. Amort Contab"/>
      <sheetName val="XREF"/>
      <sheetName val="Tickmarks"/>
      <sheetName val="Neto resultante"/>
      <sheetName val="PBA GLOBAL Amortizaciones"/>
      <sheetName val="Amort Contab"/>
    </sheetNames>
    <sheetDataSet>
      <sheetData sheetId="0" refreshError="1"/>
      <sheetData sheetId="1" refreshError="1"/>
      <sheetData sheetId="2" refreshError="1"/>
      <sheetData sheetId="3" refreshError="1"/>
      <sheetData sheetId="4"/>
      <sheetData sheetId="5" refreshError="1"/>
      <sheetData sheetId="6"/>
      <sheetData sheetId="7"/>
      <sheetData sheetId="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orte de vtas"/>
      <sheetName val="XREF"/>
      <sheetName val="Tickmarks"/>
      <sheetName val="Cruce saldos GL y Cta.Cte"/>
      <sheetName val="Analisis reg canje"/>
      <sheetName val="Previsión devoluciones"/>
      <sheetName val="Pub. canje"/>
      <sheetName val="Pub. cash"/>
      <sheetName val="PHU$S"/>
      <sheetName val="VE"/>
      <sheetName val="VC"/>
      <sheetName val="SC"/>
      <sheetName val="MC"/>
      <sheetName val="VV"/>
      <sheetName val="VI"/>
      <sheetName val="VK"/>
      <sheetName val="Ds. pendientes de facturación"/>
      <sheetName val="Provisión devoluciones"/>
      <sheetName val="Prev deudores incobrables"/>
      <sheetName val="IVA|PG DF"/>
      <sheetName val="rev analítica"/>
      <sheetName val="Clientes"/>
      <sheetName val="Resumen altas"/>
      <sheetName val="PG del valor Residual"/>
      <sheetName val="PG de Amortizaciones"/>
      <sheetName val="MMA"/>
      <sheetName val="Previsión Incob"/>
      <sheetName val="P-A Clientes"/>
      <sheetName val="Revisión analitica"/>
      <sheetName val="Sueldos y Cs. Sociales PG"/>
      <sheetName val="SAC"/>
      <sheetName val="IVA Estimado"/>
      <sheetName val="Prevision Incobrables"/>
      <sheetName val="#REF"/>
      <sheetName val="Activacion de intereses  Bs Uso"/>
      <sheetName val="GAN-3|1 Prev Inc"/>
      <sheetName val="Resumen"/>
      <sheetName val="IVA"/>
      <sheetName val="Resumen y Amort.Bajas"/>
      <sheetName val="PG Amortizaciones"/>
      <sheetName val="Confirm"/>
      <sheetName val="Recon "/>
      <sheetName val="P. Global - Cargo a resultados"/>
      <sheetName val="Reconciliation Summary"/>
      <sheetName val="PG"/>
      <sheetName val="Base Data"/>
      <sheetName val="Sheet1"/>
      <sheetName val="P-L"/>
      <sheetName val="Cs soc a pagar"/>
      <sheetName val="Bajas"/>
      <sheetName val="Conciliaciones Bancarias"/>
      <sheetName val="Selección partidas que suman"/>
      <sheetName val="Anexo X"/>
      <sheetName val="Anexo I"/>
      <sheetName val="corte_de_vtas"/>
      <sheetName val="Cruce_saldos_GL_y_Cta_Cte"/>
      <sheetName val="Analisis_reg_canje"/>
      <sheetName val="Previsión_devoluciones"/>
      <sheetName val="Pub__canje"/>
      <sheetName val="Pub__cash"/>
      <sheetName val="Ds__pendientes_de_facturación"/>
      <sheetName val="Provisión_devoluciones"/>
      <sheetName val="Prev_deudores_incobrables"/>
      <sheetName val="rev_analítica"/>
      <sheetName val="Resumen_altas"/>
      <sheetName val="IVA|PG_DF"/>
      <sheetName val="Recon_"/>
      <sheetName val="PG_del_valor_Residual"/>
      <sheetName val="PG_de_Amortizaciones"/>
      <sheetName val="Previsión_Incob"/>
      <sheetName val="Activacion_de_intereses__Bs_Uso"/>
      <sheetName val="P-A_Clientes"/>
      <sheetName val="Revisión_analitica"/>
      <sheetName val="Sueldos_y_Cs__Sociales_PG"/>
      <sheetName val="Prevision_Incobrables"/>
      <sheetName val="IVA_Estimado"/>
      <sheetName val="GAN-3|1_Prev_Inc"/>
      <sheetName val="Resumen_y_Amort_Bajas"/>
      <sheetName val="Conciliaciones_Bancarias"/>
      <sheetName val="Selección_partidas_que_suman"/>
      <sheetName val="Anexo_X"/>
      <sheetName val="Anexo_I"/>
      <sheetName val="Selección Altas"/>
      <sheetName val="PBA GLOBAL Amortizaciones"/>
      <sheetName val="IVA|voucheo"/>
      <sheetName val="Test de transacci. CF"/>
      <sheetName val="GMP-5"/>
      <sheetName val="GMP-2"/>
      <sheetName val="210480260 - Ret IVA RG3164"/>
      <sheetName val="Amarre IVA Acred"/>
      <sheetName val="Prueba valuación"/>
      <sheetName val="MMA Clientes Dic."/>
      <sheetName val="A.Clientes Dic"/>
      <sheetName val="A.Deudores Dic."/>
      <sheetName val="A. Clientes Sep"/>
      <sheetName val="A.Deudores Sep."/>
      <sheetName val="Chrysler Dic"/>
      <sheetName val="GM Dic"/>
      <sheetName val="Ford Dic"/>
      <sheetName val="VW Dic"/>
      <sheetName val="Saldo a Reservar"/>
      <sheetName val="Selecc. Prod Cañeros"/>
      <sheetName val="Resumen Cañeros"/>
      <sheetName val="Revision Cañeros"/>
      <sheetName val="ctacteDic2008- 0809"/>
      <sheetName val="ctacte dic 08 0810"/>
      <sheetName val="Clientes MN"/>
      <sheetName val="Clientes ME"/>
      <sheetName val="ANEXO 8"/>
      <sheetName val="ANEXO 10"/>
      <sheetName val="ANEXO 11"/>
      <sheetName val="Integracion"/>
      <sheetName val="Conciliación"/>
      <sheetName val="Reserva"/>
      <sheetName val="Cobros Posteriores"/>
      <sheetName val=" Lead"/>
      <sheetName val="Integración dic"/>
      <sheetName val="Ligue vs filiales"/>
      <sheetName val="Integración "/>
      <sheetName val="FILIALES"/>
      <sheetName val="Integración"/>
      <sheetName val="Revisión de Cobros Posteriores"/>
      <sheetName val="OCR"/>
      <sheetName val=".1 Integración"/>
      <sheetName val=".2 Pbas Conexión"/>
      <sheetName val=".3 MMA"/>
      <sheetName val=".4 Confirmación"/>
      <sheetName val=".5 Corte"/>
      <sheetName val=".6 Anticipos"/>
      <sheetName val=".7 Reserva de Incobrables"/>
      <sheetName val=".8 Cobros Posteriores"/>
      <sheetName val=".9 Integ. de Cobr. posteriores"/>
      <sheetName val="Tickmarks (2)"/>
      <sheetName val=".2 Pbas coneccion"/>
      <sheetName val=".4 Reserva de Incobrables"/>
      <sheetName val=".5 Cobros Posteriores"/>
      <sheetName val=".6 Integ. de Cobr. posteriores"/>
      <sheetName val="INTERCOMPAÑIAS"/>
      <sheetName val="IMPAC"/>
      <sheetName val="PRESTAMO A ICA"/>
      <sheetName val="PRESTAMO A OCCID"/>
      <sheetName val="INPC "/>
      <sheetName val="EXPECT."/>
      <sheetName val="Amortiz_ej"/>
      <sheetName val="Gastos de lanzamiento"/>
      <sheetName val=".1 Lead"/>
      <sheetName val=".2 Integración"/>
      <sheetName val=".3 Cobr. posteriores"/>
      <sheetName val="1. Lead"/>
      <sheetName val="2. Integracion"/>
      <sheetName val="3. Filiales"/>
      <sheetName val="4. IMPAC"/>
      <sheetName val="5. PRESTAMO A ICA"/>
      <sheetName val="6. PRESTAMO A OCCID"/>
      <sheetName val=".2 Reserva de Incobrables"/>
      <sheetName val=".3 Procedimientos Ctas por Cob"/>
      <sheetName val=".4 Cobros posteriores"/>
      <sheetName val=".5 Miscelaneos"/>
      <sheetName val="Fac y Cred M.TRANSITO"/>
      <sheetName val="Nómina"/>
      <sheetName val="Revision ALTAS"/>
    </sheetNames>
    <sheetDataSet>
      <sheetData sheetId="0">
        <row r="7">
          <cell r="L7">
            <v>9349191.1699999999</v>
          </cell>
        </row>
      </sheetData>
      <sheetData sheetId="1" refreshError="1"/>
      <sheetData sheetId="2" refreshError="1"/>
      <sheetData sheetId="3">
        <row r="7">
          <cell r="L7">
            <v>9349191.1699999999</v>
          </cell>
        </row>
      </sheetData>
      <sheetData sheetId="4" refreshError="1"/>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sheetData sheetId="128" refreshError="1"/>
      <sheetData sheetId="129" refreshError="1"/>
      <sheetData sheetId="130" refreshError="1"/>
      <sheetData sheetId="131" refreshError="1"/>
      <sheetData sheetId="132"/>
      <sheetData sheetId="133"/>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1. OPs"/>
      <sheetName val="2. MMA Ops"/>
      <sheetName val="3. NC posteriores"/>
      <sheetName val="4. MMA NC"/>
      <sheetName val="5. FC TLF"/>
      <sheetName val="6. MMA FC"/>
      <sheetName val="7. FC Proveed. Posteriores"/>
      <sheetName val="8. MMA FC prov"/>
      <sheetName val="Tickmark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MA"/>
      <sheetName val="TPO"/>
      <sheetName val="Tickmarks"/>
      <sheetName val="Analisis"/>
    </sheetNames>
    <sheetDataSet>
      <sheetData sheetId="0" refreshError="1"/>
      <sheetData sheetId="1" refreshError="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ICE"/>
      <sheetName val="INDICE "/>
      <sheetName val="GAN - GMP l NOTAS"/>
      <sheetName val="GAN - GMP l NOTAS "/>
      <sheetName val="GMP"/>
      <sheetName val="GMP "/>
      <sheetName val="GMP|1"/>
      <sheetName val="GMP|1 "/>
      <sheetName val="GMP|1 LyE"/>
      <sheetName val="GMP|2"/>
      <sheetName val="GMP|2 "/>
      <sheetName val="GMP|2  LyE"/>
      <sheetName val="GMP-1"/>
      <sheetName val="GMP-1 "/>
      <sheetName val="GMP-1 l LyE"/>
      <sheetName val="GAN"/>
      <sheetName val="GAN "/>
      <sheetName val="GAN|1"/>
      <sheetName val="GAN|1 "/>
      <sheetName val="GAN|1 LyE"/>
      <sheetName val="GAN|2"/>
      <sheetName val="GAN|2 "/>
      <sheetName val="GAN|2 LyE"/>
      <sheetName val="GAN|3"/>
      <sheetName val="GAN|3 "/>
      <sheetName val="GAN|3 LyE"/>
      <sheetName val="GAN|4"/>
      <sheetName val="GAN|4 "/>
      <sheetName val="GAN|4 LyE"/>
      <sheetName val="GAN - 1"/>
      <sheetName val="GAN - 1 "/>
      <sheetName val="GAN - 1 | 1"/>
      <sheetName val="GAN - 1 | 1 "/>
      <sheetName val="GAN - 1 l LyE"/>
      <sheetName val="GAN - 2"/>
      <sheetName val="GAN - 2 "/>
      <sheetName val="GAN - 2 | 1"/>
      <sheetName val="GAN - 2 | 1 "/>
      <sheetName val="GAN - 2 l LyE"/>
      <sheetName val="GAN-3"/>
      <sheetName val="GAN-3 "/>
      <sheetName val="GAN-3 l LyE"/>
      <sheetName val="GAN - 4"/>
      <sheetName val="GAN - 4 "/>
      <sheetName val="GAN - 4|1"/>
      <sheetName val="GAN - 4|1 "/>
      <sheetName val="GAN - 4|2"/>
      <sheetName val="GAN - 4|2 "/>
      <sheetName val="GAN - 4 LyE"/>
      <sheetName val="GAN - 5"/>
      <sheetName val="GAN - 5 "/>
      <sheetName val="GAN - 5 l LyE"/>
      <sheetName val="GAN - 6"/>
      <sheetName val="GAN - 6 "/>
      <sheetName val="GAN - 6 l LyE"/>
      <sheetName val="GAN - 7"/>
      <sheetName val="GAN - 7 "/>
      <sheetName val="GAN - 7 l LyE"/>
      <sheetName val="GAN - 8"/>
      <sheetName val="GAN - 8 "/>
      <sheetName val="GAN - 8 l 1"/>
      <sheetName val="GAN - 8 l 1 "/>
      <sheetName val="GAN - 8 l LyE"/>
      <sheetName val="GAN - 9"/>
      <sheetName val="GAN - 9 "/>
      <sheetName val="GAN - 9 l LyE"/>
      <sheetName val="GAN - 10"/>
      <sheetName val="GAN - 10 "/>
      <sheetName val="GAN - 10 l LyE"/>
      <sheetName val="GAN - 11"/>
      <sheetName val="GAN - 11 "/>
      <sheetName val="GAN - 11 l LyE"/>
      <sheetName val="GAN - 12"/>
      <sheetName val="GAN - 12 "/>
      <sheetName val="GAN - 12 l LyE"/>
      <sheetName val="GAN - 13"/>
      <sheetName val="GAN - 13 "/>
      <sheetName val="GAN - 13 l LyE"/>
      <sheetName val="GAN - 14"/>
      <sheetName val="GAN - 14 "/>
      <sheetName val="GAN - 14 l LyE"/>
      <sheetName val="GAN - 15"/>
      <sheetName val="GAN - 15 "/>
      <sheetName val="GAN - 15 l LyE"/>
      <sheetName val="GAN - 16"/>
      <sheetName val="GAN - 16 "/>
      <sheetName val="GAN - 16 l LyE"/>
      <sheetName val="GAN - 17"/>
      <sheetName val="GAN - 17 "/>
      <sheetName val="GAN - 17 l LyE"/>
      <sheetName val="GAN-18"/>
      <sheetName val="GAN-18 "/>
      <sheetName val="GAN - 18 l LyE"/>
      <sheetName val="GAN - 19"/>
      <sheetName val="GAN - 19 "/>
      <sheetName val="GAN - 19 l LyE"/>
      <sheetName val="GAN - 20"/>
      <sheetName val="GAN - 20 "/>
      <sheetName val="GAN - 20 l LyE"/>
      <sheetName val="GAN-21"/>
      <sheetName val="GAN-21 "/>
      <sheetName val="GAN-21 l LyE"/>
      <sheetName val="GAN - 22"/>
      <sheetName val="GAN - 22 "/>
      <sheetName val="GAN - 22 l LyE"/>
      <sheetName val="CTF|PG"/>
      <sheetName val="CTF|PG "/>
      <sheetName val="CTF"/>
      <sheetName val="CTF "/>
      <sheetName val="CTF-1"/>
      <sheetName val="CTF-1 "/>
      <sheetName val="CTF-2"/>
      <sheetName val="CTF-2 "/>
      <sheetName val="CTF l LyE"/>
      <sheetName val="EBU"/>
      <sheetName val="EBU "/>
      <sheetName val="EBU l LyE"/>
      <sheetName val="EEIT"/>
      <sheetName val="EEIT "/>
      <sheetName val="EEIT | 1"/>
      <sheetName val="EEIT | 1 "/>
      <sheetName val="EEIT l LyE"/>
      <sheetName val="EEIP"/>
      <sheetName val="EEIP "/>
      <sheetName val="EEIP l LyE"/>
      <sheetName val="EEBI"/>
      <sheetName val="EEBI "/>
      <sheetName val="EEBI l 1 "/>
      <sheetName val="EEBI l 1   "/>
      <sheetName val="EEBI l 2"/>
      <sheetName val="EEBI l 2 "/>
      <sheetName val="EEBI l LyE"/>
      <sheetName val="EEPN"/>
      <sheetName val="EEPN "/>
      <sheetName val="EEPN l Ly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5">
          <cell r="G45">
            <v>0</v>
          </cell>
        </row>
      </sheetData>
      <sheetData sheetId="32"/>
      <sheetData sheetId="33"/>
      <sheetData sheetId="34"/>
      <sheetData sheetId="35"/>
      <sheetData sheetId="36">
        <row r="22">
          <cell r="F22">
            <v>0</v>
          </cell>
        </row>
      </sheetData>
      <sheetData sheetId="37"/>
      <sheetData sheetId="38"/>
      <sheetData sheetId="39"/>
      <sheetData sheetId="40"/>
      <sheetData sheetId="41"/>
      <sheetData sheetId="42"/>
      <sheetData sheetId="43"/>
      <sheetData sheetId="44">
        <row r="33">
          <cell r="G33">
            <v>0</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ow r="22">
          <cell r="F22">
            <v>0</v>
          </cell>
        </row>
      </sheetData>
      <sheetData sheetId="120"/>
      <sheetData sheetId="121"/>
      <sheetData sheetId="122"/>
      <sheetData sheetId="123"/>
      <sheetData sheetId="124"/>
      <sheetData sheetId="125"/>
      <sheetData sheetId="126"/>
      <sheetData sheetId="127"/>
      <sheetData sheetId="128"/>
      <sheetData sheetId="129"/>
      <sheetData sheetId="130"/>
      <sheetData sheetId="131"/>
      <sheetData sheetId="132">
        <row r="37">
          <cell r="E37">
            <v>0</v>
          </cell>
        </row>
      </sheetData>
      <sheetData sheetId="133"/>
      <sheetData sheetId="1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6F96-4CC0-41C3-9457-247B28B3F1F2}">
  <sheetPr codeName="Sheet3">
    <tabColor theme="0" tint="-0.14999847407452621"/>
    <pageSetUpPr fitToPage="1"/>
  </sheetPr>
  <dimension ref="B1:F71"/>
  <sheetViews>
    <sheetView topLeftCell="A11" workbookViewId="0"/>
  </sheetViews>
  <sheetFormatPr defaultColWidth="9.1796875" defaultRowHeight="12.5" x14ac:dyDescent="0.25"/>
  <cols>
    <col min="1" max="1" width="4.7265625" style="1" customWidth="1"/>
    <col min="2" max="2" width="86.54296875" style="1" customWidth="1"/>
    <col min="3" max="3" width="19.453125" style="1" bestFit="1" customWidth="1"/>
    <col min="4" max="4" width="16.453125" style="1" customWidth="1"/>
    <col min="5" max="5" width="4.7265625" style="1" customWidth="1"/>
    <col min="6" max="256" width="9.1796875" style="1"/>
    <col min="257" max="257" width="4.7265625" style="1" customWidth="1"/>
    <col min="258" max="258" width="86.54296875" style="1" customWidth="1"/>
    <col min="259" max="259" width="19.453125" style="1" bestFit="1" customWidth="1"/>
    <col min="260" max="260" width="16.453125" style="1" customWidth="1"/>
    <col min="261" max="261" width="4.7265625" style="1" customWidth="1"/>
    <col min="262" max="512" width="9.1796875" style="1"/>
    <col min="513" max="513" width="4.7265625" style="1" customWidth="1"/>
    <col min="514" max="514" width="86.54296875" style="1" customWidth="1"/>
    <col min="515" max="515" width="19.453125" style="1" bestFit="1" customWidth="1"/>
    <col min="516" max="516" width="16.453125" style="1" customWidth="1"/>
    <col min="517" max="517" width="4.7265625" style="1" customWidth="1"/>
    <col min="518" max="768" width="9.1796875" style="1"/>
    <col min="769" max="769" width="4.7265625" style="1" customWidth="1"/>
    <col min="770" max="770" width="86.54296875" style="1" customWidth="1"/>
    <col min="771" max="771" width="19.453125" style="1" bestFit="1" customWidth="1"/>
    <col min="772" max="772" width="16.453125" style="1" customWidth="1"/>
    <col min="773" max="773" width="4.7265625" style="1" customWidth="1"/>
    <col min="774" max="1024" width="9.1796875" style="1"/>
    <col min="1025" max="1025" width="4.7265625" style="1" customWidth="1"/>
    <col min="1026" max="1026" width="86.54296875" style="1" customWidth="1"/>
    <col min="1027" max="1027" width="19.453125" style="1" bestFit="1" customWidth="1"/>
    <col min="1028" max="1028" width="16.453125" style="1" customWidth="1"/>
    <col min="1029" max="1029" width="4.7265625" style="1" customWidth="1"/>
    <col min="1030" max="1280" width="9.1796875" style="1"/>
    <col min="1281" max="1281" width="4.7265625" style="1" customWidth="1"/>
    <col min="1282" max="1282" width="86.54296875" style="1" customWidth="1"/>
    <col min="1283" max="1283" width="19.453125" style="1" bestFit="1" customWidth="1"/>
    <col min="1284" max="1284" width="16.453125" style="1" customWidth="1"/>
    <col min="1285" max="1285" width="4.7265625" style="1" customWidth="1"/>
    <col min="1286" max="1536" width="9.1796875" style="1"/>
    <col min="1537" max="1537" width="4.7265625" style="1" customWidth="1"/>
    <col min="1538" max="1538" width="86.54296875" style="1" customWidth="1"/>
    <col min="1539" max="1539" width="19.453125" style="1" bestFit="1" customWidth="1"/>
    <col min="1540" max="1540" width="16.453125" style="1" customWidth="1"/>
    <col min="1541" max="1541" width="4.7265625" style="1" customWidth="1"/>
    <col min="1542" max="1792" width="9.1796875" style="1"/>
    <col min="1793" max="1793" width="4.7265625" style="1" customWidth="1"/>
    <col min="1794" max="1794" width="86.54296875" style="1" customWidth="1"/>
    <col min="1795" max="1795" width="19.453125" style="1" bestFit="1" customWidth="1"/>
    <col min="1796" max="1796" width="16.453125" style="1" customWidth="1"/>
    <col min="1797" max="1797" width="4.7265625" style="1" customWidth="1"/>
    <col min="1798" max="2048" width="9.1796875" style="1"/>
    <col min="2049" max="2049" width="4.7265625" style="1" customWidth="1"/>
    <col min="2050" max="2050" width="86.54296875" style="1" customWidth="1"/>
    <col min="2051" max="2051" width="19.453125" style="1" bestFit="1" customWidth="1"/>
    <col min="2052" max="2052" width="16.453125" style="1" customWidth="1"/>
    <col min="2053" max="2053" width="4.7265625" style="1" customWidth="1"/>
    <col min="2054" max="2304" width="9.1796875" style="1"/>
    <col min="2305" max="2305" width="4.7265625" style="1" customWidth="1"/>
    <col min="2306" max="2306" width="86.54296875" style="1" customWidth="1"/>
    <col min="2307" max="2307" width="19.453125" style="1" bestFit="1" customWidth="1"/>
    <col min="2308" max="2308" width="16.453125" style="1" customWidth="1"/>
    <col min="2309" max="2309" width="4.7265625" style="1" customWidth="1"/>
    <col min="2310" max="2560" width="9.1796875" style="1"/>
    <col min="2561" max="2561" width="4.7265625" style="1" customWidth="1"/>
    <col min="2562" max="2562" width="86.54296875" style="1" customWidth="1"/>
    <col min="2563" max="2563" width="19.453125" style="1" bestFit="1" customWidth="1"/>
    <col min="2564" max="2564" width="16.453125" style="1" customWidth="1"/>
    <col min="2565" max="2565" width="4.7265625" style="1" customWidth="1"/>
    <col min="2566" max="2816" width="9.1796875" style="1"/>
    <col min="2817" max="2817" width="4.7265625" style="1" customWidth="1"/>
    <col min="2818" max="2818" width="86.54296875" style="1" customWidth="1"/>
    <col min="2819" max="2819" width="19.453125" style="1" bestFit="1" customWidth="1"/>
    <col min="2820" max="2820" width="16.453125" style="1" customWidth="1"/>
    <col min="2821" max="2821" width="4.7265625" style="1" customWidth="1"/>
    <col min="2822" max="3072" width="9.1796875" style="1"/>
    <col min="3073" max="3073" width="4.7265625" style="1" customWidth="1"/>
    <col min="3074" max="3074" width="86.54296875" style="1" customWidth="1"/>
    <col min="3075" max="3075" width="19.453125" style="1" bestFit="1" customWidth="1"/>
    <col min="3076" max="3076" width="16.453125" style="1" customWidth="1"/>
    <col min="3077" max="3077" width="4.7265625" style="1" customWidth="1"/>
    <col min="3078" max="3328" width="9.1796875" style="1"/>
    <col min="3329" max="3329" width="4.7265625" style="1" customWidth="1"/>
    <col min="3330" max="3330" width="86.54296875" style="1" customWidth="1"/>
    <col min="3331" max="3331" width="19.453125" style="1" bestFit="1" customWidth="1"/>
    <col min="3332" max="3332" width="16.453125" style="1" customWidth="1"/>
    <col min="3333" max="3333" width="4.7265625" style="1" customWidth="1"/>
    <col min="3334" max="3584" width="9.1796875" style="1"/>
    <col min="3585" max="3585" width="4.7265625" style="1" customWidth="1"/>
    <col min="3586" max="3586" width="86.54296875" style="1" customWidth="1"/>
    <col min="3587" max="3587" width="19.453125" style="1" bestFit="1" customWidth="1"/>
    <col min="3588" max="3588" width="16.453125" style="1" customWidth="1"/>
    <col min="3589" max="3589" width="4.7265625" style="1" customWidth="1"/>
    <col min="3590" max="3840" width="9.1796875" style="1"/>
    <col min="3841" max="3841" width="4.7265625" style="1" customWidth="1"/>
    <col min="3842" max="3842" width="86.54296875" style="1" customWidth="1"/>
    <col min="3843" max="3843" width="19.453125" style="1" bestFit="1" customWidth="1"/>
    <col min="3844" max="3844" width="16.453125" style="1" customWidth="1"/>
    <col min="3845" max="3845" width="4.7265625" style="1" customWidth="1"/>
    <col min="3846" max="4096" width="9.1796875" style="1"/>
    <col min="4097" max="4097" width="4.7265625" style="1" customWidth="1"/>
    <col min="4098" max="4098" width="86.54296875" style="1" customWidth="1"/>
    <col min="4099" max="4099" width="19.453125" style="1" bestFit="1" customWidth="1"/>
    <col min="4100" max="4100" width="16.453125" style="1" customWidth="1"/>
    <col min="4101" max="4101" width="4.7265625" style="1" customWidth="1"/>
    <col min="4102" max="4352" width="9.1796875" style="1"/>
    <col min="4353" max="4353" width="4.7265625" style="1" customWidth="1"/>
    <col min="4354" max="4354" width="86.54296875" style="1" customWidth="1"/>
    <col min="4355" max="4355" width="19.453125" style="1" bestFit="1" customWidth="1"/>
    <col min="4356" max="4356" width="16.453125" style="1" customWidth="1"/>
    <col min="4357" max="4357" width="4.7265625" style="1" customWidth="1"/>
    <col min="4358" max="4608" width="9.1796875" style="1"/>
    <col min="4609" max="4609" width="4.7265625" style="1" customWidth="1"/>
    <col min="4610" max="4610" width="86.54296875" style="1" customWidth="1"/>
    <col min="4611" max="4611" width="19.453125" style="1" bestFit="1" customWidth="1"/>
    <col min="4612" max="4612" width="16.453125" style="1" customWidth="1"/>
    <col min="4613" max="4613" width="4.7265625" style="1" customWidth="1"/>
    <col min="4614" max="4864" width="9.1796875" style="1"/>
    <col min="4865" max="4865" width="4.7265625" style="1" customWidth="1"/>
    <col min="4866" max="4866" width="86.54296875" style="1" customWidth="1"/>
    <col min="4867" max="4867" width="19.453125" style="1" bestFit="1" customWidth="1"/>
    <col min="4868" max="4868" width="16.453125" style="1" customWidth="1"/>
    <col min="4869" max="4869" width="4.7265625" style="1" customWidth="1"/>
    <col min="4870" max="5120" width="9.1796875" style="1"/>
    <col min="5121" max="5121" width="4.7265625" style="1" customWidth="1"/>
    <col min="5122" max="5122" width="86.54296875" style="1" customWidth="1"/>
    <col min="5123" max="5123" width="19.453125" style="1" bestFit="1" customWidth="1"/>
    <col min="5124" max="5124" width="16.453125" style="1" customWidth="1"/>
    <col min="5125" max="5125" width="4.7265625" style="1" customWidth="1"/>
    <col min="5126" max="5376" width="9.1796875" style="1"/>
    <col min="5377" max="5377" width="4.7265625" style="1" customWidth="1"/>
    <col min="5378" max="5378" width="86.54296875" style="1" customWidth="1"/>
    <col min="5379" max="5379" width="19.453125" style="1" bestFit="1" customWidth="1"/>
    <col min="5380" max="5380" width="16.453125" style="1" customWidth="1"/>
    <col min="5381" max="5381" width="4.7265625" style="1" customWidth="1"/>
    <col min="5382" max="5632" width="9.1796875" style="1"/>
    <col min="5633" max="5633" width="4.7265625" style="1" customWidth="1"/>
    <col min="5634" max="5634" width="86.54296875" style="1" customWidth="1"/>
    <col min="5635" max="5635" width="19.453125" style="1" bestFit="1" customWidth="1"/>
    <col min="5636" max="5636" width="16.453125" style="1" customWidth="1"/>
    <col min="5637" max="5637" width="4.7265625" style="1" customWidth="1"/>
    <col min="5638" max="5888" width="9.1796875" style="1"/>
    <col min="5889" max="5889" width="4.7265625" style="1" customWidth="1"/>
    <col min="5890" max="5890" width="86.54296875" style="1" customWidth="1"/>
    <col min="5891" max="5891" width="19.453125" style="1" bestFit="1" customWidth="1"/>
    <col min="5892" max="5892" width="16.453125" style="1" customWidth="1"/>
    <col min="5893" max="5893" width="4.7265625" style="1" customWidth="1"/>
    <col min="5894" max="6144" width="9.1796875" style="1"/>
    <col min="6145" max="6145" width="4.7265625" style="1" customWidth="1"/>
    <col min="6146" max="6146" width="86.54296875" style="1" customWidth="1"/>
    <col min="6147" max="6147" width="19.453125" style="1" bestFit="1" customWidth="1"/>
    <col min="6148" max="6148" width="16.453125" style="1" customWidth="1"/>
    <col min="6149" max="6149" width="4.7265625" style="1" customWidth="1"/>
    <col min="6150" max="6400" width="9.1796875" style="1"/>
    <col min="6401" max="6401" width="4.7265625" style="1" customWidth="1"/>
    <col min="6402" max="6402" width="86.54296875" style="1" customWidth="1"/>
    <col min="6403" max="6403" width="19.453125" style="1" bestFit="1" customWidth="1"/>
    <col min="6404" max="6404" width="16.453125" style="1" customWidth="1"/>
    <col min="6405" max="6405" width="4.7265625" style="1" customWidth="1"/>
    <col min="6406" max="6656" width="9.1796875" style="1"/>
    <col min="6657" max="6657" width="4.7265625" style="1" customWidth="1"/>
    <col min="6658" max="6658" width="86.54296875" style="1" customWidth="1"/>
    <col min="6659" max="6659" width="19.453125" style="1" bestFit="1" customWidth="1"/>
    <col min="6660" max="6660" width="16.453125" style="1" customWidth="1"/>
    <col min="6661" max="6661" width="4.7265625" style="1" customWidth="1"/>
    <col min="6662" max="6912" width="9.1796875" style="1"/>
    <col min="6913" max="6913" width="4.7265625" style="1" customWidth="1"/>
    <col min="6914" max="6914" width="86.54296875" style="1" customWidth="1"/>
    <col min="6915" max="6915" width="19.453125" style="1" bestFit="1" customWidth="1"/>
    <col min="6916" max="6916" width="16.453125" style="1" customWidth="1"/>
    <col min="6917" max="6917" width="4.7265625" style="1" customWidth="1"/>
    <col min="6918" max="7168" width="9.1796875" style="1"/>
    <col min="7169" max="7169" width="4.7265625" style="1" customWidth="1"/>
    <col min="7170" max="7170" width="86.54296875" style="1" customWidth="1"/>
    <col min="7171" max="7171" width="19.453125" style="1" bestFit="1" customWidth="1"/>
    <col min="7172" max="7172" width="16.453125" style="1" customWidth="1"/>
    <col min="7173" max="7173" width="4.7265625" style="1" customWidth="1"/>
    <col min="7174" max="7424" width="9.1796875" style="1"/>
    <col min="7425" max="7425" width="4.7265625" style="1" customWidth="1"/>
    <col min="7426" max="7426" width="86.54296875" style="1" customWidth="1"/>
    <col min="7427" max="7427" width="19.453125" style="1" bestFit="1" customWidth="1"/>
    <col min="7428" max="7428" width="16.453125" style="1" customWidth="1"/>
    <col min="7429" max="7429" width="4.7265625" style="1" customWidth="1"/>
    <col min="7430" max="7680" width="9.1796875" style="1"/>
    <col min="7681" max="7681" width="4.7265625" style="1" customWidth="1"/>
    <col min="7682" max="7682" width="86.54296875" style="1" customWidth="1"/>
    <col min="7683" max="7683" width="19.453125" style="1" bestFit="1" customWidth="1"/>
    <col min="7684" max="7684" width="16.453125" style="1" customWidth="1"/>
    <col min="7685" max="7685" width="4.7265625" style="1" customWidth="1"/>
    <col min="7686" max="7936" width="9.1796875" style="1"/>
    <col min="7937" max="7937" width="4.7265625" style="1" customWidth="1"/>
    <col min="7938" max="7938" width="86.54296875" style="1" customWidth="1"/>
    <col min="7939" max="7939" width="19.453125" style="1" bestFit="1" customWidth="1"/>
    <col min="7940" max="7940" width="16.453125" style="1" customWidth="1"/>
    <col min="7941" max="7941" width="4.7265625" style="1" customWidth="1"/>
    <col min="7942" max="8192" width="9.1796875" style="1"/>
    <col min="8193" max="8193" width="4.7265625" style="1" customWidth="1"/>
    <col min="8194" max="8194" width="86.54296875" style="1" customWidth="1"/>
    <col min="8195" max="8195" width="19.453125" style="1" bestFit="1" customWidth="1"/>
    <col min="8196" max="8196" width="16.453125" style="1" customWidth="1"/>
    <col min="8197" max="8197" width="4.7265625" style="1" customWidth="1"/>
    <col min="8198" max="8448" width="9.1796875" style="1"/>
    <col min="8449" max="8449" width="4.7265625" style="1" customWidth="1"/>
    <col min="8450" max="8450" width="86.54296875" style="1" customWidth="1"/>
    <col min="8451" max="8451" width="19.453125" style="1" bestFit="1" customWidth="1"/>
    <col min="8452" max="8452" width="16.453125" style="1" customWidth="1"/>
    <col min="8453" max="8453" width="4.7265625" style="1" customWidth="1"/>
    <col min="8454" max="8704" width="9.1796875" style="1"/>
    <col min="8705" max="8705" width="4.7265625" style="1" customWidth="1"/>
    <col min="8706" max="8706" width="86.54296875" style="1" customWidth="1"/>
    <col min="8707" max="8707" width="19.453125" style="1" bestFit="1" customWidth="1"/>
    <col min="8708" max="8708" width="16.453125" style="1" customWidth="1"/>
    <col min="8709" max="8709" width="4.7265625" style="1" customWidth="1"/>
    <col min="8710" max="8960" width="9.1796875" style="1"/>
    <col min="8961" max="8961" width="4.7265625" style="1" customWidth="1"/>
    <col min="8962" max="8962" width="86.54296875" style="1" customWidth="1"/>
    <col min="8963" max="8963" width="19.453125" style="1" bestFit="1" customWidth="1"/>
    <col min="8964" max="8964" width="16.453125" style="1" customWidth="1"/>
    <col min="8965" max="8965" width="4.7265625" style="1" customWidth="1"/>
    <col min="8966" max="9216" width="9.1796875" style="1"/>
    <col min="9217" max="9217" width="4.7265625" style="1" customWidth="1"/>
    <col min="9218" max="9218" width="86.54296875" style="1" customWidth="1"/>
    <col min="9219" max="9219" width="19.453125" style="1" bestFit="1" customWidth="1"/>
    <col min="9220" max="9220" width="16.453125" style="1" customWidth="1"/>
    <col min="9221" max="9221" width="4.7265625" style="1" customWidth="1"/>
    <col min="9222" max="9472" width="9.1796875" style="1"/>
    <col min="9473" max="9473" width="4.7265625" style="1" customWidth="1"/>
    <col min="9474" max="9474" width="86.54296875" style="1" customWidth="1"/>
    <col min="9475" max="9475" width="19.453125" style="1" bestFit="1" customWidth="1"/>
    <col min="9476" max="9476" width="16.453125" style="1" customWidth="1"/>
    <col min="9477" max="9477" width="4.7265625" style="1" customWidth="1"/>
    <col min="9478" max="9728" width="9.1796875" style="1"/>
    <col min="9729" max="9729" width="4.7265625" style="1" customWidth="1"/>
    <col min="9730" max="9730" width="86.54296875" style="1" customWidth="1"/>
    <col min="9731" max="9731" width="19.453125" style="1" bestFit="1" customWidth="1"/>
    <col min="9732" max="9732" width="16.453125" style="1" customWidth="1"/>
    <col min="9733" max="9733" width="4.7265625" style="1" customWidth="1"/>
    <col min="9734" max="9984" width="9.1796875" style="1"/>
    <col min="9985" max="9985" width="4.7265625" style="1" customWidth="1"/>
    <col min="9986" max="9986" width="86.54296875" style="1" customWidth="1"/>
    <col min="9987" max="9987" width="19.453125" style="1" bestFit="1" customWidth="1"/>
    <col min="9988" max="9988" width="16.453125" style="1" customWidth="1"/>
    <col min="9989" max="9989" width="4.7265625" style="1" customWidth="1"/>
    <col min="9990" max="10240" width="9.1796875" style="1"/>
    <col min="10241" max="10241" width="4.7265625" style="1" customWidth="1"/>
    <col min="10242" max="10242" width="86.54296875" style="1" customWidth="1"/>
    <col min="10243" max="10243" width="19.453125" style="1" bestFit="1" customWidth="1"/>
    <col min="10244" max="10244" width="16.453125" style="1" customWidth="1"/>
    <col min="10245" max="10245" width="4.7265625" style="1" customWidth="1"/>
    <col min="10246" max="10496" width="9.1796875" style="1"/>
    <col min="10497" max="10497" width="4.7265625" style="1" customWidth="1"/>
    <col min="10498" max="10498" width="86.54296875" style="1" customWidth="1"/>
    <col min="10499" max="10499" width="19.453125" style="1" bestFit="1" customWidth="1"/>
    <col min="10500" max="10500" width="16.453125" style="1" customWidth="1"/>
    <col min="10501" max="10501" width="4.7265625" style="1" customWidth="1"/>
    <col min="10502" max="10752" width="9.1796875" style="1"/>
    <col min="10753" max="10753" width="4.7265625" style="1" customWidth="1"/>
    <col min="10754" max="10754" width="86.54296875" style="1" customWidth="1"/>
    <col min="10755" max="10755" width="19.453125" style="1" bestFit="1" customWidth="1"/>
    <col min="10756" max="10756" width="16.453125" style="1" customWidth="1"/>
    <col min="10757" max="10757" width="4.7265625" style="1" customWidth="1"/>
    <col min="10758" max="11008" width="9.1796875" style="1"/>
    <col min="11009" max="11009" width="4.7265625" style="1" customWidth="1"/>
    <col min="11010" max="11010" width="86.54296875" style="1" customWidth="1"/>
    <col min="11011" max="11011" width="19.453125" style="1" bestFit="1" customWidth="1"/>
    <col min="11012" max="11012" width="16.453125" style="1" customWidth="1"/>
    <col min="11013" max="11013" width="4.7265625" style="1" customWidth="1"/>
    <col min="11014" max="11264" width="9.1796875" style="1"/>
    <col min="11265" max="11265" width="4.7265625" style="1" customWidth="1"/>
    <col min="11266" max="11266" width="86.54296875" style="1" customWidth="1"/>
    <col min="11267" max="11267" width="19.453125" style="1" bestFit="1" customWidth="1"/>
    <col min="11268" max="11268" width="16.453125" style="1" customWidth="1"/>
    <col min="11269" max="11269" width="4.7265625" style="1" customWidth="1"/>
    <col min="11270" max="11520" width="9.1796875" style="1"/>
    <col min="11521" max="11521" width="4.7265625" style="1" customWidth="1"/>
    <col min="11522" max="11522" width="86.54296875" style="1" customWidth="1"/>
    <col min="11523" max="11523" width="19.453125" style="1" bestFit="1" customWidth="1"/>
    <col min="11524" max="11524" width="16.453125" style="1" customWidth="1"/>
    <col min="11525" max="11525" width="4.7265625" style="1" customWidth="1"/>
    <col min="11526" max="11776" width="9.1796875" style="1"/>
    <col min="11777" max="11777" width="4.7265625" style="1" customWidth="1"/>
    <col min="11778" max="11778" width="86.54296875" style="1" customWidth="1"/>
    <col min="11779" max="11779" width="19.453125" style="1" bestFit="1" customWidth="1"/>
    <col min="11780" max="11780" width="16.453125" style="1" customWidth="1"/>
    <col min="11781" max="11781" width="4.7265625" style="1" customWidth="1"/>
    <col min="11782" max="12032" width="9.1796875" style="1"/>
    <col min="12033" max="12033" width="4.7265625" style="1" customWidth="1"/>
    <col min="12034" max="12034" width="86.54296875" style="1" customWidth="1"/>
    <col min="12035" max="12035" width="19.453125" style="1" bestFit="1" customWidth="1"/>
    <col min="12036" max="12036" width="16.453125" style="1" customWidth="1"/>
    <col min="12037" max="12037" width="4.7265625" style="1" customWidth="1"/>
    <col min="12038" max="12288" width="9.1796875" style="1"/>
    <col min="12289" max="12289" width="4.7265625" style="1" customWidth="1"/>
    <col min="12290" max="12290" width="86.54296875" style="1" customWidth="1"/>
    <col min="12291" max="12291" width="19.453125" style="1" bestFit="1" customWidth="1"/>
    <col min="12292" max="12292" width="16.453125" style="1" customWidth="1"/>
    <col min="12293" max="12293" width="4.7265625" style="1" customWidth="1"/>
    <col min="12294" max="12544" width="9.1796875" style="1"/>
    <col min="12545" max="12545" width="4.7265625" style="1" customWidth="1"/>
    <col min="12546" max="12546" width="86.54296875" style="1" customWidth="1"/>
    <col min="12547" max="12547" width="19.453125" style="1" bestFit="1" customWidth="1"/>
    <col min="12548" max="12548" width="16.453125" style="1" customWidth="1"/>
    <col min="12549" max="12549" width="4.7265625" style="1" customWidth="1"/>
    <col min="12550" max="12800" width="9.1796875" style="1"/>
    <col min="12801" max="12801" width="4.7265625" style="1" customWidth="1"/>
    <col min="12802" max="12802" width="86.54296875" style="1" customWidth="1"/>
    <col min="12803" max="12803" width="19.453125" style="1" bestFit="1" customWidth="1"/>
    <col min="12804" max="12804" width="16.453125" style="1" customWidth="1"/>
    <col min="12805" max="12805" width="4.7265625" style="1" customWidth="1"/>
    <col min="12806" max="13056" width="9.1796875" style="1"/>
    <col min="13057" max="13057" width="4.7265625" style="1" customWidth="1"/>
    <col min="13058" max="13058" width="86.54296875" style="1" customWidth="1"/>
    <col min="13059" max="13059" width="19.453125" style="1" bestFit="1" customWidth="1"/>
    <col min="13060" max="13060" width="16.453125" style="1" customWidth="1"/>
    <col min="13061" max="13061" width="4.7265625" style="1" customWidth="1"/>
    <col min="13062" max="13312" width="9.1796875" style="1"/>
    <col min="13313" max="13313" width="4.7265625" style="1" customWidth="1"/>
    <col min="13314" max="13314" width="86.54296875" style="1" customWidth="1"/>
    <col min="13315" max="13315" width="19.453125" style="1" bestFit="1" customWidth="1"/>
    <col min="13316" max="13316" width="16.453125" style="1" customWidth="1"/>
    <col min="13317" max="13317" width="4.7265625" style="1" customWidth="1"/>
    <col min="13318" max="13568" width="9.1796875" style="1"/>
    <col min="13569" max="13569" width="4.7265625" style="1" customWidth="1"/>
    <col min="13570" max="13570" width="86.54296875" style="1" customWidth="1"/>
    <col min="13571" max="13571" width="19.453125" style="1" bestFit="1" customWidth="1"/>
    <col min="13572" max="13572" width="16.453125" style="1" customWidth="1"/>
    <col min="13573" max="13573" width="4.7265625" style="1" customWidth="1"/>
    <col min="13574" max="13824" width="9.1796875" style="1"/>
    <col min="13825" max="13825" width="4.7265625" style="1" customWidth="1"/>
    <col min="13826" max="13826" width="86.54296875" style="1" customWidth="1"/>
    <col min="13827" max="13827" width="19.453125" style="1" bestFit="1" customWidth="1"/>
    <col min="13828" max="13828" width="16.453125" style="1" customWidth="1"/>
    <col min="13829" max="13829" width="4.7265625" style="1" customWidth="1"/>
    <col min="13830" max="14080" width="9.1796875" style="1"/>
    <col min="14081" max="14081" width="4.7265625" style="1" customWidth="1"/>
    <col min="14082" max="14082" width="86.54296875" style="1" customWidth="1"/>
    <col min="14083" max="14083" width="19.453125" style="1" bestFit="1" customWidth="1"/>
    <col min="14084" max="14084" width="16.453125" style="1" customWidth="1"/>
    <col min="14085" max="14085" width="4.7265625" style="1" customWidth="1"/>
    <col min="14086" max="14336" width="9.1796875" style="1"/>
    <col min="14337" max="14337" width="4.7265625" style="1" customWidth="1"/>
    <col min="14338" max="14338" width="86.54296875" style="1" customWidth="1"/>
    <col min="14339" max="14339" width="19.453125" style="1" bestFit="1" customWidth="1"/>
    <col min="14340" max="14340" width="16.453125" style="1" customWidth="1"/>
    <col min="14341" max="14341" width="4.7265625" style="1" customWidth="1"/>
    <col min="14342" max="14592" width="9.1796875" style="1"/>
    <col min="14593" max="14593" width="4.7265625" style="1" customWidth="1"/>
    <col min="14594" max="14594" width="86.54296875" style="1" customWidth="1"/>
    <col min="14595" max="14595" width="19.453125" style="1" bestFit="1" customWidth="1"/>
    <col min="14596" max="14596" width="16.453125" style="1" customWidth="1"/>
    <col min="14597" max="14597" width="4.7265625" style="1" customWidth="1"/>
    <col min="14598" max="14848" width="9.1796875" style="1"/>
    <col min="14849" max="14849" width="4.7265625" style="1" customWidth="1"/>
    <col min="14850" max="14850" width="86.54296875" style="1" customWidth="1"/>
    <col min="14851" max="14851" width="19.453125" style="1" bestFit="1" customWidth="1"/>
    <col min="14852" max="14852" width="16.453125" style="1" customWidth="1"/>
    <col min="14853" max="14853" width="4.7265625" style="1" customWidth="1"/>
    <col min="14854" max="15104" width="9.1796875" style="1"/>
    <col min="15105" max="15105" width="4.7265625" style="1" customWidth="1"/>
    <col min="15106" max="15106" width="86.54296875" style="1" customWidth="1"/>
    <col min="15107" max="15107" width="19.453125" style="1" bestFit="1" customWidth="1"/>
    <col min="15108" max="15108" width="16.453125" style="1" customWidth="1"/>
    <col min="15109" max="15109" width="4.7265625" style="1" customWidth="1"/>
    <col min="15110" max="15360" width="9.1796875" style="1"/>
    <col min="15361" max="15361" width="4.7265625" style="1" customWidth="1"/>
    <col min="15362" max="15362" width="86.54296875" style="1" customWidth="1"/>
    <col min="15363" max="15363" width="19.453125" style="1" bestFit="1" customWidth="1"/>
    <col min="15364" max="15364" width="16.453125" style="1" customWidth="1"/>
    <col min="15365" max="15365" width="4.7265625" style="1" customWidth="1"/>
    <col min="15366" max="15616" width="9.1796875" style="1"/>
    <col min="15617" max="15617" width="4.7265625" style="1" customWidth="1"/>
    <col min="15618" max="15618" width="86.54296875" style="1" customWidth="1"/>
    <col min="15619" max="15619" width="19.453125" style="1" bestFit="1" customWidth="1"/>
    <col min="15620" max="15620" width="16.453125" style="1" customWidth="1"/>
    <col min="15621" max="15621" width="4.7265625" style="1" customWidth="1"/>
    <col min="15622" max="15872" width="9.1796875" style="1"/>
    <col min="15873" max="15873" width="4.7265625" style="1" customWidth="1"/>
    <col min="15874" max="15874" width="86.54296875" style="1" customWidth="1"/>
    <col min="15875" max="15875" width="19.453125" style="1" bestFit="1" customWidth="1"/>
    <col min="15876" max="15876" width="16.453125" style="1" customWidth="1"/>
    <col min="15877" max="15877" width="4.7265625" style="1" customWidth="1"/>
    <col min="15878" max="16128" width="9.1796875" style="1"/>
    <col min="16129" max="16129" width="4.7265625" style="1" customWidth="1"/>
    <col min="16130" max="16130" width="86.54296875" style="1" customWidth="1"/>
    <col min="16131" max="16131" width="19.453125" style="1" bestFit="1" customWidth="1"/>
    <col min="16132" max="16132" width="16.453125" style="1" customWidth="1"/>
    <col min="16133" max="16133" width="4.7265625" style="1" customWidth="1"/>
    <col min="16134" max="16384" width="9.1796875" style="1"/>
  </cols>
  <sheetData>
    <row r="1" spans="2:4" ht="12" customHeight="1" x14ac:dyDescent="0.25"/>
    <row r="2" spans="2:4" ht="12" customHeight="1" x14ac:dyDescent="0.25"/>
    <row r="3" spans="2:4" ht="12" customHeight="1" x14ac:dyDescent="0.25"/>
    <row r="4" spans="2:4" ht="12" customHeight="1" x14ac:dyDescent="0.25"/>
    <row r="5" spans="2:4" ht="12" customHeight="1" x14ac:dyDescent="0.25"/>
    <row r="6" spans="2:4" ht="12" customHeight="1" x14ac:dyDescent="0.25"/>
    <row r="7" spans="2:4" ht="12" customHeight="1" x14ac:dyDescent="0.25"/>
    <row r="8" spans="2:4" ht="12" customHeight="1" x14ac:dyDescent="0.25"/>
    <row r="9" spans="2:4" ht="12" customHeight="1" x14ac:dyDescent="0.25"/>
    <row r="10" spans="2:4" ht="12" customHeight="1" x14ac:dyDescent="0.3">
      <c r="B10" s="2" t="s">
        <v>0</v>
      </c>
    </row>
    <row r="11" spans="2:4" ht="12" customHeight="1" x14ac:dyDescent="0.3">
      <c r="B11" s="2" t="s">
        <v>1</v>
      </c>
    </row>
    <row r="12" spans="2:4" x14ac:dyDescent="0.25">
      <c r="B12" s="1" t="s">
        <v>2</v>
      </c>
    </row>
    <row r="13" spans="2:4" ht="13" thickBot="1" x14ac:dyDescent="0.3"/>
    <row r="14" spans="2:4" ht="13.5" thickTop="1" thickBot="1" x14ac:dyDescent="0.3">
      <c r="B14" s="3" t="s">
        <v>3</v>
      </c>
      <c r="C14" s="4" t="s">
        <v>4</v>
      </c>
      <c r="D14" s="5"/>
    </row>
    <row r="15" spans="2:4" ht="19.5" customHeight="1" thickTop="1" x14ac:dyDescent="0.25">
      <c r="B15" s="6"/>
      <c r="C15" s="7"/>
      <c r="D15" s="8"/>
    </row>
    <row r="16" spans="2:4" x14ac:dyDescent="0.25">
      <c r="B16" s="9" t="s">
        <v>5</v>
      </c>
      <c r="C16" s="10" t="s">
        <v>6</v>
      </c>
      <c r="D16" s="8"/>
    </row>
    <row r="17" spans="2:4" x14ac:dyDescent="0.25">
      <c r="B17" s="9" t="s">
        <v>7</v>
      </c>
      <c r="C17" s="10" t="s">
        <v>8</v>
      </c>
      <c r="D17" s="8"/>
    </row>
    <row r="18" spans="2:4" x14ac:dyDescent="0.25">
      <c r="B18" s="9" t="s">
        <v>9</v>
      </c>
      <c r="C18" s="10" t="s">
        <v>10</v>
      </c>
      <c r="D18" s="8"/>
    </row>
    <row r="19" spans="2:4" x14ac:dyDescent="0.25">
      <c r="B19" s="9" t="s">
        <v>11</v>
      </c>
      <c r="C19" s="10" t="s">
        <v>12</v>
      </c>
      <c r="D19" s="8"/>
    </row>
    <row r="20" spans="2:4" x14ac:dyDescent="0.25">
      <c r="B20" s="9" t="s">
        <v>13</v>
      </c>
      <c r="C20" s="10" t="s">
        <v>14</v>
      </c>
      <c r="D20" s="8"/>
    </row>
    <row r="21" spans="2:4" x14ac:dyDescent="0.25">
      <c r="B21" s="9" t="s">
        <v>15</v>
      </c>
      <c r="C21" s="10" t="s">
        <v>16</v>
      </c>
      <c r="D21" s="8"/>
    </row>
    <row r="22" spans="2:4" x14ac:dyDescent="0.25">
      <c r="B22" s="9" t="s">
        <v>17</v>
      </c>
      <c r="C22" s="10" t="s">
        <v>18</v>
      </c>
      <c r="D22" s="8"/>
    </row>
    <row r="23" spans="2:4" x14ac:dyDescent="0.25">
      <c r="B23" s="9" t="s">
        <v>19</v>
      </c>
      <c r="C23" s="10" t="s">
        <v>20</v>
      </c>
      <c r="D23" s="8"/>
    </row>
    <row r="24" spans="2:4" x14ac:dyDescent="0.25">
      <c r="B24" s="9" t="s">
        <v>21</v>
      </c>
      <c r="C24" s="10" t="s">
        <v>22</v>
      </c>
      <c r="D24" s="8"/>
    </row>
    <row r="25" spans="2:4" x14ac:dyDescent="0.25">
      <c r="B25" s="9" t="s">
        <v>23</v>
      </c>
      <c r="C25" s="10" t="s">
        <v>24</v>
      </c>
      <c r="D25" s="8"/>
    </row>
    <row r="26" spans="2:4" x14ac:dyDescent="0.25">
      <c r="B26" s="9" t="s">
        <v>25</v>
      </c>
      <c r="C26" s="10" t="s">
        <v>26</v>
      </c>
      <c r="D26" s="8"/>
    </row>
    <row r="27" spans="2:4" x14ac:dyDescent="0.25">
      <c r="B27" s="9" t="s">
        <v>27</v>
      </c>
      <c r="C27" s="10" t="s">
        <v>28</v>
      </c>
      <c r="D27" s="8"/>
    </row>
    <row r="28" spans="2:4" x14ac:dyDescent="0.25">
      <c r="B28" s="9" t="s">
        <v>29</v>
      </c>
      <c r="C28" s="10" t="s">
        <v>30</v>
      </c>
      <c r="D28" s="8"/>
    </row>
    <row r="29" spans="2:4" x14ac:dyDescent="0.25">
      <c r="B29" s="9" t="s">
        <v>31</v>
      </c>
      <c r="C29" s="10" t="s">
        <v>32</v>
      </c>
      <c r="D29" s="8"/>
    </row>
    <row r="30" spans="2:4" x14ac:dyDescent="0.25">
      <c r="B30" s="9" t="s">
        <v>33</v>
      </c>
      <c r="C30" s="10" t="s">
        <v>34</v>
      </c>
      <c r="D30" s="8"/>
    </row>
    <row r="31" spans="2:4" x14ac:dyDescent="0.25">
      <c r="B31" s="9" t="s">
        <v>35</v>
      </c>
      <c r="C31" s="10" t="s">
        <v>36</v>
      </c>
      <c r="D31" s="8"/>
    </row>
    <row r="32" spans="2:4" x14ac:dyDescent="0.25">
      <c r="B32" s="9" t="s">
        <v>37</v>
      </c>
      <c r="C32" s="10" t="s">
        <v>38</v>
      </c>
      <c r="D32" s="8"/>
    </row>
    <row r="33" spans="2:6" x14ac:dyDescent="0.25">
      <c r="B33" s="9" t="s">
        <v>39</v>
      </c>
      <c r="C33" s="10" t="s">
        <v>40</v>
      </c>
      <c r="D33" s="8"/>
    </row>
    <row r="34" spans="2:6" x14ac:dyDescent="0.25">
      <c r="B34" s="9" t="s">
        <v>41</v>
      </c>
      <c r="C34" s="10" t="s">
        <v>42</v>
      </c>
      <c r="D34" s="8"/>
      <c r="F34" s="1" t="s">
        <v>2</v>
      </c>
    </row>
    <row r="35" spans="2:6" x14ac:dyDescent="0.25">
      <c r="B35" s="9" t="s">
        <v>43</v>
      </c>
      <c r="C35" s="10" t="s">
        <v>44</v>
      </c>
      <c r="D35" s="8"/>
    </row>
    <row r="36" spans="2:6" x14ac:dyDescent="0.25">
      <c r="B36" s="9" t="s">
        <v>45</v>
      </c>
      <c r="C36" s="10" t="s">
        <v>46</v>
      </c>
      <c r="D36" s="8"/>
    </row>
    <row r="37" spans="2:6" x14ac:dyDescent="0.25">
      <c r="B37" s="9" t="s">
        <v>47</v>
      </c>
      <c r="C37" s="10" t="s">
        <v>48</v>
      </c>
      <c r="D37" s="8"/>
    </row>
    <row r="38" spans="2:6" x14ac:dyDescent="0.25">
      <c r="B38" s="9" t="s">
        <v>49</v>
      </c>
      <c r="C38" s="10" t="s">
        <v>50</v>
      </c>
      <c r="D38" s="8"/>
    </row>
    <row r="39" spans="2:6" x14ac:dyDescent="0.25">
      <c r="B39" s="9" t="s">
        <v>51</v>
      </c>
      <c r="C39" s="10" t="s">
        <v>52</v>
      </c>
      <c r="D39" s="8"/>
    </row>
    <row r="40" spans="2:6" x14ac:dyDescent="0.25">
      <c r="B40" s="9" t="s">
        <v>53</v>
      </c>
      <c r="C40" s="10" t="s">
        <v>54</v>
      </c>
      <c r="D40" s="8"/>
    </row>
    <row r="41" spans="2:6" x14ac:dyDescent="0.25">
      <c r="B41" s="9" t="s">
        <v>55</v>
      </c>
      <c r="C41" s="10" t="s">
        <v>56</v>
      </c>
      <c r="D41" s="8"/>
    </row>
    <row r="42" spans="2:6" x14ac:dyDescent="0.25">
      <c r="B42" s="9" t="s">
        <v>57</v>
      </c>
      <c r="C42" s="10" t="s">
        <v>58</v>
      </c>
      <c r="D42" s="8"/>
    </row>
    <row r="43" spans="2:6" x14ac:dyDescent="0.25">
      <c r="B43" s="9" t="s">
        <v>59</v>
      </c>
      <c r="C43" s="10" t="s">
        <v>60</v>
      </c>
      <c r="D43" s="8"/>
    </row>
    <row r="44" spans="2:6" x14ac:dyDescent="0.25">
      <c r="B44" s="9" t="s">
        <v>61</v>
      </c>
      <c r="C44" s="10" t="s">
        <v>62</v>
      </c>
      <c r="D44" s="8"/>
    </row>
    <row r="45" spans="2:6" x14ac:dyDescent="0.25">
      <c r="B45" s="9" t="s">
        <v>63</v>
      </c>
      <c r="C45" s="10" t="s">
        <v>64</v>
      </c>
      <c r="D45" s="8"/>
      <c r="F45" s="1" t="s">
        <v>2</v>
      </c>
    </row>
    <row r="46" spans="2:6" x14ac:dyDescent="0.25">
      <c r="B46" s="9" t="s">
        <v>65</v>
      </c>
      <c r="C46" s="10" t="s">
        <v>66</v>
      </c>
      <c r="D46" s="8"/>
    </row>
    <row r="47" spans="2:6" x14ac:dyDescent="0.25">
      <c r="B47" s="9" t="s">
        <v>67</v>
      </c>
      <c r="C47" s="10" t="s">
        <v>68</v>
      </c>
      <c r="D47" s="8"/>
    </row>
    <row r="48" spans="2:6" x14ac:dyDescent="0.25">
      <c r="B48" s="9" t="s">
        <v>69</v>
      </c>
      <c r="C48" s="10" t="s">
        <v>70</v>
      </c>
      <c r="D48" s="8"/>
    </row>
    <row r="49" spans="2:4" x14ac:dyDescent="0.25">
      <c r="B49" s="9" t="s">
        <v>71</v>
      </c>
      <c r="C49" s="10" t="s">
        <v>72</v>
      </c>
      <c r="D49" s="8"/>
    </row>
    <row r="50" spans="2:4" x14ac:dyDescent="0.25">
      <c r="B50" s="9" t="s">
        <v>73</v>
      </c>
      <c r="C50" s="10" t="s">
        <v>74</v>
      </c>
      <c r="D50" s="8"/>
    </row>
    <row r="51" spans="2:4" x14ac:dyDescent="0.25">
      <c r="B51" s="9" t="s">
        <v>75</v>
      </c>
      <c r="C51" s="10" t="s">
        <v>76</v>
      </c>
      <c r="D51" s="8"/>
    </row>
    <row r="52" spans="2:4" x14ac:dyDescent="0.25">
      <c r="B52" s="9" t="s">
        <v>77</v>
      </c>
      <c r="C52" s="10" t="s">
        <v>78</v>
      </c>
      <c r="D52" s="8"/>
    </row>
    <row r="53" spans="2:4" x14ac:dyDescent="0.25">
      <c r="B53" s="9" t="s">
        <v>79</v>
      </c>
      <c r="C53" s="10" t="s">
        <v>80</v>
      </c>
      <c r="D53" s="8"/>
    </row>
    <row r="54" spans="2:4" x14ac:dyDescent="0.25">
      <c r="B54" s="9" t="s">
        <v>81</v>
      </c>
      <c r="C54" s="10" t="s">
        <v>82</v>
      </c>
      <c r="D54" s="8"/>
    </row>
    <row r="55" spans="2:4" x14ac:dyDescent="0.25">
      <c r="B55" s="9" t="s">
        <v>83</v>
      </c>
      <c r="C55" s="10" t="s">
        <v>84</v>
      </c>
      <c r="D55" s="8"/>
    </row>
    <row r="56" spans="2:4" ht="13" thickBot="1" x14ac:dyDescent="0.3">
      <c r="B56" s="11" t="s">
        <v>85</v>
      </c>
      <c r="C56" s="12" t="s">
        <v>86</v>
      </c>
      <c r="D56" s="8"/>
    </row>
    <row r="57" spans="2:4" ht="13" thickTop="1" x14ac:dyDescent="0.25">
      <c r="B57" s="13"/>
      <c r="C57" s="14"/>
      <c r="D57" s="8"/>
    </row>
    <row r="58" spans="2:4" x14ac:dyDescent="0.25">
      <c r="B58" s="13"/>
      <c r="C58" s="13"/>
      <c r="D58" s="8"/>
    </row>
    <row r="59" spans="2:4" x14ac:dyDescent="0.25">
      <c r="B59" s="13" t="s">
        <v>2</v>
      </c>
      <c r="C59" s="15"/>
      <c r="D59" s="8"/>
    </row>
    <row r="60" spans="2:4" x14ac:dyDescent="0.25">
      <c r="B60" s="13"/>
      <c r="C60" s="13"/>
      <c r="D60" s="8"/>
    </row>
    <row r="61" spans="2:4" x14ac:dyDescent="0.25">
      <c r="B61" s="13"/>
      <c r="C61" s="15"/>
      <c r="D61" s="8"/>
    </row>
    <row r="62" spans="2:4" x14ac:dyDescent="0.25">
      <c r="B62" s="13"/>
      <c r="C62" s="13"/>
      <c r="D62" s="8"/>
    </row>
    <row r="63" spans="2:4" x14ac:dyDescent="0.25">
      <c r="B63" s="13"/>
      <c r="C63" s="13"/>
      <c r="D63" s="8"/>
    </row>
    <row r="64" spans="2:4" x14ac:dyDescent="0.25">
      <c r="B64" s="16"/>
      <c r="C64" s="16"/>
    </row>
    <row r="65" spans="2:3" x14ac:dyDescent="0.25">
      <c r="B65" s="16"/>
      <c r="C65" s="16"/>
    </row>
    <row r="66" spans="2:3" x14ac:dyDescent="0.25">
      <c r="B66" s="16"/>
      <c r="C66" s="16"/>
    </row>
    <row r="67" spans="2:3" x14ac:dyDescent="0.25">
      <c r="B67" s="16"/>
      <c r="C67" s="16"/>
    </row>
    <row r="68" spans="2:3" x14ac:dyDescent="0.25">
      <c r="B68" s="16"/>
      <c r="C68" s="16"/>
    </row>
    <row r="69" spans="2:3" x14ac:dyDescent="0.25">
      <c r="B69" s="16"/>
      <c r="C69" s="16"/>
    </row>
    <row r="70" spans="2:3" x14ac:dyDescent="0.25">
      <c r="B70" s="16"/>
      <c r="C70" s="16"/>
    </row>
    <row r="71" spans="2:3" x14ac:dyDescent="0.25">
      <c r="B71" s="16"/>
      <c r="C71" s="16"/>
    </row>
  </sheetData>
  <printOptions horizontalCentered="1"/>
  <pageMargins left="0.39370078740157483" right="0.39370078740157483" top="0.78740157480314965" bottom="0.59055118110236227" header="0.51181102362204722" footer="0.51181102362204722"/>
  <pageSetup paperSize="9" scale="7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63F5-CA56-4CBA-892D-470E14AD28A0}">
  <sheetPr>
    <tabColor theme="1"/>
  </sheetPr>
  <dimension ref="A2:B20"/>
  <sheetViews>
    <sheetView zoomScale="83" workbookViewId="0">
      <selection activeCell="M12" sqref="M12"/>
    </sheetView>
  </sheetViews>
  <sheetFormatPr defaultRowHeight="13" x14ac:dyDescent="0.3"/>
  <cols>
    <col min="1" max="1" width="2.6328125" style="180" customWidth="1"/>
    <col min="2" max="16384" width="8.7265625" style="180"/>
  </cols>
  <sheetData>
    <row r="2" spans="1:2" ht="17" x14ac:dyDescent="0.4">
      <c r="B2" s="209" t="s">
        <v>205</v>
      </c>
    </row>
    <row r="4" spans="1:2" x14ac:dyDescent="0.3">
      <c r="B4" s="208" t="s">
        <v>208</v>
      </c>
    </row>
    <row r="5" spans="1:2" x14ac:dyDescent="0.3">
      <c r="B5" s="180" t="s">
        <v>217</v>
      </c>
    </row>
    <row r="7" spans="1:2" x14ac:dyDescent="0.3">
      <c r="B7" s="208" t="s">
        <v>209</v>
      </c>
    </row>
    <row r="8" spans="1:2" x14ac:dyDescent="0.3">
      <c r="A8" s="208" t="s">
        <v>218</v>
      </c>
      <c r="B8" s="180" t="s">
        <v>210</v>
      </c>
    </row>
    <row r="9" spans="1:2" x14ac:dyDescent="0.3">
      <c r="B9" s="180" t="s">
        <v>211</v>
      </c>
    </row>
    <row r="10" spans="1:2" x14ac:dyDescent="0.3">
      <c r="B10" s="180" t="s">
        <v>212</v>
      </c>
    </row>
    <row r="12" spans="1:2" x14ac:dyDescent="0.3">
      <c r="A12" s="208" t="s">
        <v>219</v>
      </c>
      <c r="B12" s="180" t="s">
        <v>213</v>
      </c>
    </row>
    <row r="14" spans="1:2" x14ac:dyDescent="0.3">
      <c r="B14" s="180" t="s">
        <v>214</v>
      </c>
    </row>
    <row r="15" spans="1:2" x14ac:dyDescent="0.3">
      <c r="B15" s="180" t="s">
        <v>215</v>
      </c>
    </row>
    <row r="16" spans="1:2" x14ac:dyDescent="0.3">
      <c r="B16" s="180" t="s">
        <v>206</v>
      </c>
    </row>
    <row r="17" spans="2:2" x14ac:dyDescent="0.3">
      <c r="B17" s="180" t="s">
        <v>207</v>
      </c>
    </row>
    <row r="19" spans="2:2" x14ac:dyDescent="0.3">
      <c r="B19" s="180" t="s">
        <v>216</v>
      </c>
    </row>
    <row r="20" spans="2:2" x14ac:dyDescent="0.3">
      <c r="B20" s="180" t="s">
        <v>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F628-8A00-4B47-97B1-A9F90CC97471}">
  <sheetPr codeName="Sheet63">
    <tabColor theme="1"/>
    <pageSetUpPr fitToPage="1"/>
  </sheetPr>
  <dimension ref="B1:K69"/>
  <sheetViews>
    <sheetView tabSelected="1" topLeftCell="A9" zoomScale="79" zoomScaleNormal="85" zoomScaleSheetLayoutView="100" workbookViewId="0">
      <selection activeCell="N19" sqref="N19"/>
    </sheetView>
  </sheetViews>
  <sheetFormatPr defaultColWidth="9.1796875" defaultRowHeight="10" x14ac:dyDescent="0.2"/>
  <cols>
    <col min="1" max="1" width="4.7265625" style="18" customWidth="1"/>
    <col min="2" max="2" width="43.453125" style="18" customWidth="1"/>
    <col min="3" max="3" width="6.1796875" style="19" customWidth="1"/>
    <col min="4" max="4" width="10.7265625" style="18" customWidth="1"/>
    <col min="5" max="5" width="18.6328125" style="18" bestFit="1" customWidth="1"/>
    <col min="6" max="6" width="3.1796875" style="20" customWidth="1"/>
    <col min="7" max="7" width="14.7265625" style="18" customWidth="1"/>
    <col min="8" max="8" width="3.1796875" style="18" customWidth="1"/>
    <col min="9" max="10" width="14.7265625" style="18" customWidth="1"/>
    <col min="11" max="11" width="12" style="21" bestFit="1" customWidth="1"/>
    <col min="12" max="256" width="9.1796875" style="18"/>
    <col min="257" max="257" width="4.7265625" style="18" customWidth="1"/>
    <col min="258" max="258" width="43.453125" style="18" customWidth="1"/>
    <col min="259" max="259" width="6.1796875" style="18" customWidth="1"/>
    <col min="260" max="260" width="10.7265625" style="18" customWidth="1"/>
    <col min="261" max="261" width="13.1796875" style="18" bestFit="1" customWidth="1"/>
    <col min="262" max="262" width="3.1796875" style="18" customWidth="1"/>
    <col min="263" max="263" width="14.7265625" style="18" customWidth="1"/>
    <col min="264" max="264" width="3.1796875" style="18" customWidth="1"/>
    <col min="265" max="266" width="14.7265625" style="18" customWidth="1"/>
    <col min="267" max="267" width="12" style="18" bestFit="1" customWidth="1"/>
    <col min="268" max="512" width="9.1796875" style="18"/>
    <col min="513" max="513" width="4.7265625" style="18" customWidth="1"/>
    <col min="514" max="514" width="43.453125" style="18" customWidth="1"/>
    <col min="515" max="515" width="6.1796875" style="18" customWidth="1"/>
    <col min="516" max="516" width="10.7265625" style="18" customWidth="1"/>
    <col min="517" max="517" width="13.1796875" style="18" bestFit="1" customWidth="1"/>
    <col min="518" max="518" width="3.1796875" style="18" customWidth="1"/>
    <col min="519" max="519" width="14.7265625" style="18" customWidth="1"/>
    <col min="520" max="520" width="3.1796875" style="18" customWidth="1"/>
    <col min="521" max="522" width="14.7265625" style="18" customWidth="1"/>
    <col min="523" max="523" width="12" style="18" bestFit="1" customWidth="1"/>
    <col min="524" max="768" width="9.1796875" style="18"/>
    <col min="769" max="769" width="4.7265625" style="18" customWidth="1"/>
    <col min="770" max="770" width="43.453125" style="18" customWidth="1"/>
    <col min="771" max="771" width="6.1796875" style="18" customWidth="1"/>
    <col min="772" max="772" width="10.7265625" style="18" customWidth="1"/>
    <col min="773" max="773" width="13.1796875" style="18" bestFit="1" customWidth="1"/>
    <col min="774" max="774" width="3.1796875" style="18" customWidth="1"/>
    <col min="775" max="775" width="14.7265625" style="18" customWidth="1"/>
    <col min="776" max="776" width="3.1796875" style="18" customWidth="1"/>
    <col min="777" max="778" width="14.7265625" style="18" customWidth="1"/>
    <col min="779" max="779" width="12" style="18" bestFit="1" customWidth="1"/>
    <col min="780" max="1024" width="9.1796875" style="18"/>
    <col min="1025" max="1025" width="4.7265625" style="18" customWidth="1"/>
    <col min="1026" max="1026" width="43.453125" style="18" customWidth="1"/>
    <col min="1027" max="1027" width="6.1796875" style="18" customWidth="1"/>
    <col min="1028" max="1028" width="10.7265625" style="18" customWidth="1"/>
    <col min="1029" max="1029" width="13.1796875" style="18" bestFit="1" customWidth="1"/>
    <col min="1030" max="1030" width="3.1796875" style="18" customWidth="1"/>
    <col min="1031" max="1031" width="14.7265625" style="18" customWidth="1"/>
    <col min="1032" max="1032" width="3.1796875" style="18" customWidth="1"/>
    <col min="1033" max="1034" width="14.7265625" style="18" customWidth="1"/>
    <col min="1035" max="1035" width="12" style="18" bestFit="1" customWidth="1"/>
    <col min="1036" max="1280" width="9.1796875" style="18"/>
    <col min="1281" max="1281" width="4.7265625" style="18" customWidth="1"/>
    <col min="1282" max="1282" width="43.453125" style="18" customWidth="1"/>
    <col min="1283" max="1283" width="6.1796875" style="18" customWidth="1"/>
    <col min="1284" max="1284" width="10.7265625" style="18" customWidth="1"/>
    <col min="1285" max="1285" width="13.1796875" style="18" bestFit="1" customWidth="1"/>
    <col min="1286" max="1286" width="3.1796875" style="18" customWidth="1"/>
    <col min="1287" max="1287" width="14.7265625" style="18" customWidth="1"/>
    <col min="1288" max="1288" width="3.1796875" style="18" customWidth="1"/>
    <col min="1289" max="1290" width="14.7265625" style="18" customWidth="1"/>
    <col min="1291" max="1291" width="12" style="18" bestFit="1" customWidth="1"/>
    <col min="1292" max="1536" width="9.1796875" style="18"/>
    <col min="1537" max="1537" width="4.7265625" style="18" customWidth="1"/>
    <col min="1538" max="1538" width="43.453125" style="18" customWidth="1"/>
    <col min="1539" max="1539" width="6.1796875" style="18" customWidth="1"/>
    <col min="1540" max="1540" width="10.7265625" style="18" customWidth="1"/>
    <col min="1541" max="1541" width="13.1796875" style="18" bestFit="1" customWidth="1"/>
    <col min="1542" max="1542" width="3.1796875" style="18" customWidth="1"/>
    <col min="1543" max="1543" width="14.7265625" style="18" customWidth="1"/>
    <col min="1544" max="1544" width="3.1796875" style="18" customWidth="1"/>
    <col min="1545" max="1546" width="14.7265625" style="18" customWidth="1"/>
    <col min="1547" max="1547" width="12" style="18" bestFit="1" customWidth="1"/>
    <col min="1548" max="1792" width="9.1796875" style="18"/>
    <col min="1793" max="1793" width="4.7265625" style="18" customWidth="1"/>
    <col min="1794" max="1794" width="43.453125" style="18" customWidth="1"/>
    <col min="1795" max="1795" width="6.1796875" style="18" customWidth="1"/>
    <col min="1796" max="1796" width="10.7265625" style="18" customWidth="1"/>
    <col min="1797" max="1797" width="13.1796875" style="18" bestFit="1" customWidth="1"/>
    <col min="1798" max="1798" width="3.1796875" style="18" customWidth="1"/>
    <col min="1799" max="1799" width="14.7265625" style="18" customWidth="1"/>
    <col min="1800" max="1800" width="3.1796875" style="18" customWidth="1"/>
    <col min="1801" max="1802" width="14.7265625" style="18" customWidth="1"/>
    <col min="1803" max="1803" width="12" style="18" bestFit="1" customWidth="1"/>
    <col min="1804" max="2048" width="9.1796875" style="18"/>
    <col min="2049" max="2049" width="4.7265625" style="18" customWidth="1"/>
    <col min="2050" max="2050" width="43.453125" style="18" customWidth="1"/>
    <col min="2051" max="2051" width="6.1796875" style="18" customWidth="1"/>
    <col min="2052" max="2052" width="10.7265625" style="18" customWidth="1"/>
    <col min="2053" max="2053" width="13.1796875" style="18" bestFit="1" customWidth="1"/>
    <col min="2054" max="2054" width="3.1796875" style="18" customWidth="1"/>
    <col min="2055" max="2055" width="14.7265625" style="18" customWidth="1"/>
    <col min="2056" max="2056" width="3.1796875" style="18" customWidth="1"/>
    <col min="2057" max="2058" width="14.7265625" style="18" customWidth="1"/>
    <col min="2059" max="2059" width="12" style="18" bestFit="1" customWidth="1"/>
    <col min="2060" max="2304" width="9.1796875" style="18"/>
    <col min="2305" max="2305" width="4.7265625" style="18" customWidth="1"/>
    <col min="2306" max="2306" width="43.453125" style="18" customWidth="1"/>
    <col min="2307" max="2307" width="6.1796875" style="18" customWidth="1"/>
    <col min="2308" max="2308" width="10.7265625" style="18" customWidth="1"/>
    <col min="2309" max="2309" width="13.1796875" style="18" bestFit="1" customWidth="1"/>
    <col min="2310" max="2310" width="3.1796875" style="18" customWidth="1"/>
    <col min="2311" max="2311" width="14.7265625" style="18" customWidth="1"/>
    <col min="2312" max="2312" width="3.1796875" style="18" customWidth="1"/>
    <col min="2313" max="2314" width="14.7265625" style="18" customWidth="1"/>
    <col min="2315" max="2315" width="12" style="18" bestFit="1" customWidth="1"/>
    <col min="2316" max="2560" width="9.1796875" style="18"/>
    <col min="2561" max="2561" width="4.7265625" style="18" customWidth="1"/>
    <col min="2562" max="2562" width="43.453125" style="18" customWidth="1"/>
    <col min="2563" max="2563" width="6.1796875" style="18" customWidth="1"/>
    <col min="2564" max="2564" width="10.7265625" style="18" customWidth="1"/>
    <col min="2565" max="2565" width="13.1796875" style="18" bestFit="1" customWidth="1"/>
    <col min="2566" max="2566" width="3.1796875" style="18" customWidth="1"/>
    <col min="2567" max="2567" width="14.7265625" style="18" customWidth="1"/>
    <col min="2568" max="2568" width="3.1796875" style="18" customWidth="1"/>
    <col min="2569" max="2570" width="14.7265625" style="18" customWidth="1"/>
    <col min="2571" max="2571" width="12" style="18" bestFit="1" customWidth="1"/>
    <col min="2572" max="2816" width="9.1796875" style="18"/>
    <col min="2817" max="2817" width="4.7265625" style="18" customWidth="1"/>
    <col min="2818" max="2818" width="43.453125" style="18" customWidth="1"/>
    <col min="2819" max="2819" width="6.1796875" style="18" customWidth="1"/>
    <col min="2820" max="2820" width="10.7265625" style="18" customWidth="1"/>
    <col min="2821" max="2821" width="13.1796875" style="18" bestFit="1" customWidth="1"/>
    <col min="2822" max="2822" width="3.1796875" style="18" customWidth="1"/>
    <col min="2823" max="2823" width="14.7265625" style="18" customWidth="1"/>
    <col min="2824" max="2824" width="3.1796875" style="18" customWidth="1"/>
    <col min="2825" max="2826" width="14.7265625" style="18" customWidth="1"/>
    <col min="2827" max="2827" width="12" style="18" bestFit="1" customWidth="1"/>
    <col min="2828" max="3072" width="9.1796875" style="18"/>
    <col min="3073" max="3073" width="4.7265625" style="18" customWidth="1"/>
    <col min="3074" max="3074" width="43.453125" style="18" customWidth="1"/>
    <col min="3075" max="3075" width="6.1796875" style="18" customWidth="1"/>
    <col min="3076" max="3076" width="10.7265625" style="18" customWidth="1"/>
    <col min="3077" max="3077" width="13.1796875" style="18" bestFit="1" customWidth="1"/>
    <col min="3078" max="3078" width="3.1796875" style="18" customWidth="1"/>
    <col min="3079" max="3079" width="14.7265625" style="18" customWidth="1"/>
    <col min="3080" max="3080" width="3.1796875" style="18" customWidth="1"/>
    <col min="3081" max="3082" width="14.7265625" style="18" customWidth="1"/>
    <col min="3083" max="3083" width="12" style="18" bestFit="1" customWidth="1"/>
    <col min="3084" max="3328" width="9.1796875" style="18"/>
    <col min="3329" max="3329" width="4.7265625" style="18" customWidth="1"/>
    <col min="3330" max="3330" width="43.453125" style="18" customWidth="1"/>
    <col min="3331" max="3331" width="6.1796875" style="18" customWidth="1"/>
    <col min="3332" max="3332" width="10.7265625" style="18" customWidth="1"/>
    <col min="3333" max="3333" width="13.1796875" style="18" bestFit="1" customWidth="1"/>
    <col min="3334" max="3334" width="3.1796875" style="18" customWidth="1"/>
    <col min="3335" max="3335" width="14.7265625" style="18" customWidth="1"/>
    <col min="3336" max="3336" width="3.1796875" style="18" customWidth="1"/>
    <col min="3337" max="3338" width="14.7265625" style="18" customWidth="1"/>
    <col min="3339" max="3339" width="12" style="18" bestFit="1" customWidth="1"/>
    <col min="3340" max="3584" width="9.1796875" style="18"/>
    <col min="3585" max="3585" width="4.7265625" style="18" customWidth="1"/>
    <col min="3586" max="3586" width="43.453125" style="18" customWidth="1"/>
    <col min="3587" max="3587" width="6.1796875" style="18" customWidth="1"/>
    <col min="3588" max="3588" width="10.7265625" style="18" customWidth="1"/>
    <col min="3589" max="3589" width="13.1796875" style="18" bestFit="1" customWidth="1"/>
    <col min="3590" max="3590" width="3.1796875" style="18" customWidth="1"/>
    <col min="3591" max="3591" width="14.7265625" style="18" customWidth="1"/>
    <col min="3592" max="3592" width="3.1796875" style="18" customWidth="1"/>
    <col min="3593" max="3594" width="14.7265625" style="18" customWidth="1"/>
    <col min="3595" max="3595" width="12" style="18" bestFit="1" customWidth="1"/>
    <col min="3596" max="3840" width="9.1796875" style="18"/>
    <col min="3841" max="3841" width="4.7265625" style="18" customWidth="1"/>
    <col min="3842" max="3842" width="43.453125" style="18" customWidth="1"/>
    <col min="3843" max="3843" width="6.1796875" style="18" customWidth="1"/>
    <col min="3844" max="3844" width="10.7265625" style="18" customWidth="1"/>
    <col min="3845" max="3845" width="13.1796875" style="18" bestFit="1" customWidth="1"/>
    <col min="3846" max="3846" width="3.1796875" style="18" customWidth="1"/>
    <col min="3847" max="3847" width="14.7265625" style="18" customWidth="1"/>
    <col min="3848" max="3848" width="3.1796875" style="18" customWidth="1"/>
    <col min="3849" max="3850" width="14.7265625" style="18" customWidth="1"/>
    <col min="3851" max="3851" width="12" style="18" bestFit="1" customWidth="1"/>
    <col min="3852" max="4096" width="9.1796875" style="18"/>
    <col min="4097" max="4097" width="4.7265625" style="18" customWidth="1"/>
    <col min="4098" max="4098" width="43.453125" style="18" customWidth="1"/>
    <col min="4099" max="4099" width="6.1796875" style="18" customWidth="1"/>
    <col min="4100" max="4100" width="10.7265625" style="18" customWidth="1"/>
    <col min="4101" max="4101" width="13.1796875" style="18" bestFit="1" customWidth="1"/>
    <col min="4102" max="4102" width="3.1796875" style="18" customWidth="1"/>
    <col min="4103" max="4103" width="14.7265625" style="18" customWidth="1"/>
    <col min="4104" max="4104" width="3.1796875" style="18" customWidth="1"/>
    <col min="4105" max="4106" width="14.7265625" style="18" customWidth="1"/>
    <col min="4107" max="4107" width="12" style="18" bestFit="1" customWidth="1"/>
    <col min="4108" max="4352" width="9.1796875" style="18"/>
    <col min="4353" max="4353" width="4.7265625" style="18" customWidth="1"/>
    <col min="4354" max="4354" width="43.453125" style="18" customWidth="1"/>
    <col min="4355" max="4355" width="6.1796875" style="18" customWidth="1"/>
    <col min="4356" max="4356" width="10.7265625" style="18" customWidth="1"/>
    <col min="4357" max="4357" width="13.1796875" style="18" bestFit="1" customWidth="1"/>
    <col min="4358" max="4358" width="3.1796875" style="18" customWidth="1"/>
    <col min="4359" max="4359" width="14.7265625" style="18" customWidth="1"/>
    <col min="4360" max="4360" width="3.1796875" style="18" customWidth="1"/>
    <col min="4361" max="4362" width="14.7265625" style="18" customWidth="1"/>
    <col min="4363" max="4363" width="12" style="18" bestFit="1" customWidth="1"/>
    <col min="4364" max="4608" width="9.1796875" style="18"/>
    <col min="4609" max="4609" width="4.7265625" style="18" customWidth="1"/>
    <col min="4610" max="4610" width="43.453125" style="18" customWidth="1"/>
    <col min="4611" max="4611" width="6.1796875" style="18" customWidth="1"/>
    <col min="4612" max="4612" width="10.7265625" style="18" customWidth="1"/>
    <col min="4613" max="4613" width="13.1796875" style="18" bestFit="1" customWidth="1"/>
    <col min="4614" max="4614" width="3.1796875" style="18" customWidth="1"/>
    <col min="4615" max="4615" width="14.7265625" style="18" customWidth="1"/>
    <col min="4616" max="4616" width="3.1796875" style="18" customWidth="1"/>
    <col min="4617" max="4618" width="14.7265625" style="18" customWidth="1"/>
    <col min="4619" max="4619" width="12" style="18" bestFit="1" customWidth="1"/>
    <col min="4620" max="4864" width="9.1796875" style="18"/>
    <col min="4865" max="4865" width="4.7265625" style="18" customWidth="1"/>
    <col min="4866" max="4866" width="43.453125" style="18" customWidth="1"/>
    <col min="4867" max="4867" width="6.1796875" style="18" customWidth="1"/>
    <col min="4868" max="4868" width="10.7265625" style="18" customWidth="1"/>
    <col min="4869" max="4869" width="13.1796875" style="18" bestFit="1" customWidth="1"/>
    <col min="4870" max="4870" width="3.1796875" style="18" customWidth="1"/>
    <col min="4871" max="4871" width="14.7265625" style="18" customWidth="1"/>
    <col min="4872" max="4872" width="3.1796875" style="18" customWidth="1"/>
    <col min="4873" max="4874" width="14.7265625" style="18" customWidth="1"/>
    <col min="4875" max="4875" width="12" style="18" bestFit="1" customWidth="1"/>
    <col min="4876" max="5120" width="9.1796875" style="18"/>
    <col min="5121" max="5121" width="4.7265625" style="18" customWidth="1"/>
    <col min="5122" max="5122" width="43.453125" style="18" customWidth="1"/>
    <col min="5123" max="5123" width="6.1796875" style="18" customWidth="1"/>
    <col min="5124" max="5124" width="10.7265625" style="18" customWidth="1"/>
    <col min="5125" max="5125" width="13.1796875" style="18" bestFit="1" customWidth="1"/>
    <col min="5126" max="5126" width="3.1796875" style="18" customWidth="1"/>
    <col min="5127" max="5127" width="14.7265625" style="18" customWidth="1"/>
    <col min="5128" max="5128" width="3.1796875" style="18" customWidth="1"/>
    <col min="5129" max="5130" width="14.7265625" style="18" customWidth="1"/>
    <col min="5131" max="5131" width="12" style="18" bestFit="1" customWidth="1"/>
    <col min="5132" max="5376" width="9.1796875" style="18"/>
    <col min="5377" max="5377" width="4.7265625" style="18" customWidth="1"/>
    <col min="5378" max="5378" width="43.453125" style="18" customWidth="1"/>
    <col min="5379" max="5379" width="6.1796875" style="18" customWidth="1"/>
    <col min="5380" max="5380" width="10.7265625" style="18" customWidth="1"/>
    <col min="5381" max="5381" width="13.1796875" style="18" bestFit="1" customWidth="1"/>
    <col min="5382" max="5382" width="3.1796875" style="18" customWidth="1"/>
    <col min="5383" max="5383" width="14.7265625" style="18" customWidth="1"/>
    <col min="5384" max="5384" width="3.1796875" style="18" customWidth="1"/>
    <col min="5385" max="5386" width="14.7265625" style="18" customWidth="1"/>
    <col min="5387" max="5387" width="12" style="18" bestFit="1" customWidth="1"/>
    <col min="5388" max="5632" width="9.1796875" style="18"/>
    <col min="5633" max="5633" width="4.7265625" style="18" customWidth="1"/>
    <col min="5634" max="5634" width="43.453125" style="18" customWidth="1"/>
    <col min="5635" max="5635" width="6.1796875" style="18" customWidth="1"/>
    <col min="5636" max="5636" width="10.7265625" style="18" customWidth="1"/>
    <col min="5637" max="5637" width="13.1796875" style="18" bestFit="1" customWidth="1"/>
    <col min="5638" max="5638" width="3.1796875" style="18" customWidth="1"/>
    <col min="5639" max="5639" width="14.7265625" style="18" customWidth="1"/>
    <col min="5640" max="5640" width="3.1796875" style="18" customWidth="1"/>
    <col min="5641" max="5642" width="14.7265625" style="18" customWidth="1"/>
    <col min="5643" max="5643" width="12" style="18" bestFit="1" customWidth="1"/>
    <col min="5644" max="5888" width="9.1796875" style="18"/>
    <col min="5889" max="5889" width="4.7265625" style="18" customWidth="1"/>
    <col min="5890" max="5890" width="43.453125" style="18" customWidth="1"/>
    <col min="5891" max="5891" width="6.1796875" style="18" customWidth="1"/>
    <col min="5892" max="5892" width="10.7265625" style="18" customWidth="1"/>
    <col min="5893" max="5893" width="13.1796875" style="18" bestFit="1" customWidth="1"/>
    <col min="5894" max="5894" width="3.1796875" style="18" customWidth="1"/>
    <col min="5895" max="5895" width="14.7265625" style="18" customWidth="1"/>
    <col min="5896" max="5896" width="3.1796875" style="18" customWidth="1"/>
    <col min="5897" max="5898" width="14.7265625" style="18" customWidth="1"/>
    <col min="5899" max="5899" width="12" style="18" bestFit="1" customWidth="1"/>
    <col min="5900" max="6144" width="9.1796875" style="18"/>
    <col min="6145" max="6145" width="4.7265625" style="18" customWidth="1"/>
    <col min="6146" max="6146" width="43.453125" style="18" customWidth="1"/>
    <col min="6147" max="6147" width="6.1796875" style="18" customWidth="1"/>
    <col min="6148" max="6148" width="10.7265625" style="18" customWidth="1"/>
    <col min="6149" max="6149" width="13.1796875" style="18" bestFit="1" customWidth="1"/>
    <col min="6150" max="6150" width="3.1796875" style="18" customWidth="1"/>
    <col min="6151" max="6151" width="14.7265625" style="18" customWidth="1"/>
    <col min="6152" max="6152" width="3.1796875" style="18" customWidth="1"/>
    <col min="6153" max="6154" width="14.7265625" style="18" customWidth="1"/>
    <col min="6155" max="6155" width="12" style="18" bestFit="1" customWidth="1"/>
    <col min="6156" max="6400" width="9.1796875" style="18"/>
    <col min="6401" max="6401" width="4.7265625" style="18" customWidth="1"/>
    <col min="6402" max="6402" width="43.453125" style="18" customWidth="1"/>
    <col min="6403" max="6403" width="6.1796875" style="18" customWidth="1"/>
    <col min="6404" max="6404" width="10.7265625" style="18" customWidth="1"/>
    <col min="6405" max="6405" width="13.1796875" style="18" bestFit="1" customWidth="1"/>
    <col min="6406" max="6406" width="3.1796875" style="18" customWidth="1"/>
    <col min="6407" max="6407" width="14.7265625" style="18" customWidth="1"/>
    <col min="6408" max="6408" width="3.1796875" style="18" customWidth="1"/>
    <col min="6409" max="6410" width="14.7265625" style="18" customWidth="1"/>
    <col min="6411" max="6411" width="12" style="18" bestFit="1" customWidth="1"/>
    <col min="6412" max="6656" width="9.1796875" style="18"/>
    <col min="6657" max="6657" width="4.7265625" style="18" customWidth="1"/>
    <col min="6658" max="6658" width="43.453125" style="18" customWidth="1"/>
    <col min="6659" max="6659" width="6.1796875" style="18" customWidth="1"/>
    <col min="6660" max="6660" width="10.7265625" style="18" customWidth="1"/>
    <col min="6661" max="6661" width="13.1796875" style="18" bestFit="1" customWidth="1"/>
    <col min="6662" max="6662" width="3.1796875" style="18" customWidth="1"/>
    <col min="6663" max="6663" width="14.7265625" style="18" customWidth="1"/>
    <col min="6664" max="6664" width="3.1796875" style="18" customWidth="1"/>
    <col min="6665" max="6666" width="14.7265625" style="18" customWidth="1"/>
    <col min="6667" max="6667" width="12" style="18" bestFit="1" customWidth="1"/>
    <col min="6668" max="6912" width="9.1796875" style="18"/>
    <col min="6913" max="6913" width="4.7265625" style="18" customWidth="1"/>
    <col min="6914" max="6914" width="43.453125" style="18" customWidth="1"/>
    <col min="6915" max="6915" width="6.1796875" style="18" customWidth="1"/>
    <col min="6916" max="6916" width="10.7265625" style="18" customWidth="1"/>
    <col min="6917" max="6917" width="13.1796875" style="18" bestFit="1" customWidth="1"/>
    <col min="6918" max="6918" width="3.1796875" style="18" customWidth="1"/>
    <col min="6919" max="6919" width="14.7265625" style="18" customWidth="1"/>
    <col min="6920" max="6920" width="3.1796875" style="18" customWidth="1"/>
    <col min="6921" max="6922" width="14.7265625" style="18" customWidth="1"/>
    <col min="6923" max="6923" width="12" style="18" bestFit="1" customWidth="1"/>
    <col min="6924" max="7168" width="9.1796875" style="18"/>
    <col min="7169" max="7169" width="4.7265625" style="18" customWidth="1"/>
    <col min="7170" max="7170" width="43.453125" style="18" customWidth="1"/>
    <col min="7171" max="7171" width="6.1796875" style="18" customWidth="1"/>
    <col min="7172" max="7172" width="10.7265625" style="18" customWidth="1"/>
    <col min="7173" max="7173" width="13.1796875" style="18" bestFit="1" customWidth="1"/>
    <col min="7174" max="7174" width="3.1796875" style="18" customWidth="1"/>
    <col min="7175" max="7175" width="14.7265625" style="18" customWidth="1"/>
    <col min="7176" max="7176" width="3.1796875" style="18" customWidth="1"/>
    <col min="7177" max="7178" width="14.7265625" style="18" customWidth="1"/>
    <col min="7179" max="7179" width="12" style="18" bestFit="1" customWidth="1"/>
    <col min="7180" max="7424" width="9.1796875" style="18"/>
    <col min="7425" max="7425" width="4.7265625" style="18" customWidth="1"/>
    <col min="7426" max="7426" width="43.453125" style="18" customWidth="1"/>
    <col min="7427" max="7427" width="6.1796875" style="18" customWidth="1"/>
    <col min="7428" max="7428" width="10.7265625" style="18" customWidth="1"/>
    <col min="7429" max="7429" width="13.1796875" style="18" bestFit="1" customWidth="1"/>
    <col min="7430" max="7430" width="3.1796875" style="18" customWidth="1"/>
    <col min="7431" max="7431" width="14.7265625" style="18" customWidth="1"/>
    <col min="7432" max="7432" width="3.1796875" style="18" customWidth="1"/>
    <col min="7433" max="7434" width="14.7265625" style="18" customWidth="1"/>
    <col min="7435" max="7435" width="12" style="18" bestFit="1" customWidth="1"/>
    <col min="7436" max="7680" width="9.1796875" style="18"/>
    <col min="7681" max="7681" width="4.7265625" style="18" customWidth="1"/>
    <col min="7682" max="7682" width="43.453125" style="18" customWidth="1"/>
    <col min="7683" max="7683" width="6.1796875" style="18" customWidth="1"/>
    <col min="7684" max="7684" width="10.7265625" style="18" customWidth="1"/>
    <col min="7685" max="7685" width="13.1796875" style="18" bestFit="1" customWidth="1"/>
    <col min="7686" max="7686" width="3.1796875" style="18" customWidth="1"/>
    <col min="7687" max="7687" width="14.7265625" style="18" customWidth="1"/>
    <col min="7688" max="7688" width="3.1796875" style="18" customWidth="1"/>
    <col min="7689" max="7690" width="14.7265625" style="18" customWidth="1"/>
    <col min="7691" max="7691" width="12" style="18" bestFit="1" customWidth="1"/>
    <col min="7692" max="7936" width="9.1796875" style="18"/>
    <col min="7937" max="7937" width="4.7265625" style="18" customWidth="1"/>
    <col min="7938" max="7938" width="43.453125" style="18" customWidth="1"/>
    <col min="7939" max="7939" width="6.1796875" style="18" customWidth="1"/>
    <col min="7940" max="7940" width="10.7265625" style="18" customWidth="1"/>
    <col min="7941" max="7941" width="13.1796875" style="18" bestFit="1" customWidth="1"/>
    <col min="7942" max="7942" width="3.1796875" style="18" customWidth="1"/>
    <col min="7943" max="7943" width="14.7265625" style="18" customWidth="1"/>
    <col min="7944" max="7944" width="3.1796875" style="18" customWidth="1"/>
    <col min="7945" max="7946" width="14.7265625" style="18" customWidth="1"/>
    <col min="7947" max="7947" width="12" style="18" bestFit="1" customWidth="1"/>
    <col min="7948" max="8192" width="9.1796875" style="18"/>
    <col min="8193" max="8193" width="4.7265625" style="18" customWidth="1"/>
    <col min="8194" max="8194" width="43.453125" style="18" customWidth="1"/>
    <col min="8195" max="8195" width="6.1796875" style="18" customWidth="1"/>
    <col min="8196" max="8196" width="10.7265625" style="18" customWidth="1"/>
    <col min="8197" max="8197" width="13.1796875" style="18" bestFit="1" customWidth="1"/>
    <col min="8198" max="8198" width="3.1796875" style="18" customWidth="1"/>
    <col min="8199" max="8199" width="14.7265625" style="18" customWidth="1"/>
    <col min="8200" max="8200" width="3.1796875" style="18" customWidth="1"/>
    <col min="8201" max="8202" width="14.7265625" style="18" customWidth="1"/>
    <col min="8203" max="8203" width="12" style="18" bestFit="1" customWidth="1"/>
    <col min="8204" max="8448" width="9.1796875" style="18"/>
    <col min="8449" max="8449" width="4.7265625" style="18" customWidth="1"/>
    <col min="8450" max="8450" width="43.453125" style="18" customWidth="1"/>
    <col min="8451" max="8451" width="6.1796875" style="18" customWidth="1"/>
    <col min="8452" max="8452" width="10.7265625" style="18" customWidth="1"/>
    <col min="8453" max="8453" width="13.1796875" style="18" bestFit="1" customWidth="1"/>
    <col min="8454" max="8454" width="3.1796875" style="18" customWidth="1"/>
    <col min="8455" max="8455" width="14.7265625" style="18" customWidth="1"/>
    <col min="8456" max="8456" width="3.1796875" style="18" customWidth="1"/>
    <col min="8457" max="8458" width="14.7265625" style="18" customWidth="1"/>
    <col min="8459" max="8459" width="12" style="18" bestFit="1" customWidth="1"/>
    <col min="8460" max="8704" width="9.1796875" style="18"/>
    <col min="8705" max="8705" width="4.7265625" style="18" customWidth="1"/>
    <col min="8706" max="8706" width="43.453125" style="18" customWidth="1"/>
    <col min="8707" max="8707" width="6.1796875" style="18" customWidth="1"/>
    <col min="8708" max="8708" width="10.7265625" style="18" customWidth="1"/>
    <col min="8709" max="8709" width="13.1796875" style="18" bestFit="1" customWidth="1"/>
    <col min="8710" max="8710" width="3.1796875" style="18" customWidth="1"/>
    <col min="8711" max="8711" width="14.7265625" style="18" customWidth="1"/>
    <col min="8712" max="8712" width="3.1796875" style="18" customWidth="1"/>
    <col min="8713" max="8714" width="14.7265625" style="18" customWidth="1"/>
    <col min="8715" max="8715" width="12" style="18" bestFit="1" customWidth="1"/>
    <col min="8716" max="8960" width="9.1796875" style="18"/>
    <col min="8961" max="8961" width="4.7265625" style="18" customWidth="1"/>
    <col min="8962" max="8962" width="43.453125" style="18" customWidth="1"/>
    <col min="8963" max="8963" width="6.1796875" style="18" customWidth="1"/>
    <col min="8964" max="8964" width="10.7265625" style="18" customWidth="1"/>
    <col min="8965" max="8965" width="13.1796875" style="18" bestFit="1" customWidth="1"/>
    <col min="8966" max="8966" width="3.1796875" style="18" customWidth="1"/>
    <col min="8967" max="8967" width="14.7265625" style="18" customWidth="1"/>
    <col min="8968" max="8968" width="3.1796875" style="18" customWidth="1"/>
    <col min="8969" max="8970" width="14.7265625" style="18" customWidth="1"/>
    <col min="8971" max="8971" width="12" style="18" bestFit="1" customWidth="1"/>
    <col min="8972" max="9216" width="9.1796875" style="18"/>
    <col min="9217" max="9217" width="4.7265625" style="18" customWidth="1"/>
    <col min="9218" max="9218" width="43.453125" style="18" customWidth="1"/>
    <col min="9219" max="9219" width="6.1796875" style="18" customWidth="1"/>
    <col min="9220" max="9220" width="10.7265625" style="18" customWidth="1"/>
    <col min="9221" max="9221" width="13.1796875" style="18" bestFit="1" customWidth="1"/>
    <col min="9222" max="9222" width="3.1796875" style="18" customWidth="1"/>
    <col min="9223" max="9223" width="14.7265625" style="18" customWidth="1"/>
    <col min="9224" max="9224" width="3.1796875" style="18" customWidth="1"/>
    <col min="9225" max="9226" width="14.7265625" style="18" customWidth="1"/>
    <col min="9227" max="9227" width="12" style="18" bestFit="1" customWidth="1"/>
    <col min="9228" max="9472" width="9.1796875" style="18"/>
    <col min="9473" max="9473" width="4.7265625" style="18" customWidth="1"/>
    <col min="9474" max="9474" width="43.453125" style="18" customWidth="1"/>
    <col min="9475" max="9475" width="6.1796875" style="18" customWidth="1"/>
    <col min="9476" max="9476" width="10.7265625" style="18" customWidth="1"/>
    <col min="9477" max="9477" width="13.1796875" style="18" bestFit="1" customWidth="1"/>
    <col min="9478" max="9478" width="3.1796875" style="18" customWidth="1"/>
    <col min="9479" max="9479" width="14.7265625" style="18" customWidth="1"/>
    <col min="9480" max="9480" width="3.1796875" style="18" customWidth="1"/>
    <col min="9481" max="9482" width="14.7265625" style="18" customWidth="1"/>
    <col min="9483" max="9483" width="12" style="18" bestFit="1" customWidth="1"/>
    <col min="9484" max="9728" width="9.1796875" style="18"/>
    <col min="9729" max="9729" width="4.7265625" style="18" customWidth="1"/>
    <col min="9730" max="9730" width="43.453125" style="18" customWidth="1"/>
    <col min="9731" max="9731" width="6.1796875" style="18" customWidth="1"/>
    <col min="9732" max="9732" width="10.7265625" style="18" customWidth="1"/>
    <col min="9733" max="9733" width="13.1796875" style="18" bestFit="1" customWidth="1"/>
    <col min="9734" max="9734" width="3.1796875" style="18" customWidth="1"/>
    <col min="9735" max="9735" width="14.7265625" style="18" customWidth="1"/>
    <col min="9736" max="9736" width="3.1796875" style="18" customWidth="1"/>
    <col min="9737" max="9738" width="14.7265625" style="18" customWidth="1"/>
    <col min="9739" max="9739" width="12" style="18" bestFit="1" customWidth="1"/>
    <col min="9740" max="9984" width="9.1796875" style="18"/>
    <col min="9985" max="9985" width="4.7265625" style="18" customWidth="1"/>
    <col min="9986" max="9986" width="43.453125" style="18" customWidth="1"/>
    <col min="9987" max="9987" width="6.1796875" style="18" customWidth="1"/>
    <col min="9988" max="9988" width="10.7265625" style="18" customWidth="1"/>
    <col min="9989" max="9989" width="13.1796875" style="18" bestFit="1" customWidth="1"/>
    <col min="9990" max="9990" width="3.1796875" style="18" customWidth="1"/>
    <col min="9991" max="9991" width="14.7265625" style="18" customWidth="1"/>
    <col min="9992" max="9992" width="3.1796875" style="18" customWidth="1"/>
    <col min="9993" max="9994" width="14.7265625" style="18" customWidth="1"/>
    <col min="9995" max="9995" width="12" style="18" bestFit="1" customWidth="1"/>
    <col min="9996" max="10240" width="9.1796875" style="18"/>
    <col min="10241" max="10241" width="4.7265625" style="18" customWidth="1"/>
    <col min="10242" max="10242" width="43.453125" style="18" customWidth="1"/>
    <col min="10243" max="10243" width="6.1796875" style="18" customWidth="1"/>
    <col min="10244" max="10244" width="10.7265625" style="18" customWidth="1"/>
    <col min="10245" max="10245" width="13.1796875" style="18" bestFit="1" customWidth="1"/>
    <col min="10246" max="10246" width="3.1796875" style="18" customWidth="1"/>
    <col min="10247" max="10247" width="14.7265625" style="18" customWidth="1"/>
    <col min="10248" max="10248" width="3.1796875" style="18" customWidth="1"/>
    <col min="10249" max="10250" width="14.7265625" style="18" customWidth="1"/>
    <col min="10251" max="10251" width="12" style="18" bestFit="1" customWidth="1"/>
    <col min="10252" max="10496" width="9.1796875" style="18"/>
    <col min="10497" max="10497" width="4.7265625" style="18" customWidth="1"/>
    <col min="10498" max="10498" width="43.453125" style="18" customWidth="1"/>
    <col min="10499" max="10499" width="6.1796875" style="18" customWidth="1"/>
    <col min="10500" max="10500" width="10.7265625" style="18" customWidth="1"/>
    <col min="10501" max="10501" width="13.1796875" style="18" bestFit="1" customWidth="1"/>
    <col min="10502" max="10502" width="3.1796875" style="18" customWidth="1"/>
    <col min="10503" max="10503" width="14.7265625" style="18" customWidth="1"/>
    <col min="10504" max="10504" width="3.1796875" style="18" customWidth="1"/>
    <col min="10505" max="10506" width="14.7265625" style="18" customWidth="1"/>
    <col min="10507" max="10507" width="12" style="18" bestFit="1" customWidth="1"/>
    <col min="10508" max="10752" width="9.1796875" style="18"/>
    <col min="10753" max="10753" width="4.7265625" style="18" customWidth="1"/>
    <col min="10754" max="10754" width="43.453125" style="18" customWidth="1"/>
    <col min="10755" max="10755" width="6.1796875" style="18" customWidth="1"/>
    <col min="10756" max="10756" width="10.7265625" style="18" customWidth="1"/>
    <col min="10757" max="10757" width="13.1796875" style="18" bestFit="1" customWidth="1"/>
    <col min="10758" max="10758" width="3.1796875" style="18" customWidth="1"/>
    <col min="10759" max="10759" width="14.7265625" style="18" customWidth="1"/>
    <col min="10760" max="10760" width="3.1796875" style="18" customWidth="1"/>
    <col min="10761" max="10762" width="14.7265625" style="18" customWidth="1"/>
    <col min="10763" max="10763" width="12" style="18" bestFit="1" customWidth="1"/>
    <col min="10764" max="11008" width="9.1796875" style="18"/>
    <col min="11009" max="11009" width="4.7265625" style="18" customWidth="1"/>
    <col min="11010" max="11010" width="43.453125" style="18" customWidth="1"/>
    <col min="11011" max="11011" width="6.1796875" style="18" customWidth="1"/>
    <col min="11012" max="11012" width="10.7265625" style="18" customWidth="1"/>
    <col min="11013" max="11013" width="13.1796875" style="18" bestFit="1" customWidth="1"/>
    <col min="11014" max="11014" width="3.1796875" style="18" customWidth="1"/>
    <col min="11015" max="11015" width="14.7265625" style="18" customWidth="1"/>
    <col min="11016" max="11016" width="3.1796875" style="18" customWidth="1"/>
    <col min="11017" max="11018" width="14.7265625" style="18" customWidth="1"/>
    <col min="11019" max="11019" width="12" style="18" bestFit="1" customWidth="1"/>
    <col min="11020" max="11264" width="9.1796875" style="18"/>
    <col min="11265" max="11265" width="4.7265625" style="18" customWidth="1"/>
    <col min="11266" max="11266" width="43.453125" style="18" customWidth="1"/>
    <col min="11267" max="11267" width="6.1796875" style="18" customWidth="1"/>
    <col min="11268" max="11268" width="10.7265625" style="18" customWidth="1"/>
    <col min="11269" max="11269" width="13.1796875" style="18" bestFit="1" customWidth="1"/>
    <col min="11270" max="11270" width="3.1796875" style="18" customWidth="1"/>
    <col min="11271" max="11271" width="14.7265625" style="18" customWidth="1"/>
    <col min="11272" max="11272" width="3.1796875" style="18" customWidth="1"/>
    <col min="11273" max="11274" width="14.7265625" style="18" customWidth="1"/>
    <col min="11275" max="11275" width="12" style="18" bestFit="1" customWidth="1"/>
    <col min="11276" max="11520" width="9.1796875" style="18"/>
    <col min="11521" max="11521" width="4.7265625" style="18" customWidth="1"/>
    <col min="11522" max="11522" width="43.453125" style="18" customWidth="1"/>
    <col min="11523" max="11523" width="6.1796875" style="18" customWidth="1"/>
    <col min="11524" max="11524" width="10.7265625" style="18" customWidth="1"/>
    <col min="11525" max="11525" width="13.1796875" style="18" bestFit="1" customWidth="1"/>
    <col min="11526" max="11526" width="3.1796875" style="18" customWidth="1"/>
    <col min="11527" max="11527" width="14.7265625" style="18" customWidth="1"/>
    <col min="11528" max="11528" width="3.1796875" style="18" customWidth="1"/>
    <col min="11529" max="11530" width="14.7265625" style="18" customWidth="1"/>
    <col min="11531" max="11531" width="12" style="18" bestFit="1" customWidth="1"/>
    <col min="11532" max="11776" width="9.1796875" style="18"/>
    <col min="11777" max="11777" width="4.7265625" style="18" customWidth="1"/>
    <col min="11778" max="11778" width="43.453125" style="18" customWidth="1"/>
    <col min="11779" max="11779" width="6.1796875" style="18" customWidth="1"/>
    <col min="11780" max="11780" width="10.7265625" style="18" customWidth="1"/>
    <col min="11781" max="11781" width="13.1796875" style="18" bestFit="1" customWidth="1"/>
    <col min="11782" max="11782" width="3.1796875" style="18" customWidth="1"/>
    <col min="11783" max="11783" width="14.7265625" style="18" customWidth="1"/>
    <col min="11784" max="11784" width="3.1796875" style="18" customWidth="1"/>
    <col min="11785" max="11786" width="14.7265625" style="18" customWidth="1"/>
    <col min="11787" max="11787" width="12" style="18" bestFit="1" customWidth="1"/>
    <col min="11788" max="12032" width="9.1796875" style="18"/>
    <col min="12033" max="12033" width="4.7265625" style="18" customWidth="1"/>
    <col min="12034" max="12034" width="43.453125" style="18" customWidth="1"/>
    <col min="12035" max="12035" width="6.1796875" style="18" customWidth="1"/>
    <col min="12036" max="12036" width="10.7265625" style="18" customWidth="1"/>
    <col min="12037" max="12037" width="13.1796875" style="18" bestFit="1" customWidth="1"/>
    <col min="12038" max="12038" width="3.1796875" style="18" customWidth="1"/>
    <col min="12039" max="12039" width="14.7265625" style="18" customWidth="1"/>
    <col min="12040" max="12040" width="3.1796875" style="18" customWidth="1"/>
    <col min="12041" max="12042" width="14.7265625" style="18" customWidth="1"/>
    <col min="12043" max="12043" width="12" style="18" bestFit="1" customWidth="1"/>
    <col min="12044" max="12288" width="9.1796875" style="18"/>
    <col min="12289" max="12289" width="4.7265625" style="18" customWidth="1"/>
    <col min="12290" max="12290" width="43.453125" style="18" customWidth="1"/>
    <col min="12291" max="12291" width="6.1796875" style="18" customWidth="1"/>
    <col min="12292" max="12292" width="10.7265625" style="18" customWidth="1"/>
    <col min="12293" max="12293" width="13.1796875" style="18" bestFit="1" customWidth="1"/>
    <col min="12294" max="12294" width="3.1796875" style="18" customWidth="1"/>
    <col min="12295" max="12295" width="14.7265625" style="18" customWidth="1"/>
    <col min="12296" max="12296" width="3.1796875" style="18" customWidth="1"/>
    <col min="12297" max="12298" width="14.7265625" style="18" customWidth="1"/>
    <col min="12299" max="12299" width="12" style="18" bestFit="1" customWidth="1"/>
    <col min="12300" max="12544" width="9.1796875" style="18"/>
    <col min="12545" max="12545" width="4.7265625" style="18" customWidth="1"/>
    <col min="12546" max="12546" width="43.453125" style="18" customWidth="1"/>
    <col min="12547" max="12547" width="6.1796875" style="18" customWidth="1"/>
    <col min="12548" max="12548" width="10.7265625" style="18" customWidth="1"/>
    <col min="12549" max="12549" width="13.1796875" style="18" bestFit="1" customWidth="1"/>
    <col min="12550" max="12550" width="3.1796875" style="18" customWidth="1"/>
    <col min="12551" max="12551" width="14.7265625" style="18" customWidth="1"/>
    <col min="12552" max="12552" width="3.1796875" style="18" customWidth="1"/>
    <col min="12553" max="12554" width="14.7265625" style="18" customWidth="1"/>
    <col min="12555" max="12555" width="12" style="18" bestFit="1" customWidth="1"/>
    <col min="12556" max="12800" width="9.1796875" style="18"/>
    <col min="12801" max="12801" width="4.7265625" style="18" customWidth="1"/>
    <col min="12802" max="12802" width="43.453125" style="18" customWidth="1"/>
    <col min="12803" max="12803" width="6.1796875" style="18" customWidth="1"/>
    <col min="12804" max="12804" width="10.7265625" style="18" customWidth="1"/>
    <col min="12805" max="12805" width="13.1796875" style="18" bestFit="1" customWidth="1"/>
    <col min="12806" max="12806" width="3.1796875" style="18" customWidth="1"/>
    <col min="12807" max="12807" width="14.7265625" style="18" customWidth="1"/>
    <col min="12808" max="12808" width="3.1796875" style="18" customWidth="1"/>
    <col min="12809" max="12810" width="14.7265625" style="18" customWidth="1"/>
    <col min="12811" max="12811" width="12" style="18" bestFit="1" customWidth="1"/>
    <col min="12812" max="13056" width="9.1796875" style="18"/>
    <col min="13057" max="13057" width="4.7265625" style="18" customWidth="1"/>
    <col min="13058" max="13058" width="43.453125" style="18" customWidth="1"/>
    <col min="13059" max="13059" width="6.1796875" style="18" customWidth="1"/>
    <col min="13060" max="13060" width="10.7265625" style="18" customWidth="1"/>
    <col min="13061" max="13061" width="13.1796875" style="18" bestFit="1" customWidth="1"/>
    <col min="13062" max="13062" width="3.1796875" style="18" customWidth="1"/>
    <col min="13063" max="13063" width="14.7265625" style="18" customWidth="1"/>
    <col min="13064" max="13064" width="3.1796875" style="18" customWidth="1"/>
    <col min="13065" max="13066" width="14.7265625" style="18" customWidth="1"/>
    <col min="13067" max="13067" width="12" style="18" bestFit="1" customWidth="1"/>
    <col min="13068" max="13312" width="9.1796875" style="18"/>
    <col min="13313" max="13313" width="4.7265625" style="18" customWidth="1"/>
    <col min="13314" max="13314" width="43.453125" style="18" customWidth="1"/>
    <col min="13315" max="13315" width="6.1796875" style="18" customWidth="1"/>
    <col min="13316" max="13316" width="10.7265625" style="18" customWidth="1"/>
    <col min="13317" max="13317" width="13.1796875" style="18" bestFit="1" customWidth="1"/>
    <col min="13318" max="13318" width="3.1796875" style="18" customWidth="1"/>
    <col min="13319" max="13319" width="14.7265625" style="18" customWidth="1"/>
    <col min="13320" max="13320" width="3.1796875" style="18" customWidth="1"/>
    <col min="13321" max="13322" width="14.7265625" style="18" customWidth="1"/>
    <col min="13323" max="13323" width="12" style="18" bestFit="1" customWidth="1"/>
    <col min="13324" max="13568" width="9.1796875" style="18"/>
    <col min="13569" max="13569" width="4.7265625" style="18" customWidth="1"/>
    <col min="13570" max="13570" width="43.453125" style="18" customWidth="1"/>
    <col min="13571" max="13571" width="6.1796875" style="18" customWidth="1"/>
    <col min="13572" max="13572" width="10.7265625" style="18" customWidth="1"/>
    <col min="13573" max="13573" width="13.1796875" style="18" bestFit="1" customWidth="1"/>
    <col min="13574" max="13574" width="3.1796875" style="18" customWidth="1"/>
    <col min="13575" max="13575" width="14.7265625" style="18" customWidth="1"/>
    <col min="13576" max="13576" width="3.1796875" style="18" customWidth="1"/>
    <col min="13577" max="13578" width="14.7265625" style="18" customWidth="1"/>
    <col min="13579" max="13579" width="12" style="18" bestFit="1" customWidth="1"/>
    <col min="13580" max="13824" width="9.1796875" style="18"/>
    <col min="13825" max="13825" width="4.7265625" style="18" customWidth="1"/>
    <col min="13826" max="13826" width="43.453125" style="18" customWidth="1"/>
    <col min="13827" max="13827" width="6.1796875" style="18" customWidth="1"/>
    <col min="13828" max="13828" width="10.7265625" style="18" customWidth="1"/>
    <col min="13829" max="13829" width="13.1796875" style="18" bestFit="1" customWidth="1"/>
    <col min="13830" max="13830" width="3.1796875" style="18" customWidth="1"/>
    <col min="13831" max="13831" width="14.7265625" style="18" customWidth="1"/>
    <col min="13832" max="13832" width="3.1796875" style="18" customWidth="1"/>
    <col min="13833" max="13834" width="14.7265625" style="18" customWidth="1"/>
    <col min="13835" max="13835" width="12" style="18" bestFit="1" customWidth="1"/>
    <col min="13836" max="14080" width="9.1796875" style="18"/>
    <col min="14081" max="14081" width="4.7265625" style="18" customWidth="1"/>
    <col min="14082" max="14082" width="43.453125" style="18" customWidth="1"/>
    <col min="14083" max="14083" width="6.1796875" style="18" customWidth="1"/>
    <col min="14084" max="14084" width="10.7265625" style="18" customWidth="1"/>
    <col min="14085" max="14085" width="13.1796875" style="18" bestFit="1" customWidth="1"/>
    <col min="14086" max="14086" width="3.1796875" style="18" customWidth="1"/>
    <col min="14087" max="14087" width="14.7265625" style="18" customWidth="1"/>
    <col min="14088" max="14088" width="3.1796875" style="18" customWidth="1"/>
    <col min="14089" max="14090" width="14.7265625" style="18" customWidth="1"/>
    <col min="14091" max="14091" width="12" style="18" bestFit="1" customWidth="1"/>
    <col min="14092" max="14336" width="9.1796875" style="18"/>
    <col min="14337" max="14337" width="4.7265625" style="18" customWidth="1"/>
    <col min="14338" max="14338" width="43.453125" style="18" customWidth="1"/>
    <col min="14339" max="14339" width="6.1796875" style="18" customWidth="1"/>
    <col min="14340" max="14340" width="10.7265625" style="18" customWidth="1"/>
    <col min="14341" max="14341" width="13.1796875" style="18" bestFit="1" customWidth="1"/>
    <col min="14342" max="14342" width="3.1796875" style="18" customWidth="1"/>
    <col min="14343" max="14343" width="14.7265625" style="18" customWidth="1"/>
    <col min="14344" max="14344" width="3.1796875" style="18" customWidth="1"/>
    <col min="14345" max="14346" width="14.7265625" style="18" customWidth="1"/>
    <col min="14347" max="14347" width="12" style="18" bestFit="1" customWidth="1"/>
    <col min="14348" max="14592" width="9.1796875" style="18"/>
    <col min="14593" max="14593" width="4.7265625" style="18" customWidth="1"/>
    <col min="14594" max="14594" width="43.453125" style="18" customWidth="1"/>
    <col min="14595" max="14595" width="6.1796875" style="18" customWidth="1"/>
    <col min="14596" max="14596" width="10.7265625" style="18" customWidth="1"/>
    <col min="14597" max="14597" width="13.1796875" style="18" bestFit="1" customWidth="1"/>
    <col min="14598" max="14598" width="3.1796875" style="18" customWidth="1"/>
    <col min="14599" max="14599" width="14.7265625" style="18" customWidth="1"/>
    <col min="14600" max="14600" width="3.1796875" style="18" customWidth="1"/>
    <col min="14601" max="14602" width="14.7265625" style="18" customWidth="1"/>
    <col min="14603" max="14603" width="12" style="18" bestFit="1" customWidth="1"/>
    <col min="14604" max="14848" width="9.1796875" style="18"/>
    <col min="14849" max="14849" width="4.7265625" style="18" customWidth="1"/>
    <col min="14850" max="14850" width="43.453125" style="18" customWidth="1"/>
    <col min="14851" max="14851" width="6.1796875" style="18" customWidth="1"/>
    <col min="14852" max="14852" width="10.7265625" style="18" customWidth="1"/>
    <col min="14853" max="14853" width="13.1796875" style="18" bestFit="1" customWidth="1"/>
    <col min="14854" max="14854" width="3.1796875" style="18" customWidth="1"/>
    <col min="14855" max="14855" width="14.7265625" style="18" customWidth="1"/>
    <col min="14856" max="14856" width="3.1796875" style="18" customWidth="1"/>
    <col min="14857" max="14858" width="14.7265625" style="18" customWidth="1"/>
    <col min="14859" max="14859" width="12" style="18" bestFit="1" customWidth="1"/>
    <col min="14860" max="15104" width="9.1796875" style="18"/>
    <col min="15105" max="15105" width="4.7265625" style="18" customWidth="1"/>
    <col min="15106" max="15106" width="43.453125" style="18" customWidth="1"/>
    <col min="15107" max="15107" width="6.1796875" style="18" customWidth="1"/>
    <col min="15108" max="15108" width="10.7265625" style="18" customWidth="1"/>
    <col min="15109" max="15109" width="13.1796875" style="18" bestFit="1" customWidth="1"/>
    <col min="15110" max="15110" width="3.1796875" style="18" customWidth="1"/>
    <col min="15111" max="15111" width="14.7265625" style="18" customWidth="1"/>
    <col min="15112" max="15112" width="3.1796875" style="18" customWidth="1"/>
    <col min="15113" max="15114" width="14.7265625" style="18" customWidth="1"/>
    <col min="15115" max="15115" width="12" style="18" bestFit="1" customWidth="1"/>
    <col min="15116" max="15360" width="9.1796875" style="18"/>
    <col min="15361" max="15361" width="4.7265625" style="18" customWidth="1"/>
    <col min="15362" max="15362" width="43.453125" style="18" customWidth="1"/>
    <col min="15363" max="15363" width="6.1796875" style="18" customWidth="1"/>
    <col min="15364" max="15364" width="10.7265625" style="18" customWidth="1"/>
    <col min="15365" max="15365" width="13.1796875" style="18" bestFit="1" customWidth="1"/>
    <col min="15366" max="15366" width="3.1796875" style="18" customWidth="1"/>
    <col min="15367" max="15367" width="14.7265625" style="18" customWidth="1"/>
    <col min="15368" max="15368" width="3.1796875" style="18" customWidth="1"/>
    <col min="15369" max="15370" width="14.7265625" style="18" customWidth="1"/>
    <col min="15371" max="15371" width="12" style="18" bestFit="1" customWidth="1"/>
    <col min="15372" max="15616" width="9.1796875" style="18"/>
    <col min="15617" max="15617" width="4.7265625" style="18" customWidth="1"/>
    <col min="15618" max="15618" width="43.453125" style="18" customWidth="1"/>
    <col min="15619" max="15619" width="6.1796875" style="18" customWidth="1"/>
    <col min="15620" max="15620" width="10.7265625" style="18" customWidth="1"/>
    <col min="15621" max="15621" width="13.1796875" style="18" bestFit="1" customWidth="1"/>
    <col min="15622" max="15622" width="3.1796875" style="18" customWidth="1"/>
    <col min="15623" max="15623" width="14.7265625" style="18" customWidth="1"/>
    <col min="15624" max="15624" width="3.1796875" style="18" customWidth="1"/>
    <col min="15625" max="15626" width="14.7265625" style="18" customWidth="1"/>
    <col min="15627" max="15627" width="12" style="18" bestFit="1" customWidth="1"/>
    <col min="15628" max="15872" width="9.1796875" style="18"/>
    <col min="15873" max="15873" width="4.7265625" style="18" customWidth="1"/>
    <col min="15874" max="15874" width="43.453125" style="18" customWidth="1"/>
    <col min="15875" max="15875" width="6.1796875" style="18" customWidth="1"/>
    <col min="15876" max="15876" width="10.7265625" style="18" customWidth="1"/>
    <col min="15877" max="15877" width="13.1796875" style="18" bestFit="1" customWidth="1"/>
    <col min="15878" max="15878" width="3.1796875" style="18" customWidth="1"/>
    <col min="15879" max="15879" width="14.7265625" style="18" customWidth="1"/>
    <col min="15880" max="15880" width="3.1796875" style="18" customWidth="1"/>
    <col min="15881" max="15882" width="14.7265625" style="18" customWidth="1"/>
    <col min="15883" max="15883" width="12" style="18" bestFit="1" customWidth="1"/>
    <col min="15884" max="16128" width="9.1796875" style="18"/>
    <col min="16129" max="16129" width="4.7265625" style="18" customWidth="1"/>
    <col min="16130" max="16130" width="43.453125" style="18" customWidth="1"/>
    <col min="16131" max="16131" width="6.1796875" style="18" customWidth="1"/>
    <col min="16132" max="16132" width="10.7265625" style="18" customWidth="1"/>
    <col min="16133" max="16133" width="13.1796875" style="18" bestFit="1" customWidth="1"/>
    <col min="16134" max="16134" width="3.1796875" style="18" customWidth="1"/>
    <col min="16135" max="16135" width="14.7265625" style="18" customWidth="1"/>
    <col min="16136" max="16136" width="3.1796875" style="18" customWidth="1"/>
    <col min="16137" max="16138" width="14.7265625" style="18" customWidth="1"/>
    <col min="16139" max="16139" width="12" style="18" bestFit="1" customWidth="1"/>
    <col min="16140" max="16384" width="9.1796875" style="18"/>
  </cols>
  <sheetData>
    <row r="1" spans="2:11" s="17" customFormat="1" ht="12" customHeight="1" x14ac:dyDescent="0.25"/>
    <row r="2" spans="2:11" ht="12" customHeight="1" x14ac:dyDescent="0.2"/>
    <row r="3" spans="2:11" ht="12" customHeight="1" x14ac:dyDescent="0.2"/>
    <row r="4" spans="2:11" ht="12" customHeight="1" x14ac:dyDescent="0.2"/>
    <row r="5" spans="2:11" ht="12" customHeight="1" x14ac:dyDescent="0.25">
      <c r="B5" s="22"/>
      <c r="J5" s="43"/>
    </row>
    <row r="6" spans="2:11" ht="12" customHeight="1" x14ac:dyDescent="0.25">
      <c r="B6" s="23"/>
    </row>
    <row r="7" spans="2:11" ht="12" customHeight="1" x14ac:dyDescent="0.25">
      <c r="B7" s="22"/>
    </row>
    <row r="8" spans="2:11" ht="12" customHeight="1" x14ac:dyDescent="0.2"/>
    <row r="9" spans="2:11" ht="12" customHeight="1" x14ac:dyDescent="0.2"/>
    <row r="10" spans="2:11" s="25" customFormat="1" ht="12" customHeight="1" x14ac:dyDescent="0.25">
      <c r="C10" s="24"/>
      <c r="K10" s="26"/>
    </row>
    <row r="11" spans="2:11" s="25" customFormat="1" ht="12" customHeight="1" x14ac:dyDescent="0.25">
      <c r="B11" s="27" t="s">
        <v>0</v>
      </c>
      <c r="C11" s="24"/>
      <c r="K11" s="26"/>
    </row>
    <row r="12" spans="2:11" s="25" customFormat="1" ht="12" customHeight="1" x14ac:dyDescent="0.25">
      <c r="B12" s="27" t="s">
        <v>2</v>
      </c>
      <c r="C12" s="24"/>
      <c r="K12" s="26"/>
    </row>
    <row r="13" spans="2:11" s="25" customFormat="1" ht="11.5" x14ac:dyDescent="0.25">
      <c r="B13" s="27" t="s">
        <v>15</v>
      </c>
      <c r="C13" s="24"/>
      <c r="K13" s="26"/>
    </row>
    <row r="14" spans="2:11" s="25" customFormat="1" ht="11.5" x14ac:dyDescent="0.25">
      <c r="C14" s="24"/>
      <c r="K14" s="26"/>
    </row>
    <row r="15" spans="2:11" s="25" customFormat="1" ht="11.5" x14ac:dyDescent="0.25">
      <c r="B15" s="32"/>
      <c r="C15" s="34"/>
      <c r="D15" s="32"/>
      <c r="E15" s="211" t="s">
        <v>223</v>
      </c>
      <c r="F15" s="38"/>
      <c r="I15" s="213" t="s">
        <v>95</v>
      </c>
      <c r="J15" s="213"/>
      <c r="K15" s="26"/>
    </row>
    <row r="16" spans="2:11" s="25" customFormat="1" ht="12" thickBot="1" x14ac:dyDescent="0.3">
      <c r="B16" s="29" t="s">
        <v>3</v>
      </c>
      <c r="C16" s="45" t="s">
        <v>96</v>
      </c>
      <c r="D16" s="45" t="s">
        <v>97</v>
      </c>
      <c r="E16" s="212" t="s">
        <v>224</v>
      </c>
      <c r="F16" s="31"/>
      <c r="G16" s="45" t="s">
        <v>88</v>
      </c>
      <c r="H16" s="28"/>
      <c r="I16" s="45" t="s">
        <v>98</v>
      </c>
      <c r="J16" s="45" t="s">
        <v>99</v>
      </c>
      <c r="K16" s="26"/>
    </row>
    <row r="17" spans="2:11" s="25" customFormat="1" ht="11.5" x14ac:dyDescent="0.25">
      <c r="B17" s="32"/>
      <c r="C17" s="34"/>
      <c r="D17" s="32"/>
      <c r="E17" s="37"/>
      <c r="F17" s="38"/>
      <c r="G17" s="32"/>
      <c r="H17" s="32"/>
      <c r="I17" s="32"/>
      <c r="J17" s="32"/>
      <c r="K17" s="26"/>
    </row>
    <row r="18" spans="2:11" s="25" customFormat="1" ht="11.5" x14ac:dyDescent="0.25">
      <c r="B18" s="32" t="s">
        <v>100</v>
      </c>
      <c r="C18" s="34"/>
      <c r="D18" s="35" t="s">
        <v>86</v>
      </c>
      <c r="F18" s="27"/>
      <c r="G18" s="36">
        <f>+[30]EEPN!E37</f>
        <v>0</v>
      </c>
      <c r="H18" s="36"/>
      <c r="I18" s="27"/>
      <c r="J18" s="32"/>
      <c r="K18" s="26"/>
    </row>
    <row r="19" spans="2:11" s="25" customFormat="1" ht="11.5" x14ac:dyDescent="0.25">
      <c r="C19" s="28"/>
      <c r="K19" s="26"/>
    </row>
    <row r="20" spans="2:11" s="25" customFormat="1" ht="11.5" x14ac:dyDescent="0.25">
      <c r="B20" s="32" t="s">
        <v>194</v>
      </c>
      <c r="C20" s="28" t="s">
        <v>124</v>
      </c>
      <c r="D20" s="35" t="s">
        <v>196</v>
      </c>
      <c r="E20" s="39">
        <f>+'GAN - 2 '!E37</f>
        <v>6392744062.5799999</v>
      </c>
      <c r="F20" s="27"/>
      <c r="G20" s="49"/>
      <c r="H20" s="49"/>
      <c r="I20" s="39"/>
      <c r="J20" s="41"/>
      <c r="K20" s="26"/>
    </row>
    <row r="21" spans="2:11" s="25" customFormat="1" ht="11.5" x14ac:dyDescent="0.25">
      <c r="B21" s="32" t="s">
        <v>195</v>
      </c>
      <c r="C21" s="28" t="s">
        <v>124</v>
      </c>
      <c r="D21" s="35" t="s">
        <v>196</v>
      </c>
      <c r="E21" s="39">
        <f>+'GAN - 2 '!E39</f>
        <v>-6240408652.3427811</v>
      </c>
      <c r="F21" s="27"/>
      <c r="G21" s="49"/>
      <c r="H21" s="49"/>
      <c r="I21" s="39"/>
      <c r="J21" s="41"/>
      <c r="K21" s="26"/>
    </row>
    <row r="22" spans="2:11" s="25" customFormat="1" ht="11.5" x14ac:dyDescent="0.25">
      <c r="B22" s="32" t="s">
        <v>194</v>
      </c>
      <c r="C22" s="28" t="s">
        <v>125</v>
      </c>
      <c r="D22" s="35" t="s">
        <v>196</v>
      </c>
      <c r="E22" s="39">
        <f>+'GAN - 2 '!E47</f>
        <v>-13137290900.27</v>
      </c>
      <c r="F22" s="27"/>
      <c r="G22" s="49"/>
      <c r="H22" s="49"/>
      <c r="I22" s="39"/>
      <c r="J22" s="41"/>
      <c r="K22" s="26"/>
    </row>
    <row r="23" spans="2:11" s="25" customFormat="1" ht="11.5" x14ac:dyDescent="0.25">
      <c r="B23" s="32" t="s">
        <v>195</v>
      </c>
      <c r="C23" s="28" t="s">
        <v>125</v>
      </c>
      <c r="D23" s="35" t="s">
        <v>196</v>
      </c>
      <c r="E23" s="39">
        <f>+'GAN - 2 '!E49</f>
        <v>12979910048.727617</v>
      </c>
      <c r="F23" s="27"/>
      <c r="G23" s="49"/>
      <c r="H23" s="49"/>
      <c r="I23" s="39"/>
      <c r="J23" s="41"/>
      <c r="K23" s="26"/>
    </row>
    <row r="24" spans="2:11" s="25" customFormat="1" ht="11.5" x14ac:dyDescent="0.25">
      <c r="B24" s="32" t="s">
        <v>193</v>
      </c>
      <c r="C24" s="28"/>
      <c r="D24" s="35" t="s">
        <v>196</v>
      </c>
      <c r="E24" s="37">
        <f>+'GAN - 2 '!E51</f>
        <v>-80177954.433012918</v>
      </c>
      <c r="F24" s="27"/>
      <c r="G24" s="42">
        <f>+SUM(E20:E24)</f>
        <v>-85223395.738177255</v>
      </c>
      <c r="H24" s="42"/>
      <c r="I24" s="27"/>
      <c r="J24" s="41"/>
      <c r="K24" s="26"/>
    </row>
    <row r="25" spans="2:11" s="25" customFormat="1" ht="11.5" x14ac:dyDescent="0.25">
      <c r="B25" s="62"/>
      <c r="C25" s="63"/>
      <c r="D25" s="64"/>
      <c r="E25" s="46"/>
      <c r="F25" s="46"/>
      <c r="G25" s="62"/>
      <c r="H25" s="32"/>
      <c r="I25" s="62"/>
      <c r="J25" s="62"/>
      <c r="K25" s="26"/>
    </row>
    <row r="26" spans="2:11" s="25" customFormat="1" ht="11.5" x14ac:dyDescent="0.25">
      <c r="B26" s="32"/>
      <c r="C26" s="28"/>
      <c r="D26" s="32"/>
      <c r="E26" s="37"/>
      <c r="F26" s="38"/>
      <c r="G26" s="40"/>
      <c r="H26" s="40"/>
      <c r="I26" s="32"/>
      <c r="J26" s="40"/>
      <c r="K26" s="26"/>
    </row>
    <row r="27" spans="2:11" s="25" customFormat="1" ht="11.5" x14ac:dyDescent="0.25">
      <c r="B27" s="172" t="s">
        <v>101</v>
      </c>
      <c r="C27" s="173"/>
      <c r="D27" s="174"/>
      <c r="E27" s="175"/>
      <c r="F27" s="176"/>
      <c r="G27" s="177">
        <f>SUM(G18:G26)</f>
        <v>-85223395.738177255</v>
      </c>
      <c r="H27" s="48"/>
      <c r="I27" s="27"/>
      <c r="J27" s="32"/>
      <c r="K27" s="26"/>
    </row>
    <row r="28" spans="2:11" s="25" customFormat="1" ht="11.5" x14ac:dyDescent="0.25">
      <c r="B28" s="33"/>
      <c r="C28" s="34"/>
      <c r="D28" s="32"/>
      <c r="E28" s="37"/>
      <c r="F28" s="38"/>
      <c r="G28" s="40"/>
      <c r="H28" s="40"/>
      <c r="I28" s="32"/>
      <c r="J28" s="27"/>
      <c r="K28" s="26"/>
    </row>
    <row r="29" spans="2:11" s="25" customFormat="1" ht="11.5" x14ac:dyDescent="0.25">
      <c r="B29" s="50" t="s">
        <v>102</v>
      </c>
      <c r="C29" s="34"/>
      <c r="D29" s="47" t="s">
        <v>103</v>
      </c>
      <c r="F29" s="38"/>
      <c r="G29" s="40"/>
      <c r="H29" s="40"/>
      <c r="I29" s="32"/>
      <c r="J29" s="27"/>
      <c r="K29" s="26"/>
    </row>
    <row r="30" spans="2:11" s="25" customFormat="1" ht="6" customHeight="1" thickBot="1" x14ac:dyDescent="0.3">
      <c r="B30" s="50"/>
      <c r="C30" s="34"/>
      <c r="D30" s="32"/>
      <c r="E30" s="55"/>
      <c r="F30" s="38"/>
      <c r="G30" s="65"/>
      <c r="H30" s="40"/>
      <c r="I30" s="32"/>
      <c r="J30" s="27"/>
      <c r="K30" s="26"/>
    </row>
    <row r="31" spans="2:11" s="25" customFormat="1" ht="6" customHeight="1" thickTop="1" x14ac:dyDescent="0.25">
      <c r="B31" s="50"/>
      <c r="C31" s="34"/>
      <c r="D31" s="32"/>
      <c r="E31" s="55"/>
      <c r="F31" s="38"/>
      <c r="G31" s="40"/>
      <c r="H31" s="40"/>
      <c r="I31" s="32"/>
      <c r="J31" s="27"/>
      <c r="K31" s="26"/>
    </row>
    <row r="32" spans="2:11" s="25" customFormat="1" ht="11.5" x14ac:dyDescent="0.25">
      <c r="B32" s="66" t="s">
        <v>104</v>
      </c>
      <c r="C32" s="34"/>
      <c r="D32" s="32"/>
      <c r="E32" s="55"/>
      <c r="F32" s="38"/>
      <c r="G32" s="40"/>
      <c r="H32" s="40"/>
      <c r="I32" s="32"/>
      <c r="J32" s="27"/>
      <c r="K32" s="26"/>
    </row>
    <row r="33" spans="2:11" s="25" customFormat="1" ht="11.5" x14ac:dyDescent="0.25">
      <c r="B33" s="33"/>
      <c r="C33" s="34"/>
      <c r="D33" s="32"/>
      <c r="E33" s="37"/>
      <c r="F33" s="38"/>
      <c r="G33" s="40"/>
      <c r="H33" s="40"/>
      <c r="I33" s="32"/>
      <c r="J33" s="27"/>
      <c r="K33" s="26"/>
    </row>
    <row r="34" spans="2:11" s="25" customFormat="1" ht="11.5" x14ac:dyDescent="0.25">
      <c r="B34" s="33" t="s">
        <v>105</v>
      </c>
      <c r="C34" s="34"/>
      <c r="D34" s="32"/>
      <c r="E34" s="67"/>
      <c r="F34" s="38"/>
      <c r="G34" s="67"/>
      <c r="H34" s="51"/>
      <c r="I34" s="52"/>
      <c r="J34" s="32"/>
      <c r="K34" s="26"/>
    </row>
    <row r="35" spans="2:11" s="25" customFormat="1" ht="9" customHeight="1" thickBot="1" x14ac:dyDescent="0.3">
      <c r="B35" s="32"/>
      <c r="C35" s="34"/>
      <c r="D35" s="32"/>
      <c r="E35" s="37"/>
      <c r="F35" s="38"/>
      <c r="G35" s="65"/>
      <c r="H35" s="40"/>
      <c r="I35" s="32"/>
      <c r="J35" s="27"/>
      <c r="K35" s="26"/>
    </row>
    <row r="36" spans="2:11" s="25" customFormat="1" ht="9" customHeight="1" thickTop="1" x14ac:dyDescent="0.25">
      <c r="B36" s="32"/>
      <c r="C36" s="34"/>
      <c r="D36" s="32"/>
      <c r="E36" s="37"/>
      <c r="F36" s="38"/>
      <c r="G36" s="40"/>
      <c r="H36" s="40"/>
      <c r="I36" s="32"/>
      <c r="J36" s="27"/>
      <c r="K36" s="26"/>
    </row>
    <row r="37" spans="2:11" s="25" customFormat="1" ht="11.5" x14ac:dyDescent="0.25">
      <c r="B37" s="53" t="s">
        <v>94</v>
      </c>
      <c r="C37" s="34"/>
      <c r="D37" s="32"/>
      <c r="E37" s="37"/>
      <c r="F37" s="38"/>
      <c r="G37" s="40">
        <f>+G27*E34</f>
        <v>0</v>
      </c>
      <c r="H37" s="40"/>
      <c r="I37" s="54" t="s">
        <v>106</v>
      </c>
      <c r="J37" s="32"/>
      <c r="K37" s="26"/>
    </row>
    <row r="38" spans="2:11" s="25" customFormat="1" ht="11.5" x14ac:dyDescent="0.25">
      <c r="B38" s="53"/>
      <c r="C38" s="34"/>
      <c r="D38" s="32"/>
      <c r="E38" s="37"/>
      <c r="F38" s="38"/>
      <c r="G38" s="40"/>
      <c r="H38" s="40"/>
      <c r="I38" s="54"/>
      <c r="J38" s="32"/>
      <c r="K38" s="26"/>
    </row>
    <row r="39" spans="2:11" s="25" customFormat="1" ht="11.5" x14ac:dyDescent="0.25">
      <c r="B39" s="32" t="s">
        <v>107</v>
      </c>
      <c r="C39" s="34"/>
      <c r="D39" s="47" t="s">
        <v>108</v>
      </c>
      <c r="E39" s="37"/>
      <c r="F39" s="38"/>
      <c r="G39" s="40"/>
      <c r="H39" s="40"/>
      <c r="I39" s="54"/>
      <c r="J39" s="32"/>
      <c r="K39" s="26"/>
    </row>
    <row r="40" spans="2:11" s="25" customFormat="1" ht="11.5" x14ac:dyDescent="0.25">
      <c r="B40" s="32"/>
      <c r="C40" s="34"/>
      <c r="D40" s="47"/>
      <c r="E40" s="37"/>
      <c r="F40" s="38"/>
      <c r="G40" s="40"/>
      <c r="H40" s="40"/>
      <c r="I40" s="32"/>
      <c r="J40" s="27"/>
      <c r="K40" s="26"/>
    </row>
    <row r="41" spans="2:11" s="25" customFormat="1" ht="11.5" x14ac:dyDescent="0.25">
      <c r="B41" s="32" t="s">
        <v>109</v>
      </c>
      <c r="C41" s="34"/>
      <c r="D41" s="47" t="s">
        <v>110</v>
      </c>
      <c r="F41" s="38"/>
      <c r="G41" s="56"/>
      <c r="H41" s="56"/>
      <c r="I41" s="27"/>
      <c r="J41" s="49"/>
      <c r="K41" s="26"/>
    </row>
    <row r="42" spans="2:11" s="25" customFormat="1" ht="11.5" x14ac:dyDescent="0.25">
      <c r="B42" s="32"/>
      <c r="C42" s="34"/>
      <c r="D42" s="68"/>
      <c r="F42" s="38"/>
      <c r="G42" s="57"/>
      <c r="H42" s="57"/>
      <c r="I42" s="58"/>
      <c r="J42" s="27"/>
      <c r="K42" s="26"/>
    </row>
    <row r="43" spans="2:11" s="25" customFormat="1" ht="11.5" x14ac:dyDescent="0.25">
      <c r="B43" s="32" t="s">
        <v>111</v>
      </c>
      <c r="C43" s="34"/>
      <c r="D43" s="47" t="s">
        <v>106</v>
      </c>
      <c r="F43" s="38"/>
      <c r="G43" s="40"/>
      <c r="H43" s="40"/>
      <c r="I43" s="27"/>
      <c r="J43" s="32"/>
      <c r="K43" s="26"/>
    </row>
    <row r="44" spans="2:11" s="25" customFormat="1" ht="11.5" x14ac:dyDescent="0.25">
      <c r="B44" s="32"/>
      <c r="C44" s="34"/>
      <c r="D44" s="47"/>
      <c r="F44" s="38"/>
      <c r="G44" s="40"/>
      <c r="H44" s="40"/>
      <c r="I44" s="27"/>
      <c r="J44" s="32"/>
      <c r="K44" s="26"/>
    </row>
    <row r="45" spans="2:11" s="25" customFormat="1" ht="11.5" x14ac:dyDescent="0.25">
      <c r="B45" s="32" t="s">
        <v>23</v>
      </c>
      <c r="C45" s="34"/>
      <c r="D45" s="47" t="s">
        <v>112</v>
      </c>
      <c r="F45" s="38"/>
      <c r="G45" s="40"/>
      <c r="H45" s="40"/>
      <c r="I45" s="27"/>
      <c r="J45" s="32"/>
      <c r="K45" s="26"/>
    </row>
    <row r="46" spans="2:11" s="25" customFormat="1" ht="11.5" x14ac:dyDescent="0.25">
      <c r="B46" s="59"/>
      <c r="C46" s="34"/>
      <c r="D46" s="32"/>
      <c r="E46" s="37"/>
      <c r="F46" s="38"/>
      <c r="G46" s="69"/>
      <c r="H46" s="40"/>
      <c r="I46" s="32"/>
      <c r="J46" s="27"/>
      <c r="K46" s="26"/>
    </row>
    <row r="47" spans="2:11" s="25" customFormat="1" ht="11.5" x14ac:dyDescent="0.25">
      <c r="B47" s="53" t="s">
        <v>113</v>
      </c>
      <c r="C47" s="34"/>
      <c r="E47" s="37"/>
      <c r="F47" s="38"/>
      <c r="G47" s="40"/>
      <c r="H47" s="40"/>
      <c r="I47" s="39"/>
      <c r="J47" s="32"/>
      <c r="K47" s="26"/>
    </row>
    <row r="48" spans="2:11" s="25" customFormat="1" ht="12" thickBot="1" x14ac:dyDescent="0.3">
      <c r="B48" s="30"/>
      <c r="C48" s="44"/>
      <c r="D48" s="70"/>
      <c r="E48" s="71"/>
      <c r="F48" s="71"/>
      <c r="G48" s="72"/>
      <c r="H48" s="72"/>
      <c r="I48" s="72"/>
      <c r="J48" s="72"/>
      <c r="K48" s="26"/>
    </row>
    <row r="49" spans="2:11" s="25" customFormat="1" ht="11.5" x14ac:dyDescent="0.25">
      <c r="B49" s="53"/>
      <c r="C49" s="34"/>
      <c r="D49" s="32"/>
      <c r="E49" s="37"/>
      <c r="F49" s="38"/>
      <c r="G49" s="32"/>
      <c r="H49" s="32"/>
      <c r="I49" s="32"/>
      <c r="J49" s="32"/>
      <c r="K49" s="26"/>
    </row>
    <row r="50" spans="2:11" s="25" customFormat="1" ht="11.5" x14ac:dyDescent="0.25">
      <c r="B50" s="60" t="s">
        <v>114</v>
      </c>
      <c r="C50" s="34"/>
      <c r="D50" s="32"/>
      <c r="E50" s="37"/>
      <c r="F50" s="38"/>
      <c r="G50" s="32"/>
      <c r="H50" s="32"/>
      <c r="I50" s="32"/>
      <c r="J50" s="32"/>
      <c r="K50" s="26"/>
    </row>
    <row r="51" spans="2:11" s="25" customFormat="1" ht="11.5" x14ac:dyDescent="0.25">
      <c r="B51" s="32"/>
      <c r="C51" s="34"/>
      <c r="D51" s="32"/>
      <c r="E51" s="37"/>
      <c r="F51" s="38"/>
      <c r="G51" s="32"/>
      <c r="H51" s="32"/>
      <c r="I51" s="32"/>
      <c r="J51" s="27"/>
      <c r="K51" s="26"/>
    </row>
    <row r="52" spans="2:11" s="25" customFormat="1" ht="11.5" x14ac:dyDescent="0.25">
      <c r="B52" s="25" t="s">
        <v>94</v>
      </c>
      <c r="C52" s="24"/>
      <c r="I52" s="40"/>
      <c r="J52" s="27"/>
      <c r="K52" s="26"/>
    </row>
    <row r="53" spans="2:11" s="25" customFormat="1" ht="11.5" x14ac:dyDescent="0.25">
      <c r="B53" s="25" t="s">
        <v>115</v>
      </c>
      <c r="C53" s="24"/>
      <c r="I53" s="40"/>
      <c r="J53" s="27"/>
      <c r="K53" s="26"/>
    </row>
    <row r="54" spans="2:11" s="25" customFormat="1" ht="11.5" x14ac:dyDescent="0.25">
      <c r="B54" s="25" t="s">
        <v>93</v>
      </c>
      <c r="C54" s="24"/>
      <c r="E54" s="32"/>
      <c r="I54" s="40"/>
      <c r="K54" s="26"/>
    </row>
    <row r="55" spans="2:11" s="25" customFormat="1" ht="11.5" x14ac:dyDescent="0.25">
      <c r="C55" s="24"/>
      <c r="J55" s="27"/>
      <c r="K55" s="26"/>
    </row>
    <row r="56" spans="2:11" s="25" customFormat="1" ht="11.5" x14ac:dyDescent="0.25">
      <c r="B56" s="25" t="s">
        <v>116</v>
      </c>
      <c r="C56" s="24"/>
      <c r="G56" s="61"/>
      <c r="H56" s="61"/>
      <c r="I56" s="48"/>
      <c r="J56" s="27"/>
      <c r="K56" s="26"/>
    </row>
    <row r="57" spans="2:11" s="25" customFormat="1" ht="11.5" x14ac:dyDescent="0.25">
      <c r="B57" s="25" t="s">
        <v>117</v>
      </c>
      <c r="C57" s="24"/>
      <c r="G57" s="61"/>
      <c r="H57" s="61"/>
      <c r="I57" s="48"/>
      <c r="J57" s="27"/>
      <c r="K57" s="26"/>
    </row>
    <row r="58" spans="2:11" s="25" customFormat="1" ht="11.5" x14ac:dyDescent="0.25">
      <c r="C58" s="24"/>
      <c r="G58" s="61"/>
      <c r="H58" s="61"/>
      <c r="I58" s="48"/>
      <c r="J58" s="27"/>
      <c r="K58" s="26"/>
    </row>
    <row r="59" spans="2:11" s="25" customFormat="1" ht="11.5" x14ac:dyDescent="0.25">
      <c r="C59" s="24"/>
      <c r="G59" s="61"/>
      <c r="H59" s="61"/>
      <c r="I59" s="48"/>
      <c r="J59" s="27"/>
      <c r="K59" s="26"/>
    </row>
    <row r="60" spans="2:11" s="25" customFormat="1" ht="11.5" x14ac:dyDescent="0.25">
      <c r="C60" s="24"/>
      <c r="G60" s="61"/>
      <c r="H60" s="61"/>
      <c r="I60" s="48"/>
      <c r="K60" s="26"/>
    </row>
    <row r="61" spans="2:11" s="25" customFormat="1" ht="11.5" x14ac:dyDescent="0.25">
      <c r="C61" s="24"/>
      <c r="K61" s="26"/>
    </row>
    <row r="62" spans="2:11" s="25" customFormat="1" ht="11.5" x14ac:dyDescent="0.25">
      <c r="C62" s="24"/>
      <c r="K62" s="26"/>
    </row>
    <row r="63" spans="2:11" s="25" customFormat="1" ht="11.5" x14ac:dyDescent="0.25">
      <c r="C63" s="24"/>
      <c r="K63" s="26"/>
    </row>
    <row r="64" spans="2:11" s="25" customFormat="1" ht="11.5" x14ac:dyDescent="0.25">
      <c r="C64" s="24"/>
      <c r="K64" s="26"/>
    </row>
    <row r="65" spans="3:11" s="25" customFormat="1" ht="11.5" x14ac:dyDescent="0.25">
      <c r="C65" s="24"/>
      <c r="K65" s="26"/>
    </row>
    <row r="66" spans="3:11" s="25" customFormat="1" ht="11.5" x14ac:dyDescent="0.25">
      <c r="C66" s="24"/>
      <c r="K66" s="26"/>
    </row>
    <row r="67" spans="3:11" s="25" customFormat="1" ht="11.5" x14ac:dyDescent="0.25">
      <c r="C67" s="24"/>
      <c r="K67" s="26"/>
    </row>
    <row r="68" spans="3:11" s="25" customFormat="1" ht="11.5" x14ac:dyDescent="0.25">
      <c r="C68" s="24"/>
      <c r="K68" s="26"/>
    </row>
    <row r="69" spans="3:11" s="25" customFormat="1" ht="11.5" x14ac:dyDescent="0.25">
      <c r="C69" s="24"/>
      <c r="K69" s="26"/>
    </row>
  </sheetData>
  <mergeCells count="1">
    <mergeCell ref="I15:J15"/>
  </mergeCells>
  <pageMargins left="0.39370078740157483" right="0.39370078740157483" top="0.83" bottom="0.78740157480314965" header="0.51181102362204722" footer="0.31496062992125984"/>
  <pageSetup paperSize="9" scale="77" orientation="portrait" r:id="rId1"/>
  <headerFooter alignWithMargins="0">
    <oddHeader>&amp;R&amp;"Arial,Negrita"&amp;28&amp;A</oddHeader>
  </headerFooter>
  <rowBreaks count="1" manualBreakCount="1">
    <brk id="48" min="1"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F406-FA06-423A-9D0B-A50B121F8330}">
  <sheetPr codeName="Sheet106">
    <tabColor theme="1"/>
    <pageSetUpPr fitToPage="1"/>
  </sheetPr>
  <dimension ref="B1:AA138"/>
  <sheetViews>
    <sheetView topLeftCell="A35" zoomScale="82" zoomScaleNormal="85" zoomScaleSheetLayoutView="100" workbookViewId="0">
      <selection activeCell="E49" sqref="E49"/>
    </sheetView>
  </sheetViews>
  <sheetFormatPr defaultColWidth="9.1796875" defaultRowHeight="14.5" x14ac:dyDescent="0.35"/>
  <cols>
    <col min="1" max="1" width="4.7265625" style="78" customWidth="1"/>
    <col min="2" max="2" width="35.7265625" style="78" customWidth="1"/>
    <col min="3" max="3" width="3.453125" style="80" bestFit="1" customWidth="1"/>
    <col min="4" max="4" width="12.54296875" style="78" customWidth="1"/>
    <col min="5" max="5" width="17.6328125" style="78" bestFit="1" customWidth="1"/>
    <col min="6" max="6" width="5.26953125" style="78" customWidth="1"/>
    <col min="7" max="7" width="13" style="78" customWidth="1"/>
    <col min="8" max="8" width="12.453125" style="78" bestFit="1" customWidth="1"/>
    <col min="9" max="9" width="9.7265625" style="78" customWidth="1"/>
    <col min="10" max="10" width="11.453125" style="78" bestFit="1" customWidth="1"/>
    <col min="11" max="11" width="7.81640625" style="82" customWidth="1"/>
    <col min="12" max="25" width="9.1796875" style="78"/>
    <col min="26" max="26" width="4.7265625" style="78" customWidth="1"/>
    <col min="27" max="27" width="3.1796875" style="78" customWidth="1"/>
    <col min="28" max="39" width="9.1796875" style="78"/>
    <col min="40" max="40" width="10.453125" style="78" customWidth="1"/>
    <col min="41" max="256" width="9.1796875" style="78"/>
    <col min="257" max="257" width="4.7265625" style="78" customWidth="1"/>
    <col min="258" max="258" width="35.7265625" style="78" customWidth="1"/>
    <col min="259" max="259" width="3.453125" style="78" bestFit="1" customWidth="1"/>
    <col min="260" max="260" width="12.54296875" style="78" customWidth="1"/>
    <col min="261" max="261" width="13.1796875" style="78" bestFit="1" customWidth="1"/>
    <col min="262" max="262" width="5.26953125" style="78" customWidth="1"/>
    <col min="263" max="263" width="13" style="78" customWidth="1"/>
    <col min="264" max="264" width="12.453125" style="78" bestFit="1" customWidth="1"/>
    <col min="265" max="265" width="9.7265625" style="78" customWidth="1"/>
    <col min="266" max="266" width="11.453125" style="78" bestFit="1" customWidth="1"/>
    <col min="267" max="267" width="7.81640625" style="78" customWidth="1"/>
    <col min="268" max="281" width="9.1796875" style="78"/>
    <col min="282" max="282" width="4.7265625" style="78" customWidth="1"/>
    <col min="283" max="283" width="3.1796875" style="78" customWidth="1"/>
    <col min="284" max="295" width="9.1796875" style="78"/>
    <col min="296" max="296" width="10.453125" style="78" customWidth="1"/>
    <col min="297" max="512" width="9.1796875" style="78"/>
    <col min="513" max="513" width="4.7265625" style="78" customWidth="1"/>
    <col min="514" max="514" width="35.7265625" style="78" customWidth="1"/>
    <col min="515" max="515" width="3.453125" style="78" bestFit="1" customWidth="1"/>
    <col min="516" max="516" width="12.54296875" style="78" customWidth="1"/>
    <col min="517" max="517" width="13.1796875" style="78" bestFit="1" customWidth="1"/>
    <col min="518" max="518" width="5.26953125" style="78" customWidth="1"/>
    <col min="519" max="519" width="13" style="78" customWidth="1"/>
    <col min="520" max="520" width="12.453125" style="78" bestFit="1" customWidth="1"/>
    <col min="521" max="521" width="9.7265625" style="78" customWidth="1"/>
    <col min="522" max="522" width="11.453125" style="78" bestFit="1" customWidth="1"/>
    <col min="523" max="523" width="7.81640625" style="78" customWidth="1"/>
    <col min="524" max="537" width="9.1796875" style="78"/>
    <col min="538" max="538" width="4.7265625" style="78" customWidth="1"/>
    <col min="539" max="539" width="3.1796875" style="78" customWidth="1"/>
    <col min="540" max="551" width="9.1796875" style="78"/>
    <col min="552" max="552" width="10.453125" style="78" customWidth="1"/>
    <col min="553" max="768" width="9.1796875" style="78"/>
    <col min="769" max="769" width="4.7265625" style="78" customWidth="1"/>
    <col min="770" max="770" width="35.7265625" style="78" customWidth="1"/>
    <col min="771" max="771" width="3.453125" style="78" bestFit="1" customWidth="1"/>
    <col min="772" max="772" width="12.54296875" style="78" customWidth="1"/>
    <col min="773" max="773" width="13.1796875" style="78" bestFit="1" customWidth="1"/>
    <col min="774" max="774" width="5.26953125" style="78" customWidth="1"/>
    <col min="775" max="775" width="13" style="78" customWidth="1"/>
    <col min="776" max="776" width="12.453125" style="78" bestFit="1" customWidth="1"/>
    <col min="777" max="777" width="9.7265625" style="78" customWidth="1"/>
    <col min="778" max="778" width="11.453125" style="78" bestFit="1" customWidth="1"/>
    <col min="779" max="779" width="7.81640625" style="78" customWidth="1"/>
    <col min="780" max="793" width="9.1796875" style="78"/>
    <col min="794" max="794" width="4.7265625" style="78" customWidth="1"/>
    <col min="795" max="795" width="3.1796875" style="78" customWidth="1"/>
    <col min="796" max="807" width="9.1796875" style="78"/>
    <col min="808" max="808" width="10.453125" style="78" customWidth="1"/>
    <col min="809" max="1024" width="9.1796875" style="78"/>
    <col min="1025" max="1025" width="4.7265625" style="78" customWidth="1"/>
    <col min="1026" max="1026" width="35.7265625" style="78" customWidth="1"/>
    <col min="1027" max="1027" width="3.453125" style="78" bestFit="1" customWidth="1"/>
    <col min="1028" max="1028" width="12.54296875" style="78" customWidth="1"/>
    <col min="1029" max="1029" width="13.1796875" style="78" bestFit="1" customWidth="1"/>
    <col min="1030" max="1030" width="5.26953125" style="78" customWidth="1"/>
    <col min="1031" max="1031" width="13" style="78" customWidth="1"/>
    <col min="1032" max="1032" width="12.453125" style="78" bestFit="1" customWidth="1"/>
    <col min="1033" max="1033" width="9.7265625" style="78" customWidth="1"/>
    <col min="1034" max="1034" width="11.453125" style="78" bestFit="1" customWidth="1"/>
    <col min="1035" max="1035" width="7.81640625" style="78" customWidth="1"/>
    <col min="1036" max="1049" width="9.1796875" style="78"/>
    <col min="1050" max="1050" width="4.7265625" style="78" customWidth="1"/>
    <col min="1051" max="1051" width="3.1796875" style="78" customWidth="1"/>
    <col min="1052" max="1063" width="9.1796875" style="78"/>
    <col min="1064" max="1064" width="10.453125" style="78" customWidth="1"/>
    <col min="1065" max="1280" width="9.1796875" style="78"/>
    <col min="1281" max="1281" width="4.7265625" style="78" customWidth="1"/>
    <col min="1282" max="1282" width="35.7265625" style="78" customWidth="1"/>
    <col min="1283" max="1283" width="3.453125" style="78" bestFit="1" customWidth="1"/>
    <col min="1284" max="1284" width="12.54296875" style="78" customWidth="1"/>
    <col min="1285" max="1285" width="13.1796875" style="78" bestFit="1" customWidth="1"/>
    <col min="1286" max="1286" width="5.26953125" style="78" customWidth="1"/>
    <col min="1287" max="1287" width="13" style="78" customWidth="1"/>
    <col min="1288" max="1288" width="12.453125" style="78" bestFit="1" customWidth="1"/>
    <col min="1289" max="1289" width="9.7265625" style="78" customWidth="1"/>
    <col min="1290" max="1290" width="11.453125" style="78" bestFit="1" customWidth="1"/>
    <col min="1291" max="1291" width="7.81640625" style="78" customWidth="1"/>
    <col min="1292" max="1305" width="9.1796875" style="78"/>
    <col min="1306" max="1306" width="4.7265625" style="78" customWidth="1"/>
    <col min="1307" max="1307" width="3.1796875" style="78" customWidth="1"/>
    <col min="1308" max="1319" width="9.1796875" style="78"/>
    <col min="1320" max="1320" width="10.453125" style="78" customWidth="1"/>
    <col min="1321" max="1536" width="9.1796875" style="78"/>
    <col min="1537" max="1537" width="4.7265625" style="78" customWidth="1"/>
    <col min="1538" max="1538" width="35.7265625" style="78" customWidth="1"/>
    <col min="1539" max="1539" width="3.453125" style="78" bestFit="1" customWidth="1"/>
    <col min="1540" max="1540" width="12.54296875" style="78" customWidth="1"/>
    <col min="1541" max="1541" width="13.1796875" style="78" bestFit="1" customWidth="1"/>
    <col min="1542" max="1542" width="5.26953125" style="78" customWidth="1"/>
    <col min="1543" max="1543" width="13" style="78" customWidth="1"/>
    <col min="1544" max="1544" width="12.453125" style="78" bestFit="1" customWidth="1"/>
    <col min="1545" max="1545" width="9.7265625" style="78" customWidth="1"/>
    <col min="1546" max="1546" width="11.453125" style="78" bestFit="1" customWidth="1"/>
    <col min="1547" max="1547" width="7.81640625" style="78" customWidth="1"/>
    <col min="1548" max="1561" width="9.1796875" style="78"/>
    <col min="1562" max="1562" width="4.7265625" style="78" customWidth="1"/>
    <col min="1563" max="1563" width="3.1796875" style="78" customWidth="1"/>
    <col min="1564" max="1575" width="9.1796875" style="78"/>
    <col min="1576" max="1576" width="10.453125" style="78" customWidth="1"/>
    <col min="1577" max="1792" width="9.1796875" style="78"/>
    <col min="1793" max="1793" width="4.7265625" style="78" customWidth="1"/>
    <col min="1794" max="1794" width="35.7265625" style="78" customWidth="1"/>
    <col min="1795" max="1795" width="3.453125" style="78" bestFit="1" customWidth="1"/>
    <col min="1796" max="1796" width="12.54296875" style="78" customWidth="1"/>
    <col min="1797" max="1797" width="13.1796875" style="78" bestFit="1" customWidth="1"/>
    <col min="1798" max="1798" width="5.26953125" style="78" customWidth="1"/>
    <col min="1799" max="1799" width="13" style="78" customWidth="1"/>
    <col min="1800" max="1800" width="12.453125" style="78" bestFit="1" customWidth="1"/>
    <col min="1801" max="1801" width="9.7265625" style="78" customWidth="1"/>
    <col min="1802" max="1802" width="11.453125" style="78" bestFit="1" customWidth="1"/>
    <col min="1803" max="1803" width="7.81640625" style="78" customWidth="1"/>
    <col min="1804" max="1817" width="9.1796875" style="78"/>
    <col min="1818" max="1818" width="4.7265625" style="78" customWidth="1"/>
    <col min="1819" max="1819" width="3.1796875" style="78" customWidth="1"/>
    <col min="1820" max="1831" width="9.1796875" style="78"/>
    <col min="1832" max="1832" width="10.453125" style="78" customWidth="1"/>
    <col min="1833" max="2048" width="9.1796875" style="78"/>
    <col min="2049" max="2049" width="4.7265625" style="78" customWidth="1"/>
    <col min="2050" max="2050" width="35.7265625" style="78" customWidth="1"/>
    <col min="2051" max="2051" width="3.453125" style="78" bestFit="1" customWidth="1"/>
    <col min="2052" max="2052" width="12.54296875" style="78" customWidth="1"/>
    <col min="2053" max="2053" width="13.1796875" style="78" bestFit="1" customWidth="1"/>
    <col min="2054" max="2054" width="5.26953125" style="78" customWidth="1"/>
    <col min="2055" max="2055" width="13" style="78" customWidth="1"/>
    <col min="2056" max="2056" width="12.453125" style="78" bestFit="1" customWidth="1"/>
    <col min="2057" max="2057" width="9.7265625" style="78" customWidth="1"/>
    <col min="2058" max="2058" width="11.453125" style="78" bestFit="1" customWidth="1"/>
    <col min="2059" max="2059" width="7.81640625" style="78" customWidth="1"/>
    <col min="2060" max="2073" width="9.1796875" style="78"/>
    <col min="2074" max="2074" width="4.7265625" style="78" customWidth="1"/>
    <col min="2075" max="2075" width="3.1796875" style="78" customWidth="1"/>
    <col min="2076" max="2087" width="9.1796875" style="78"/>
    <col min="2088" max="2088" width="10.453125" style="78" customWidth="1"/>
    <col min="2089" max="2304" width="9.1796875" style="78"/>
    <col min="2305" max="2305" width="4.7265625" style="78" customWidth="1"/>
    <col min="2306" max="2306" width="35.7265625" style="78" customWidth="1"/>
    <col min="2307" max="2307" width="3.453125" style="78" bestFit="1" customWidth="1"/>
    <col min="2308" max="2308" width="12.54296875" style="78" customWidth="1"/>
    <col min="2309" max="2309" width="13.1796875" style="78" bestFit="1" customWidth="1"/>
    <col min="2310" max="2310" width="5.26953125" style="78" customWidth="1"/>
    <col min="2311" max="2311" width="13" style="78" customWidth="1"/>
    <col min="2312" max="2312" width="12.453125" style="78" bestFit="1" customWidth="1"/>
    <col min="2313" max="2313" width="9.7265625" style="78" customWidth="1"/>
    <col min="2314" max="2314" width="11.453125" style="78" bestFit="1" customWidth="1"/>
    <col min="2315" max="2315" width="7.81640625" style="78" customWidth="1"/>
    <col min="2316" max="2329" width="9.1796875" style="78"/>
    <col min="2330" max="2330" width="4.7265625" style="78" customWidth="1"/>
    <col min="2331" max="2331" width="3.1796875" style="78" customWidth="1"/>
    <col min="2332" max="2343" width="9.1796875" style="78"/>
    <col min="2344" max="2344" width="10.453125" style="78" customWidth="1"/>
    <col min="2345" max="2560" width="9.1796875" style="78"/>
    <col min="2561" max="2561" width="4.7265625" style="78" customWidth="1"/>
    <col min="2562" max="2562" width="35.7265625" style="78" customWidth="1"/>
    <col min="2563" max="2563" width="3.453125" style="78" bestFit="1" customWidth="1"/>
    <col min="2564" max="2564" width="12.54296875" style="78" customWidth="1"/>
    <col min="2565" max="2565" width="13.1796875" style="78" bestFit="1" customWidth="1"/>
    <col min="2566" max="2566" width="5.26953125" style="78" customWidth="1"/>
    <col min="2567" max="2567" width="13" style="78" customWidth="1"/>
    <col min="2568" max="2568" width="12.453125" style="78" bestFit="1" customWidth="1"/>
    <col min="2569" max="2569" width="9.7265625" style="78" customWidth="1"/>
    <col min="2570" max="2570" width="11.453125" style="78" bestFit="1" customWidth="1"/>
    <col min="2571" max="2571" width="7.81640625" style="78" customWidth="1"/>
    <col min="2572" max="2585" width="9.1796875" style="78"/>
    <col min="2586" max="2586" width="4.7265625" style="78" customWidth="1"/>
    <col min="2587" max="2587" width="3.1796875" style="78" customWidth="1"/>
    <col min="2588" max="2599" width="9.1796875" style="78"/>
    <col min="2600" max="2600" width="10.453125" style="78" customWidth="1"/>
    <col min="2601" max="2816" width="9.1796875" style="78"/>
    <col min="2817" max="2817" width="4.7265625" style="78" customWidth="1"/>
    <col min="2818" max="2818" width="35.7265625" style="78" customWidth="1"/>
    <col min="2819" max="2819" width="3.453125" style="78" bestFit="1" customWidth="1"/>
    <col min="2820" max="2820" width="12.54296875" style="78" customWidth="1"/>
    <col min="2821" max="2821" width="13.1796875" style="78" bestFit="1" customWidth="1"/>
    <col min="2822" max="2822" width="5.26953125" style="78" customWidth="1"/>
    <col min="2823" max="2823" width="13" style="78" customWidth="1"/>
    <col min="2824" max="2824" width="12.453125" style="78" bestFit="1" customWidth="1"/>
    <col min="2825" max="2825" width="9.7265625" style="78" customWidth="1"/>
    <col min="2826" max="2826" width="11.453125" style="78" bestFit="1" customWidth="1"/>
    <col min="2827" max="2827" width="7.81640625" style="78" customWidth="1"/>
    <col min="2828" max="2841" width="9.1796875" style="78"/>
    <col min="2842" max="2842" width="4.7265625" style="78" customWidth="1"/>
    <col min="2843" max="2843" width="3.1796875" style="78" customWidth="1"/>
    <col min="2844" max="2855" width="9.1796875" style="78"/>
    <col min="2856" max="2856" width="10.453125" style="78" customWidth="1"/>
    <col min="2857" max="3072" width="9.1796875" style="78"/>
    <col min="3073" max="3073" width="4.7265625" style="78" customWidth="1"/>
    <col min="3074" max="3074" width="35.7265625" style="78" customWidth="1"/>
    <col min="3075" max="3075" width="3.453125" style="78" bestFit="1" customWidth="1"/>
    <col min="3076" max="3076" width="12.54296875" style="78" customWidth="1"/>
    <col min="3077" max="3077" width="13.1796875" style="78" bestFit="1" customWidth="1"/>
    <col min="3078" max="3078" width="5.26953125" style="78" customWidth="1"/>
    <col min="3079" max="3079" width="13" style="78" customWidth="1"/>
    <col min="3080" max="3080" width="12.453125" style="78" bestFit="1" customWidth="1"/>
    <col min="3081" max="3081" width="9.7265625" style="78" customWidth="1"/>
    <col min="3082" max="3082" width="11.453125" style="78" bestFit="1" customWidth="1"/>
    <col min="3083" max="3083" width="7.81640625" style="78" customWidth="1"/>
    <col min="3084" max="3097" width="9.1796875" style="78"/>
    <col min="3098" max="3098" width="4.7265625" style="78" customWidth="1"/>
    <col min="3099" max="3099" width="3.1796875" style="78" customWidth="1"/>
    <col min="3100" max="3111" width="9.1796875" style="78"/>
    <col min="3112" max="3112" width="10.453125" style="78" customWidth="1"/>
    <col min="3113" max="3328" width="9.1796875" style="78"/>
    <col min="3329" max="3329" width="4.7265625" style="78" customWidth="1"/>
    <col min="3330" max="3330" width="35.7265625" style="78" customWidth="1"/>
    <col min="3331" max="3331" width="3.453125" style="78" bestFit="1" customWidth="1"/>
    <col min="3332" max="3332" width="12.54296875" style="78" customWidth="1"/>
    <col min="3333" max="3333" width="13.1796875" style="78" bestFit="1" customWidth="1"/>
    <col min="3334" max="3334" width="5.26953125" style="78" customWidth="1"/>
    <col min="3335" max="3335" width="13" style="78" customWidth="1"/>
    <col min="3336" max="3336" width="12.453125" style="78" bestFit="1" customWidth="1"/>
    <col min="3337" max="3337" width="9.7265625" style="78" customWidth="1"/>
    <col min="3338" max="3338" width="11.453125" style="78" bestFit="1" customWidth="1"/>
    <col min="3339" max="3339" width="7.81640625" style="78" customWidth="1"/>
    <col min="3340" max="3353" width="9.1796875" style="78"/>
    <col min="3354" max="3354" width="4.7265625" style="78" customWidth="1"/>
    <col min="3355" max="3355" width="3.1796875" style="78" customWidth="1"/>
    <col min="3356" max="3367" width="9.1796875" style="78"/>
    <col min="3368" max="3368" width="10.453125" style="78" customWidth="1"/>
    <col min="3369" max="3584" width="9.1796875" style="78"/>
    <col min="3585" max="3585" width="4.7265625" style="78" customWidth="1"/>
    <col min="3586" max="3586" width="35.7265625" style="78" customWidth="1"/>
    <col min="3587" max="3587" width="3.453125" style="78" bestFit="1" customWidth="1"/>
    <col min="3588" max="3588" width="12.54296875" style="78" customWidth="1"/>
    <col min="3589" max="3589" width="13.1796875" style="78" bestFit="1" customWidth="1"/>
    <col min="3590" max="3590" width="5.26953125" style="78" customWidth="1"/>
    <col min="3591" max="3591" width="13" style="78" customWidth="1"/>
    <col min="3592" max="3592" width="12.453125" style="78" bestFit="1" customWidth="1"/>
    <col min="3593" max="3593" width="9.7265625" style="78" customWidth="1"/>
    <col min="3594" max="3594" width="11.453125" style="78" bestFit="1" customWidth="1"/>
    <col min="3595" max="3595" width="7.81640625" style="78" customWidth="1"/>
    <col min="3596" max="3609" width="9.1796875" style="78"/>
    <col min="3610" max="3610" width="4.7265625" style="78" customWidth="1"/>
    <col min="3611" max="3611" width="3.1796875" style="78" customWidth="1"/>
    <col min="3612" max="3623" width="9.1796875" style="78"/>
    <col min="3624" max="3624" width="10.453125" style="78" customWidth="1"/>
    <col min="3625" max="3840" width="9.1796875" style="78"/>
    <col min="3841" max="3841" width="4.7265625" style="78" customWidth="1"/>
    <col min="3842" max="3842" width="35.7265625" style="78" customWidth="1"/>
    <col min="3843" max="3843" width="3.453125" style="78" bestFit="1" customWidth="1"/>
    <col min="3844" max="3844" width="12.54296875" style="78" customWidth="1"/>
    <col min="3845" max="3845" width="13.1796875" style="78" bestFit="1" customWidth="1"/>
    <col min="3846" max="3846" width="5.26953125" style="78" customWidth="1"/>
    <col min="3847" max="3847" width="13" style="78" customWidth="1"/>
    <col min="3848" max="3848" width="12.453125" style="78" bestFit="1" customWidth="1"/>
    <col min="3849" max="3849" width="9.7265625" style="78" customWidth="1"/>
    <col min="3850" max="3850" width="11.453125" style="78" bestFit="1" customWidth="1"/>
    <col min="3851" max="3851" width="7.81640625" style="78" customWidth="1"/>
    <col min="3852" max="3865" width="9.1796875" style="78"/>
    <col min="3866" max="3866" width="4.7265625" style="78" customWidth="1"/>
    <col min="3867" max="3867" width="3.1796875" style="78" customWidth="1"/>
    <col min="3868" max="3879" width="9.1796875" style="78"/>
    <col min="3880" max="3880" width="10.453125" style="78" customWidth="1"/>
    <col min="3881" max="4096" width="9.1796875" style="78"/>
    <col min="4097" max="4097" width="4.7265625" style="78" customWidth="1"/>
    <col min="4098" max="4098" width="35.7265625" style="78" customWidth="1"/>
    <col min="4099" max="4099" width="3.453125" style="78" bestFit="1" customWidth="1"/>
    <col min="4100" max="4100" width="12.54296875" style="78" customWidth="1"/>
    <col min="4101" max="4101" width="13.1796875" style="78" bestFit="1" customWidth="1"/>
    <col min="4102" max="4102" width="5.26953125" style="78" customWidth="1"/>
    <col min="4103" max="4103" width="13" style="78" customWidth="1"/>
    <col min="4104" max="4104" width="12.453125" style="78" bestFit="1" customWidth="1"/>
    <col min="4105" max="4105" width="9.7265625" style="78" customWidth="1"/>
    <col min="4106" max="4106" width="11.453125" style="78" bestFit="1" customWidth="1"/>
    <col min="4107" max="4107" width="7.81640625" style="78" customWidth="1"/>
    <col min="4108" max="4121" width="9.1796875" style="78"/>
    <col min="4122" max="4122" width="4.7265625" style="78" customWidth="1"/>
    <col min="4123" max="4123" width="3.1796875" style="78" customWidth="1"/>
    <col min="4124" max="4135" width="9.1796875" style="78"/>
    <col min="4136" max="4136" width="10.453125" style="78" customWidth="1"/>
    <col min="4137" max="4352" width="9.1796875" style="78"/>
    <col min="4353" max="4353" width="4.7265625" style="78" customWidth="1"/>
    <col min="4354" max="4354" width="35.7265625" style="78" customWidth="1"/>
    <col min="4355" max="4355" width="3.453125" style="78" bestFit="1" customWidth="1"/>
    <col min="4356" max="4356" width="12.54296875" style="78" customWidth="1"/>
    <col min="4357" max="4357" width="13.1796875" style="78" bestFit="1" customWidth="1"/>
    <col min="4358" max="4358" width="5.26953125" style="78" customWidth="1"/>
    <col min="4359" max="4359" width="13" style="78" customWidth="1"/>
    <col min="4360" max="4360" width="12.453125" style="78" bestFit="1" customWidth="1"/>
    <col min="4361" max="4361" width="9.7265625" style="78" customWidth="1"/>
    <col min="4362" max="4362" width="11.453125" style="78" bestFit="1" customWidth="1"/>
    <col min="4363" max="4363" width="7.81640625" style="78" customWidth="1"/>
    <col min="4364" max="4377" width="9.1796875" style="78"/>
    <col min="4378" max="4378" width="4.7265625" style="78" customWidth="1"/>
    <col min="4379" max="4379" width="3.1796875" style="78" customWidth="1"/>
    <col min="4380" max="4391" width="9.1796875" style="78"/>
    <col min="4392" max="4392" width="10.453125" style="78" customWidth="1"/>
    <col min="4393" max="4608" width="9.1796875" style="78"/>
    <col min="4609" max="4609" width="4.7265625" style="78" customWidth="1"/>
    <col min="4610" max="4610" width="35.7265625" style="78" customWidth="1"/>
    <col min="4611" max="4611" width="3.453125" style="78" bestFit="1" customWidth="1"/>
    <col min="4612" max="4612" width="12.54296875" style="78" customWidth="1"/>
    <col min="4613" max="4613" width="13.1796875" style="78" bestFit="1" customWidth="1"/>
    <col min="4614" max="4614" width="5.26953125" style="78" customWidth="1"/>
    <col min="4615" max="4615" width="13" style="78" customWidth="1"/>
    <col min="4616" max="4616" width="12.453125" style="78" bestFit="1" customWidth="1"/>
    <col min="4617" max="4617" width="9.7265625" style="78" customWidth="1"/>
    <col min="4618" max="4618" width="11.453125" style="78" bestFit="1" customWidth="1"/>
    <col min="4619" max="4619" width="7.81640625" style="78" customWidth="1"/>
    <col min="4620" max="4633" width="9.1796875" style="78"/>
    <col min="4634" max="4634" width="4.7265625" style="78" customWidth="1"/>
    <col min="4635" max="4635" width="3.1796875" style="78" customWidth="1"/>
    <col min="4636" max="4647" width="9.1796875" style="78"/>
    <col min="4648" max="4648" width="10.453125" style="78" customWidth="1"/>
    <col min="4649" max="4864" width="9.1796875" style="78"/>
    <col min="4865" max="4865" width="4.7265625" style="78" customWidth="1"/>
    <col min="4866" max="4866" width="35.7265625" style="78" customWidth="1"/>
    <col min="4867" max="4867" width="3.453125" style="78" bestFit="1" customWidth="1"/>
    <col min="4868" max="4868" width="12.54296875" style="78" customWidth="1"/>
    <col min="4869" max="4869" width="13.1796875" style="78" bestFit="1" customWidth="1"/>
    <col min="4870" max="4870" width="5.26953125" style="78" customWidth="1"/>
    <col min="4871" max="4871" width="13" style="78" customWidth="1"/>
    <col min="4872" max="4872" width="12.453125" style="78" bestFit="1" customWidth="1"/>
    <col min="4873" max="4873" width="9.7265625" style="78" customWidth="1"/>
    <col min="4874" max="4874" width="11.453125" style="78" bestFit="1" customWidth="1"/>
    <col min="4875" max="4875" width="7.81640625" style="78" customWidth="1"/>
    <col min="4876" max="4889" width="9.1796875" style="78"/>
    <col min="4890" max="4890" width="4.7265625" style="78" customWidth="1"/>
    <col min="4891" max="4891" width="3.1796875" style="78" customWidth="1"/>
    <col min="4892" max="4903" width="9.1796875" style="78"/>
    <col min="4904" max="4904" width="10.453125" style="78" customWidth="1"/>
    <col min="4905" max="5120" width="9.1796875" style="78"/>
    <col min="5121" max="5121" width="4.7265625" style="78" customWidth="1"/>
    <col min="5122" max="5122" width="35.7265625" style="78" customWidth="1"/>
    <col min="5123" max="5123" width="3.453125" style="78" bestFit="1" customWidth="1"/>
    <col min="5124" max="5124" width="12.54296875" style="78" customWidth="1"/>
    <col min="5125" max="5125" width="13.1796875" style="78" bestFit="1" customWidth="1"/>
    <col min="5126" max="5126" width="5.26953125" style="78" customWidth="1"/>
    <col min="5127" max="5127" width="13" style="78" customWidth="1"/>
    <col min="5128" max="5128" width="12.453125" style="78" bestFit="1" customWidth="1"/>
    <col min="5129" max="5129" width="9.7265625" style="78" customWidth="1"/>
    <col min="5130" max="5130" width="11.453125" style="78" bestFit="1" customWidth="1"/>
    <col min="5131" max="5131" width="7.81640625" style="78" customWidth="1"/>
    <col min="5132" max="5145" width="9.1796875" style="78"/>
    <col min="5146" max="5146" width="4.7265625" style="78" customWidth="1"/>
    <col min="5147" max="5147" width="3.1796875" style="78" customWidth="1"/>
    <col min="5148" max="5159" width="9.1796875" style="78"/>
    <col min="5160" max="5160" width="10.453125" style="78" customWidth="1"/>
    <col min="5161" max="5376" width="9.1796875" style="78"/>
    <col min="5377" max="5377" width="4.7265625" style="78" customWidth="1"/>
    <col min="5378" max="5378" width="35.7265625" style="78" customWidth="1"/>
    <col min="5379" max="5379" width="3.453125" style="78" bestFit="1" customWidth="1"/>
    <col min="5380" max="5380" width="12.54296875" style="78" customWidth="1"/>
    <col min="5381" max="5381" width="13.1796875" style="78" bestFit="1" customWidth="1"/>
    <col min="5382" max="5382" width="5.26953125" style="78" customWidth="1"/>
    <col min="5383" max="5383" width="13" style="78" customWidth="1"/>
    <col min="5384" max="5384" width="12.453125" style="78" bestFit="1" customWidth="1"/>
    <col min="5385" max="5385" width="9.7265625" style="78" customWidth="1"/>
    <col min="5386" max="5386" width="11.453125" style="78" bestFit="1" customWidth="1"/>
    <col min="5387" max="5387" width="7.81640625" style="78" customWidth="1"/>
    <col min="5388" max="5401" width="9.1796875" style="78"/>
    <col min="5402" max="5402" width="4.7265625" style="78" customWidth="1"/>
    <col min="5403" max="5403" width="3.1796875" style="78" customWidth="1"/>
    <col min="5404" max="5415" width="9.1796875" style="78"/>
    <col min="5416" max="5416" width="10.453125" style="78" customWidth="1"/>
    <col min="5417" max="5632" width="9.1796875" style="78"/>
    <col min="5633" max="5633" width="4.7265625" style="78" customWidth="1"/>
    <col min="5634" max="5634" width="35.7265625" style="78" customWidth="1"/>
    <col min="5635" max="5635" width="3.453125" style="78" bestFit="1" customWidth="1"/>
    <col min="5636" max="5636" width="12.54296875" style="78" customWidth="1"/>
    <col min="5637" max="5637" width="13.1796875" style="78" bestFit="1" customWidth="1"/>
    <col min="5638" max="5638" width="5.26953125" style="78" customWidth="1"/>
    <col min="5639" max="5639" width="13" style="78" customWidth="1"/>
    <col min="5640" max="5640" width="12.453125" style="78" bestFit="1" customWidth="1"/>
    <col min="5641" max="5641" width="9.7265625" style="78" customWidth="1"/>
    <col min="5642" max="5642" width="11.453125" style="78" bestFit="1" customWidth="1"/>
    <col min="5643" max="5643" width="7.81640625" style="78" customWidth="1"/>
    <col min="5644" max="5657" width="9.1796875" style="78"/>
    <col min="5658" max="5658" width="4.7265625" style="78" customWidth="1"/>
    <col min="5659" max="5659" width="3.1796875" style="78" customWidth="1"/>
    <col min="5660" max="5671" width="9.1796875" style="78"/>
    <col min="5672" max="5672" width="10.453125" style="78" customWidth="1"/>
    <col min="5673" max="5888" width="9.1796875" style="78"/>
    <col min="5889" max="5889" width="4.7265625" style="78" customWidth="1"/>
    <col min="5890" max="5890" width="35.7265625" style="78" customWidth="1"/>
    <col min="5891" max="5891" width="3.453125" style="78" bestFit="1" customWidth="1"/>
    <col min="5892" max="5892" width="12.54296875" style="78" customWidth="1"/>
    <col min="5893" max="5893" width="13.1796875" style="78" bestFit="1" customWidth="1"/>
    <col min="5894" max="5894" width="5.26953125" style="78" customWidth="1"/>
    <col min="5895" max="5895" width="13" style="78" customWidth="1"/>
    <col min="5896" max="5896" width="12.453125" style="78" bestFit="1" customWidth="1"/>
    <col min="5897" max="5897" width="9.7265625" style="78" customWidth="1"/>
    <col min="5898" max="5898" width="11.453125" style="78" bestFit="1" customWidth="1"/>
    <col min="5899" max="5899" width="7.81640625" style="78" customWidth="1"/>
    <col min="5900" max="5913" width="9.1796875" style="78"/>
    <col min="5914" max="5914" width="4.7265625" style="78" customWidth="1"/>
    <col min="5915" max="5915" width="3.1796875" style="78" customWidth="1"/>
    <col min="5916" max="5927" width="9.1796875" style="78"/>
    <col min="5928" max="5928" width="10.453125" style="78" customWidth="1"/>
    <col min="5929" max="6144" width="9.1796875" style="78"/>
    <col min="6145" max="6145" width="4.7265625" style="78" customWidth="1"/>
    <col min="6146" max="6146" width="35.7265625" style="78" customWidth="1"/>
    <col min="6147" max="6147" width="3.453125" style="78" bestFit="1" customWidth="1"/>
    <col min="6148" max="6148" width="12.54296875" style="78" customWidth="1"/>
    <col min="6149" max="6149" width="13.1796875" style="78" bestFit="1" customWidth="1"/>
    <col min="6150" max="6150" width="5.26953125" style="78" customWidth="1"/>
    <col min="6151" max="6151" width="13" style="78" customWidth="1"/>
    <col min="6152" max="6152" width="12.453125" style="78" bestFit="1" customWidth="1"/>
    <col min="6153" max="6153" width="9.7265625" style="78" customWidth="1"/>
    <col min="6154" max="6154" width="11.453125" style="78" bestFit="1" customWidth="1"/>
    <col min="6155" max="6155" width="7.81640625" style="78" customWidth="1"/>
    <col min="6156" max="6169" width="9.1796875" style="78"/>
    <col min="6170" max="6170" width="4.7265625" style="78" customWidth="1"/>
    <col min="6171" max="6171" width="3.1796875" style="78" customWidth="1"/>
    <col min="6172" max="6183" width="9.1796875" style="78"/>
    <col min="6184" max="6184" width="10.453125" style="78" customWidth="1"/>
    <col min="6185" max="6400" width="9.1796875" style="78"/>
    <col min="6401" max="6401" width="4.7265625" style="78" customWidth="1"/>
    <col min="6402" max="6402" width="35.7265625" style="78" customWidth="1"/>
    <col min="6403" max="6403" width="3.453125" style="78" bestFit="1" customWidth="1"/>
    <col min="6404" max="6404" width="12.54296875" style="78" customWidth="1"/>
    <col min="6405" max="6405" width="13.1796875" style="78" bestFit="1" customWidth="1"/>
    <col min="6406" max="6406" width="5.26953125" style="78" customWidth="1"/>
    <col min="6407" max="6407" width="13" style="78" customWidth="1"/>
    <col min="6408" max="6408" width="12.453125" style="78" bestFit="1" customWidth="1"/>
    <col min="6409" max="6409" width="9.7265625" style="78" customWidth="1"/>
    <col min="6410" max="6410" width="11.453125" style="78" bestFit="1" customWidth="1"/>
    <col min="6411" max="6411" width="7.81640625" style="78" customWidth="1"/>
    <col min="6412" max="6425" width="9.1796875" style="78"/>
    <col min="6426" max="6426" width="4.7265625" style="78" customWidth="1"/>
    <col min="6427" max="6427" width="3.1796875" style="78" customWidth="1"/>
    <col min="6428" max="6439" width="9.1796875" style="78"/>
    <col min="6440" max="6440" width="10.453125" style="78" customWidth="1"/>
    <col min="6441" max="6656" width="9.1796875" style="78"/>
    <col min="6657" max="6657" width="4.7265625" style="78" customWidth="1"/>
    <col min="6658" max="6658" width="35.7265625" style="78" customWidth="1"/>
    <col min="6659" max="6659" width="3.453125" style="78" bestFit="1" customWidth="1"/>
    <col min="6660" max="6660" width="12.54296875" style="78" customWidth="1"/>
    <col min="6661" max="6661" width="13.1796875" style="78" bestFit="1" customWidth="1"/>
    <col min="6662" max="6662" width="5.26953125" style="78" customWidth="1"/>
    <col min="6663" max="6663" width="13" style="78" customWidth="1"/>
    <col min="6664" max="6664" width="12.453125" style="78" bestFit="1" customWidth="1"/>
    <col min="6665" max="6665" width="9.7265625" style="78" customWidth="1"/>
    <col min="6666" max="6666" width="11.453125" style="78" bestFit="1" customWidth="1"/>
    <col min="6667" max="6667" width="7.81640625" style="78" customWidth="1"/>
    <col min="6668" max="6681" width="9.1796875" style="78"/>
    <col min="6682" max="6682" width="4.7265625" style="78" customWidth="1"/>
    <col min="6683" max="6683" width="3.1796875" style="78" customWidth="1"/>
    <col min="6684" max="6695" width="9.1796875" style="78"/>
    <col min="6696" max="6696" width="10.453125" style="78" customWidth="1"/>
    <col min="6697" max="6912" width="9.1796875" style="78"/>
    <col min="6913" max="6913" width="4.7265625" style="78" customWidth="1"/>
    <col min="6914" max="6914" width="35.7265625" style="78" customWidth="1"/>
    <col min="6915" max="6915" width="3.453125" style="78" bestFit="1" customWidth="1"/>
    <col min="6916" max="6916" width="12.54296875" style="78" customWidth="1"/>
    <col min="6917" max="6917" width="13.1796875" style="78" bestFit="1" customWidth="1"/>
    <col min="6918" max="6918" width="5.26953125" style="78" customWidth="1"/>
    <col min="6919" max="6919" width="13" style="78" customWidth="1"/>
    <col min="6920" max="6920" width="12.453125" style="78" bestFit="1" customWidth="1"/>
    <col min="6921" max="6921" width="9.7265625" style="78" customWidth="1"/>
    <col min="6922" max="6922" width="11.453125" style="78" bestFit="1" customWidth="1"/>
    <col min="6923" max="6923" width="7.81640625" style="78" customWidth="1"/>
    <col min="6924" max="6937" width="9.1796875" style="78"/>
    <col min="6938" max="6938" width="4.7265625" style="78" customWidth="1"/>
    <col min="6939" max="6939" width="3.1796875" style="78" customWidth="1"/>
    <col min="6940" max="6951" width="9.1796875" style="78"/>
    <col min="6952" max="6952" width="10.453125" style="78" customWidth="1"/>
    <col min="6953" max="7168" width="9.1796875" style="78"/>
    <col min="7169" max="7169" width="4.7265625" style="78" customWidth="1"/>
    <col min="7170" max="7170" width="35.7265625" style="78" customWidth="1"/>
    <col min="7171" max="7171" width="3.453125" style="78" bestFit="1" customWidth="1"/>
    <col min="7172" max="7172" width="12.54296875" style="78" customWidth="1"/>
    <col min="7173" max="7173" width="13.1796875" style="78" bestFit="1" customWidth="1"/>
    <col min="7174" max="7174" width="5.26953125" style="78" customWidth="1"/>
    <col min="7175" max="7175" width="13" style="78" customWidth="1"/>
    <col min="7176" max="7176" width="12.453125" style="78" bestFit="1" customWidth="1"/>
    <col min="7177" max="7177" width="9.7265625" style="78" customWidth="1"/>
    <col min="7178" max="7178" width="11.453125" style="78" bestFit="1" customWidth="1"/>
    <col min="7179" max="7179" width="7.81640625" style="78" customWidth="1"/>
    <col min="7180" max="7193" width="9.1796875" style="78"/>
    <col min="7194" max="7194" width="4.7265625" style="78" customWidth="1"/>
    <col min="7195" max="7195" width="3.1796875" style="78" customWidth="1"/>
    <col min="7196" max="7207" width="9.1796875" style="78"/>
    <col min="7208" max="7208" width="10.453125" style="78" customWidth="1"/>
    <col min="7209" max="7424" width="9.1796875" style="78"/>
    <col min="7425" max="7425" width="4.7265625" style="78" customWidth="1"/>
    <col min="7426" max="7426" width="35.7265625" style="78" customWidth="1"/>
    <col min="7427" max="7427" width="3.453125" style="78" bestFit="1" customWidth="1"/>
    <col min="7428" max="7428" width="12.54296875" style="78" customWidth="1"/>
    <col min="7429" max="7429" width="13.1796875" style="78" bestFit="1" customWidth="1"/>
    <col min="7430" max="7430" width="5.26953125" style="78" customWidth="1"/>
    <col min="7431" max="7431" width="13" style="78" customWidth="1"/>
    <col min="7432" max="7432" width="12.453125" style="78" bestFit="1" customWidth="1"/>
    <col min="7433" max="7433" width="9.7265625" style="78" customWidth="1"/>
    <col min="7434" max="7434" width="11.453125" style="78" bestFit="1" customWidth="1"/>
    <col min="7435" max="7435" width="7.81640625" style="78" customWidth="1"/>
    <col min="7436" max="7449" width="9.1796875" style="78"/>
    <col min="7450" max="7450" width="4.7265625" style="78" customWidth="1"/>
    <col min="7451" max="7451" width="3.1796875" style="78" customWidth="1"/>
    <col min="7452" max="7463" width="9.1796875" style="78"/>
    <col min="7464" max="7464" width="10.453125" style="78" customWidth="1"/>
    <col min="7465" max="7680" width="9.1796875" style="78"/>
    <col min="7681" max="7681" width="4.7265625" style="78" customWidth="1"/>
    <col min="7682" max="7682" width="35.7265625" style="78" customWidth="1"/>
    <col min="7683" max="7683" width="3.453125" style="78" bestFit="1" customWidth="1"/>
    <col min="7684" max="7684" width="12.54296875" style="78" customWidth="1"/>
    <col min="7685" max="7685" width="13.1796875" style="78" bestFit="1" customWidth="1"/>
    <col min="7686" max="7686" width="5.26953125" style="78" customWidth="1"/>
    <col min="7687" max="7687" width="13" style="78" customWidth="1"/>
    <col min="7688" max="7688" width="12.453125" style="78" bestFit="1" customWidth="1"/>
    <col min="7689" max="7689" width="9.7265625" style="78" customWidth="1"/>
    <col min="7690" max="7690" width="11.453125" style="78" bestFit="1" customWidth="1"/>
    <col min="7691" max="7691" width="7.81640625" style="78" customWidth="1"/>
    <col min="7692" max="7705" width="9.1796875" style="78"/>
    <col min="7706" max="7706" width="4.7265625" style="78" customWidth="1"/>
    <col min="7707" max="7707" width="3.1796875" style="78" customWidth="1"/>
    <col min="7708" max="7719" width="9.1796875" style="78"/>
    <col min="7720" max="7720" width="10.453125" style="78" customWidth="1"/>
    <col min="7721" max="7936" width="9.1796875" style="78"/>
    <col min="7937" max="7937" width="4.7265625" style="78" customWidth="1"/>
    <col min="7938" max="7938" width="35.7265625" style="78" customWidth="1"/>
    <col min="7939" max="7939" width="3.453125" style="78" bestFit="1" customWidth="1"/>
    <col min="7940" max="7940" width="12.54296875" style="78" customWidth="1"/>
    <col min="7941" max="7941" width="13.1796875" style="78" bestFit="1" customWidth="1"/>
    <col min="7942" max="7942" width="5.26953125" style="78" customWidth="1"/>
    <col min="7943" max="7943" width="13" style="78" customWidth="1"/>
    <col min="7944" max="7944" width="12.453125" style="78" bestFit="1" customWidth="1"/>
    <col min="7945" max="7945" width="9.7265625" style="78" customWidth="1"/>
    <col min="7946" max="7946" width="11.453125" style="78" bestFit="1" customWidth="1"/>
    <col min="7947" max="7947" width="7.81640625" style="78" customWidth="1"/>
    <col min="7948" max="7961" width="9.1796875" style="78"/>
    <col min="7962" max="7962" width="4.7265625" style="78" customWidth="1"/>
    <col min="7963" max="7963" width="3.1796875" style="78" customWidth="1"/>
    <col min="7964" max="7975" width="9.1796875" style="78"/>
    <col min="7976" max="7976" width="10.453125" style="78" customWidth="1"/>
    <col min="7977" max="8192" width="9.1796875" style="78"/>
    <col min="8193" max="8193" width="4.7265625" style="78" customWidth="1"/>
    <col min="8194" max="8194" width="35.7265625" style="78" customWidth="1"/>
    <col min="8195" max="8195" width="3.453125" style="78" bestFit="1" customWidth="1"/>
    <col min="8196" max="8196" width="12.54296875" style="78" customWidth="1"/>
    <col min="8197" max="8197" width="13.1796875" style="78" bestFit="1" customWidth="1"/>
    <col min="8198" max="8198" width="5.26953125" style="78" customWidth="1"/>
    <col min="8199" max="8199" width="13" style="78" customWidth="1"/>
    <col min="8200" max="8200" width="12.453125" style="78" bestFit="1" customWidth="1"/>
    <col min="8201" max="8201" width="9.7265625" style="78" customWidth="1"/>
    <col min="8202" max="8202" width="11.453125" style="78" bestFit="1" customWidth="1"/>
    <col min="8203" max="8203" width="7.81640625" style="78" customWidth="1"/>
    <col min="8204" max="8217" width="9.1796875" style="78"/>
    <col min="8218" max="8218" width="4.7265625" style="78" customWidth="1"/>
    <col min="8219" max="8219" width="3.1796875" style="78" customWidth="1"/>
    <col min="8220" max="8231" width="9.1796875" style="78"/>
    <col min="8232" max="8232" width="10.453125" style="78" customWidth="1"/>
    <col min="8233" max="8448" width="9.1796875" style="78"/>
    <col min="8449" max="8449" width="4.7265625" style="78" customWidth="1"/>
    <col min="8450" max="8450" width="35.7265625" style="78" customWidth="1"/>
    <col min="8451" max="8451" width="3.453125" style="78" bestFit="1" customWidth="1"/>
    <col min="8452" max="8452" width="12.54296875" style="78" customWidth="1"/>
    <col min="8453" max="8453" width="13.1796875" style="78" bestFit="1" customWidth="1"/>
    <col min="8454" max="8454" width="5.26953125" style="78" customWidth="1"/>
    <col min="8455" max="8455" width="13" style="78" customWidth="1"/>
    <col min="8456" max="8456" width="12.453125" style="78" bestFit="1" customWidth="1"/>
    <col min="8457" max="8457" width="9.7265625" style="78" customWidth="1"/>
    <col min="8458" max="8458" width="11.453125" style="78" bestFit="1" customWidth="1"/>
    <col min="8459" max="8459" width="7.81640625" style="78" customWidth="1"/>
    <col min="8460" max="8473" width="9.1796875" style="78"/>
    <col min="8474" max="8474" width="4.7265625" style="78" customWidth="1"/>
    <col min="8475" max="8475" width="3.1796875" style="78" customWidth="1"/>
    <col min="8476" max="8487" width="9.1796875" style="78"/>
    <col min="8488" max="8488" width="10.453125" style="78" customWidth="1"/>
    <col min="8489" max="8704" width="9.1796875" style="78"/>
    <col min="8705" max="8705" width="4.7265625" style="78" customWidth="1"/>
    <col min="8706" max="8706" width="35.7265625" style="78" customWidth="1"/>
    <col min="8707" max="8707" width="3.453125" style="78" bestFit="1" customWidth="1"/>
    <col min="8708" max="8708" width="12.54296875" style="78" customWidth="1"/>
    <col min="8709" max="8709" width="13.1796875" style="78" bestFit="1" customWidth="1"/>
    <col min="8710" max="8710" width="5.26953125" style="78" customWidth="1"/>
    <col min="8711" max="8711" width="13" style="78" customWidth="1"/>
    <col min="8712" max="8712" width="12.453125" style="78" bestFit="1" customWidth="1"/>
    <col min="8713" max="8713" width="9.7265625" style="78" customWidth="1"/>
    <col min="8714" max="8714" width="11.453125" style="78" bestFit="1" customWidth="1"/>
    <col min="8715" max="8715" width="7.81640625" style="78" customWidth="1"/>
    <col min="8716" max="8729" width="9.1796875" style="78"/>
    <col min="8730" max="8730" width="4.7265625" style="78" customWidth="1"/>
    <col min="8731" max="8731" width="3.1796875" style="78" customWidth="1"/>
    <col min="8732" max="8743" width="9.1796875" style="78"/>
    <col min="8744" max="8744" width="10.453125" style="78" customWidth="1"/>
    <col min="8745" max="8960" width="9.1796875" style="78"/>
    <col min="8961" max="8961" width="4.7265625" style="78" customWidth="1"/>
    <col min="8962" max="8962" width="35.7265625" style="78" customWidth="1"/>
    <col min="8963" max="8963" width="3.453125" style="78" bestFit="1" customWidth="1"/>
    <col min="8964" max="8964" width="12.54296875" style="78" customWidth="1"/>
    <col min="8965" max="8965" width="13.1796875" style="78" bestFit="1" customWidth="1"/>
    <col min="8966" max="8966" width="5.26953125" style="78" customWidth="1"/>
    <col min="8967" max="8967" width="13" style="78" customWidth="1"/>
    <col min="8968" max="8968" width="12.453125" style="78" bestFit="1" customWidth="1"/>
    <col min="8969" max="8969" width="9.7265625" style="78" customWidth="1"/>
    <col min="8970" max="8970" width="11.453125" style="78" bestFit="1" customWidth="1"/>
    <col min="8971" max="8971" width="7.81640625" style="78" customWidth="1"/>
    <col min="8972" max="8985" width="9.1796875" style="78"/>
    <col min="8986" max="8986" width="4.7265625" style="78" customWidth="1"/>
    <col min="8987" max="8987" width="3.1796875" style="78" customWidth="1"/>
    <col min="8988" max="8999" width="9.1796875" style="78"/>
    <col min="9000" max="9000" width="10.453125" style="78" customWidth="1"/>
    <col min="9001" max="9216" width="9.1796875" style="78"/>
    <col min="9217" max="9217" width="4.7265625" style="78" customWidth="1"/>
    <col min="9218" max="9218" width="35.7265625" style="78" customWidth="1"/>
    <col min="9219" max="9219" width="3.453125" style="78" bestFit="1" customWidth="1"/>
    <col min="9220" max="9220" width="12.54296875" style="78" customWidth="1"/>
    <col min="9221" max="9221" width="13.1796875" style="78" bestFit="1" customWidth="1"/>
    <col min="9222" max="9222" width="5.26953125" style="78" customWidth="1"/>
    <col min="9223" max="9223" width="13" style="78" customWidth="1"/>
    <col min="9224" max="9224" width="12.453125" style="78" bestFit="1" customWidth="1"/>
    <col min="9225" max="9225" width="9.7265625" style="78" customWidth="1"/>
    <col min="9226" max="9226" width="11.453125" style="78" bestFit="1" customWidth="1"/>
    <col min="9227" max="9227" width="7.81640625" style="78" customWidth="1"/>
    <col min="9228" max="9241" width="9.1796875" style="78"/>
    <col min="9242" max="9242" width="4.7265625" style="78" customWidth="1"/>
    <col min="9243" max="9243" width="3.1796875" style="78" customWidth="1"/>
    <col min="9244" max="9255" width="9.1796875" style="78"/>
    <col min="9256" max="9256" width="10.453125" style="78" customWidth="1"/>
    <col min="9257" max="9472" width="9.1796875" style="78"/>
    <col min="9473" max="9473" width="4.7265625" style="78" customWidth="1"/>
    <col min="9474" max="9474" width="35.7265625" style="78" customWidth="1"/>
    <col min="9475" max="9475" width="3.453125" style="78" bestFit="1" customWidth="1"/>
    <col min="9476" max="9476" width="12.54296875" style="78" customWidth="1"/>
    <col min="9477" max="9477" width="13.1796875" style="78" bestFit="1" customWidth="1"/>
    <col min="9478" max="9478" width="5.26953125" style="78" customWidth="1"/>
    <col min="9479" max="9479" width="13" style="78" customWidth="1"/>
    <col min="9480" max="9480" width="12.453125" style="78" bestFit="1" customWidth="1"/>
    <col min="9481" max="9481" width="9.7265625" style="78" customWidth="1"/>
    <col min="9482" max="9482" width="11.453125" style="78" bestFit="1" customWidth="1"/>
    <col min="9483" max="9483" width="7.81640625" style="78" customWidth="1"/>
    <col min="9484" max="9497" width="9.1796875" style="78"/>
    <col min="9498" max="9498" width="4.7265625" style="78" customWidth="1"/>
    <col min="9499" max="9499" width="3.1796875" style="78" customWidth="1"/>
    <col min="9500" max="9511" width="9.1796875" style="78"/>
    <col min="9512" max="9512" width="10.453125" style="78" customWidth="1"/>
    <col min="9513" max="9728" width="9.1796875" style="78"/>
    <col min="9729" max="9729" width="4.7265625" style="78" customWidth="1"/>
    <col min="9730" max="9730" width="35.7265625" style="78" customWidth="1"/>
    <col min="9731" max="9731" width="3.453125" style="78" bestFit="1" customWidth="1"/>
    <col min="9732" max="9732" width="12.54296875" style="78" customWidth="1"/>
    <col min="9733" max="9733" width="13.1796875" style="78" bestFit="1" customWidth="1"/>
    <col min="9734" max="9734" width="5.26953125" style="78" customWidth="1"/>
    <col min="9735" max="9735" width="13" style="78" customWidth="1"/>
    <col min="9736" max="9736" width="12.453125" style="78" bestFit="1" customWidth="1"/>
    <col min="9737" max="9737" width="9.7265625" style="78" customWidth="1"/>
    <col min="9738" max="9738" width="11.453125" style="78" bestFit="1" customWidth="1"/>
    <col min="9739" max="9739" width="7.81640625" style="78" customWidth="1"/>
    <col min="9740" max="9753" width="9.1796875" style="78"/>
    <col min="9754" max="9754" width="4.7265625" style="78" customWidth="1"/>
    <col min="9755" max="9755" width="3.1796875" style="78" customWidth="1"/>
    <col min="9756" max="9767" width="9.1796875" style="78"/>
    <col min="9768" max="9768" width="10.453125" style="78" customWidth="1"/>
    <col min="9769" max="9984" width="9.1796875" style="78"/>
    <col min="9985" max="9985" width="4.7265625" style="78" customWidth="1"/>
    <col min="9986" max="9986" width="35.7265625" style="78" customWidth="1"/>
    <col min="9987" max="9987" width="3.453125" style="78" bestFit="1" customWidth="1"/>
    <col min="9988" max="9988" width="12.54296875" style="78" customWidth="1"/>
    <col min="9989" max="9989" width="13.1796875" style="78" bestFit="1" customWidth="1"/>
    <col min="9990" max="9990" width="5.26953125" style="78" customWidth="1"/>
    <col min="9991" max="9991" width="13" style="78" customWidth="1"/>
    <col min="9992" max="9992" width="12.453125" style="78" bestFit="1" customWidth="1"/>
    <col min="9993" max="9993" width="9.7265625" style="78" customWidth="1"/>
    <col min="9994" max="9994" width="11.453125" style="78" bestFit="1" customWidth="1"/>
    <col min="9995" max="9995" width="7.81640625" style="78" customWidth="1"/>
    <col min="9996" max="10009" width="9.1796875" style="78"/>
    <col min="10010" max="10010" width="4.7265625" style="78" customWidth="1"/>
    <col min="10011" max="10011" width="3.1796875" style="78" customWidth="1"/>
    <col min="10012" max="10023" width="9.1796875" style="78"/>
    <col min="10024" max="10024" width="10.453125" style="78" customWidth="1"/>
    <col min="10025" max="10240" width="9.1796875" style="78"/>
    <col min="10241" max="10241" width="4.7265625" style="78" customWidth="1"/>
    <col min="10242" max="10242" width="35.7265625" style="78" customWidth="1"/>
    <col min="10243" max="10243" width="3.453125" style="78" bestFit="1" customWidth="1"/>
    <col min="10244" max="10244" width="12.54296875" style="78" customWidth="1"/>
    <col min="10245" max="10245" width="13.1796875" style="78" bestFit="1" customWidth="1"/>
    <col min="10246" max="10246" width="5.26953125" style="78" customWidth="1"/>
    <col min="10247" max="10247" width="13" style="78" customWidth="1"/>
    <col min="10248" max="10248" width="12.453125" style="78" bestFit="1" customWidth="1"/>
    <col min="10249" max="10249" width="9.7265625" style="78" customWidth="1"/>
    <col min="10250" max="10250" width="11.453125" style="78" bestFit="1" customWidth="1"/>
    <col min="10251" max="10251" width="7.81640625" style="78" customWidth="1"/>
    <col min="10252" max="10265" width="9.1796875" style="78"/>
    <col min="10266" max="10266" width="4.7265625" style="78" customWidth="1"/>
    <col min="10267" max="10267" width="3.1796875" style="78" customWidth="1"/>
    <col min="10268" max="10279" width="9.1796875" style="78"/>
    <col min="10280" max="10280" width="10.453125" style="78" customWidth="1"/>
    <col min="10281" max="10496" width="9.1796875" style="78"/>
    <col min="10497" max="10497" width="4.7265625" style="78" customWidth="1"/>
    <col min="10498" max="10498" width="35.7265625" style="78" customWidth="1"/>
    <col min="10499" max="10499" width="3.453125" style="78" bestFit="1" customWidth="1"/>
    <col min="10500" max="10500" width="12.54296875" style="78" customWidth="1"/>
    <col min="10501" max="10501" width="13.1796875" style="78" bestFit="1" customWidth="1"/>
    <col min="10502" max="10502" width="5.26953125" style="78" customWidth="1"/>
    <col min="10503" max="10503" width="13" style="78" customWidth="1"/>
    <col min="10504" max="10504" width="12.453125" style="78" bestFit="1" customWidth="1"/>
    <col min="10505" max="10505" width="9.7265625" style="78" customWidth="1"/>
    <col min="10506" max="10506" width="11.453125" style="78" bestFit="1" customWidth="1"/>
    <col min="10507" max="10507" width="7.81640625" style="78" customWidth="1"/>
    <col min="10508" max="10521" width="9.1796875" style="78"/>
    <col min="10522" max="10522" width="4.7265625" style="78" customWidth="1"/>
    <col min="10523" max="10523" width="3.1796875" style="78" customWidth="1"/>
    <col min="10524" max="10535" width="9.1796875" style="78"/>
    <col min="10536" max="10536" width="10.453125" style="78" customWidth="1"/>
    <col min="10537" max="10752" width="9.1796875" style="78"/>
    <col min="10753" max="10753" width="4.7265625" style="78" customWidth="1"/>
    <col min="10754" max="10754" width="35.7265625" style="78" customWidth="1"/>
    <col min="10755" max="10755" width="3.453125" style="78" bestFit="1" customWidth="1"/>
    <col min="10756" max="10756" width="12.54296875" style="78" customWidth="1"/>
    <col min="10757" max="10757" width="13.1796875" style="78" bestFit="1" customWidth="1"/>
    <col min="10758" max="10758" width="5.26953125" style="78" customWidth="1"/>
    <col min="10759" max="10759" width="13" style="78" customWidth="1"/>
    <col min="10760" max="10760" width="12.453125" style="78" bestFit="1" customWidth="1"/>
    <col min="10761" max="10761" width="9.7265625" style="78" customWidth="1"/>
    <col min="10762" max="10762" width="11.453125" style="78" bestFit="1" customWidth="1"/>
    <col min="10763" max="10763" width="7.81640625" style="78" customWidth="1"/>
    <col min="10764" max="10777" width="9.1796875" style="78"/>
    <col min="10778" max="10778" width="4.7265625" style="78" customWidth="1"/>
    <col min="10779" max="10779" width="3.1796875" style="78" customWidth="1"/>
    <col min="10780" max="10791" width="9.1796875" style="78"/>
    <col min="10792" max="10792" width="10.453125" style="78" customWidth="1"/>
    <col min="10793" max="11008" width="9.1796875" style="78"/>
    <col min="11009" max="11009" width="4.7265625" style="78" customWidth="1"/>
    <col min="11010" max="11010" width="35.7265625" style="78" customWidth="1"/>
    <col min="11011" max="11011" width="3.453125" style="78" bestFit="1" customWidth="1"/>
    <col min="11012" max="11012" width="12.54296875" style="78" customWidth="1"/>
    <col min="11013" max="11013" width="13.1796875" style="78" bestFit="1" customWidth="1"/>
    <col min="11014" max="11014" width="5.26953125" style="78" customWidth="1"/>
    <col min="11015" max="11015" width="13" style="78" customWidth="1"/>
    <col min="11016" max="11016" width="12.453125" style="78" bestFit="1" customWidth="1"/>
    <col min="11017" max="11017" width="9.7265625" style="78" customWidth="1"/>
    <col min="11018" max="11018" width="11.453125" style="78" bestFit="1" customWidth="1"/>
    <col min="11019" max="11019" width="7.81640625" style="78" customWidth="1"/>
    <col min="11020" max="11033" width="9.1796875" style="78"/>
    <col min="11034" max="11034" width="4.7265625" style="78" customWidth="1"/>
    <col min="11035" max="11035" width="3.1796875" style="78" customWidth="1"/>
    <col min="11036" max="11047" width="9.1796875" style="78"/>
    <col min="11048" max="11048" width="10.453125" style="78" customWidth="1"/>
    <col min="11049" max="11264" width="9.1796875" style="78"/>
    <col min="11265" max="11265" width="4.7265625" style="78" customWidth="1"/>
    <col min="11266" max="11266" width="35.7265625" style="78" customWidth="1"/>
    <col min="11267" max="11267" width="3.453125" style="78" bestFit="1" customWidth="1"/>
    <col min="11268" max="11268" width="12.54296875" style="78" customWidth="1"/>
    <col min="11269" max="11269" width="13.1796875" style="78" bestFit="1" customWidth="1"/>
    <col min="11270" max="11270" width="5.26953125" style="78" customWidth="1"/>
    <col min="11271" max="11271" width="13" style="78" customWidth="1"/>
    <col min="11272" max="11272" width="12.453125" style="78" bestFit="1" customWidth="1"/>
    <col min="11273" max="11273" width="9.7265625" style="78" customWidth="1"/>
    <col min="11274" max="11274" width="11.453125" style="78" bestFit="1" customWidth="1"/>
    <col min="11275" max="11275" width="7.81640625" style="78" customWidth="1"/>
    <col min="11276" max="11289" width="9.1796875" style="78"/>
    <col min="11290" max="11290" width="4.7265625" style="78" customWidth="1"/>
    <col min="11291" max="11291" width="3.1796875" style="78" customWidth="1"/>
    <col min="11292" max="11303" width="9.1796875" style="78"/>
    <col min="11304" max="11304" width="10.453125" style="78" customWidth="1"/>
    <col min="11305" max="11520" width="9.1796875" style="78"/>
    <col min="11521" max="11521" width="4.7265625" style="78" customWidth="1"/>
    <col min="11522" max="11522" width="35.7265625" style="78" customWidth="1"/>
    <col min="11523" max="11523" width="3.453125" style="78" bestFit="1" customWidth="1"/>
    <col min="11524" max="11524" width="12.54296875" style="78" customWidth="1"/>
    <col min="11525" max="11525" width="13.1796875" style="78" bestFit="1" customWidth="1"/>
    <col min="11526" max="11526" width="5.26953125" style="78" customWidth="1"/>
    <col min="11527" max="11527" width="13" style="78" customWidth="1"/>
    <col min="11528" max="11528" width="12.453125" style="78" bestFit="1" customWidth="1"/>
    <col min="11529" max="11529" width="9.7265625" style="78" customWidth="1"/>
    <col min="11530" max="11530" width="11.453125" style="78" bestFit="1" customWidth="1"/>
    <col min="11531" max="11531" width="7.81640625" style="78" customWidth="1"/>
    <col min="11532" max="11545" width="9.1796875" style="78"/>
    <col min="11546" max="11546" width="4.7265625" style="78" customWidth="1"/>
    <col min="11547" max="11547" width="3.1796875" style="78" customWidth="1"/>
    <col min="11548" max="11559" width="9.1796875" style="78"/>
    <col min="11560" max="11560" width="10.453125" style="78" customWidth="1"/>
    <col min="11561" max="11776" width="9.1796875" style="78"/>
    <col min="11777" max="11777" width="4.7265625" style="78" customWidth="1"/>
    <col min="11778" max="11778" width="35.7265625" style="78" customWidth="1"/>
    <col min="11779" max="11779" width="3.453125" style="78" bestFit="1" customWidth="1"/>
    <col min="11780" max="11780" width="12.54296875" style="78" customWidth="1"/>
    <col min="11781" max="11781" width="13.1796875" style="78" bestFit="1" customWidth="1"/>
    <col min="11782" max="11782" width="5.26953125" style="78" customWidth="1"/>
    <col min="11783" max="11783" width="13" style="78" customWidth="1"/>
    <col min="11784" max="11784" width="12.453125" style="78" bestFit="1" customWidth="1"/>
    <col min="11785" max="11785" width="9.7265625" style="78" customWidth="1"/>
    <col min="11786" max="11786" width="11.453125" style="78" bestFit="1" customWidth="1"/>
    <col min="11787" max="11787" width="7.81640625" style="78" customWidth="1"/>
    <col min="11788" max="11801" width="9.1796875" style="78"/>
    <col min="11802" max="11802" width="4.7265625" style="78" customWidth="1"/>
    <col min="11803" max="11803" width="3.1796875" style="78" customWidth="1"/>
    <col min="11804" max="11815" width="9.1796875" style="78"/>
    <col min="11816" max="11816" width="10.453125" style="78" customWidth="1"/>
    <col min="11817" max="12032" width="9.1796875" style="78"/>
    <col min="12033" max="12033" width="4.7265625" style="78" customWidth="1"/>
    <col min="12034" max="12034" width="35.7265625" style="78" customWidth="1"/>
    <col min="12035" max="12035" width="3.453125" style="78" bestFit="1" customWidth="1"/>
    <col min="12036" max="12036" width="12.54296875" style="78" customWidth="1"/>
    <col min="12037" max="12037" width="13.1796875" style="78" bestFit="1" customWidth="1"/>
    <col min="12038" max="12038" width="5.26953125" style="78" customWidth="1"/>
    <col min="12039" max="12039" width="13" style="78" customWidth="1"/>
    <col min="12040" max="12040" width="12.453125" style="78" bestFit="1" customWidth="1"/>
    <col min="12041" max="12041" width="9.7265625" style="78" customWidth="1"/>
    <col min="12042" max="12042" width="11.453125" style="78" bestFit="1" customWidth="1"/>
    <col min="12043" max="12043" width="7.81640625" style="78" customWidth="1"/>
    <col min="12044" max="12057" width="9.1796875" style="78"/>
    <col min="12058" max="12058" width="4.7265625" style="78" customWidth="1"/>
    <col min="12059" max="12059" width="3.1796875" style="78" customWidth="1"/>
    <col min="12060" max="12071" width="9.1796875" style="78"/>
    <col min="12072" max="12072" width="10.453125" style="78" customWidth="1"/>
    <col min="12073" max="12288" width="9.1796875" style="78"/>
    <col min="12289" max="12289" width="4.7265625" style="78" customWidth="1"/>
    <col min="12290" max="12290" width="35.7265625" style="78" customWidth="1"/>
    <col min="12291" max="12291" width="3.453125" style="78" bestFit="1" customWidth="1"/>
    <col min="12292" max="12292" width="12.54296875" style="78" customWidth="1"/>
    <col min="12293" max="12293" width="13.1796875" style="78" bestFit="1" customWidth="1"/>
    <col min="12294" max="12294" width="5.26953125" style="78" customWidth="1"/>
    <col min="12295" max="12295" width="13" style="78" customWidth="1"/>
    <col min="12296" max="12296" width="12.453125" style="78" bestFit="1" customWidth="1"/>
    <col min="12297" max="12297" width="9.7265625" style="78" customWidth="1"/>
    <col min="12298" max="12298" width="11.453125" style="78" bestFit="1" customWidth="1"/>
    <col min="12299" max="12299" width="7.81640625" style="78" customWidth="1"/>
    <col min="12300" max="12313" width="9.1796875" style="78"/>
    <col min="12314" max="12314" width="4.7265625" style="78" customWidth="1"/>
    <col min="12315" max="12315" width="3.1796875" style="78" customWidth="1"/>
    <col min="12316" max="12327" width="9.1796875" style="78"/>
    <col min="12328" max="12328" width="10.453125" style="78" customWidth="1"/>
    <col min="12329" max="12544" width="9.1796875" style="78"/>
    <col min="12545" max="12545" width="4.7265625" style="78" customWidth="1"/>
    <col min="12546" max="12546" width="35.7265625" style="78" customWidth="1"/>
    <col min="12547" max="12547" width="3.453125" style="78" bestFit="1" customWidth="1"/>
    <col min="12548" max="12548" width="12.54296875" style="78" customWidth="1"/>
    <col min="12549" max="12549" width="13.1796875" style="78" bestFit="1" customWidth="1"/>
    <col min="12550" max="12550" width="5.26953125" style="78" customWidth="1"/>
    <col min="12551" max="12551" width="13" style="78" customWidth="1"/>
    <col min="12552" max="12552" width="12.453125" style="78" bestFit="1" customWidth="1"/>
    <col min="12553" max="12553" width="9.7265625" style="78" customWidth="1"/>
    <col min="12554" max="12554" width="11.453125" style="78" bestFit="1" customWidth="1"/>
    <col min="12555" max="12555" width="7.81640625" style="78" customWidth="1"/>
    <col min="12556" max="12569" width="9.1796875" style="78"/>
    <col min="12570" max="12570" width="4.7265625" style="78" customWidth="1"/>
    <col min="12571" max="12571" width="3.1796875" style="78" customWidth="1"/>
    <col min="12572" max="12583" width="9.1796875" style="78"/>
    <col min="12584" max="12584" width="10.453125" style="78" customWidth="1"/>
    <col min="12585" max="12800" width="9.1796875" style="78"/>
    <col min="12801" max="12801" width="4.7265625" style="78" customWidth="1"/>
    <col min="12802" max="12802" width="35.7265625" style="78" customWidth="1"/>
    <col min="12803" max="12803" width="3.453125" style="78" bestFit="1" customWidth="1"/>
    <col min="12804" max="12804" width="12.54296875" style="78" customWidth="1"/>
    <col min="12805" max="12805" width="13.1796875" style="78" bestFit="1" customWidth="1"/>
    <col min="12806" max="12806" width="5.26953125" style="78" customWidth="1"/>
    <col min="12807" max="12807" width="13" style="78" customWidth="1"/>
    <col min="12808" max="12808" width="12.453125" style="78" bestFit="1" customWidth="1"/>
    <col min="12809" max="12809" width="9.7265625" style="78" customWidth="1"/>
    <col min="12810" max="12810" width="11.453125" style="78" bestFit="1" customWidth="1"/>
    <col min="12811" max="12811" width="7.81640625" style="78" customWidth="1"/>
    <col min="12812" max="12825" width="9.1796875" style="78"/>
    <col min="12826" max="12826" width="4.7265625" style="78" customWidth="1"/>
    <col min="12827" max="12827" width="3.1796875" style="78" customWidth="1"/>
    <col min="12828" max="12839" width="9.1796875" style="78"/>
    <col min="12840" max="12840" width="10.453125" style="78" customWidth="1"/>
    <col min="12841" max="13056" width="9.1796875" style="78"/>
    <col min="13057" max="13057" width="4.7265625" style="78" customWidth="1"/>
    <col min="13058" max="13058" width="35.7265625" style="78" customWidth="1"/>
    <col min="13059" max="13059" width="3.453125" style="78" bestFit="1" customWidth="1"/>
    <col min="13060" max="13060" width="12.54296875" style="78" customWidth="1"/>
    <col min="13061" max="13061" width="13.1796875" style="78" bestFit="1" customWidth="1"/>
    <col min="13062" max="13062" width="5.26953125" style="78" customWidth="1"/>
    <col min="13063" max="13063" width="13" style="78" customWidth="1"/>
    <col min="13064" max="13064" width="12.453125" style="78" bestFit="1" customWidth="1"/>
    <col min="13065" max="13065" width="9.7265625" style="78" customWidth="1"/>
    <col min="13066" max="13066" width="11.453125" style="78" bestFit="1" customWidth="1"/>
    <col min="13067" max="13067" width="7.81640625" style="78" customWidth="1"/>
    <col min="13068" max="13081" width="9.1796875" style="78"/>
    <col min="13082" max="13082" width="4.7265625" style="78" customWidth="1"/>
    <col min="13083" max="13083" width="3.1796875" style="78" customWidth="1"/>
    <col min="13084" max="13095" width="9.1796875" style="78"/>
    <col min="13096" max="13096" width="10.453125" style="78" customWidth="1"/>
    <col min="13097" max="13312" width="9.1796875" style="78"/>
    <col min="13313" max="13313" width="4.7265625" style="78" customWidth="1"/>
    <col min="13314" max="13314" width="35.7265625" style="78" customWidth="1"/>
    <col min="13315" max="13315" width="3.453125" style="78" bestFit="1" customWidth="1"/>
    <col min="13316" max="13316" width="12.54296875" style="78" customWidth="1"/>
    <col min="13317" max="13317" width="13.1796875" style="78" bestFit="1" customWidth="1"/>
    <col min="13318" max="13318" width="5.26953125" style="78" customWidth="1"/>
    <col min="13319" max="13319" width="13" style="78" customWidth="1"/>
    <col min="13320" max="13320" width="12.453125" style="78" bestFit="1" customWidth="1"/>
    <col min="13321" max="13321" width="9.7265625" style="78" customWidth="1"/>
    <col min="13322" max="13322" width="11.453125" style="78" bestFit="1" customWidth="1"/>
    <col min="13323" max="13323" width="7.81640625" style="78" customWidth="1"/>
    <col min="13324" max="13337" width="9.1796875" style="78"/>
    <col min="13338" max="13338" width="4.7265625" style="78" customWidth="1"/>
    <col min="13339" max="13339" width="3.1796875" style="78" customWidth="1"/>
    <col min="13340" max="13351" width="9.1796875" style="78"/>
    <col min="13352" max="13352" width="10.453125" style="78" customWidth="1"/>
    <col min="13353" max="13568" width="9.1796875" style="78"/>
    <col min="13569" max="13569" width="4.7265625" style="78" customWidth="1"/>
    <col min="13570" max="13570" width="35.7265625" style="78" customWidth="1"/>
    <col min="13571" max="13571" width="3.453125" style="78" bestFit="1" customWidth="1"/>
    <col min="13572" max="13572" width="12.54296875" style="78" customWidth="1"/>
    <col min="13573" max="13573" width="13.1796875" style="78" bestFit="1" customWidth="1"/>
    <col min="13574" max="13574" width="5.26953125" style="78" customWidth="1"/>
    <col min="13575" max="13575" width="13" style="78" customWidth="1"/>
    <col min="13576" max="13576" width="12.453125" style="78" bestFit="1" customWidth="1"/>
    <col min="13577" max="13577" width="9.7265625" style="78" customWidth="1"/>
    <col min="13578" max="13578" width="11.453125" style="78" bestFit="1" customWidth="1"/>
    <col min="13579" max="13579" width="7.81640625" style="78" customWidth="1"/>
    <col min="13580" max="13593" width="9.1796875" style="78"/>
    <col min="13594" max="13594" width="4.7265625" style="78" customWidth="1"/>
    <col min="13595" max="13595" width="3.1796875" style="78" customWidth="1"/>
    <col min="13596" max="13607" width="9.1796875" style="78"/>
    <col min="13608" max="13608" width="10.453125" style="78" customWidth="1"/>
    <col min="13609" max="13824" width="9.1796875" style="78"/>
    <col min="13825" max="13825" width="4.7265625" style="78" customWidth="1"/>
    <col min="13826" max="13826" width="35.7265625" style="78" customWidth="1"/>
    <col min="13827" max="13827" width="3.453125" style="78" bestFit="1" customWidth="1"/>
    <col min="13828" max="13828" width="12.54296875" style="78" customWidth="1"/>
    <col min="13829" max="13829" width="13.1796875" style="78" bestFit="1" customWidth="1"/>
    <col min="13830" max="13830" width="5.26953125" style="78" customWidth="1"/>
    <col min="13831" max="13831" width="13" style="78" customWidth="1"/>
    <col min="13832" max="13832" width="12.453125" style="78" bestFit="1" customWidth="1"/>
    <col min="13833" max="13833" width="9.7265625" style="78" customWidth="1"/>
    <col min="13834" max="13834" width="11.453125" style="78" bestFit="1" customWidth="1"/>
    <col min="13835" max="13835" width="7.81640625" style="78" customWidth="1"/>
    <col min="13836" max="13849" width="9.1796875" style="78"/>
    <col min="13850" max="13850" width="4.7265625" style="78" customWidth="1"/>
    <col min="13851" max="13851" width="3.1796875" style="78" customWidth="1"/>
    <col min="13852" max="13863" width="9.1796875" style="78"/>
    <col min="13864" max="13864" width="10.453125" style="78" customWidth="1"/>
    <col min="13865" max="14080" width="9.1796875" style="78"/>
    <col min="14081" max="14081" width="4.7265625" style="78" customWidth="1"/>
    <col min="14082" max="14082" width="35.7265625" style="78" customWidth="1"/>
    <col min="14083" max="14083" width="3.453125" style="78" bestFit="1" customWidth="1"/>
    <col min="14084" max="14084" width="12.54296875" style="78" customWidth="1"/>
    <col min="14085" max="14085" width="13.1796875" style="78" bestFit="1" customWidth="1"/>
    <col min="14086" max="14086" width="5.26953125" style="78" customWidth="1"/>
    <col min="14087" max="14087" width="13" style="78" customWidth="1"/>
    <col min="14088" max="14088" width="12.453125" style="78" bestFit="1" customWidth="1"/>
    <col min="14089" max="14089" width="9.7265625" style="78" customWidth="1"/>
    <col min="14090" max="14090" width="11.453125" style="78" bestFit="1" customWidth="1"/>
    <col min="14091" max="14091" width="7.81640625" style="78" customWidth="1"/>
    <col min="14092" max="14105" width="9.1796875" style="78"/>
    <col min="14106" max="14106" width="4.7265625" style="78" customWidth="1"/>
    <col min="14107" max="14107" width="3.1796875" style="78" customWidth="1"/>
    <col min="14108" max="14119" width="9.1796875" style="78"/>
    <col min="14120" max="14120" width="10.453125" style="78" customWidth="1"/>
    <col min="14121" max="14336" width="9.1796875" style="78"/>
    <col min="14337" max="14337" width="4.7265625" style="78" customWidth="1"/>
    <col min="14338" max="14338" width="35.7265625" style="78" customWidth="1"/>
    <col min="14339" max="14339" width="3.453125" style="78" bestFit="1" customWidth="1"/>
    <col min="14340" max="14340" width="12.54296875" style="78" customWidth="1"/>
    <col min="14341" max="14341" width="13.1796875" style="78" bestFit="1" customWidth="1"/>
    <col min="14342" max="14342" width="5.26953125" style="78" customWidth="1"/>
    <col min="14343" max="14343" width="13" style="78" customWidth="1"/>
    <col min="14344" max="14344" width="12.453125" style="78" bestFit="1" customWidth="1"/>
    <col min="14345" max="14345" width="9.7265625" style="78" customWidth="1"/>
    <col min="14346" max="14346" width="11.453125" style="78" bestFit="1" customWidth="1"/>
    <col min="14347" max="14347" width="7.81640625" style="78" customWidth="1"/>
    <col min="14348" max="14361" width="9.1796875" style="78"/>
    <col min="14362" max="14362" width="4.7265625" style="78" customWidth="1"/>
    <col min="14363" max="14363" width="3.1796875" style="78" customWidth="1"/>
    <col min="14364" max="14375" width="9.1796875" style="78"/>
    <col min="14376" max="14376" width="10.453125" style="78" customWidth="1"/>
    <col min="14377" max="14592" width="9.1796875" style="78"/>
    <col min="14593" max="14593" width="4.7265625" style="78" customWidth="1"/>
    <col min="14594" max="14594" width="35.7265625" style="78" customWidth="1"/>
    <col min="14595" max="14595" width="3.453125" style="78" bestFit="1" customWidth="1"/>
    <col min="14596" max="14596" width="12.54296875" style="78" customWidth="1"/>
    <col min="14597" max="14597" width="13.1796875" style="78" bestFit="1" customWidth="1"/>
    <col min="14598" max="14598" width="5.26953125" style="78" customWidth="1"/>
    <col min="14599" max="14599" width="13" style="78" customWidth="1"/>
    <col min="14600" max="14600" width="12.453125" style="78" bestFit="1" customWidth="1"/>
    <col min="14601" max="14601" width="9.7265625" style="78" customWidth="1"/>
    <col min="14602" max="14602" width="11.453125" style="78" bestFit="1" customWidth="1"/>
    <col min="14603" max="14603" width="7.81640625" style="78" customWidth="1"/>
    <col min="14604" max="14617" width="9.1796875" style="78"/>
    <col min="14618" max="14618" width="4.7265625" style="78" customWidth="1"/>
    <col min="14619" max="14619" width="3.1796875" style="78" customWidth="1"/>
    <col min="14620" max="14631" width="9.1796875" style="78"/>
    <col min="14632" max="14632" width="10.453125" style="78" customWidth="1"/>
    <col min="14633" max="14848" width="9.1796875" style="78"/>
    <col min="14849" max="14849" width="4.7265625" style="78" customWidth="1"/>
    <col min="14850" max="14850" width="35.7265625" style="78" customWidth="1"/>
    <col min="14851" max="14851" width="3.453125" style="78" bestFit="1" customWidth="1"/>
    <col min="14852" max="14852" width="12.54296875" style="78" customWidth="1"/>
    <col min="14853" max="14853" width="13.1796875" style="78" bestFit="1" customWidth="1"/>
    <col min="14854" max="14854" width="5.26953125" style="78" customWidth="1"/>
    <col min="14855" max="14855" width="13" style="78" customWidth="1"/>
    <col min="14856" max="14856" width="12.453125" style="78" bestFit="1" customWidth="1"/>
    <col min="14857" max="14857" width="9.7265625" style="78" customWidth="1"/>
    <col min="14858" max="14858" width="11.453125" style="78" bestFit="1" customWidth="1"/>
    <col min="14859" max="14859" width="7.81640625" style="78" customWidth="1"/>
    <col min="14860" max="14873" width="9.1796875" style="78"/>
    <col min="14874" max="14874" width="4.7265625" style="78" customWidth="1"/>
    <col min="14875" max="14875" width="3.1796875" style="78" customWidth="1"/>
    <col min="14876" max="14887" width="9.1796875" style="78"/>
    <col min="14888" max="14888" width="10.453125" style="78" customWidth="1"/>
    <col min="14889" max="15104" width="9.1796875" style="78"/>
    <col min="15105" max="15105" width="4.7265625" style="78" customWidth="1"/>
    <col min="15106" max="15106" width="35.7265625" style="78" customWidth="1"/>
    <col min="15107" max="15107" width="3.453125" style="78" bestFit="1" customWidth="1"/>
    <col min="15108" max="15108" width="12.54296875" style="78" customWidth="1"/>
    <col min="15109" max="15109" width="13.1796875" style="78" bestFit="1" customWidth="1"/>
    <col min="15110" max="15110" width="5.26953125" style="78" customWidth="1"/>
    <col min="15111" max="15111" width="13" style="78" customWidth="1"/>
    <col min="15112" max="15112" width="12.453125" style="78" bestFit="1" customWidth="1"/>
    <col min="15113" max="15113" width="9.7265625" style="78" customWidth="1"/>
    <col min="15114" max="15114" width="11.453125" style="78" bestFit="1" customWidth="1"/>
    <col min="15115" max="15115" width="7.81640625" style="78" customWidth="1"/>
    <col min="15116" max="15129" width="9.1796875" style="78"/>
    <col min="15130" max="15130" width="4.7265625" style="78" customWidth="1"/>
    <col min="15131" max="15131" width="3.1796875" style="78" customWidth="1"/>
    <col min="15132" max="15143" width="9.1796875" style="78"/>
    <col min="15144" max="15144" width="10.453125" style="78" customWidth="1"/>
    <col min="15145" max="15360" width="9.1796875" style="78"/>
    <col min="15361" max="15361" width="4.7265625" style="78" customWidth="1"/>
    <col min="15362" max="15362" width="35.7265625" style="78" customWidth="1"/>
    <col min="15363" max="15363" width="3.453125" style="78" bestFit="1" customWidth="1"/>
    <col min="15364" max="15364" width="12.54296875" style="78" customWidth="1"/>
    <col min="15365" max="15365" width="13.1796875" style="78" bestFit="1" customWidth="1"/>
    <col min="15366" max="15366" width="5.26953125" style="78" customWidth="1"/>
    <col min="15367" max="15367" width="13" style="78" customWidth="1"/>
    <col min="15368" max="15368" width="12.453125" style="78" bestFit="1" customWidth="1"/>
    <col min="15369" max="15369" width="9.7265625" style="78" customWidth="1"/>
    <col min="15370" max="15370" width="11.453125" style="78" bestFit="1" customWidth="1"/>
    <col min="15371" max="15371" width="7.81640625" style="78" customWidth="1"/>
    <col min="15372" max="15385" width="9.1796875" style="78"/>
    <col min="15386" max="15386" width="4.7265625" style="78" customWidth="1"/>
    <col min="15387" max="15387" width="3.1796875" style="78" customWidth="1"/>
    <col min="15388" max="15399" width="9.1796875" style="78"/>
    <col min="15400" max="15400" width="10.453125" style="78" customWidth="1"/>
    <col min="15401" max="15616" width="9.1796875" style="78"/>
    <col min="15617" max="15617" width="4.7265625" style="78" customWidth="1"/>
    <col min="15618" max="15618" width="35.7265625" style="78" customWidth="1"/>
    <col min="15619" max="15619" width="3.453125" style="78" bestFit="1" customWidth="1"/>
    <col min="15620" max="15620" width="12.54296875" style="78" customWidth="1"/>
    <col min="15621" max="15621" width="13.1796875" style="78" bestFit="1" customWidth="1"/>
    <col min="15622" max="15622" width="5.26953125" style="78" customWidth="1"/>
    <col min="15623" max="15623" width="13" style="78" customWidth="1"/>
    <col min="15624" max="15624" width="12.453125" style="78" bestFit="1" customWidth="1"/>
    <col min="15625" max="15625" width="9.7265625" style="78" customWidth="1"/>
    <col min="15626" max="15626" width="11.453125" style="78" bestFit="1" customWidth="1"/>
    <col min="15627" max="15627" width="7.81640625" style="78" customWidth="1"/>
    <col min="15628" max="15641" width="9.1796875" style="78"/>
    <col min="15642" max="15642" width="4.7265625" style="78" customWidth="1"/>
    <col min="15643" max="15643" width="3.1796875" style="78" customWidth="1"/>
    <col min="15644" max="15655" width="9.1796875" style="78"/>
    <col min="15656" max="15656" width="10.453125" style="78" customWidth="1"/>
    <col min="15657" max="15872" width="9.1796875" style="78"/>
    <col min="15873" max="15873" width="4.7265625" style="78" customWidth="1"/>
    <col min="15874" max="15874" width="35.7265625" style="78" customWidth="1"/>
    <col min="15875" max="15875" width="3.453125" style="78" bestFit="1" customWidth="1"/>
    <col min="15876" max="15876" width="12.54296875" style="78" customWidth="1"/>
    <col min="15877" max="15877" width="13.1796875" style="78" bestFit="1" customWidth="1"/>
    <col min="15878" max="15878" width="5.26953125" style="78" customWidth="1"/>
    <col min="15879" max="15879" width="13" style="78" customWidth="1"/>
    <col min="15880" max="15880" width="12.453125" style="78" bestFit="1" customWidth="1"/>
    <col min="15881" max="15881" width="9.7265625" style="78" customWidth="1"/>
    <col min="15882" max="15882" width="11.453125" style="78" bestFit="1" customWidth="1"/>
    <col min="15883" max="15883" width="7.81640625" style="78" customWidth="1"/>
    <col min="15884" max="15897" width="9.1796875" style="78"/>
    <col min="15898" max="15898" width="4.7265625" style="78" customWidth="1"/>
    <col min="15899" max="15899" width="3.1796875" style="78" customWidth="1"/>
    <col min="15900" max="15911" width="9.1796875" style="78"/>
    <col min="15912" max="15912" width="10.453125" style="78" customWidth="1"/>
    <col min="15913" max="16128" width="9.1796875" style="78"/>
    <col min="16129" max="16129" width="4.7265625" style="78" customWidth="1"/>
    <col min="16130" max="16130" width="35.7265625" style="78" customWidth="1"/>
    <col min="16131" max="16131" width="3.453125" style="78" bestFit="1" customWidth="1"/>
    <col min="16132" max="16132" width="12.54296875" style="78" customWidth="1"/>
    <col min="16133" max="16133" width="13.1796875" style="78" bestFit="1" customWidth="1"/>
    <col min="16134" max="16134" width="5.26953125" style="78" customWidth="1"/>
    <col min="16135" max="16135" width="13" style="78" customWidth="1"/>
    <col min="16136" max="16136" width="12.453125" style="78" bestFit="1" customWidth="1"/>
    <col min="16137" max="16137" width="9.7265625" style="78" customWidth="1"/>
    <col min="16138" max="16138" width="11.453125" style="78" bestFit="1" customWidth="1"/>
    <col min="16139" max="16139" width="7.81640625" style="78" customWidth="1"/>
    <col min="16140" max="16153" width="9.1796875" style="78"/>
    <col min="16154" max="16154" width="4.7265625" style="78" customWidth="1"/>
    <col min="16155" max="16155" width="3.1796875" style="78" customWidth="1"/>
    <col min="16156" max="16167" width="9.1796875" style="78"/>
    <col min="16168" max="16168" width="10.453125" style="78" customWidth="1"/>
    <col min="16169" max="16384" width="9.1796875" style="78"/>
  </cols>
  <sheetData>
    <row r="1" spans="2:11" s="76" customFormat="1" x14ac:dyDescent="0.35">
      <c r="B1" s="77"/>
      <c r="C1" s="77"/>
      <c r="D1" s="77"/>
      <c r="E1" s="77"/>
      <c r="F1" s="77"/>
      <c r="G1" s="77"/>
      <c r="H1" s="77"/>
      <c r="I1" s="77"/>
      <c r="J1" s="77"/>
      <c r="K1" s="77"/>
    </row>
    <row r="5" spans="2:11" x14ac:dyDescent="0.35">
      <c r="B5" s="79"/>
      <c r="J5" s="81"/>
    </row>
    <row r="6" spans="2:11" x14ac:dyDescent="0.35">
      <c r="B6" s="83"/>
    </row>
    <row r="7" spans="2:11" x14ac:dyDescent="0.35">
      <c r="B7" s="79"/>
    </row>
    <row r="28" spans="2:27" x14ac:dyDescent="0.35">
      <c r="B28" s="84" t="s">
        <v>0</v>
      </c>
    </row>
    <row r="29" spans="2:27" x14ac:dyDescent="0.35">
      <c r="B29" s="84" t="s">
        <v>1</v>
      </c>
      <c r="D29" s="78" t="s">
        <v>2</v>
      </c>
      <c r="G29" s="214"/>
      <c r="H29" s="214"/>
      <c r="AA29" s="86"/>
    </row>
    <row r="30" spans="2:27" x14ac:dyDescent="0.35">
      <c r="C30" s="78"/>
      <c r="G30" s="85"/>
      <c r="H30" s="85"/>
    </row>
    <row r="31" spans="2:27" x14ac:dyDescent="0.35">
      <c r="B31" s="87" t="s">
        <v>127</v>
      </c>
      <c r="C31" s="78"/>
      <c r="AA31" s="87"/>
    </row>
    <row r="32" spans="2:27" x14ac:dyDescent="0.35">
      <c r="B32" s="87"/>
    </row>
    <row r="33" spans="2:10" x14ac:dyDescent="0.35">
      <c r="F33" s="88"/>
      <c r="G33" s="89"/>
      <c r="H33" s="214"/>
      <c r="I33" s="214"/>
      <c r="J33" s="90"/>
    </row>
    <row r="34" spans="2:10" x14ac:dyDescent="0.35">
      <c r="B34" s="91" t="s">
        <v>118</v>
      </c>
      <c r="C34" s="92"/>
      <c r="D34" s="90"/>
      <c r="E34" s="89"/>
      <c r="G34" s="93"/>
      <c r="H34" s="85"/>
      <c r="I34" s="85"/>
      <c r="J34" s="90"/>
    </row>
    <row r="35" spans="2:10" ht="15" thickBot="1" x14ac:dyDescent="0.4">
      <c r="B35" s="94" t="s">
        <v>3</v>
      </c>
      <c r="C35" s="95"/>
      <c r="D35" s="96" t="s">
        <v>87</v>
      </c>
      <c r="E35" s="97" t="s">
        <v>88</v>
      </c>
      <c r="G35" s="88"/>
      <c r="H35" s="90"/>
      <c r="I35" s="90"/>
      <c r="J35" s="90"/>
    </row>
    <row r="36" spans="2:10" x14ac:dyDescent="0.35">
      <c r="B36" s="90"/>
      <c r="C36" s="92"/>
      <c r="D36" s="90"/>
      <c r="E36" s="89"/>
      <c r="F36" s="88"/>
      <c r="H36" s="98"/>
      <c r="I36" s="84"/>
      <c r="J36" s="90"/>
    </row>
    <row r="37" spans="2:10" x14ac:dyDescent="0.35">
      <c r="B37" s="90" t="s">
        <v>119</v>
      </c>
      <c r="C37" s="92"/>
      <c r="D37" s="99" t="s">
        <v>202</v>
      </c>
      <c r="E37" s="89">
        <f>+' Resumen Tenencias DTT'!O33</f>
        <v>6392744062.5799999</v>
      </c>
      <c r="F37" s="100"/>
    </row>
    <row r="38" spans="2:10" x14ac:dyDescent="0.35">
      <c r="C38" s="85"/>
      <c r="F38" s="88"/>
      <c r="G38" s="89"/>
      <c r="H38" s="90"/>
      <c r="I38" s="90"/>
      <c r="J38" s="89"/>
    </row>
    <row r="39" spans="2:10" x14ac:dyDescent="0.35">
      <c r="B39" s="90" t="s">
        <v>120</v>
      </c>
      <c r="C39" s="85"/>
      <c r="D39" s="99" t="s">
        <v>202</v>
      </c>
      <c r="E39" s="89">
        <f>+' Resumen Tenencias DTT'!O31</f>
        <v>-6240408652.3427811</v>
      </c>
      <c r="F39" s="84"/>
      <c r="G39" s="89"/>
      <c r="H39" s="90"/>
      <c r="I39" s="90"/>
      <c r="J39" s="89"/>
    </row>
    <row r="40" spans="2:10" x14ac:dyDescent="0.35">
      <c r="B40" s="90"/>
      <c r="C40" s="85"/>
      <c r="D40" s="85"/>
      <c r="E40" s="101"/>
      <c r="F40" s="84"/>
      <c r="G40" s="89"/>
      <c r="H40" s="90"/>
      <c r="I40" s="90" t="s">
        <v>2</v>
      </c>
      <c r="J40" s="89"/>
    </row>
    <row r="41" spans="2:10" x14ac:dyDescent="0.35">
      <c r="B41" s="102" t="s">
        <v>121</v>
      </c>
      <c r="C41" s="103"/>
      <c r="D41" s="104" t="s">
        <v>202</v>
      </c>
      <c r="E41" s="105">
        <f>+E37+E39</f>
        <v>152335410.23721886</v>
      </c>
      <c r="F41" s="106" t="s">
        <v>90</v>
      </c>
      <c r="G41" s="101"/>
      <c r="I41" s="90"/>
      <c r="J41" s="90"/>
    </row>
    <row r="42" spans="2:10" x14ac:dyDescent="0.35">
      <c r="B42" s="90"/>
      <c r="C42" s="85"/>
      <c r="D42" s="85"/>
      <c r="E42" s="107"/>
      <c r="F42" s="84"/>
      <c r="G42" s="101"/>
      <c r="I42" s="90"/>
      <c r="J42" s="90"/>
    </row>
    <row r="43" spans="2:10" x14ac:dyDescent="0.35">
      <c r="B43" s="90"/>
      <c r="C43" s="85"/>
      <c r="D43" s="85"/>
      <c r="E43" s="107"/>
      <c r="F43" s="84"/>
      <c r="G43" s="101"/>
      <c r="I43" s="90"/>
      <c r="J43" s="90"/>
    </row>
    <row r="44" spans="2:10" x14ac:dyDescent="0.35">
      <c r="B44" s="91" t="s">
        <v>122</v>
      </c>
      <c r="C44" s="92"/>
      <c r="D44" s="90"/>
      <c r="E44" s="89"/>
      <c r="F44" s="84"/>
      <c r="G44" s="101"/>
      <c r="H44" s="90"/>
      <c r="I44" s="90"/>
      <c r="J44" s="90"/>
    </row>
    <row r="45" spans="2:10" ht="15" thickBot="1" x14ac:dyDescent="0.4">
      <c r="B45" s="94" t="s">
        <v>3</v>
      </c>
      <c r="C45" s="95"/>
      <c r="D45" s="96" t="s">
        <v>87</v>
      </c>
      <c r="E45" s="97" t="s">
        <v>88</v>
      </c>
      <c r="F45" s="84"/>
      <c r="G45" s="89"/>
      <c r="H45" s="90"/>
      <c r="I45" s="90"/>
      <c r="J45" s="89"/>
    </row>
    <row r="46" spans="2:10" x14ac:dyDescent="0.35">
      <c r="B46" s="90"/>
      <c r="C46" s="92"/>
      <c r="D46" s="90"/>
      <c r="E46" s="89"/>
      <c r="F46" s="84"/>
      <c r="G46" s="108"/>
      <c r="H46" s="109"/>
      <c r="I46" s="90"/>
      <c r="J46" s="108"/>
    </row>
    <row r="47" spans="2:10" ht="13.5" customHeight="1" x14ac:dyDescent="0.35">
      <c r="B47" s="90" t="s">
        <v>119</v>
      </c>
      <c r="C47" s="92"/>
      <c r="D47" s="99" t="s">
        <v>91</v>
      </c>
      <c r="E47" s="89">
        <f>+' Resumen Tenencias DTT'!O37</f>
        <v>-13137290900.27</v>
      </c>
      <c r="F47" s="84"/>
      <c r="G47" s="101"/>
      <c r="H47" s="90"/>
      <c r="I47" s="90"/>
      <c r="J47" s="108"/>
    </row>
    <row r="48" spans="2:10" ht="13.5" customHeight="1" x14ac:dyDescent="0.35">
      <c r="C48" s="85"/>
      <c r="D48" s="99"/>
      <c r="F48" s="84"/>
      <c r="G48" s="89"/>
      <c r="H48" s="90"/>
      <c r="I48" s="90"/>
      <c r="J48" s="89"/>
    </row>
    <row r="49" spans="2:10" ht="13.5" customHeight="1" x14ac:dyDescent="0.35">
      <c r="B49" s="90" t="s">
        <v>120</v>
      </c>
      <c r="C49" s="85"/>
      <c r="D49" s="99" t="s">
        <v>203</v>
      </c>
      <c r="E49" s="89">
        <f>+' Resumen Tenencias DTT'!O35</f>
        <v>12979910048.727617</v>
      </c>
      <c r="F49" s="84"/>
      <c r="G49" s="89"/>
      <c r="H49" s="90"/>
      <c r="I49" s="90"/>
      <c r="J49" s="89"/>
    </row>
    <row r="50" spans="2:10" ht="13.5" customHeight="1" x14ac:dyDescent="0.35">
      <c r="B50" s="90"/>
      <c r="C50" s="85"/>
      <c r="D50" s="99"/>
      <c r="E50" s="89"/>
      <c r="F50" s="84"/>
      <c r="G50" s="89"/>
      <c r="H50" s="90"/>
      <c r="I50" s="90"/>
      <c r="J50" s="89"/>
    </row>
    <row r="51" spans="2:10" ht="13.5" customHeight="1" x14ac:dyDescent="0.35">
      <c r="B51" s="90" t="s">
        <v>193</v>
      </c>
      <c r="C51" s="85"/>
      <c r="D51" s="99" t="s">
        <v>203</v>
      </c>
      <c r="E51" s="89">
        <f>+' Resumen Tenencias DTT'!O39</f>
        <v>-80177954.433012918</v>
      </c>
      <c r="F51" s="84"/>
      <c r="G51" s="89"/>
      <c r="H51" s="90"/>
      <c r="I51" s="90"/>
      <c r="J51" s="89"/>
    </row>
    <row r="52" spans="2:10" ht="13.5" customHeight="1" x14ac:dyDescent="0.35">
      <c r="B52" s="90"/>
      <c r="C52" s="85"/>
      <c r="D52" s="99"/>
      <c r="E52" s="101"/>
      <c r="F52" s="88"/>
      <c r="G52" s="89"/>
      <c r="H52" s="90"/>
      <c r="I52" s="90"/>
      <c r="J52" s="89"/>
    </row>
    <row r="53" spans="2:10" ht="13.5" customHeight="1" x14ac:dyDescent="0.35">
      <c r="B53" s="102" t="s">
        <v>123</v>
      </c>
      <c r="C53" s="103"/>
      <c r="D53" s="104"/>
      <c r="E53" s="105">
        <f>+E47+E49+E51</f>
        <v>-237558805.9753961</v>
      </c>
      <c r="F53" s="106" t="s">
        <v>92</v>
      </c>
      <c r="G53" s="89"/>
      <c r="H53" s="90"/>
      <c r="I53" s="90"/>
      <c r="J53" s="89"/>
    </row>
    <row r="54" spans="2:10" ht="13.5" customHeight="1" x14ac:dyDescent="0.35">
      <c r="C54" s="78"/>
      <c r="E54" s="107" t="s">
        <v>16</v>
      </c>
      <c r="F54" s="88"/>
      <c r="G54" s="89"/>
      <c r="H54" s="90"/>
      <c r="I54" s="90"/>
      <c r="J54" s="89"/>
    </row>
    <row r="55" spans="2:10" ht="13.5" customHeight="1" x14ac:dyDescent="0.35">
      <c r="C55" s="78"/>
      <c r="E55" s="107"/>
      <c r="F55" s="84"/>
      <c r="G55" s="101"/>
      <c r="H55" s="90"/>
      <c r="I55" s="90"/>
      <c r="J55" s="89"/>
    </row>
    <row r="56" spans="2:10" ht="13.5" customHeight="1" x14ac:dyDescent="0.35">
      <c r="C56" s="78"/>
      <c r="F56" s="84"/>
      <c r="G56" s="89"/>
      <c r="H56" s="90"/>
      <c r="I56" s="90"/>
      <c r="J56" s="89"/>
    </row>
    <row r="57" spans="2:10" ht="13.5" customHeight="1" x14ac:dyDescent="0.35">
      <c r="B57" s="91" t="s">
        <v>128</v>
      </c>
      <c r="C57" s="78"/>
      <c r="G57" s="89"/>
      <c r="H57" s="90"/>
      <c r="I57" s="90"/>
      <c r="J57" s="89"/>
    </row>
    <row r="58" spans="2:10" ht="13.5" customHeight="1" x14ac:dyDescent="0.35">
      <c r="C58" s="78"/>
      <c r="G58" s="89"/>
      <c r="H58" s="90"/>
      <c r="I58" s="90"/>
      <c r="J58" s="89"/>
    </row>
    <row r="59" spans="2:10" ht="13.5" customHeight="1" x14ac:dyDescent="0.35">
      <c r="B59" s="90" t="s">
        <v>129</v>
      </c>
      <c r="C59" s="91"/>
      <c r="D59" s="99"/>
      <c r="E59" s="89"/>
      <c r="F59" s="91"/>
      <c r="G59" s="89"/>
      <c r="H59" s="90"/>
      <c r="I59" s="90"/>
      <c r="J59" s="89"/>
    </row>
    <row r="60" spans="2:10" ht="13.5" customHeight="1" x14ac:dyDescent="0.35">
      <c r="B60" s="91"/>
      <c r="C60" s="91"/>
      <c r="D60" s="91"/>
      <c r="E60" s="91"/>
      <c r="F60" s="91"/>
      <c r="G60" s="89"/>
      <c r="H60" s="90"/>
      <c r="I60" s="90"/>
      <c r="J60" s="89"/>
    </row>
    <row r="61" spans="2:10" ht="13.5" customHeight="1" x14ac:dyDescent="0.35">
      <c r="B61" s="90" t="s">
        <v>130</v>
      </c>
      <c r="C61" s="85" t="s">
        <v>124</v>
      </c>
      <c r="D61" s="99" t="s">
        <v>90</v>
      </c>
      <c r="E61" s="89">
        <f>+E41</f>
        <v>152335410.23721886</v>
      </c>
      <c r="F61" s="107"/>
      <c r="G61" s="89"/>
      <c r="H61" s="90"/>
      <c r="I61" s="90"/>
      <c r="J61" s="89"/>
    </row>
    <row r="62" spans="2:10" x14ac:dyDescent="0.35">
      <c r="B62" s="90" t="s">
        <v>130</v>
      </c>
      <c r="C62" s="85" t="s">
        <v>125</v>
      </c>
      <c r="D62" s="99" t="s">
        <v>92</v>
      </c>
      <c r="E62" s="89">
        <f>+E53</f>
        <v>-237558805.9753961</v>
      </c>
      <c r="F62" s="84"/>
      <c r="G62" s="89"/>
      <c r="H62" s="109"/>
      <c r="I62" s="90"/>
      <c r="J62" s="89"/>
    </row>
    <row r="63" spans="2:10" x14ac:dyDescent="0.35">
      <c r="C63" s="85"/>
      <c r="D63" s="85"/>
      <c r="E63" s="85"/>
      <c r="F63" s="84"/>
      <c r="G63" s="110"/>
      <c r="H63" s="109"/>
      <c r="I63" s="90"/>
      <c r="J63" s="110"/>
    </row>
    <row r="64" spans="2:10" x14ac:dyDescent="0.35">
      <c r="B64" s="102" t="s">
        <v>131</v>
      </c>
      <c r="C64" s="103"/>
      <c r="D64" s="104"/>
      <c r="E64" s="111">
        <f>SUM(E59:E62)</f>
        <v>-85223395.73817724</v>
      </c>
      <c r="F64" s="88"/>
      <c r="G64" s="89"/>
      <c r="H64" s="90"/>
      <c r="I64" s="90"/>
      <c r="J64" s="89"/>
    </row>
    <row r="65" spans="2:10" x14ac:dyDescent="0.35">
      <c r="B65" s="90"/>
      <c r="C65" s="85"/>
      <c r="D65" s="85"/>
      <c r="F65" s="84"/>
      <c r="G65" s="108"/>
      <c r="H65" s="109"/>
      <c r="I65" s="90"/>
      <c r="J65" s="108"/>
    </row>
    <row r="66" spans="2:10" x14ac:dyDescent="0.35">
      <c r="D66" s="179" t="s">
        <v>204</v>
      </c>
      <c r="E66" s="178">
        <f>+E64-' Resumen Tenencias DTT'!O41</f>
        <v>0</v>
      </c>
      <c r="F66" s="84"/>
      <c r="G66" s="108"/>
      <c r="H66" s="109"/>
      <c r="I66" s="90"/>
      <c r="J66" s="108"/>
    </row>
    <row r="67" spans="2:10" x14ac:dyDescent="0.35">
      <c r="C67" s="85"/>
      <c r="D67" s="85"/>
      <c r="E67" s="85"/>
      <c r="F67" s="84"/>
      <c r="G67" s="108"/>
      <c r="H67" s="109"/>
      <c r="I67" s="90"/>
      <c r="J67" s="108"/>
    </row>
    <row r="68" spans="2:10" x14ac:dyDescent="0.35">
      <c r="B68" s="90"/>
      <c r="C68" s="85"/>
      <c r="D68" s="85"/>
      <c r="E68" s="85"/>
      <c r="F68" s="108"/>
      <c r="G68" s="108"/>
      <c r="H68" s="90"/>
      <c r="I68" s="90"/>
      <c r="J68" s="108"/>
    </row>
    <row r="69" spans="2:10" x14ac:dyDescent="0.35">
      <c r="B69" s="90"/>
      <c r="C69" s="85"/>
      <c r="D69" s="85"/>
      <c r="E69" s="85"/>
      <c r="F69" s="84"/>
      <c r="G69" s="108"/>
      <c r="H69" s="109"/>
      <c r="I69" s="90"/>
      <c r="J69" s="108"/>
    </row>
    <row r="70" spans="2:10" x14ac:dyDescent="0.35">
      <c r="B70" s="90"/>
      <c r="C70" s="92"/>
      <c r="D70" s="112"/>
      <c r="E70" s="85"/>
      <c r="F70" s="108"/>
      <c r="G70" s="108"/>
      <c r="H70" s="109"/>
      <c r="I70" s="90"/>
      <c r="J70" s="108"/>
    </row>
    <row r="71" spans="2:10" x14ac:dyDescent="0.35">
      <c r="B71" s="90"/>
      <c r="C71" s="85"/>
      <c r="D71" s="85"/>
      <c r="E71" s="85"/>
      <c r="F71" s="84"/>
      <c r="G71" s="113"/>
      <c r="H71" s="109"/>
      <c r="I71" s="90"/>
      <c r="J71" s="108"/>
    </row>
    <row r="72" spans="2:10" x14ac:dyDescent="0.35">
      <c r="B72" s="90"/>
      <c r="C72" s="85"/>
      <c r="D72" s="85"/>
      <c r="E72" s="85"/>
      <c r="F72" s="84"/>
      <c r="G72" s="113"/>
      <c r="H72" s="109"/>
      <c r="I72" s="90"/>
      <c r="J72" s="108"/>
    </row>
    <row r="73" spans="2:10" x14ac:dyDescent="0.35">
      <c r="B73" s="90"/>
      <c r="C73" s="85"/>
      <c r="D73" s="85"/>
      <c r="E73" s="85"/>
      <c r="F73" s="84"/>
      <c r="G73" s="113"/>
      <c r="H73" s="109"/>
      <c r="I73" s="90"/>
      <c r="J73" s="108"/>
    </row>
    <row r="74" spans="2:10" x14ac:dyDescent="0.35">
      <c r="B74" s="90"/>
      <c r="C74" s="85"/>
      <c r="D74" s="85"/>
      <c r="E74" s="113"/>
      <c r="F74" s="84"/>
      <c r="G74" s="113"/>
      <c r="H74" s="109"/>
      <c r="I74" s="90"/>
      <c r="J74" s="108"/>
    </row>
    <row r="75" spans="2:10" x14ac:dyDescent="0.35">
      <c r="B75" s="90"/>
      <c r="C75" s="85"/>
      <c r="D75" s="85"/>
      <c r="E75" s="113"/>
      <c r="F75" s="84"/>
      <c r="G75" s="113"/>
      <c r="H75" s="109"/>
      <c r="I75" s="90"/>
      <c r="J75" s="108"/>
    </row>
    <row r="76" spans="2:10" x14ac:dyDescent="0.35">
      <c r="B76" s="90"/>
      <c r="C76" s="85"/>
      <c r="D76" s="85"/>
      <c r="E76" s="113"/>
      <c r="F76" s="84"/>
      <c r="G76" s="113"/>
      <c r="H76" s="109"/>
      <c r="I76" s="108"/>
      <c r="J76" s="108"/>
    </row>
    <row r="77" spans="2:10" x14ac:dyDescent="0.35">
      <c r="B77" s="90"/>
      <c r="C77" s="85"/>
      <c r="D77" s="85"/>
      <c r="E77" s="108"/>
      <c r="F77" s="84"/>
      <c r="G77" s="108"/>
      <c r="H77" s="109"/>
      <c r="I77" s="108"/>
      <c r="J77" s="108"/>
    </row>
    <row r="78" spans="2:10" x14ac:dyDescent="0.35">
      <c r="B78" s="90"/>
      <c r="C78" s="85"/>
      <c r="D78" s="85"/>
      <c r="E78" s="108"/>
      <c r="F78" s="84"/>
      <c r="G78" s="108"/>
      <c r="H78" s="109"/>
      <c r="I78" s="108"/>
      <c r="J78" s="108"/>
    </row>
    <row r="79" spans="2:10" x14ac:dyDescent="0.35">
      <c r="B79" s="90"/>
      <c r="C79" s="85"/>
      <c r="D79" s="85"/>
      <c r="E79" s="114"/>
      <c r="F79" s="84"/>
      <c r="G79" s="113"/>
      <c r="H79" s="109"/>
      <c r="I79" s="108"/>
      <c r="J79" s="114"/>
    </row>
    <row r="80" spans="2:10" x14ac:dyDescent="0.35">
      <c r="B80" s="90"/>
      <c r="C80" s="85"/>
      <c r="D80" s="85"/>
      <c r="E80" s="114"/>
      <c r="F80" s="84"/>
      <c r="G80" s="114"/>
      <c r="H80" s="109"/>
      <c r="I80" s="108"/>
      <c r="J80" s="114"/>
    </row>
    <row r="81" spans="2:10" x14ac:dyDescent="0.35">
      <c r="B81" s="90"/>
      <c r="C81" s="85"/>
      <c r="D81" s="85"/>
      <c r="E81" s="113"/>
      <c r="F81" s="84"/>
      <c r="G81" s="113"/>
      <c r="H81" s="109"/>
      <c r="I81" s="108"/>
      <c r="J81" s="114"/>
    </row>
    <row r="82" spans="2:10" x14ac:dyDescent="0.35">
      <c r="B82" s="90"/>
      <c r="C82" s="85"/>
      <c r="D82" s="85"/>
      <c r="E82" s="108"/>
      <c r="F82" s="84"/>
      <c r="G82" s="108"/>
      <c r="H82" s="109"/>
      <c r="I82" s="108"/>
      <c r="J82" s="114"/>
    </row>
    <row r="83" spans="2:10" x14ac:dyDescent="0.35">
      <c r="B83" s="90"/>
      <c r="C83" s="85"/>
      <c r="D83" s="92"/>
      <c r="E83" s="115"/>
      <c r="F83" s="84"/>
      <c r="G83" s="115"/>
      <c r="H83" s="110"/>
      <c r="I83" s="84"/>
      <c r="J83" s="114"/>
    </row>
    <row r="84" spans="2:10" x14ac:dyDescent="0.35">
      <c r="B84" s="90"/>
      <c r="C84" s="85"/>
      <c r="D84" s="90"/>
      <c r="E84" s="88"/>
      <c r="F84" s="88"/>
      <c r="G84" s="88"/>
      <c r="H84" s="90"/>
      <c r="I84" s="90"/>
      <c r="J84" s="90"/>
    </row>
    <row r="85" spans="2:10" x14ac:dyDescent="0.35">
      <c r="B85" s="90"/>
      <c r="C85" s="85"/>
      <c r="D85" s="90"/>
      <c r="E85" s="88"/>
      <c r="F85" s="88"/>
      <c r="G85" s="88"/>
      <c r="H85" s="116"/>
      <c r="I85" s="90"/>
      <c r="J85" s="116"/>
    </row>
    <row r="86" spans="2:10" x14ac:dyDescent="0.35">
      <c r="B86" s="117"/>
      <c r="C86" s="92"/>
      <c r="D86" s="90"/>
      <c r="F86" s="88"/>
      <c r="H86" s="116"/>
      <c r="I86" s="84"/>
      <c r="J86" s="90"/>
    </row>
    <row r="87" spans="2:10" x14ac:dyDescent="0.35">
      <c r="B87" s="117"/>
      <c r="C87" s="92"/>
      <c r="D87" s="90"/>
      <c r="E87" s="88"/>
      <c r="F87" s="88"/>
      <c r="G87" s="88"/>
      <c r="H87" s="116"/>
      <c r="I87" s="90"/>
      <c r="J87" s="84"/>
    </row>
    <row r="88" spans="2:10" x14ac:dyDescent="0.35">
      <c r="B88" s="117"/>
      <c r="C88" s="92"/>
      <c r="D88" s="90"/>
      <c r="E88" s="118"/>
      <c r="F88" s="88"/>
      <c r="G88" s="118"/>
      <c r="I88" s="119"/>
      <c r="J88" s="90"/>
    </row>
    <row r="89" spans="2:10" x14ac:dyDescent="0.35">
      <c r="B89" s="90"/>
      <c r="C89" s="92"/>
      <c r="D89" s="90"/>
      <c r="E89" s="88"/>
      <c r="F89" s="88"/>
      <c r="G89" s="88"/>
      <c r="H89" s="116"/>
      <c r="I89" s="90"/>
      <c r="J89" s="84"/>
    </row>
    <row r="90" spans="2:10" x14ac:dyDescent="0.35">
      <c r="B90" s="120"/>
      <c r="C90" s="92"/>
      <c r="D90" s="90"/>
      <c r="E90" s="88"/>
      <c r="F90" s="88"/>
      <c r="G90" s="88"/>
      <c r="H90" s="116"/>
      <c r="I90" s="121"/>
      <c r="J90" s="90"/>
    </row>
    <row r="91" spans="2:10" x14ac:dyDescent="0.35">
      <c r="B91" s="120"/>
      <c r="C91" s="92"/>
      <c r="D91" s="90"/>
      <c r="E91" s="88"/>
      <c r="F91" s="88"/>
      <c r="G91" s="88"/>
      <c r="H91" s="116"/>
      <c r="I91" s="90"/>
      <c r="J91" s="84"/>
    </row>
    <row r="92" spans="2:10" x14ac:dyDescent="0.35">
      <c r="B92" s="90"/>
      <c r="C92" s="92"/>
      <c r="D92" s="90"/>
      <c r="E92" s="81"/>
      <c r="F92" s="88"/>
      <c r="G92" s="81"/>
      <c r="H92" s="122"/>
      <c r="I92" s="84"/>
      <c r="J92" s="109"/>
    </row>
    <row r="93" spans="2:10" x14ac:dyDescent="0.35">
      <c r="B93" s="90"/>
      <c r="C93" s="92"/>
      <c r="D93" s="90"/>
      <c r="E93" s="123"/>
      <c r="F93" s="88"/>
      <c r="G93" s="123"/>
      <c r="H93" s="124"/>
      <c r="I93" s="125"/>
      <c r="J93" s="84"/>
    </row>
    <row r="94" spans="2:10" x14ac:dyDescent="0.35">
      <c r="B94" s="90"/>
      <c r="C94" s="92"/>
      <c r="D94" s="90"/>
      <c r="E94" s="81"/>
      <c r="F94" s="88"/>
      <c r="G94" s="81"/>
      <c r="H94" s="116"/>
      <c r="I94" s="84"/>
      <c r="J94" s="90"/>
    </row>
    <row r="95" spans="2:10" x14ac:dyDescent="0.35">
      <c r="B95" s="126"/>
      <c r="C95" s="92"/>
      <c r="D95" s="90"/>
      <c r="E95" s="88"/>
      <c r="F95" s="88"/>
      <c r="G95" s="88"/>
      <c r="H95" s="116"/>
      <c r="I95" s="90"/>
      <c r="J95" s="84"/>
    </row>
    <row r="96" spans="2:10" x14ac:dyDescent="0.35">
      <c r="B96" s="120"/>
      <c r="C96" s="92"/>
      <c r="E96" s="88"/>
      <c r="F96" s="88"/>
      <c r="G96" s="88"/>
      <c r="H96" s="116"/>
      <c r="I96" s="108"/>
      <c r="J96" s="90"/>
    </row>
    <row r="97" spans="2:10" x14ac:dyDescent="0.35">
      <c r="B97" s="120"/>
      <c r="C97" s="92"/>
      <c r="D97" s="90"/>
      <c r="E97" s="88"/>
      <c r="F97" s="88"/>
      <c r="G97" s="88"/>
      <c r="H97" s="116"/>
      <c r="I97" s="90"/>
      <c r="J97" s="90"/>
    </row>
    <row r="98" spans="2:10" x14ac:dyDescent="0.35">
      <c r="B98" s="120"/>
      <c r="C98" s="92"/>
      <c r="D98" s="90"/>
      <c r="E98" s="88"/>
      <c r="F98" s="88"/>
      <c r="G98" s="88"/>
      <c r="H98" s="90"/>
      <c r="I98" s="90"/>
      <c r="J98" s="90"/>
    </row>
    <row r="99" spans="2:10" x14ac:dyDescent="0.35">
      <c r="B99" s="91"/>
      <c r="C99" s="92"/>
      <c r="D99" s="90"/>
      <c r="E99" s="88"/>
      <c r="F99" s="88"/>
      <c r="G99" s="88"/>
      <c r="H99" s="90"/>
      <c r="I99" s="90"/>
      <c r="J99" s="90"/>
    </row>
    <row r="100" spans="2:10" x14ac:dyDescent="0.35">
      <c r="B100" s="90"/>
      <c r="C100" s="92"/>
      <c r="D100" s="90"/>
      <c r="E100" s="88"/>
      <c r="F100" s="88"/>
      <c r="G100" s="88"/>
      <c r="H100" s="90"/>
      <c r="I100" s="90"/>
      <c r="J100" s="84"/>
    </row>
    <row r="101" spans="2:10" x14ac:dyDescent="0.35">
      <c r="I101" s="116"/>
      <c r="J101" s="84"/>
    </row>
    <row r="102" spans="2:10" x14ac:dyDescent="0.35">
      <c r="I102" s="116"/>
      <c r="J102" s="84"/>
    </row>
    <row r="103" spans="2:10" x14ac:dyDescent="0.35">
      <c r="E103" s="90"/>
      <c r="G103" s="90"/>
      <c r="I103" s="116"/>
    </row>
    <row r="104" spans="2:10" x14ac:dyDescent="0.35">
      <c r="J104" s="84"/>
    </row>
    <row r="105" spans="2:10" x14ac:dyDescent="0.35">
      <c r="H105" s="127"/>
      <c r="I105" s="128"/>
      <c r="J105" s="84"/>
    </row>
    <row r="106" spans="2:10" x14ac:dyDescent="0.35">
      <c r="H106" s="127"/>
      <c r="I106" s="128"/>
      <c r="J106" s="84"/>
    </row>
    <row r="107" spans="2:10" x14ac:dyDescent="0.35">
      <c r="H107" s="127"/>
      <c r="I107" s="128"/>
      <c r="J107" s="84"/>
    </row>
    <row r="108" spans="2:10" x14ac:dyDescent="0.35">
      <c r="H108" s="127"/>
      <c r="I108" s="128"/>
      <c r="J108" s="84"/>
    </row>
    <row r="109" spans="2:10" x14ac:dyDescent="0.35">
      <c r="H109" s="127"/>
      <c r="I109" s="128"/>
    </row>
    <row r="111" spans="2:10" x14ac:dyDescent="0.35">
      <c r="B111" s="87"/>
    </row>
    <row r="115" spans="2:6" x14ac:dyDescent="0.35">
      <c r="C115" s="84"/>
    </row>
    <row r="116" spans="2:6" x14ac:dyDescent="0.35">
      <c r="C116" s="84"/>
    </row>
    <row r="118" spans="2:6" x14ac:dyDescent="0.35">
      <c r="B118" s="87"/>
    </row>
    <row r="121" spans="2:6" x14ac:dyDescent="0.35">
      <c r="F121" s="84"/>
    </row>
    <row r="122" spans="2:6" x14ac:dyDescent="0.35">
      <c r="F122" s="84"/>
    </row>
    <row r="124" spans="2:6" x14ac:dyDescent="0.35">
      <c r="B124" s="87"/>
    </row>
    <row r="127" spans="2:6" x14ac:dyDescent="0.35">
      <c r="F127" s="84"/>
    </row>
    <row r="129" spans="2:11" x14ac:dyDescent="0.35">
      <c r="J129" s="82"/>
    </row>
    <row r="130" spans="2:11" x14ac:dyDescent="0.35">
      <c r="B130" s="91"/>
      <c r="C130" s="92"/>
      <c r="D130" s="90"/>
      <c r="E130" s="88"/>
      <c r="F130" s="90"/>
      <c r="G130" s="88"/>
      <c r="H130" s="90"/>
      <c r="I130" s="90"/>
      <c r="J130" s="82"/>
      <c r="K130" s="78"/>
    </row>
    <row r="131" spans="2:11" x14ac:dyDescent="0.35">
      <c r="B131" s="90"/>
      <c r="C131" s="92"/>
      <c r="D131" s="90"/>
      <c r="E131" s="88"/>
      <c r="F131" s="90"/>
      <c r="G131" s="88"/>
      <c r="H131" s="90"/>
      <c r="I131" s="90"/>
      <c r="J131" s="82"/>
      <c r="K131" s="78"/>
    </row>
    <row r="132" spans="2:11" x14ac:dyDescent="0.35">
      <c r="H132" s="116"/>
      <c r="I132" s="84"/>
      <c r="J132" s="82"/>
      <c r="K132" s="78"/>
    </row>
    <row r="133" spans="2:11" x14ac:dyDescent="0.35">
      <c r="H133" s="116"/>
      <c r="I133" s="84"/>
      <c r="J133" s="82"/>
      <c r="K133" s="78"/>
    </row>
    <row r="134" spans="2:11" x14ac:dyDescent="0.35">
      <c r="H134" s="116"/>
      <c r="I134" s="84"/>
      <c r="J134" s="82"/>
      <c r="K134" s="78"/>
    </row>
    <row r="135" spans="2:11" x14ac:dyDescent="0.35">
      <c r="J135" s="82"/>
      <c r="K135" s="78"/>
    </row>
    <row r="136" spans="2:11" x14ac:dyDescent="0.35">
      <c r="E136" s="127"/>
      <c r="G136" s="127"/>
      <c r="H136" s="128"/>
      <c r="I136" s="84"/>
      <c r="J136" s="82"/>
      <c r="K136" s="78"/>
    </row>
    <row r="137" spans="2:11" x14ac:dyDescent="0.35">
      <c r="E137" s="127"/>
      <c r="G137" s="127"/>
      <c r="H137" s="128"/>
      <c r="I137" s="84"/>
      <c r="J137" s="82"/>
      <c r="K137" s="78"/>
    </row>
    <row r="138" spans="2:11" x14ac:dyDescent="0.35">
      <c r="K138" s="78"/>
    </row>
  </sheetData>
  <mergeCells count="2">
    <mergeCell ref="G29:H29"/>
    <mergeCell ref="H33:I33"/>
  </mergeCells>
  <printOptions horizontalCentered="1"/>
  <pageMargins left="0.39370078740157483" right="0.39370078740157483" top="0.86614173228346458" bottom="0.78740157480314965" header="0.51181102362204722" footer="0.31496062992125984"/>
  <pageSetup paperSize="9" scale="76" orientation="portrait" r:id="rId1"/>
  <headerFooter alignWithMargins="0">
    <oddHeader>&amp;R&amp;"Arial,Negrita"&amp;28&amp;A</oddHeader>
  </headerFooter>
  <rowBreaks count="1" manualBreakCount="1">
    <brk id="97" min="1" max="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428C-EFED-48C7-A8E0-5748ADF833CB}">
  <sheetPr codeName="Sheet12">
    <tabColor rgb="FF002060"/>
  </sheetPr>
  <dimension ref="B2:O309"/>
  <sheetViews>
    <sheetView showGridLines="0" topLeftCell="A2" zoomScale="76" workbookViewId="0">
      <selection activeCell="E46" sqref="E46"/>
    </sheetView>
  </sheetViews>
  <sheetFormatPr defaultRowHeight="14.5" x14ac:dyDescent="0.35"/>
  <cols>
    <col min="1" max="1" width="8.7265625" style="129"/>
    <col min="2" max="2" width="31" style="129" bestFit="1" customWidth="1"/>
    <col min="3" max="3" width="13.54296875" style="129" customWidth="1"/>
    <col min="4" max="4" width="15" style="129" customWidth="1"/>
    <col min="5" max="5" width="17.1796875" style="129" bestFit="1" customWidth="1"/>
    <col min="6" max="6" width="13.54296875" style="129" bestFit="1" customWidth="1"/>
    <col min="7" max="7" width="10.81640625" style="129" bestFit="1" customWidth="1"/>
    <col min="8" max="8" width="14" style="129" bestFit="1" customWidth="1"/>
    <col min="9" max="16384" width="8.7265625" style="129"/>
  </cols>
  <sheetData>
    <row r="2" spans="2:15" x14ac:dyDescent="0.35">
      <c r="B2" s="181" t="str">
        <f>+[6]Inicio!B2</f>
        <v>FAURECIA SISTEMAS DE ESCAPE ARGENTINA S.A</v>
      </c>
      <c r="C2" s="182"/>
      <c r="O2" s="129" t="s">
        <v>133</v>
      </c>
    </row>
    <row r="3" spans="2:15" x14ac:dyDescent="0.35">
      <c r="B3" s="181" t="str">
        <f>+[6]Inicio!B3</f>
        <v>30-68837468-1</v>
      </c>
      <c r="C3" s="182"/>
    </row>
    <row r="4" spans="2:15" x14ac:dyDescent="0.35">
      <c r="B4" s="181">
        <f>+[6]Inicio!B4</f>
        <v>2025</v>
      </c>
      <c r="C4" s="183"/>
      <c r="D4" s="181" t="s">
        <v>134</v>
      </c>
      <c r="E4" s="129">
        <f>[6]Inicio!E4</f>
        <v>12</v>
      </c>
    </row>
    <row r="5" spans="2:15" x14ac:dyDescent="0.35">
      <c r="B5" s="181" t="str">
        <f>+[6]Inicio!B5</f>
        <v>Original</v>
      </c>
      <c r="C5" s="183"/>
    </row>
    <row r="6" spans="2:15" x14ac:dyDescent="0.35">
      <c r="B6" s="129" t="s">
        <v>135</v>
      </c>
    </row>
    <row r="7" spans="2:15" x14ac:dyDescent="0.35">
      <c r="B7" s="184" t="s">
        <v>136</v>
      </c>
    </row>
    <row r="9" spans="2:15" x14ac:dyDescent="0.35">
      <c r="B9" s="185" t="s">
        <v>118</v>
      </c>
    </row>
    <row r="11" spans="2:15" x14ac:dyDescent="0.35">
      <c r="B11" s="186" t="s">
        <v>90</v>
      </c>
      <c r="C11" s="186" t="s">
        <v>92</v>
      </c>
      <c r="D11" s="186" t="s">
        <v>197</v>
      </c>
      <c r="E11" s="186" t="s">
        <v>198</v>
      </c>
      <c r="F11" s="186" t="s">
        <v>199</v>
      </c>
    </row>
    <row r="12" spans="2:15" x14ac:dyDescent="0.35">
      <c r="B12" s="187" t="s">
        <v>148</v>
      </c>
      <c r="C12" s="188" t="s">
        <v>126</v>
      </c>
      <c r="D12" s="188" t="s">
        <v>132</v>
      </c>
      <c r="E12" s="188" t="s">
        <v>138</v>
      </c>
      <c r="F12" s="188" t="s">
        <v>139</v>
      </c>
    </row>
    <row r="13" spans="2:15" x14ac:dyDescent="0.35">
      <c r="B13" s="189">
        <v>45433</v>
      </c>
      <c r="C13" s="190" t="s">
        <v>142</v>
      </c>
      <c r="D13" s="191">
        <v>247597</v>
      </c>
      <c r="E13" s="191">
        <v>31137491.699719999</v>
      </c>
      <c r="F13" s="191">
        <v>125.75876</v>
      </c>
      <c r="H13" s="140"/>
    </row>
    <row r="14" spans="2:15" x14ac:dyDescent="0.35">
      <c r="B14" s="192">
        <v>45436</v>
      </c>
      <c r="C14" s="193" t="s">
        <v>142</v>
      </c>
      <c r="D14" s="194">
        <v>277412</v>
      </c>
      <c r="E14" s="194">
        <v>34999973.211067997</v>
      </c>
      <c r="F14" s="194">
        <v>126.166039</v>
      </c>
      <c r="H14" s="140"/>
    </row>
    <row r="15" spans="2:15" x14ac:dyDescent="0.35">
      <c r="B15" s="192">
        <v>45600</v>
      </c>
      <c r="C15" s="193" t="s">
        <v>142</v>
      </c>
      <c r="D15" s="194">
        <v>4020288</v>
      </c>
      <c r="E15" s="194">
        <v>599999870.12601602</v>
      </c>
      <c r="F15" s="194">
        <v>149.24300700000001</v>
      </c>
      <c r="H15" s="140"/>
    </row>
    <row r="16" spans="2:15" x14ac:dyDescent="0.35">
      <c r="B16" s="192">
        <v>45608</v>
      </c>
      <c r="C16" s="193" t="s">
        <v>142</v>
      </c>
      <c r="D16" s="194">
        <v>179556</v>
      </c>
      <c r="E16" s="194">
        <v>26999992.472387999</v>
      </c>
      <c r="F16" s="194">
        <v>150.37087299999999</v>
      </c>
      <c r="H16" s="140"/>
    </row>
    <row r="17" spans="2:8" x14ac:dyDescent="0.35">
      <c r="B17" s="192">
        <v>45649</v>
      </c>
      <c r="C17" s="193" t="s">
        <v>142</v>
      </c>
      <c r="D17" s="194">
        <v>1217256</v>
      </c>
      <c r="E17" s="194">
        <v>189999883.47933602</v>
      </c>
      <c r="F17" s="194">
        <v>156.08868100000001</v>
      </c>
      <c r="H17" s="140"/>
    </row>
    <row r="18" spans="2:8" x14ac:dyDescent="0.35">
      <c r="B18" s="192">
        <v>45652</v>
      </c>
      <c r="C18" s="193" t="s">
        <v>142</v>
      </c>
      <c r="D18" s="194">
        <v>5751452</v>
      </c>
      <c r="E18" s="194">
        <v>899999971.43198788</v>
      </c>
      <c r="F18" s="194">
        <v>156.48221899999999</v>
      </c>
      <c r="H18" s="140"/>
    </row>
    <row r="19" spans="2:8" x14ac:dyDescent="0.35">
      <c r="B19" s="192">
        <v>45652</v>
      </c>
      <c r="C19" s="193" t="s">
        <v>142</v>
      </c>
      <c r="D19" s="194">
        <v>1469815</v>
      </c>
      <c r="E19" s="194">
        <v>229999912.71948498</v>
      </c>
      <c r="F19" s="194">
        <v>156.48221899999999</v>
      </c>
      <c r="H19" s="140"/>
    </row>
    <row r="20" spans="2:8" x14ac:dyDescent="0.35">
      <c r="B20" s="192">
        <v>45603</v>
      </c>
      <c r="C20" s="193" t="s">
        <v>143</v>
      </c>
      <c r="D20" s="194">
        <v>1578688.9606999978</v>
      </c>
      <c r="E20" s="194">
        <v>99766068.211006969</v>
      </c>
      <c r="F20" s="194">
        <v>63.195518999999997</v>
      </c>
      <c r="H20" s="140"/>
    </row>
    <row r="21" spans="2:8" x14ac:dyDescent="0.35">
      <c r="B21" s="192">
        <v>45617</v>
      </c>
      <c r="C21" s="193" t="s">
        <v>143</v>
      </c>
      <c r="D21" s="194">
        <v>5351017.5438999999</v>
      </c>
      <c r="E21" s="194">
        <v>339999999.99442351</v>
      </c>
      <c r="F21" s="194">
        <v>63.539316999999997</v>
      </c>
      <c r="H21" s="140"/>
    </row>
    <row r="22" spans="2:8" x14ac:dyDescent="0.35">
      <c r="B22" s="192">
        <v>45617</v>
      </c>
      <c r="C22" s="193" t="s">
        <v>143</v>
      </c>
      <c r="D22" s="194">
        <v>13359224.4999</v>
      </c>
      <c r="E22" s="194">
        <v>854999999.9944644</v>
      </c>
      <c r="F22" s="194">
        <v>64.000720999999999</v>
      </c>
      <c r="H22" s="140"/>
    </row>
    <row r="23" spans="2:8" x14ac:dyDescent="0.35">
      <c r="B23" s="192">
        <v>45623</v>
      </c>
      <c r="C23" s="193" t="s">
        <v>143</v>
      </c>
      <c r="D23" s="194">
        <v>3962907.0038999999</v>
      </c>
      <c r="E23" s="194">
        <v>254999999.99657315</v>
      </c>
      <c r="F23" s="194">
        <v>64.346703000000005</v>
      </c>
      <c r="H23" s="140"/>
    </row>
    <row r="24" spans="2:8" x14ac:dyDescent="0.35">
      <c r="B24" s="192">
        <v>45629</v>
      </c>
      <c r="C24" s="193" t="s">
        <v>143</v>
      </c>
      <c r="D24" s="194">
        <v>15457725.4318</v>
      </c>
      <c r="E24" s="194">
        <v>999999999.99522722</v>
      </c>
      <c r="F24" s="194">
        <v>64.692571000000001</v>
      </c>
      <c r="H24" s="140"/>
    </row>
    <row r="25" spans="2:8" x14ac:dyDescent="0.35">
      <c r="B25" s="192">
        <v>45637</v>
      </c>
      <c r="C25" s="193" t="s">
        <v>143</v>
      </c>
      <c r="D25" s="194">
        <v>5834020.6985999998</v>
      </c>
      <c r="E25" s="194">
        <v>379999999.99507815</v>
      </c>
      <c r="F25" s="194">
        <v>65.135182</v>
      </c>
      <c r="H25" s="140"/>
    </row>
    <row r="26" spans="2:8" x14ac:dyDescent="0.35">
      <c r="B26" s="192">
        <v>45642</v>
      </c>
      <c r="C26" s="193" t="s">
        <v>143</v>
      </c>
      <c r="D26" s="194">
        <v>5045326.2939999998</v>
      </c>
      <c r="E26" s="194">
        <v>329999999.99384594</v>
      </c>
      <c r="F26" s="194">
        <v>65.407067999999995</v>
      </c>
      <c r="H26" s="140"/>
    </row>
    <row r="27" spans="2:8" x14ac:dyDescent="0.35">
      <c r="B27" s="192">
        <v>45643</v>
      </c>
      <c r="C27" s="193" t="s">
        <v>143</v>
      </c>
      <c r="D27" s="194">
        <v>8707520.8368999995</v>
      </c>
      <c r="E27" s="194">
        <v>569999999.99458039</v>
      </c>
      <c r="F27" s="194">
        <v>65.460652999999994</v>
      </c>
      <c r="H27" s="140"/>
    </row>
    <row r="28" spans="2:8" x14ac:dyDescent="0.35">
      <c r="B28" s="192">
        <v>45645</v>
      </c>
      <c r="C28" s="193" t="s">
        <v>143</v>
      </c>
      <c r="D28" s="194">
        <v>1525149.4242</v>
      </c>
      <c r="E28" s="194">
        <v>99999999.998222172</v>
      </c>
      <c r="F28" s="194">
        <v>65.567346000000001</v>
      </c>
      <c r="H28" s="140"/>
    </row>
    <row r="29" spans="2:8" x14ac:dyDescent="0.35">
      <c r="B29" s="192">
        <v>45656</v>
      </c>
      <c r="C29" s="193" t="s">
        <v>143</v>
      </c>
      <c r="D29" s="194">
        <v>1511483.7394999999</v>
      </c>
      <c r="E29" s="194">
        <v>99999999.996783361</v>
      </c>
      <c r="F29" s="194">
        <v>66.160156000000001</v>
      </c>
      <c r="H29" s="140"/>
    </row>
    <row r="30" spans="2:8" x14ac:dyDescent="0.35">
      <c r="B30" s="192">
        <v>45558</v>
      </c>
      <c r="C30" s="193" t="s">
        <v>144</v>
      </c>
      <c r="D30" s="194">
        <v>3946260.397899881</v>
      </c>
      <c r="E30" s="194">
        <v>45745370.179547653</v>
      </c>
      <c r="F30" s="194">
        <v>11.592081</v>
      </c>
      <c r="H30" s="140"/>
    </row>
    <row r="31" spans="2:8" x14ac:dyDescent="0.35">
      <c r="B31" s="192">
        <v>45656</v>
      </c>
      <c r="C31" s="193" t="s">
        <v>144</v>
      </c>
      <c r="D31" s="194">
        <v>11936246.122199999</v>
      </c>
      <c r="E31" s="194">
        <v>151760118.8530283</v>
      </c>
      <c r="F31" s="194">
        <v>12.714225000000001</v>
      </c>
      <c r="H31" s="140"/>
    </row>
    <row r="32" spans="2:8" x14ac:dyDescent="0.35">
      <c r="B32" s="192"/>
      <c r="C32" s="193"/>
      <c r="D32" s="193"/>
      <c r="E32" s="193"/>
      <c r="F32" s="193"/>
    </row>
    <row r="33" spans="2:6" x14ac:dyDescent="0.35">
      <c r="B33" s="195"/>
      <c r="C33" s="196"/>
      <c r="D33" s="196"/>
      <c r="E33" s="196"/>
      <c r="F33" s="196"/>
    </row>
    <row r="34" spans="2:6" x14ac:dyDescent="0.35">
      <c r="B34" s="139"/>
    </row>
    <row r="35" spans="2:6" x14ac:dyDescent="0.35">
      <c r="B35" s="73" t="s">
        <v>145</v>
      </c>
      <c r="C35" s="74"/>
      <c r="D35" s="75">
        <f>SUM(D13:D33)</f>
        <v>91378946.953499869</v>
      </c>
      <c r="E35" s="75">
        <f>SUM(E13:E33)</f>
        <v>6240408652.3427811</v>
      </c>
      <c r="F35" s="197"/>
    </row>
    <row r="38" spans="2:6" x14ac:dyDescent="0.35">
      <c r="B38" s="185" t="s">
        <v>146</v>
      </c>
      <c r="C38" s="198"/>
      <c r="D38" s="198"/>
      <c r="E38" s="198"/>
      <c r="F38" s="199" t="s">
        <v>147</v>
      </c>
    </row>
    <row r="39" spans="2:6" x14ac:dyDescent="0.35">
      <c r="B39" s="198"/>
      <c r="C39" s="198"/>
      <c r="D39" s="198"/>
      <c r="E39" s="198"/>
      <c r="F39" s="198"/>
    </row>
    <row r="40" spans="2:6" x14ac:dyDescent="0.35">
      <c r="B40" s="186" t="s">
        <v>90</v>
      </c>
      <c r="C40" s="186" t="s">
        <v>92</v>
      </c>
      <c r="D40" s="186" t="s">
        <v>197</v>
      </c>
      <c r="E40" s="186" t="s">
        <v>198</v>
      </c>
      <c r="F40" s="186" t="s">
        <v>199</v>
      </c>
    </row>
    <row r="41" spans="2:6" x14ac:dyDescent="0.35">
      <c r="B41" s="187" t="s">
        <v>148</v>
      </c>
      <c r="C41" s="188" t="s">
        <v>126</v>
      </c>
      <c r="D41" s="188" t="s">
        <v>132</v>
      </c>
      <c r="E41" s="188" t="s">
        <v>138</v>
      </c>
      <c r="F41" s="200" t="s">
        <v>139</v>
      </c>
    </row>
    <row r="42" spans="2:6" x14ac:dyDescent="0.35">
      <c r="B42" s="201">
        <v>45659</v>
      </c>
      <c r="C42" s="193" t="s">
        <v>142</v>
      </c>
      <c r="D42" s="202">
        <v>-3811318</v>
      </c>
      <c r="E42" s="203">
        <v>-600000040.55999994</v>
      </c>
      <c r="F42" s="204">
        <v>157.42586699929001</v>
      </c>
    </row>
    <row r="43" spans="2:6" x14ac:dyDescent="0.35">
      <c r="B43" s="201">
        <v>45663</v>
      </c>
      <c r="C43" s="193" t="s">
        <v>144</v>
      </c>
      <c r="D43" s="205">
        <v>-413527.97960000002</v>
      </c>
      <c r="E43" s="206">
        <v>-5288936.43</v>
      </c>
      <c r="F43" s="207">
        <v>12.789790995801338</v>
      </c>
    </row>
    <row r="44" spans="2:6" x14ac:dyDescent="0.35">
      <c r="B44" s="201">
        <v>45663</v>
      </c>
      <c r="C44" s="193" t="s">
        <v>143</v>
      </c>
      <c r="D44" s="205">
        <v>-14725738.013</v>
      </c>
      <c r="E44" s="206">
        <v>-980000000</v>
      </c>
    </row>
    <row r="45" spans="2:6" x14ac:dyDescent="0.35">
      <c r="B45" s="201">
        <v>45664</v>
      </c>
      <c r="C45" s="193" t="s">
        <v>143</v>
      </c>
      <c r="D45" s="205">
        <v>3002848.5321</v>
      </c>
      <c r="E45" s="206">
        <v>200000000</v>
      </c>
      <c r="F45" s="207">
        <v>66.550145000192728</v>
      </c>
    </row>
    <row r="46" spans="2:6" x14ac:dyDescent="0.35">
      <c r="B46" s="201">
        <v>45665</v>
      </c>
      <c r="C46" s="193" t="s">
        <v>143</v>
      </c>
      <c r="D46" s="205">
        <v>12001937.7728</v>
      </c>
      <c r="E46" s="206">
        <v>800000000</v>
      </c>
      <c r="F46" s="207">
        <v>66.655903000350534</v>
      </c>
    </row>
    <row r="47" spans="2:6" x14ac:dyDescent="0.35">
      <c r="B47" s="201">
        <v>45666</v>
      </c>
      <c r="C47" s="193" t="s">
        <v>143</v>
      </c>
      <c r="D47" s="205">
        <v>-9893868.9177999999</v>
      </c>
      <c r="E47" s="206">
        <v>-660000000</v>
      </c>
      <c r="F47" s="207">
        <v>66.707979000267329</v>
      </c>
    </row>
    <row r="48" spans="2:6" x14ac:dyDescent="0.35">
      <c r="B48" s="201">
        <v>45667</v>
      </c>
      <c r="C48" s="193" t="s">
        <v>143</v>
      </c>
      <c r="D48" s="205">
        <v>-3969430.9479</v>
      </c>
      <c r="E48" s="206">
        <v>-265000000</v>
      </c>
      <c r="F48" s="207">
        <v>66.760199000362107</v>
      </c>
    </row>
    <row r="49" spans="2:6" x14ac:dyDescent="0.35">
      <c r="B49" s="201">
        <v>45670</v>
      </c>
      <c r="C49" s="193" t="s">
        <v>143</v>
      </c>
      <c r="D49" s="205">
        <v>-5005875.0294000003</v>
      </c>
      <c r="E49" s="206">
        <v>-335000000</v>
      </c>
      <c r="F49" s="207">
        <v>66.92136700027703</v>
      </c>
    </row>
    <row r="50" spans="2:6" x14ac:dyDescent="0.35">
      <c r="B50" s="201">
        <v>45671</v>
      </c>
      <c r="C50" s="193" t="s">
        <v>143</v>
      </c>
      <c r="D50" s="205">
        <v>-447926.15120000002</v>
      </c>
      <c r="E50" s="206">
        <v>-30000000</v>
      </c>
      <c r="F50" s="207">
        <v>66.975325998782623</v>
      </c>
    </row>
    <row r="51" spans="2:6" x14ac:dyDescent="0.35">
      <c r="B51" s="201">
        <v>45672</v>
      </c>
      <c r="C51" s="193" t="s">
        <v>143</v>
      </c>
      <c r="D51" s="205">
        <v>2685330.5893999999</v>
      </c>
      <c r="E51" s="206">
        <v>180000000</v>
      </c>
      <c r="F51" s="207">
        <v>67.030853002057569</v>
      </c>
    </row>
    <row r="52" spans="2:6" x14ac:dyDescent="0.35">
      <c r="B52" s="201">
        <v>45673</v>
      </c>
      <c r="C52" s="193" t="s">
        <v>143</v>
      </c>
      <c r="D52" s="205">
        <v>-2086899.8203</v>
      </c>
      <c r="E52" s="206">
        <v>-140000000</v>
      </c>
      <c r="F52" s="207">
        <v>67.085155999426192</v>
      </c>
    </row>
    <row r="53" spans="2:6" x14ac:dyDescent="0.35">
      <c r="B53" s="201">
        <v>45674</v>
      </c>
      <c r="C53" s="193" t="s">
        <v>142</v>
      </c>
      <c r="D53" s="205">
        <v>-1254247</v>
      </c>
      <c r="E53" s="206">
        <v>-200000064.30000001</v>
      </c>
      <c r="F53" s="207">
        <v>159.45827600145745</v>
      </c>
    </row>
    <row r="54" spans="2:6" x14ac:dyDescent="0.35">
      <c r="B54" s="201">
        <v>45677</v>
      </c>
      <c r="C54" s="193" t="s">
        <v>143</v>
      </c>
      <c r="D54" s="205">
        <v>-6537867.7012</v>
      </c>
      <c r="E54" s="206">
        <v>-440000000</v>
      </c>
      <c r="F54" s="207">
        <v>67.300229999949323</v>
      </c>
    </row>
    <row r="55" spans="2:6" x14ac:dyDescent="0.35">
      <c r="B55" s="201">
        <v>45678</v>
      </c>
      <c r="C55" s="193" t="s">
        <v>143</v>
      </c>
      <c r="D55" s="205">
        <v>-6384213.6153999995</v>
      </c>
      <c r="E55" s="206">
        <v>-430000000</v>
      </c>
      <c r="F55" s="207">
        <v>67.353636000329629</v>
      </c>
    </row>
    <row r="56" spans="2:6" x14ac:dyDescent="0.35">
      <c r="B56" s="201">
        <v>45679</v>
      </c>
      <c r="C56" s="193" t="s">
        <v>143</v>
      </c>
      <c r="D56" s="205">
        <v>-2670334.2422000002</v>
      </c>
      <c r="E56" s="206">
        <v>-180000000</v>
      </c>
      <c r="F56" s="207">
        <v>67.407291999410504</v>
      </c>
    </row>
    <row r="57" spans="2:6" x14ac:dyDescent="0.35">
      <c r="B57" s="201">
        <v>45680</v>
      </c>
      <c r="C57" s="193" t="s">
        <v>143</v>
      </c>
      <c r="D57" s="205">
        <v>-963514.02159999998</v>
      </c>
      <c r="E57" s="206">
        <v>-65000000</v>
      </c>
      <c r="F57" s="207">
        <v>67.461395000834315</v>
      </c>
    </row>
    <row r="58" spans="2:6" x14ac:dyDescent="0.35">
      <c r="B58" s="201">
        <v>45681</v>
      </c>
      <c r="C58" s="193" t="s">
        <v>143</v>
      </c>
      <c r="D58" s="205">
        <v>-1407069.9608</v>
      </c>
      <c r="E58" s="206">
        <v>-95000000</v>
      </c>
      <c r="F58" s="207">
        <v>67.516187998205183</v>
      </c>
    </row>
    <row r="59" spans="2:6" x14ac:dyDescent="0.35">
      <c r="B59" s="201">
        <v>45684</v>
      </c>
      <c r="C59" s="193" t="s">
        <v>143</v>
      </c>
      <c r="D59" s="205">
        <v>-2511754.8278999999</v>
      </c>
      <c r="E59" s="206">
        <v>-170000000</v>
      </c>
      <c r="F59" s="207">
        <v>67.681765000181855</v>
      </c>
    </row>
    <row r="60" spans="2:6" x14ac:dyDescent="0.35">
      <c r="B60" s="201">
        <v>45685</v>
      </c>
      <c r="C60" s="193" t="s">
        <v>143</v>
      </c>
      <c r="D60" s="205">
        <v>-4428897.0473999996</v>
      </c>
      <c r="E60" s="206">
        <v>-300000000</v>
      </c>
      <c r="F60" s="207">
        <v>67.736955000143013</v>
      </c>
    </row>
    <row r="61" spans="2:6" x14ac:dyDescent="0.35">
      <c r="B61" s="201">
        <v>45686</v>
      </c>
      <c r="C61" s="193" t="s">
        <v>143</v>
      </c>
      <c r="D61" s="205">
        <v>-4572814.9309</v>
      </c>
      <c r="E61" s="206">
        <v>-310000000</v>
      </c>
      <c r="F61" s="207">
        <v>67.791941000111123</v>
      </c>
    </row>
    <row r="62" spans="2:6" x14ac:dyDescent="0.35">
      <c r="B62" s="201">
        <v>45687</v>
      </c>
      <c r="C62" s="193" t="s">
        <v>142</v>
      </c>
      <c r="D62" s="205">
        <v>-1649923</v>
      </c>
      <c r="E62" s="206">
        <v>-266000122.43000001</v>
      </c>
      <c r="F62" s="207">
        <v>161.21971899900782</v>
      </c>
    </row>
    <row r="63" spans="2:6" x14ac:dyDescent="0.35">
      <c r="B63" s="201">
        <v>45687</v>
      </c>
      <c r="C63" s="193" t="s">
        <v>143</v>
      </c>
      <c r="D63" s="205">
        <v>2947822.4229000001</v>
      </c>
      <c r="E63" s="206">
        <v>200000000</v>
      </c>
      <c r="F63" s="207">
        <v>67.846692000953226</v>
      </c>
    </row>
    <row r="64" spans="2:6" x14ac:dyDescent="0.35">
      <c r="B64" s="201">
        <v>45688</v>
      </c>
      <c r="C64" s="193" t="s">
        <v>143</v>
      </c>
      <c r="D64" s="205">
        <v>-5301811.0427000001</v>
      </c>
      <c r="E64" s="206">
        <v>-360000000</v>
      </c>
      <c r="F64" s="207">
        <v>67.901325999854265</v>
      </c>
    </row>
    <row r="65" spans="2:6" x14ac:dyDescent="0.35">
      <c r="B65" s="201">
        <v>45693</v>
      </c>
      <c r="C65" s="193" t="s">
        <v>142</v>
      </c>
      <c r="D65" s="205">
        <v>-1296415</v>
      </c>
      <c r="E65" s="206">
        <v>-210000072.88</v>
      </c>
      <c r="F65" s="207">
        <v>161.9852230034364</v>
      </c>
    </row>
    <row r="66" spans="2:6" x14ac:dyDescent="0.35">
      <c r="B66" s="201">
        <v>45694</v>
      </c>
      <c r="C66" s="193" t="s">
        <v>142</v>
      </c>
      <c r="D66" s="205">
        <v>-801922</v>
      </c>
      <c r="E66" s="206">
        <v>-130000042.14</v>
      </c>
      <c r="F66" s="207">
        <v>162.11058200174082</v>
      </c>
    </row>
    <row r="67" spans="2:6" x14ac:dyDescent="0.35">
      <c r="B67" s="201">
        <v>45695</v>
      </c>
      <c r="C67" s="193" t="s">
        <v>142</v>
      </c>
      <c r="D67" s="205">
        <v>-1448515</v>
      </c>
      <c r="E67" s="206">
        <v>-235000097.55000001</v>
      </c>
      <c r="F67" s="207">
        <v>162.23518399878498</v>
      </c>
    </row>
    <row r="68" spans="2:6" x14ac:dyDescent="0.35">
      <c r="B68" s="201">
        <v>45698</v>
      </c>
      <c r="C68" s="193" t="s">
        <v>143</v>
      </c>
      <c r="D68" s="205">
        <v>-7966432.2319</v>
      </c>
      <c r="E68" s="206">
        <v>-545000000</v>
      </c>
      <c r="F68" s="207">
        <v>68.41205499968423</v>
      </c>
    </row>
    <row r="69" spans="2:6" x14ac:dyDescent="0.35">
      <c r="B69" s="201">
        <v>45699</v>
      </c>
      <c r="C69" s="193" t="s">
        <v>143</v>
      </c>
      <c r="D69" s="205">
        <v>1168507.6211999999</v>
      </c>
      <c r="E69" s="206">
        <v>80000000</v>
      </c>
      <c r="F69" s="207">
        <v>68.463396000655891</v>
      </c>
    </row>
    <row r="70" spans="2:6" x14ac:dyDescent="0.35">
      <c r="B70" s="201">
        <v>45700</v>
      </c>
      <c r="C70" s="193" t="s">
        <v>143</v>
      </c>
      <c r="D70" s="205">
        <v>21893030.506900001</v>
      </c>
      <c r="E70" s="206">
        <v>1500000000</v>
      </c>
      <c r="F70" s="207">
        <v>68.5149550002795</v>
      </c>
    </row>
    <row r="71" spans="2:6" x14ac:dyDescent="0.35">
      <c r="B71" s="201">
        <v>45701</v>
      </c>
      <c r="C71" s="193" t="s">
        <v>144</v>
      </c>
      <c r="D71" s="205">
        <v>-5026033.0066</v>
      </c>
      <c r="E71" s="206">
        <v>-66274000</v>
      </c>
      <c r="F71" s="207">
        <v>13.186145000037095</v>
      </c>
    </row>
    <row r="72" spans="2:6" x14ac:dyDescent="0.35">
      <c r="B72" s="201">
        <v>45702</v>
      </c>
      <c r="C72" s="193" t="s">
        <v>143</v>
      </c>
      <c r="D72" s="205">
        <v>-2623167.5153000001</v>
      </c>
      <c r="E72" s="206">
        <v>-180000000</v>
      </c>
      <c r="F72" s="207">
        <v>68.61933099968806</v>
      </c>
    </row>
    <row r="73" spans="2:6" x14ac:dyDescent="0.35">
      <c r="B73" s="201">
        <v>45705</v>
      </c>
      <c r="C73" s="193" t="s">
        <v>143</v>
      </c>
      <c r="D73" s="205">
        <v>-1235911.4635000001</v>
      </c>
      <c r="E73" s="206">
        <v>-85000000</v>
      </c>
      <c r="F73" s="207">
        <v>68.775153002697266</v>
      </c>
    </row>
    <row r="74" spans="2:6" x14ac:dyDescent="0.35">
      <c r="B74" s="201">
        <v>45706</v>
      </c>
      <c r="C74" s="193" t="s">
        <v>143</v>
      </c>
      <c r="D74" s="205">
        <v>11405437.921</v>
      </c>
      <c r="E74" s="206">
        <v>785000000</v>
      </c>
      <c r="F74" s="207">
        <v>68.826818000090711</v>
      </c>
    </row>
    <row r="75" spans="2:6" x14ac:dyDescent="0.35">
      <c r="B75" s="201">
        <v>45707</v>
      </c>
      <c r="C75" s="193" t="s">
        <v>143</v>
      </c>
      <c r="D75" s="205">
        <v>-4645957.0903000003</v>
      </c>
      <c r="E75" s="206">
        <v>-320000000</v>
      </c>
      <c r="F75" s="207">
        <v>68.877089000263851</v>
      </c>
    </row>
    <row r="76" spans="2:6" x14ac:dyDescent="0.35">
      <c r="B76" s="201">
        <v>45708</v>
      </c>
      <c r="C76" s="193" t="s">
        <v>144</v>
      </c>
      <c r="D76" s="205">
        <v>-139996.22750000001</v>
      </c>
      <c r="E76" s="206">
        <v>-1855865.59</v>
      </c>
      <c r="F76" s="207">
        <v>13.256540002122557</v>
      </c>
    </row>
    <row r="77" spans="2:6" x14ac:dyDescent="0.35">
      <c r="B77" s="201">
        <v>45709</v>
      </c>
      <c r="C77" s="193" t="s">
        <v>143</v>
      </c>
      <c r="D77" s="205">
        <v>-1232303.6306</v>
      </c>
      <c r="E77" s="206">
        <v>-85000000</v>
      </c>
      <c r="F77" s="207">
        <v>68.976506998209601</v>
      </c>
    </row>
    <row r="78" spans="2:6" x14ac:dyDescent="0.35">
      <c r="B78" s="201">
        <v>45712</v>
      </c>
      <c r="C78" s="193" t="s">
        <v>143</v>
      </c>
      <c r="D78" s="205">
        <v>-795658.97719999996</v>
      </c>
      <c r="E78" s="206">
        <v>-55000000</v>
      </c>
      <c r="F78" s="207">
        <v>69.125092000533016</v>
      </c>
    </row>
    <row r="79" spans="2:6" x14ac:dyDescent="0.35">
      <c r="B79" s="201">
        <v>45713</v>
      </c>
      <c r="C79" s="193" t="s">
        <v>143</v>
      </c>
      <c r="D79" s="205">
        <v>-1445625.6813000001</v>
      </c>
      <c r="E79" s="206">
        <v>-100000000</v>
      </c>
      <c r="F79" s="207">
        <v>69.17419999766021</v>
      </c>
    </row>
    <row r="80" spans="2:6" x14ac:dyDescent="0.35">
      <c r="B80" s="201">
        <v>45714</v>
      </c>
      <c r="C80" s="193" t="s">
        <v>143</v>
      </c>
      <c r="D80" s="205">
        <v>5200546.8086000001</v>
      </c>
      <c r="E80" s="206">
        <v>360000000</v>
      </c>
      <c r="F80" s="207">
        <v>69.223490000066533</v>
      </c>
    </row>
    <row r="81" spans="2:6" x14ac:dyDescent="0.35">
      <c r="B81" s="201">
        <v>45715</v>
      </c>
      <c r="C81" s="193" t="s">
        <v>143</v>
      </c>
      <c r="D81" s="205">
        <v>2021009.2282</v>
      </c>
      <c r="E81" s="206">
        <v>140000000</v>
      </c>
      <c r="F81" s="207">
        <v>69.272321000082798</v>
      </c>
    </row>
    <row r="82" spans="2:6" x14ac:dyDescent="0.35">
      <c r="B82" s="201">
        <v>45716</v>
      </c>
      <c r="C82" s="193" t="s">
        <v>143</v>
      </c>
      <c r="D82" s="205">
        <v>-7212726.3074000003</v>
      </c>
      <c r="E82" s="206">
        <v>-500000000</v>
      </c>
      <c r="F82" s="207">
        <v>69.321915000021249</v>
      </c>
    </row>
    <row r="83" spans="2:6" x14ac:dyDescent="0.35">
      <c r="B83" s="201">
        <v>45721</v>
      </c>
      <c r="C83" s="193" t="s">
        <v>143</v>
      </c>
      <c r="D83" s="205">
        <v>6755725.2363</v>
      </c>
      <c r="E83" s="206">
        <v>469999999.99476278</v>
      </c>
      <c r="F83" s="207">
        <v>69.570621000000003</v>
      </c>
    </row>
    <row r="84" spans="2:6" x14ac:dyDescent="0.35">
      <c r="B84" s="201">
        <v>45722</v>
      </c>
      <c r="C84" s="193" t="s">
        <v>142</v>
      </c>
      <c r="D84" s="205">
        <v>-1678975</v>
      </c>
      <c r="E84" s="206">
        <v>-278000093.54030001</v>
      </c>
      <c r="F84" s="207">
        <v>165.577268</v>
      </c>
    </row>
    <row r="85" spans="2:6" x14ac:dyDescent="0.35">
      <c r="B85" s="201">
        <v>45722</v>
      </c>
      <c r="C85" s="193" t="s">
        <v>143</v>
      </c>
      <c r="D85" s="205">
        <v>14363654.553200001</v>
      </c>
      <c r="E85" s="206">
        <v>999999999.99678528</v>
      </c>
      <c r="F85" s="207">
        <v>69.620165</v>
      </c>
    </row>
    <row r="86" spans="2:6" x14ac:dyDescent="0.35">
      <c r="B86" s="201">
        <v>45723</v>
      </c>
      <c r="C86" s="193" t="s">
        <v>143</v>
      </c>
      <c r="D86" s="205">
        <v>-2440076.3887</v>
      </c>
      <c r="E86" s="206">
        <v>-169999999.99690956</v>
      </c>
      <c r="F86" s="207">
        <v>69.66995</v>
      </c>
    </row>
    <row r="87" spans="2:6" x14ac:dyDescent="0.35">
      <c r="B87" s="201">
        <v>45726</v>
      </c>
      <c r="C87" s="193" t="s">
        <v>143</v>
      </c>
      <c r="D87" s="205">
        <v>2291633.5751999998</v>
      </c>
      <c r="E87" s="206">
        <v>159999999.99726808</v>
      </c>
      <c r="F87" s="207">
        <v>69.819190000000006</v>
      </c>
    </row>
    <row r="88" spans="2:6" x14ac:dyDescent="0.35">
      <c r="B88" s="201">
        <v>45728</v>
      </c>
      <c r="C88" s="193" t="s">
        <v>143</v>
      </c>
      <c r="D88" s="205">
        <v>9082117.8347999994</v>
      </c>
      <c r="E88" s="206">
        <v>634999999.99394429</v>
      </c>
      <c r="F88" s="207">
        <v>69.917613000000003</v>
      </c>
    </row>
    <row r="89" spans="2:6" x14ac:dyDescent="0.35">
      <c r="B89" s="201">
        <v>45729</v>
      </c>
      <c r="C89" s="193" t="s">
        <v>143</v>
      </c>
      <c r="D89" s="205">
        <v>128633.1688</v>
      </c>
      <c r="E89" s="206">
        <v>8999999.9987946581</v>
      </c>
      <c r="F89" s="207">
        <v>69.966402000000002</v>
      </c>
    </row>
    <row r="90" spans="2:6" x14ac:dyDescent="0.35">
      <c r="B90" s="201">
        <v>45730</v>
      </c>
      <c r="C90" s="193" t="s">
        <v>143</v>
      </c>
      <c r="D90" s="205">
        <v>-785540.13150000002</v>
      </c>
      <c r="E90" s="206">
        <v>-55000000.002300747</v>
      </c>
      <c r="F90" s="207">
        <v>70.015518999999998</v>
      </c>
    </row>
    <row r="91" spans="2:6" x14ac:dyDescent="0.35">
      <c r="B91" s="201">
        <v>45733</v>
      </c>
      <c r="C91" s="193" t="s">
        <v>142</v>
      </c>
      <c r="D91" s="205">
        <v>958557</v>
      </c>
      <c r="E91" s="206">
        <v>160000000</v>
      </c>
      <c r="F91" s="207">
        <v>166.91756463100265</v>
      </c>
    </row>
    <row r="92" spans="2:6" x14ac:dyDescent="0.35">
      <c r="B92" s="201">
        <v>45734</v>
      </c>
      <c r="C92" s="193" t="s">
        <v>144</v>
      </c>
      <c r="D92" s="205">
        <v>40707863.863700002</v>
      </c>
      <c r="E92" s="206">
        <v>550000000</v>
      </c>
      <c r="F92" s="207">
        <v>13.510903000008451</v>
      </c>
    </row>
    <row r="93" spans="2:6" x14ac:dyDescent="0.35">
      <c r="B93" s="201">
        <v>45734</v>
      </c>
      <c r="C93" s="193" t="s">
        <v>143</v>
      </c>
      <c r="D93" s="205">
        <v>-8545336.6068999991</v>
      </c>
      <c r="E93" s="206">
        <v>-600000000.00267565</v>
      </c>
      <c r="F93" s="207">
        <v>70.213735</v>
      </c>
    </row>
    <row r="94" spans="2:6" x14ac:dyDescent="0.35">
      <c r="B94" s="201">
        <v>45736</v>
      </c>
      <c r="C94" s="193" t="s">
        <v>143</v>
      </c>
      <c r="D94" s="205">
        <v>7822247.9209000003</v>
      </c>
      <c r="E94" s="206">
        <v>549999999.99901152</v>
      </c>
      <c r="F94" s="207">
        <v>70.312269000000001</v>
      </c>
    </row>
    <row r="95" spans="2:6" x14ac:dyDescent="0.35">
      <c r="B95" s="201">
        <v>45737</v>
      </c>
      <c r="C95" s="193" t="s">
        <v>143</v>
      </c>
      <c r="D95" s="205">
        <v>568490.99159999995</v>
      </c>
      <c r="E95" s="206">
        <v>39999999.994044602</v>
      </c>
      <c r="F95" s="207">
        <v>70.361712999999995</v>
      </c>
    </row>
    <row r="96" spans="2:6" x14ac:dyDescent="0.35">
      <c r="B96" s="201">
        <v>45741</v>
      </c>
      <c r="C96" s="193" t="s">
        <v>143</v>
      </c>
      <c r="D96" s="205">
        <v>6235720.8192999996</v>
      </c>
      <c r="E96" s="206">
        <v>439999999.99627852</v>
      </c>
      <c r="F96" s="207">
        <v>70.561209000000005</v>
      </c>
    </row>
    <row r="97" spans="2:6" x14ac:dyDescent="0.35">
      <c r="B97" s="201">
        <v>45742</v>
      </c>
      <c r="C97" s="193" t="s">
        <v>143</v>
      </c>
      <c r="D97" s="205">
        <v>3965393.4449</v>
      </c>
      <c r="E97" s="206">
        <v>279999999.99848944</v>
      </c>
      <c r="F97" s="207">
        <v>70.610900000000001</v>
      </c>
    </row>
    <row r="98" spans="2:6" x14ac:dyDescent="0.35">
      <c r="B98" s="201">
        <v>45743</v>
      </c>
      <c r="C98" s="193" t="s">
        <v>144</v>
      </c>
      <c r="D98" s="205">
        <v>-48690192.690700002</v>
      </c>
      <c r="E98" s="206">
        <v>-662170552.83000004</v>
      </c>
      <c r="F98" s="207">
        <v>13.599670000001396</v>
      </c>
    </row>
    <row r="99" spans="2:6" x14ac:dyDescent="0.35">
      <c r="B99" s="201">
        <v>45743</v>
      </c>
      <c r="C99" s="193" t="s">
        <v>143</v>
      </c>
      <c r="D99" s="205">
        <v>-283042.48599999998</v>
      </c>
      <c r="E99" s="206">
        <v>-20000000.003474217</v>
      </c>
      <c r="F99" s="207">
        <v>70.660769999999999</v>
      </c>
    </row>
    <row r="100" spans="2:6" x14ac:dyDescent="0.35">
      <c r="B100" s="201">
        <v>45744</v>
      </c>
      <c r="C100" s="193" t="s">
        <v>143</v>
      </c>
      <c r="D100" s="205">
        <v>494976.24560000002</v>
      </c>
      <c r="E100" s="206">
        <v>34999999.99535396</v>
      </c>
      <c r="F100" s="207">
        <v>70.710464000000002</v>
      </c>
    </row>
    <row r="101" spans="2:6" x14ac:dyDescent="0.35">
      <c r="B101" s="201">
        <v>45747</v>
      </c>
      <c r="C101" s="193" t="s">
        <v>142</v>
      </c>
      <c r="D101" s="205">
        <v>50405</v>
      </c>
      <c r="E101" s="206">
        <v>8500000</v>
      </c>
      <c r="F101" s="207">
        <v>168.63406408094434</v>
      </c>
    </row>
    <row r="102" spans="2:6" x14ac:dyDescent="0.35">
      <c r="B102" s="201">
        <v>45747</v>
      </c>
      <c r="C102" s="193" t="s">
        <v>143</v>
      </c>
      <c r="D102" s="205">
        <v>635038.1629</v>
      </c>
      <c r="E102" s="206">
        <v>45000000</v>
      </c>
      <c r="F102" s="207">
        <v>70.861883000071273</v>
      </c>
    </row>
    <row r="103" spans="2:6" x14ac:dyDescent="0.35">
      <c r="B103" s="201">
        <v>45750</v>
      </c>
      <c r="C103" s="193" t="s">
        <v>143</v>
      </c>
      <c r="D103" s="205">
        <v>-10279825.7279</v>
      </c>
      <c r="E103" s="206">
        <v>-729999999.99679828</v>
      </c>
      <c r="F103" s="207">
        <v>71.012877000000003</v>
      </c>
    </row>
    <row r="104" spans="2:6" x14ac:dyDescent="0.35">
      <c r="B104" s="201">
        <v>45751</v>
      </c>
      <c r="C104" s="193" t="s">
        <v>143</v>
      </c>
      <c r="D104" s="205">
        <v>-4080867.5981000001</v>
      </c>
      <c r="E104" s="206">
        <v>-290000000.00141174</v>
      </c>
      <c r="F104" s="207">
        <v>71.063320000000004</v>
      </c>
    </row>
    <row r="105" spans="2:6" x14ac:dyDescent="0.35">
      <c r="B105" s="201">
        <v>45754</v>
      </c>
      <c r="C105" s="193" t="s">
        <v>143</v>
      </c>
      <c r="D105" s="205">
        <v>1333957.6629000001</v>
      </c>
      <c r="E105" s="206">
        <v>94999999.995440274</v>
      </c>
      <c r="F105" s="207">
        <v>71.216652999999994</v>
      </c>
    </row>
    <row r="106" spans="2:6" x14ac:dyDescent="0.35">
      <c r="B106" s="201">
        <v>45755</v>
      </c>
      <c r="C106" s="193" t="s">
        <v>143</v>
      </c>
      <c r="D106" s="205">
        <v>-5893286.6387</v>
      </c>
      <c r="E106" s="206">
        <v>-420000000.00201136</v>
      </c>
      <c r="F106" s="207">
        <v>71.267533</v>
      </c>
    </row>
    <row r="107" spans="2:6" x14ac:dyDescent="0.35">
      <c r="B107" s="201">
        <v>45756</v>
      </c>
      <c r="C107" s="193" t="s">
        <v>143</v>
      </c>
      <c r="D107" s="205">
        <v>3084761.3476</v>
      </c>
      <c r="E107" s="206">
        <v>219999999.99652937</v>
      </c>
      <c r="F107" s="207">
        <v>71.318320999999997</v>
      </c>
    </row>
    <row r="108" spans="2:6" x14ac:dyDescent="0.35">
      <c r="B108" s="201">
        <v>45757</v>
      </c>
      <c r="C108" s="193" t="s">
        <v>143</v>
      </c>
      <c r="D108" s="205">
        <v>-3572942.6683999998</v>
      </c>
      <c r="E108" s="206">
        <v>-254999999.99744222</v>
      </c>
      <c r="F108" s="207">
        <v>71.369743</v>
      </c>
    </row>
    <row r="109" spans="2:6" x14ac:dyDescent="0.35">
      <c r="B109" s="201">
        <v>45758</v>
      </c>
      <c r="C109" s="193" t="s">
        <v>143</v>
      </c>
      <c r="D109" s="205">
        <v>2870271.3382000001</v>
      </c>
      <c r="E109" s="206">
        <v>204999999.99780819</v>
      </c>
      <c r="F109" s="207">
        <v>71.421818999999999</v>
      </c>
    </row>
    <row r="110" spans="2:6" x14ac:dyDescent="0.35">
      <c r="B110" s="201">
        <v>45761</v>
      </c>
      <c r="C110" s="193" t="s">
        <v>143</v>
      </c>
      <c r="D110" s="205">
        <v>-2374620.7574</v>
      </c>
      <c r="E110" s="206">
        <v>-170000000.00353307</v>
      </c>
      <c r="F110" s="207">
        <v>71.590378999999999</v>
      </c>
    </row>
    <row r="111" spans="2:6" x14ac:dyDescent="0.35">
      <c r="B111" s="201">
        <v>45762</v>
      </c>
      <c r="C111" s="193" t="s">
        <v>143</v>
      </c>
      <c r="D111" s="205">
        <v>4535832.7437000005</v>
      </c>
      <c r="E111" s="206">
        <v>324999999.99845254</v>
      </c>
      <c r="F111" s="207">
        <v>71.651672000000005</v>
      </c>
    </row>
    <row r="112" spans="2:6" x14ac:dyDescent="0.35">
      <c r="B112" s="201">
        <v>45763</v>
      </c>
      <c r="C112" s="193" t="s">
        <v>143</v>
      </c>
      <c r="D112" s="205">
        <v>5717325.0999999996</v>
      </c>
      <c r="E112" s="206">
        <v>409999999.99371064</v>
      </c>
      <c r="F112" s="207">
        <v>71.711856999999995</v>
      </c>
    </row>
    <row r="113" spans="2:6" x14ac:dyDescent="0.35">
      <c r="B113" s="201">
        <v>45768</v>
      </c>
      <c r="C113" s="193" t="s">
        <v>142</v>
      </c>
      <c r="D113" s="205">
        <v>-1749956</v>
      </c>
      <c r="E113" s="206">
        <v>-300000024.95257598</v>
      </c>
      <c r="F113" s="207">
        <v>171.432896</v>
      </c>
    </row>
    <row r="114" spans="2:6" x14ac:dyDescent="0.35">
      <c r="B114" s="201">
        <v>45769</v>
      </c>
      <c r="C114" s="193" t="s">
        <v>142</v>
      </c>
      <c r="D114" s="205">
        <v>2914420</v>
      </c>
      <c r="E114" s="206">
        <v>499999981.92472005</v>
      </c>
      <c r="F114" s="207">
        <v>171.56071600000001</v>
      </c>
    </row>
    <row r="115" spans="2:6" x14ac:dyDescent="0.35">
      <c r="B115" s="201">
        <v>45769</v>
      </c>
      <c r="C115" s="193" t="s">
        <v>142</v>
      </c>
      <c r="D115" s="205">
        <v>2914420</v>
      </c>
      <c r="E115" s="206">
        <v>499999981.92472005</v>
      </c>
      <c r="F115" s="207">
        <v>171.56071600000001</v>
      </c>
    </row>
    <row r="116" spans="2:6" x14ac:dyDescent="0.35">
      <c r="B116" s="201">
        <v>45769</v>
      </c>
      <c r="C116" s="193" t="s">
        <v>143</v>
      </c>
      <c r="D116" s="205">
        <v>-7218476.4345000004</v>
      </c>
      <c r="E116" s="206">
        <v>-520000000.00054586</v>
      </c>
      <c r="F116" s="207">
        <v>72.037362000000002</v>
      </c>
    </row>
    <row r="117" spans="2:6" x14ac:dyDescent="0.35">
      <c r="B117" s="201">
        <v>45770</v>
      </c>
      <c r="C117" s="193" t="s">
        <v>143</v>
      </c>
      <c r="D117" s="205">
        <v>2496987.8695999999</v>
      </c>
      <c r="E117" s="206">
        <v>179999999.99562624</v>
      </c>
      <c r="F117" s="207">
        <v>72.086854000000002</v>
      </c>
    </row>
    <row r="118" spans="2:6" x14ac:dyDescent="0.35">
      <c r="B118" s="201">
        <v>45771</v>
      </c>
      <c r="C118" s="193" t="s">
        <v>142</v>
      </c>
      <c r="D118" s="205">
        <v>-611160</v>
      </c>
      <c r="E118" s="206">
        <v>-105000032.10839999</v>
      </c>
      <c r="F118" s="207">
        <v>171.80448999999999</v>
      </c>
    </row>
    <row r="119" spans="2:6" x14ac:dyDescent="0.35">
      <c r="B119" s="201">
        <v>45772</v>
      </c>
      <c r="C119" s="193" t="s">
        <v>143</v>
      </c>
      <c r="D119" s="205">
        <v>-831188.79700000002</v>
      </c>
      <c r="E119" s="206">
        <v>-60000000.002063505</v>
      </c>
      <c r="F119" s="207">
        <v>72.185766000000001</v>
      </c>
    </row>
    <row r="120" spans="2:6" x14ac:dyDescent="0.35">
      <c r="B120" s="201">
        <v>45775</v>
      </c>
      <c r="C120" s="193" t="s">
        <v>143</v>
      </c>
      <c r="D120" s="205">
        <v>3456090.1534000002</v>
      </c>
      <c r="E120" s="206">
        <v>249999999.99919409</v>
      </c>
      <c r="F120" s="207">
        <v>72.336076000000006</v>
      </c>
    </row>
    <row r="121" spans="2:6" x14ac:dyDescent="0.35">
      <c r="B121" s="201">
        <v>45776</v>
      </c>
      <c r="C121" s="193" t="s">
        <v>143</v>
      </c>
      <c r="D121" s="205">
        <v>897976.65819999995</v>
      </c>
      <c r="E121" s="206">
        <v>64999999.994857378</v>
      </c>
      <c r="F121" s="207">
        <v>72.384955000000005</v>
      </c>
    </row>
    <row r="122" spans="2:6" x14ac:dyDescent="0.35">
      <c r="B122" s="201">
        <v>45777</v>
      </c>
      <c r="C122" s="193" t="s">
        <v>143</v>
      </c>
      <c r="D122" s="205">
        <v>-7869261.0358999996</v>
      </c>
      <c r="E122" s="206">
        <v>-569999999.9972502</v>
      </c>
      <c r="F122" s="207">
        <v>72.433739000000003</v>
      </c>
    </row>
    <row r="123" spans="2:6" x14ac:dyDescent="0.35">
      <c r="B123" s="201">
        <v>45782</v>
      </c>
      <c r="C123" s="193" t="s">
        <v>142</v>
      </c>
      <c r="D123" s="205">
        <v>288743</v>
      </c>
      <c r="E123" s="206">
        <v>49999999.995908</v>
      </c>
      <c r="F123" s="207">
        <v>173.16437107014889</v>
      </c>
    </row>
    <row r="124" spans="2:6" x14ac:dyDescent="0.35">
      <c r="B124" s="201">
        <v>45783</v>
      </c>
      <c r="C124" s="193" t="s">
        <v>143</v>
      </c>
      <c r="D124" s="205">
        <v>2887226.7384000001</v>
      </c>
      <c r="E124" s="206">
        <v>209999999.99815679</v>
      </c>
      <c r="F124" s="207">
        <v>72.734155999999999</v>
      </c>
    </row>
    <row r="125" spans="2:6" x14ac:dyDescent="0.35">
      <c r="B125" s="201">
        <v>45784</v>
      </c>
      <c r="C125" s="193" t="s">
        <v>143</v>
      </c>
      <c r="D125" s="205">
        <v>-3709614.1011000001</v>
      </c>
      <c r="E125" s="206">
        <v>-270000000.00196135</v>
      </c>
      <c r="F125" s="207">
        <v>72.783850999999999</v>
      </c>
    </row>
    <row r="126" spans="2:6" x14ac:dyDescent="0.35">
      <c r="B126" s="201">
        <v>45785</v>
      </c>
      <c r="C126" s="193" t="s">
        <v>143</v>
      </c>
      <c r="D126" s="205">
        <v>-274598.50679999997</v>
      </c>
      <c r="E126" s="206">
        <v>-20000000.001656532</v>
      </c>
      <c r="F126" s="207">
        <v>72.833607999999998</v>
      </c>
    </row>
    <row r="127" spans="2:6" x14ac:dyDescent="0.35">
      <c r="B127" s="201">
        <v>45786</v>
      </c>
      <c r="C127" s="193" t="s">
        <v>143</v>
      </c>
      <c r="D127" s="205">
        <v>-5350986.4297000002</v>
      </c>
      <c r="E127" s="206">
        <v>-390000000.00353885</v>
      </c>
      <c r="F127" s="207">
        <v>72.883758</v>
      </c>
    </row>
    <row r="128" spans="2:6" x14ac:dyDescent="0.35">
      <c r="B128" s="201">
        <v>45789</v>
      </c>
      <c r="C128" s="193" t="s">
        <v>142</v>
      </c>
      <c r="D128" s="205">
        <v>2758215</v>
      </c>
      <c r="E128" s="206">
        <v>480000000.00041002</v>
      </c>
      <c r="F128" s="207">
        <v>174.02559263886607</v>
      </c>
    </row>
    <row r="129" spans="2:6" x14ac:dyDescent="0.35">
      <c r="B129" s="201">
        <v>45790</v>
      </c>
      <c r="C129" s="193" t="s">
        <v>143</v>
      </c>
      <c r="D129" s="205">
        <v>-342047.94420000003</v>
      </c>
      <c r="E129" s="206">
        <v>-24999999.999736372</v>
      </c>
      <c r="F129" s="207">
        <v>73.089168999999998</v>
      </c>
    </row>
    <row r="130" spans="2:6" x14ac:dyDescent="0.35">
      <c r="B130" s="201">
        <v>45791</v>
      </c>
      <c r="C130" s="193" t="s">
        <v>142</v>
      </c>
      <c r="D130" s="205">
        <v>-1778834</v>
      </c>
      <c r="E130" s="206">
        <v>-309999999.99732405</v>
      </c>
      <c r="F130" s="207">
        <v>174.2714609667479</v>
      </c>
    </row>
    <row r="131" spans="2:6" x14ac:dyDescent="0.35">
      <c r="B131" s="201">
        <v>45792</v>
      </c>
      <c r="C131" s="193" t="s">
        <v>143</v>
      </c>
      <c r="D131" s="205">
        <v>-3484022.4506999999</v>
      </c>
      <c r="E131" s="206">
        <v>-255000000.00306576</v>
      </c>
      <c r="F131" s="207">
        <v>73.191261999999995</v>
      </c>
    </row>
    <row r="132" spans="2:6" x14ac:dyDescent="0.35">
      <c r="B132" s="201">
        <v>45793</v>
      </c>
      <c r="C132" s="193" t="s">
        <v>142</v>
      </c>
      <c r="D132" s="205">
        <v>-1145988</v>
      </c>
      <c r="E132" s="206">
        <v>-200000000.00246802</v>
      </c>
      <c r="F132" s="207">
        <v>174.52189726460313</v>
      </c>
    </row>
    <row r="133" spans="2:6" x14ac:dyDescent="0.35">
      <c r="B133" s="201">
        <v>45796</v>
      </c>
      <c r="C133" s="193" t="s">
        <v>143</v>
      </c>
      <c r="D133" s="205">
        <v>2929037.83256</v>
      </c>
      <c r="E133" s="206">
        <v>214999999.99728307</v>
      </c>
      <c r="F133" s="207">
        <v>73.402944000000005</v>
      </c>
    </row>
    <row r="134" spans="2:6" x14ac:dyDescent="0.35">
      <c r="B134" s="201">
        <v>45797</v>
      </c>
      <c r="C134" s="193" t="s">
        <v>143</v>
      </c>
      <c r="D134" s="205">
        <v>-8849072.7205999997</v>
      </c>
      <c r="E134" s="206">
        <v>-649999999.99669766</v>
      </c>
      <c r="F134" s="207">
        <v>73.454024000000004</v>
      </c>
    </row>
    <row r="135" spans="2:6" x14ac:dyDescent="0.35">
      <c r="B135" s="201">
        <v>45798</v>
      </c>
      <c r="C135" s="193" t="s">
        <v>143</v>
      </c>
      <c r="D135" s="205">
        <v>27004942.135600001</v>
      </c>
      <c r="E135" s="206">
        <v>1985000000.0035748</v>
      </c>
      <c r="F135" s="207">
        <v>73.505064000370311</v>
      </c>
    </row>
    <row r="136" spans="2:6" x14ac:dyDescent="0.35">
      <c r="B136" s="201">
        <v>45799</v>
      </c>
      <c r="C136" s="193" t="s">
        <v>143</v>
      </c>
      <c r="D136" s="205">
        <v>-1835333.8722000001</v>
      </c>
      <c r="E136" s="206">
        <v>-135000000.00159657</v>
      </c>
      <c r="F136" s="207">
        <v>73.556099000000003</v>
      </c>
    </row>
    <row r="137" spans="2:6" x14ac:dyDescent="0.35">
      <c r="B137" s="201">
        <v>45800</v>
      </c>
      <c r="C137" s="193" t="s">
        <v>143</v>
      </c>
      <c r="D137" s="205">
        <v>-543424.98160000006</v>
      </c>
      <c r="E137" s="206">
        <v>-40000000.000427224</v>
      </c>
      <c r="F137" s="207">
        <v>73.607215999999994</v>
      </c>
    </row>
    <row r="138" spans="2:6" x14ac:dyDescent="0.35">
      <c r="B138" s="201">
        <v>45803</v>
      </c>
      <c r="C138" s="193" t="s">
        <v>143</v>
      </c>
      <c r="D138" s="205">
        <v>5694054.0816000002</v>
      </c>
      <c r="E138" s="206">
        <v>419999999.99722618</v>
      </c>
      <c r="F138" s="207">
        <v>73.761154000000005</v>
      </c>
    </row>
    <row r="139" spans="2:6" x14ac:dyDescent="0.35">
      <c r="B139" s="201">
        <v>45804</v>
      </c>
      <c r="C139" s="193" t="s">
        <v>142</v>
      </c>
      <c r="D139" s="205">
        <v>-1506684</v>
      </c>
      <c r="E139" s="206">
        <v>-265000000.00205198</v>
      </c>
      <c r="F139" s="207">
        <v>175.88293232160956</v>
      </c>
    </row>
    <row r="140" spans="2:6" x14ac:dyDescent="0.35">
      <c r="B140" s="201">
        <v>45805</v>
      </c>
      <c r="C140" s="193" t="s">
        <v>142</v>
      </c>
      <c r="D140" s="205">
        <v>-710203</v>
      </c>
      <c r="E140" s="206">
        <v>-125000000.004081</v>
      </c>
      <c r="F140" s="207">
        <v>176.00601518732108</v>
      </c>
    </row>
    <row r="141" spans="2:6" x14ac:dyDescent="0.35">
      <c r="B141" s="201">
        <v>45806</v>
      </c>
      <c r="C141" s="193" t="s">
        <v>142</v>
      </c>
      <c r="D141" s="205">
        <v>-113552</v>
      </c>
      <c r="E141" s="206">
        <v>-19999999.997408003</v>
      </c>
      <c r="F141" s="207">
        <v>176.13075945300832</v>
      </c>
    </row>
    <row r="142" spans="2:6" x14ac:dyDescent="0.35">
      <c r="B142" s="201">
        <v>45811</v>
      </c>
      <c r="C142" s="193" t="s">
        <v>143</v>
      </c>
      <c r="D142" s="205">
        <v>7886462.5486000003</v>
      </c>
      <c r="E142" s="206">
        <v>584999999.99563837</v>
      </c>
      <c r="F142" s="207">
        <v>74.177744000000004</v>
      </c>
    </row>
    <row r="143" spans="2:6" x14ac:dyDescent="0.35">
      <c r="B143" s="201">
        <v>45812</v>
      </c>
      <c r="C143" s="193" t="s">
        <v>143</v>
      </c>
      <c r="D143" s="205">
        <v>-4378303.6490000002</v>
      </c>
      <c r="E143" s="206">
        <v>-324999999.99863666</v>
      </c>
      <c r="F143" s="207">
        <v>74.229662000000005</v>
      </c>
    </row>
    <row r="144" spans="2:6" x14ac:dyDescent="0.35">
      <c r="B144" s="201">
        <v>45813</v>
      </c>
      <c r="C144" s="193" t="s">
        <v>142</v>
      </c>
      <c r="D144" s="205">
        <v>-338958</v>
      </c>
      <c r="E144" s="206">
        <v>-59999999.997248009</v>
      </c>
      <c r="F144" s="207">
        <v>177.01308125858662</v>
      </c>
    </row>
    <row r="145" spans="2:6" x14ac:dyDescent="0.35">
      <c r="B145" s="201">
        <v>45814</v>
      </c>
      <c r="C145" s="193" t="s">
        <v>142</v>
      </c>
      <c r="D145" s="205">
        <v>-762100</v>
      </c>
      <c r="E145" s="206">
        <v>-134999999.9971</v>
      </c>
      <c r="F145" s="207">
        <v>177.14210733119012</v>
      </c>
    </row>
    <row r="146" spans="2:6" x14ac:dyDescent="0.35">
      <c r="B146" s="201">
        <v>45817</v>
      </c>
      <c r="C146" s="193" t="s">
        <v>142</v>
      </c>
      <c r="D146" s="205">
        <v>-675942</v>
      </c>
      <c r="E146" s="206">
        <v>-120000000.00304</v>
      </c>
      <c r="F146" s="207">
        <v>177.53002476993589</v>
      </c>
    </row>
    <row r="147" spans="2:6" x14ac:dyDescent="0.35">
      <c r="B147" s="201">
        <v>45818</v>
      </c>
      <c r="C147" s="193" t="s">
        <v>143</v>
      </c>
      <c r="D147" s="205">
        <v>-1006074.328</v>
      </c>
      <c r="E147" s="206">
        <v>-74999999.998497725</v>
      </c>
      <c r="F147" s="207">
        <v>74.547175999999993</v>
      </c>
    </row>
    <row r="148" spans="2:6" x14ac:dyDescent="0.35">
      <c r="B148" s="201">
        <v>45819</v>
      </c>
      <c r="C148" s="193" t="s">
        <v>143</v>
      </c>
      <c r="D148" s="205">
        <v>-3083070.4926</v>
      </c>
      <c r="E148" s="206">
        <v>-229999999.99720994</v>
      </c>
      <c r="F148" s="207">
        <v>74.600954000000002</v>
      </c>
    </row>
    <row r="149" spans="2:6" x14ac:dyDescent="0.35">
      <c r="B149" s="201">
        <v>45820</v>
      </c>
      <c r="C149" s="193" t="s">
        <v>142</v>
      </c>
      <c r="D149" s="205">
        <v>730597</v>
      </c>
      <c r="E149" s="206">
        <v>129999999.997067</v>
      </c>
      <c r="F149" s="207">
        <v>177.93667370255696</v>
      </c>
    </row>
    <row r="150" spans="2:6" x14ac:dyDescent="0.35">
      <c r="B150" s="201">
        <v>45821</v>
      </c>
      <c r="C150" s="193" t="s">
        <v>143</v>
      </c>
      <c r="D150" s="205">
        <v>-1606215.9701</v>
      </c>
      <c r="E150" s="206">
        <v>-119999999.99704236</v>
      </c>
      <c r="F150" s="207">
        <v>74.709754000000004</v>
      </c>
    </row>
    <row r="151" spans="2:6" x14ac:dyDescent="0.35">
      <c r="B151" s="201">
        <v>45825</v>
      </c>
      <c r="C151" s="193" t="s">
        <v>143</v>
      </c>
      <c r="D151" s="205">
        <v>-2402317.9805999999</v>
      </c>
      <c r="E151" s="206">
        <v>-179999999.99969792</v>
      </c>
      <c r="F151" s="207">
        <v>74.927633</v>
      </c>
    </row>
    <row r="152" spans="2:6" x14ac:dyDescent="0.35">
      <c r="B152" s="201">
        <v>45826</v>
      </c>
      <c r="C152" s="193" t="s">
        <v>143</v>
      </c>
      <c r="D152" s="205">
        <v>-5134499.3438999997</v>
      </c>
      <c r="E152" s="206">
        <v>-384999999.99967468</v>
      </c>
      <c r="F152" s="207">
        <v>74.982968</v>
      </c>
    </row>
    <row r="153" spans="2:6" x14ac:dyDescent="0.35">
      <c r="B153" s="201">
        <v>45831</v>
      </c>
      <c r="C153" s="193" t="s">
        <v>143</v>
      </c>
      <c r="D153" s="205">
        <v>1328776.7629</v>
      </c>
      <c r="E153" s="206">
        <v>99999999.998043209</v>
      </c>
      <c r="F153" s="207">
        <v>75.257186000000004</v>
      </c>
    </row>
    <row r="154" spans="2:6" x14ac:dyDescent="0.35">
      <c r="B154" s="201">
        <v>45832</v>
      </c>
      <c r="C154" s="193" t="s">
        <v>143</v>
      </c>
      <c r="D154" s="205">
        <v>39834116.927900001</v>
      </c>
      <c r="E154" s="206">
        <v>2999999999.9961233</v>
      </c>
      <c r="F154" s="207">
        <v>75.312325999999999</v>
      </c>
    </row>
    <row r="155" spans="2:6" x14ac:dyDescent="0.35">
      <c r="B155" s="201">
        <v>45833</v>
      </c>
      <c r="C155" s="193" t="s">
        <v>143</v>
      </c>
      <c r="D155" s="205">
        <v>2189259.2895</v>
      </c>
      <c r="E155" s="206">
        <v>165000000.00288653</v>
      </c>
      <c r="F155" s="207">
        <v>75.367957004567742</v>
      </c>
    </row>
    <row r="156" spans="2:6" x14ac:dyDescent="0.35">
      <c r="B156" s="201">
        <v>45834</v>
      </c>
      <c r="C156" s="193" t="s">
        <v>142</v>
      </c>
      <c r="D156" s="205">
        <v>4002997</v>
      </c>
      <c r="E156" s="206">
        <v>719999999.99736702</v>
      </c>
      <c r="F156" s="207">
        <v>179.86523597129028</v>
      </c>
    </row>
    <row r="157" spans="2:6" x14ac:dyDescent="0.35">
      <c r="B157" s="201">
        <v>45834</v>
      </c>
      <c r="C157" s="193" t="s">
        <v>143</v>
      </c>
      <c r="D157" s="205">
        <v>-15247204.517899999</v>
      </c>
      <c r="E157" s="206">
        <v>-1150000000.0029624</v>
      </c>
      <c r="F157" s="207">
        <v>75.423661999999993</v>
      </c>
    </row>
    <row r="158" spans="2:6" x14ac:dyDescent="0.35">
      <c r="B158" s="201">
        <v>45835</v>
      </c>
      <c r="C158" s="193" t="s">
        <v>143</v>
      </c>
      <c r="D158" s="205">
        <v>-1192383.0253999999</v>
      </c>
      <c r="E158" s="206">
        <v>-89999999.997235179</v>
      </c>
      <c r="F158" s="207">
        <v>75.479101999999997</v>
      </c>
    </row>
    <row r="159" spans="2:6" x14ac:dyDescent="0.35">
      <c r="B159" s="201">
        <v>45838</v>
      </c>
      <c r="C159" s="193" t="s">
        <v>143</v>
      </c>
      <c r="D159" s="205">
        <v>-3569265.7662999998</v>
      </c>
      <c r="E159" s="206">
        <v>-269999999.99703419</v>
      </c>
      <c r="F159" s="207">
        <v>75.645809999999997</v>
      </c>
    </row>
    <row r="160" spans="2:6" x14ac:dyDescent="0.35">
      <c r="B160" s="201">
        <v>45839</v>
      </c>
      <c r="C160" s="193" t="s">
        <v>143</v>
      </c>
      <c r="D160" s="205">
        <v>-10303773.607799999</v>
      </c>
      <c r="E160" s="206">
        <v>-779999999.99914885</v>
      </c>
      <c r="F160" s="207">
        <v>75.700421000000006</v>
      </c>
    </row>
    <row r="161" spans="2:6" x14ac:dyDescent="0.35">
      <c r="B161" s="201">
        <v>45840</v>
      </c>
      <c r="C161" s="193" t="s">
        <v>143</v>
      </c>
      <c r="D161" s="205">
        <v>-1320057.6369</v>
      </c>
      <c r="E161" s="206">
        <v>-100000000.00116929</v>
      </c>
      <c r="F161" s="207">
        <v>75.754267999999996</v>
      </c>
    </row>
    <row r="162" spans="2:6" x14ac:dyDescent="0.35">
      <c r="B162" s="201">
        <v>45841</v>
      </c>
      <c r="C162" s="193" t="s">
        <v>143</v>
      </c>
      <c r="D162" s="205">
        <v>-725524.61829999997</v>
      </c>
      <c r="E162" s="206">
        <v>-55000000.001736417</v>
      </c>
      <c r="F162" s="207">
        <v>75.807214000000002</v>
      </c>
    </row>
    <row r="163" spans="2:6" x14ac:dyDescent="0.35">
      <c r="B163" s="201">
        <v>45842</v>
      </c>
      <c r="C163" s="193" t="s">
        <v>142</v>
      </c>
      <c r="D163" s="205">
        <v>-1713283</v>
      </c>
      <c r="E163" s="206">
        <v>-310000000.00465697</v>
      </c>
      <c r="F163" s="207">
        <v>180.93916767087339</v>
      </c>
    </row>
    <row r="164" spans="2:6" x14ac:dyDescent="0.35">
      <c r="B164" s="201">
        <v>45846</v>
      </c>
      <c r="C164" s="193" t="s">
        <v>142</v>
      </c>
      <c r="D164" s="205">
        <v>-909359</v>
      </c>
      <c r="E164" s="206">
        <v>-165000000.00286102</v>
      </c>
      <c r="F164" s="207">
        <v>181.44649143282359</v>
      </c>
    </row>
    <row r="165" spans="2:6" x14ac:dyDescent="0.35">
      <c r="B165" s="201">
        <v>45848</v>
      </c>
      <c r="C165" s="193" t="s">
        <v>143</v>
      </c>
      <c r="D165" s="205">
        <v>170666.16250000001</v>
      </c>
      <c r="E165" s="206">
        <v>12999999.996566251</v>
      </c>
      <c r="F165" s="207">
        <v>76.1721</v>
      </c>
    </row>
    <row r="166" spans="2:6" x14ac:dyDescent="0.35">
      <c r="B166" s="201">
        <v>45849</v>
      </c>
      <c r="C166" s="193" t="s">
        <v>143</v>
      </c>
      <c r="D166" s="205">
        <v>-12726015.678400001</v>
      </c>
      <c r="E166" s="206">
        <v>-970000000.00008857</v>
      </c>
      <c r="F166" s="207">
        <v>76.221813999999995</v>
      </c>
    </row>
    <row r="167" spans="2:6" x14ac:dyDescent="0.35">
      <c r="B167" s="201">
        <v>45852</v>
      </c>
      <c r="C167" s="193" t="s">
        <v>142</v>
      </c>
      <c r="D167" s="205">
        <v>1152834</v>
      </c>
      <c r="E167" s="206">
        <v>209999999.99627802</v>
      </c>
      <c r="F167" s="207">
        <v>182.15979056505796</v>
      </c>
    </row>
    <row r="168" spans="2:6" x14ac:dyDescent="0.35">
      <c r="B168" s="201">
        <v>45853</v>
      </c>
      <c r="C168" s="193" t="s">
        <v>143</v>
      </c>
      <c r="D168" s="205">
        <v>-3533824.4259000001</v>
      </c>
      <c r="E168" s="206">
        <v>-270000000.00306594</v>
      </c>
      <c r="F168" s="207">
        <v>76.404475000000005</v>
      </c>
    </row>
    <row r="169" spans="2:6" x14ac:dyDescent="0.35">
      <c r="B169" s="201">
        <v>45854</v>
      </c>
      <c r="C169" s="193" t="s">
        <v>143</v>
      </c>
      <c r="D169" s="205">
        <v>-588566.26069999998</v>
      </c>
      <c r="E169" s="206">
        <v>-45000000.000147201</v>
      </c>
      <c r="F169" s="207">
        <v>76.456981999999996</v>
      </c>
    </row>
    <row r="170" spans="2:6" x14ac:dyDescent="0.35">
      <c r="B170" s="201">
        <v>45855</v>
      </c>
      <c r="C170" s="193" t="s">
        <v>144</v>
      </c>
      <c r="D170" s="205">
        <v>10802340.461999999</v>
      </c>
      <c r="E170" s="206">
        <v>160000000</v>
      </c>
      <c r="F170" s="207">
        <v>14.811605000123908</v>
      </c>
    </row>
    <row r="171" spans="2:6" x14ac:dyDescent="0.35">
      <c r="B171" s="201">
        <v>45855</v>
      </c>
      <c r="C171" s="193" t="s">
        <v>143</v>
      </c>
      <c r="D171" s="205">
        <v>-6796396.7230000002</v>
      </c>
      <c r="E171" s="206">
        <v>-520000000.00142378</v>
      </c>
      <c r="F171" s="207">
        <v>76.511131000000006</v>
      </c>
    </row>
    <row r="172" spans="2:6" x14ac:dyDescent="0.35">
      <c r="B172" s="201">
        <v>45856</v>
      </c>
      <c r="C172" s="193" t="s">
        <v>143</v>
      </c>
      <c r="D172" s="205">
        <v>914234.77379999997</v>
      </c>
      <c r="E172" s="206">
        <v>70000000.004607528</v>
      </c>
      <c r="F172" s="207">
        <v>76.56676601093811</v>
      </c>
    </row>
    <row r="173" spans="2:6" x14ac:dyDescent="0.35">
      <c r="B173" s="201">
        <v>45859</v>
      </c>
      <c r="C173" s="193" t="s">
        <v>144</v>
      </c>
      <c r="D173" s="205">
        <v>-9333583.3816</v>
      </c>
      <c r="E173" s="206">
        <v>-138682694</v>
      </c>
      <c r="F173" s="207">
        <v>14.858462000071238</v>
      </c>
    </row>
    <row r="174" spans="2:6" x14ac:dyDescent="0.35">
      <c r="B174" s="201">
        <v>45860</v>
      </c>
      <c r="C174" s="193" t="s">
        <v>142</v>
      </c>
      <c r="D174" s="205">
        <v>1200307</v>
      </c>
      <c r="E174" s="206">
        <v>219999999.99866003</v>
      </c>
      <c r="F174" s="207">
        <v>183.28644255066413</v>
      </c>
    </row>
    <row r="175" spans="2:6" x14ac:dyDescent="0.35">
      <c r="B175" s="201">
        <v>45860</v>
      </c>
      <c r="C175" s="193" t="s">
        <v>143</v>
      </c>
      <c r="D175" s="205">
        <v>26034368.907600001</v>
      </c>
      <c r="E175" s="206">
        <v>1999999999.9975228</v>
      </c>
      <c r="F175" s="207">
        <v>76.821528000000001</v>
      </c>
    </row>
    <row r="176" spans="2:6" x14ac:dyDescent="0.35">
      <c r="B176" s="201">
        <v>45860</v>
      </c>
      <c r="C176" s="193" t="s">
        <v>143</v>
      </c>
      <c r="D176" s="205">
        <v>1301718.4453</v>
      </c>
      <c r="E176" s="206">
        <v>100000000.00373043</v>
      </c>
      <c r="F176" s="207">
        <v>76.821528007682161</v>
      </c>
    </row>
    <row r="177" spans="2:6" x14ac:dyDescent="0.35">
      <c r="B177" s="201">
        <v>45861</v>
      </c>
      <c r="C177" s="193" t="s">
        <v>143</v>
      </c>
      <c r="D177" s="205">
        <v>-1430384.9524000001</v>
      </c>
      <c r="E177" s="206">
        <v>-110000000.00382197</v>
      </c>
      <c r="F177" s="207">
        <v>76.902375000000006</v>
      </c>
    </row>
    <row r="178" spans="2:6" x14ac:dyDescent="0.35">
      <c r="B178" s="201">
        <v>45862</v>
      </c>
      <c r="C178" s="193" t="s">
        <v>142</v>
      </c>
      <c r="D178" s="205">
        <v>-408329</v>
      </c>
      <c r="E178" s="206">
        <v>-75000000.004018992</v>
      </c>
      <c r="F178" s="207">
        <v>183.67541860612153</v>
      </c>
    </row>
    <row r="179" spans="2:6" x14ac:dyDescent="0.35">
      <c r="B179" s="201">
        <v>45863</v>
      </c>
      <c r="C179" s="193" t="s">
        <v>144</v>
      </c>
      <c r="D179" s="205">
        <v>6705684.8113000002</v>
      </c>
      <c r="E179" s="206">
        <v>100000000</v>
      </c>
      <c r="F179" s="207">
        <v>14.912720000123814</v>
      </c>
    </row>
    <row r="180" spans="2:6" x14ac:dyDescent="0.35">
      <c r="B180" s="201">
        <v>45863</v>
      </c>
      <c r="C180" s="193" t="s">
        <v>143</v>
      </c>
      <c r="D180" s="205">
        <v>-2076865.8972</v>
      </c>
      <c r="E180" s="206">
        <v>-159999999.99920255</v>
      </c>
      <c r="F180" s="207">
        <v>77.039158</v>
      </c>
    </row>
    <row r="181" spans="2:6" x14ac:dyDescent="0.35">
      <c r="B181" s="201">
        <v>45866</v>
      </c>
      <c r="C181" s="193" t="s">
        <v>143</v>
      </c>
      <c r="D181" s="205">
        <v>-5050177.0048000002</v>
      </c>
      <c r="E181" s="206">
        <v>-389999999.99851209</v>
      </c>
      <c r="F181" s="207">
        <v>77.225015999999997</v>
      </c>
    </row>
    <row r="182" spans="2:6" x14ac:dyDescent="0.35">
      <c r="B182" s="201">
        <v>45867</v>
      </c>
      <c r="C182" s="193" t="s">
        <v>143</v>
      </c>
      <c r="D182" s="205">
        <v>5175289.3131999997</v>
      </c>
      <c r="E182" s="206">
        <v>399999999.99782729</v>
      </c>
      <c r="F182" s="207">
        <v>77.290364999999994</v>
      </c>
    </row>
    <row r="183" spans="2:6" x14ac:dyDescent="0.35">
      <c r="B183" s="201">
        <v>45868</v>
      </c>
      <c r="C183" s="193" t="s">
        <v>143</v>
      </c>
      <c r="D183" s="205">
        <v>-129.27930000000001</v>
      </c>
      <c r="E183" s="206">
        <v>-10000.000132066501</v>
      </c>
      <c r="F183" s="207">
        <v>77.351905000000002</v>
      </c>
    </row>
    <row r="184" spans="2:6" x14ac:dyDescent="0.35">
      <c r="B184" s="201">
        <v>45868</v>
      </c>
      <c r="C184" s="193" t="s">
        <v>143</v>
      </c>
      <c r="D184" s="205">
        <v>-1034234.3863</v>
      </c>
      <c r="E184" s="206">
        <v>-79999999.996810898</v>
      </c>
      <c r="F184" s="207">
        <v>77.351905000000002</v>
      </c>
    </row>
    <row r="185" spans="2:6" x14ac:dyDescent="0.35">
      <c r="B185" s="201">
        <v>45869</v>
      </c>
      <c r="C185" s="193" t="s">
        <v>143</v>
      </c>
      <c r="D185" s="205">
        <v>12.917999999999999</v>
      </c>
      <c r="E185" s="206">
        <v>999.99705484799995</v>
      </c>
      <c r="F185" s="207">
        <v>77.411135999999999</v>
      </c>
    </row>
    <row r="186" spans="2:6" x14ac:dyDescent="0.35">
      <c r="B186" s="201">
        <v>45869</v>
      </c>
      <c r="C186" s="193" t="s">
        <v>143</v>
      </c>
      <c r="D186" s="205">
        <v>-64590.190199999997</v>
      </c>
      <c r="E186" s="206">
        <v>-4999999.9978380669</v>
      </c>
      <c r="F186" s="207">
        <v>77.411135999999999</v>
      </c>
    </row>
    <row r="187" spans="2:6" x14ac:dyDescent="0.35">
      <c r="B187" s="201">
        <v>45869</v>
      </c>
      <c r="C187" s="193" t="s">
        <v>143</v>
      </c>
      <c r="D187" s="205">
        <v>-3487870.2722999998</v>
      </c>
      <c r="E187" s="206">
        <v>-269999999.9993723</v>
      </c>
      <c r="F187" s="207">
        <v>77.411135999999999</v>
      </c>
    </row>
    <row r="188" spans="2:6" x14ac:dyDescent="0.35">
      <c r="B188" s="201">
        <v>45873</v>
      </c>
      <c r="C188" s="193" t="s">
        <v>143</v>
      </c>
      <c r="D188" s="205">
        <v>-18157740.853500001</v>
      </c>
      <c r="E188" s="206">
        <v>-1409999999.9963722</v>
      </c>
      <c r="F188" s="207">
        <v>77.652832000000004</v>
      </c>
    </row>
    <row r="189" spans="2:6" x14ac:dyDescent="0.35">
      <c r="B189" s="201">
        <v>45874</v>
      </c>
      <c r="C189" s="193" t="s">
        <v>143</v>
      </c>
      <c r="D189" s="205">
        <v>-2766614.2390999999</v>
      </c>
      <c r="E189" s="206">
        <v>-214999999.99903876</v>
      </c>
      <c r="F189" s="207">
        <v>77.712316000000001</v>
      </c>
    </row>
    <row r="190" spans="2:6" x14ac:dyDescent="0.35">
      <c r="B190" s="201">
        <v>45875</v>
      </c>
      <c r="C190" s="193" t="s">
        <v>143</v>
      </c>
      <c r="D190" s="205">
        <v>-1285797.6513</v>
      </c>
      <c r="E190" s="206">
        <v>-99999999.998177305</v>
      </c>
      <c r="F190" s="207">
        <v>77.772734999999997</v>
      </c>
    </row>
    <row r="191" spans="2:6" x14ac:dyDescent="0.35">
      <c r="B191" s="201">
        <v>45876</v>
      </c>
      <c r="C191" s="193" t="s">
        <v>143</v>
      </c>
      <c r="D191" s="205">
        <v>578145.39480000001</v>
      </c>
      <c r="E191" s="206">
        <v>45000000.003634319</v>
      </c>
      <c r="F191" s="207">
        <v>77.835092017296674</v>
      </c>
    </row>
    <row r="192" spans="2:6" x14ac:dyDescent="0.35">
      <c r="B192" s="201">
        <v>45877</v>
      </c>
      <c r="C192" s="193" t="s">
        <v>143</v>
      </c>
      <c r="D192" s="205">
        <v>-3465707.9303000001</v>
      </c>
      <c r="E192" s="206">
        <v>-269999999.99692857</v>
      </c>
      <c r="F192" s="207">
        <v>77.906160999999997</v>
      </c>
    </row>
    <row r="193" spans="2:6" x14ac:dyDescent="0.35">
      <c r="B193" s="201">
        <v>45880</v>
      </c>
      <c r="C193" s="193" t="s">
        <v>143</v>
      </c>
      <c r="D193" s="205">
        <v>-3647356.9446999999</v>
      </c>
      <c r="E193" s="206">
        <v>-284999999.9992438</v>
      </c>
      <c r="F193" s="207">
        <v>78.138773999999998</v>
      </c>
    </row>
    <row r="194" spans="2:6" x14ac:dyDescent="0.35">
      <c r="B194" s="201">
        <v>45880</v>
      </c>
      <c r="C194" s="193" t="s">
        <v>143</v>
      </c>
      <c r="D194" s="205">
        <v>-1023819.4933</v>
      </c>
      <c r="E194" s="206">
        <v>-80000000.003763214</v>
      </c>
      <c r="F194" s="207">
        <v>78.138773999999998</v>
      </c>
    </row>
    <row r="195" spans="2:6" x14ac:dyDescent="0.35">
      <c r="B195" s="201">
        <v>45881</v>
      </c>
      <c r="C195" s="193" t="s">
        <v>143</v>
      </c>
      <c r="D195" s="205">
        <v>1150586.0419999999</v>
      </c>
      <c r="E195" s="206">
        <v>89999999.995970324</v>
      </c>
      <c r="F195" s="207">
        <v>78.221007999999998</v>
      </c>
    </row>
    <row r="196" spans="2:6" x14ac:dyDescent="0.35">
      <c r="B196" s="201">
        <v>45882</v>
      </c>
      <c r="C196" s="193" t="s">
        <v>143</v>
      </c>
      <c r="D196" s="205">
        <v>-1660140.5266</v>
      </c>
      <c r="E196" s="206">
        <v>-130000000</v>
      </c>
      <c r="F196" s="207">
        <v>78.306623997814526</v>
      </c>
    </row>
    <row r="197" spans="2:6" x14ac:dyDescent="0.35">
      <c r="B197" s="201">
        <v>45883</v>
      </c>
      <c r="C197" s="193" t="s">
        <v>143</v>
      </c>
      <c r="D197" s="205">
        <v>242364.52249999999</v>
      </c>
      <c r="E197" s="206">
        <v>19000000.004596021</v>
      </c>
      <c r="F197" s="207">
        <v>78.394312041260164</v>
      </c>
    </row>
    <row r="198" spans="2:6" x14ac:dyDescent="0.35">
      <c r="B198" s="201">
        <v>45883</v>
      </c>
      <c r="C198" s="193" t="s">
        <v>143</v>
      </c>
      <c r="D198" s="205">
        <v>-242364.5226</v>
      </c>
      <c r="E198" s="206">
        <v>-19000000.00243545</v>
      </c>
      <c r="F198" s="207">
        <v>78.394311999999999</v>
      </c>
    </row>
    <row r="199" spans="2:6" x14ac:dyDescent="0.35">
      <c r="B199" s="201">
        <v>45887</v>
      </c>
      <c r="C199" s="193" t="s">
        <v>144</v>
      </c>
      <c r="D199" s="205">
        <v>-3852923.6247</v>
      </c>
      <c r="E199" s="206">
        <v>-58801474.809755169</v>
      </c>
      <c r="F199" s="207">
        <v>15.261521</v>
      </c>
    </row>
    <row r="200" spans="2:6" x14ac:dyDescent="0.35">
      <c r="B200" s="201">
        <v>45887</v>
      </c>
      <c r="C200" s="193" t="s">
        <v>143</v>
      </c>
      <c r="D200" s="205">
        <v>-5585127.3947000001</v>
      </c>
      <c r="E200" s="206">
        <v>-439999999.99803686</v>
      </c>
      <c r="F200" s="207">
        <v>78.780655999999993</v>
      </c>
    </row>
    <row r="201" spans="2:6" x14ac:dyDescent="0.35">
      <c r="B201" s="201">
        <v>45888</v>
      </c>
      <c r="C201" s="193" t="s">
        <v>143</v>
      </c>
      <c r="D201" s="205">
        <v>3550670.9144000001</v>
      </c>
      <c r="E201" s="206">
        <v>280000000.00318241</v>
      </c>
      <c r="F201" s="207">
        <v>78.858336002816358</v>
      </c>
    </row>
    <row r="202" spans="2:6" x14ac:dyDescent="0.35">
      <c r="B202" s="201">
        <v>45889</v>
      </c>
      <c r="C202" s="193" t="s">
        <v>143</v>
      </c>
      <c r="D202" s="205">
        <v>696895.06889999995</v>
      </c>
      <c r="E202" s="206">
        <v>54999999.998820931</v>
      </c>
      <c r="F202" s="207">
        <v>78.921493999999996</v>
      </c>
    </row>
    <row r="203" spans="2:6" x14ac:dyDescent="0.35">
      <c r="B203" s="201">
        <v>45890</v>
      </c>
      <c r="C203" s="193" t="s">
        <v>142</v>
      </c>
      <c r="D203" s="205">
        <v>-26488</v>
      </c>
      <c r="E203" s="206">
        <v>-5000037.0660239998</v>
      </c>
      <c r="F203" s="207">
        <v>188.76612299999999</v>
      </c>
    </row>
    <row r="204" spans="2:6" x14ac:dyDescent="0.35">
      <c r="B204" s="201">
        <v>45890</v>
      </c>
      <c r="C204" s="193" t="s">
        <v>143</v>
      </c>
      <c r="D204" s="205">
        <v>-2721564.9093999998</v>
      </c>
      <c r="E204" s="206">
        <v>-214999999.99657574</v>
      </c>
      <c r="F204" s="207">
        <v>78.998666999999998</v>
      </c>
    </row>
    <row r="205" spans="2:6" x14ac:dyDescent="0.35">
      <c r="B205" s="201">
        <v>45891</v>
      </c>
      <c r="C205" s="193" t="s">
        <v>143</v>
      </c>
      <c r="D205" s="205">
        <v>17955793.594799999</v>
      </c>
      <c r="E205" s="206">
        <v>1420000000.0048637</v>
      </c>
      <c r="F205" s="207">
        <v>79.083110000556928</v>
      </c>
    </row>
    <row r="206" spans="2:6" x14ac:dyDescent="0.35">
      <c r="B206" s="201">
        <v>45894</v>
      </c>
      <c r="C206" s="193" t="s">
        <v>143</v>
      </c>
      <c r="D206" s="205">
        <v>7032759.9697000002</v>
      </c>
      <c r="E206" s="206">
        <v>557999999.99826837</v>
      </c>
      <c r="F206" s="207">
        <v>79.342961000000003</v>
      </c>
    </row>
    <row r="207" spans="2:6" x14ac:dyDescent="0.35">
      <c r="B207" s="201">
        <v>45895</v>
      </c>
      <c r="C207" s="193" t="s">
        <v>143</v>
      </c>
      <c r="D207" s="205">
        <v>-3713940.9849999999</v>
      </c>
      <c r="E207" s="206">
        <v>-294999999.99805224</v>
      </c>
      <c r="F207" s="207">
        <v>79.430448999999996</v>
      </c>
    </row>
    <row r="208" spans="2:6" x14ac:dyDescent="0.35">
      <c r="B208" s="201">
        <v>45897</v>
      </c>
      <c r="C208" s="193" t="s">
        <v>143</v>
      </c>
      <c r="D208" s="205">
        <v>-1444705.3958999999</v>
      </c>
      <c r="E208" s="206">
        <v>-114999999.99785748</v>
      </c>
      <c r="F208" s="207">
        <v>79.601004000000003</v>
      </c>
    </row>
    <row r="209" spans="2:6" x14ac:dyDescent="0.35">
      <c r="B209" s="201">
        <v>45898</v>
      </c>
      <c r="C209" s="193" t="s">
        <v>143</v>
      </c>
      <c r="D209" s="205">
        <v>-5772743.2373000002</v>
      </c>
      <c r="E209" s="206">
        <v>-459999999.99772459</v>
      </c>
      <c r="F209" s="207">
        <v>79.684819000000005</v>
      </c>
    </row>
    <row r="210" spans="2:6" x14ac:dyDescent="0.35">
      <c r="B210" s="201">
        <v>45898</v>
      </c>
      <c r="C210" s="193" t="s">
        <v>143</v>
      </c>
      <c r="D210" s="205">
        <v>-175692.18549999999</v>
      </c>
      <c r="E210" s="206">
        <v>-14000000.001281925</v>
      </c>
      <c r="F210" s="207">
        <v>79.684819000000005</v>
      </c>
    </row>
    <row r="211" spans="2:6" x14ac:dyDescent="0.35">
      <c r="B211" s="201">
        <v>45901</v>
      </c>
      <c r="C211" s="193" t="s">
        <v>143</v>
      </c>
      <c r="D211" s="205">
        <v>5253983.2417000001</v>
      </c>
      <c r="E211" s="206">
        <v>419999999.99840772</v>
      </c>
      <c r="F211" s="207">
        <v>79.939349000000007</v>
      </c>
    </row>
    <row r="212" spans="2:6" x14ac:dyDescent="0.35">
      <c r="B212" s="201">
        <v>45902</v>
      </c>
      <c r="C212" s="193" t="s">
        <v>143</v>
      </c>
      <c r="D212" s="205">
        <v>-2499194.2910000002</v>
      </c>
      <c r="E212" s="206">
        <v>-199999999.9999592</v>
      </c>
      <c r="F212" s="207">
        <v>80.025790999999998</v>
      </c>
    </row>
    <row r="213" spans="2:6" x14ac:dyDescent="0.35">
      <c r="B213" s="201">
        <v>45903</v>
      </c>
      <c r="C213" s="193" t="s">
        <v>143</v>
      </c>
      <c r="D213" s="205">
        <v>-4681024.2126000002</v>
      </c>
      <c r="E213" s="206">
        <v>-375000000.0006811</v>
      </c>
      <c r="F213" s="207">
        <v>80.110673000000006</v>
      </c>
    </row>
    <row r="214" spans="2:6" x14ac:dyDescent="0.35">
      <c r="B214" s="201">
        <v>45904</v>
      </c>
      <c r="C214" s="193" t="s">
        <v>143</v>
      </c>
      <c r="D214" s="205">
        <v>-4489154.7072999999</v>
      </c>
      <c r="E214" s="206">
        <v>-360000000.00343454</v>
      </c>
      <c r="F214" s="207">
        <v>80.193270999999996</v>
      </c>
    </row>
    <row r="215" spans="2:6" x14ac:dyDescent="0.35">
      <c r="B215" s="201">
        <v>45905</v>
      </c>
      <c r="C215" s="193" t="s">
        <v>143</v>
      </c>
      <c r="D215" s="205">
        <v>1245717.7982999999</v>
      </c>
      <c r="E215" s="206">
        <v>99999999.99568589</v>
      </c>
      <c r="F215" s="207">
        <v>80.275002999999998</v>
      </c>
    </row>
    <row r="216" spans="2:6" x14ac:dyDescent="0.35">
      <c r="B216" s="201">
        <v>45908</v>
      </c>
      <c r="C216" s="193" t="s">
        <v>143</v>
      </c>
      <c r="D216" s="205">
        <v>-3849227.8319000001</v>
      </c>
      <c r="E216" s="206">
        <v>-310000000.0032841</v>
      </c>
      <c r="F216" s="207">
        <v>80.535633000000004</v>
      </c>
    </row>
    <row r="217" spans="2:6" x14ac:dyDescent="0.35">
      <c r="B217" s="201">
        <v>45908</v>
      </c>
      <c r="C217" s="193" t="s">
        <v>143</v>
      </c>
      <c r="D217" s="205">
        <v>-186252.9596</v>
      </c>
      <c r="E217" s="206">
        <v>-14999999.999509428</v>
      </c>
      <c r="F217" s="207">
        <v>80.535633000000004</v>
      </c>
    </row>
    <row r="218" spans="2:6" x14ac:dyDescent="0.35">
      <c r="B218" s="201">
        <v>45909</v>
      </c>
      <c r="C218" s="193" t="s">
        <v>143</v>
      </c>
      <c r="D218" s="205">
        <v>4217100.2920000004</v>
      </c>
      <c r="E218" s="206">
        <v>339999999.99424309</v>
      </c>
      <c r="F218" s="207">
        <v>80.624120000000005</v>
      </c>
    </row>
    <row r="219" spans="2:6" x14ac:dyDescent="0.35">
      <c r="B219" s="201">
        <v>45910</v>
      </c>
      <c r="C219" s="193" t="s">
        <v>143</v>
      </c>
      <c r="D219" s="205">
        <v>-1363002.8658</v>
      </c>
      <c r="E219" s="206">
        <v>-109999999.99897887</v>
      </c>
      <c r="F219" s="207">
        <v>80.704159000000004</v>
      </c>
    </row>
    <row r="220" spans="2:6" x14ac:dyDescent="0.35">
      <c r="B220" s="201">
        <v>45911</v>
      </c>
      <c r="C220" s="193" t="s">
        <v>143</v>
      </c>
      <c r="D220" s="205">
        <v>-1299809.2634999999</v>
      </c>
      <c r="E220" s="206">
        <v>-104999999.99896236</v>
      </c>
      <c r="F220" s="207">
        <v>80.781082999999995</v>
      </c>
    </row>
    <row r="221" spans="2:6" x14ac:dyDescent="0.35">
      <c r="B221" s="201">
        <v>45912</v>
      </c>
      <c r="C221" s="193" t="s">
        <v>143</v>
      </c>
      <c r="D221" s="205">
        <v>-3586532.9989999998</v>
      </c>
      <c r="E221" s="206">
        <v>-290000000.00219792</v>
      </c>
      <c r="F221" s="207">
        <v>80.858031999999994</v>
      </c>
    </row>
    <row r="222" spans="2:6" x14ac:dyDescent="0.35">
      <c r="B222" s="201">
        <v>45915</v>
      </c>
      <c r="C222" s="193" t="s">
        <v>143</v>
      </c>
      <c r="D222" s="205">
        <v>4130761.8687</v>
      </c>
      <c r="E222" s="206">
        <v>334999999.99856412</v>
      </c>
      <c r="F222" s="207">
        <v>81.098840999999993</v>
      </c>
    </row>
    <row r="223" spans="2:6" x14ac:dyDescent="0.35">
      <c r="B223" s="201">
        <v>45916</v>
      </c>
      <c r="C223" s="193" t="s">
        <v>143</v>
      </c>
      <c r="D223" s="205">
        <v>3449258.1784999999</v>
      </c>
      <c r="E223" s="206">
        <v>279999999.99882215</v>
      </c>
      <c r="F223" s="207">
        <v>81.176874999999995</v>
      </c>
    </row>
    <row r="224" spans="2:6" x14ac:dyDescent="0.35">
      <c r="B224" s="201">
        <v>45917</v>
      </c>
      <c r="C224" s="193" t="s">
        <v>143</v>
      </c>
      <c r="D224" s="205">
        <v>-4491997.5372000001</v>
      </c>
      <c r="E224" s="206">
        <v>-365000000.00368375</v>
      </c>
      <c r="F224" s="207">
        <v>81.255610000000004</v>
      </c>
    </row>
    <row r="225" spans="2:6" x14ac:dyDescent="0.35">
      <c r="B225" s="201">
        <v>45918</v>
      </c>
      <c r="C225" s="193" t="s">
        <v>143</v>
      </c>
      <c r="D225" s="205">
        <v>-491793.48509999999</v>
      </c>
      <c r="E225" s="206">
        <v>-39999999.996314697</v>
      </c>
      <c r="F225" s="207">
        <v>81.334952999999999</v>
      </c>
    </row>
    <row r="226" spans="2:6" x14ac:dyDescent="0.35">
      <c r="B226" s="201">
        <v>45919</v>
      </c>
      <c r="C226" s="193" t="s">
        <v>143</v>
      </c>
      <c r="D226" s="205">
        <v>-675550.1263</v>
      </c>
      <c r="E226" s="206">
        <v>-55000000.003130667</v>
      </c>
      <c r="F226" s="207">
        <v>81.415127999999996</v>
      </c>
    </row>
    <row r="227" spans="2:6" x14ac:dyDescent="0.35">
      <c r="B227" s="201">
        <v>45922</v>
      </c>
      <c r="C227" s="193" t="s">
        <v>142</v>
      </c>
      <c r="D227" s="205">
        <v>-5109017</v>
      </c>
      <c r="E227" s="206">
        <v>-1000000021.11</v>
      </c>
      <c r="F227" s="207">
        <v>195.73237300052045</v>
      </c>
    </row>
    <row r="228" spans="2:6" x14ac:dyDescent="0.35">
      <c r="B228" s="201">
        <v>45922</v>
      </c>
      <c r="C228" s="193" t="s">
        <v>143</v>
      </c>
      <c r="D228" s="205">
        <v>11509920.6087</v>
      </c>
      <c r="E228" s="206">
        <v>939999999.99748433</v>
      </c>
      <c r="F228" s="207">
        <v>81.668678</v>
      </c>
    </row>
    <row r="229" spans="2:6" x14ac:dyDescent="0.35">
      <c r="B229" s="201">
        <v>45923</v>
      </c>
      <c r="C229" s="193" t="s">
        <v>143</v>
      </c>
      <c r="D229" s="205">
        <v>-2079483.2058999999</v>
      </c>
      <c r="E229" s="206">
        <v>-170000000.00367057</v>
      </c>
      <c r="F229" s="207">
        <v>81.751080999999999</v>
      </c>
    </row>
    <row r="230" spans="2:6" x14ac:dyDescent="0.35">
      <c r="B230" s="201">
        <v>45923</v>
      </c>
      <c r="C230" s="193" t="s">
        <v>143</v>
      </c>
      <c r="D230" s="205">
        <v>-122322.54150000001</v>
      </c>
      <c r="E230" s="206">
        <v>-9999999.9982923623</v>
      </c>
      <c r="F230" s="207">
        <v>81.751080999999999</v>
      </c>
    </row>
    <row r="231" spans="2:6" x14ac:dyDescent="0.35">
      <c r="B231" s="201">
        <v>45924</v>
      </c>
      <c r="C231" s="193" t="s">
        <v>143</v>
      </c>
      <c r="D231" s="205">
        <v>33176797.0988</v>
      </c>
      <c r="E231" s="206">
        <v>2714999999.999126</v>
      </c>
      <c r="F231" s="207">
        <v>81.834300999999996</v>
      </c>
    </row>
    <row r="232" spans="2:6" x14ac:dyDescent="0.35">
      <c r="B232" s="201">
        <v>45925</v>
      </c>
      <c r="C232" s="193" t="s">
        <v>143</v>
      </c>
      <c r="D232" s="205">
        <v>-244173.28969999999</v>
      </c>
      <c r="E232" s="206">
        <v>-19999999.997142177</v>
      </c>
      <c r="F232" s="207">
        <v>81.909041000000002</v>
      </c>
    </row>
    <row r="233" spans="2:6" x14ac:dyDescent="0.35">
      <c r="B233" s="201">
        <v>45929</v>
      </c>
      <c r="C233" s="193" t="s">
        <v>143</v>
      </c>
      <c r="D233" s="205">
        <v>-243297.9504</v>
      </c>
      <c r="E233" s="206">
        <v>-20000000</v>
      </c>
      <c r="F233" s="207">
        <v>82.203734010576355</v>
      </c>
    </row>
    <row r="234" spans="2:6" x14ac:dyDescent="0.35">
      <c r="B234" s="201">
        <v>45930</v>
      </c>
      <c r="C234" s="193" t="s">
        <v>143</v>
      </c>
      <c r="D234" s="205">
        <v>-2977993.6238000002</v>
      </c>
      <c r="E234" s="206">
        <v>-245000000</v>
      </c>
      <c r="F234" s="207">
        <v>82.270156000996863</v>
      </c>
    </row>
    <row r="235" spans="2:6" x14ac:dyDescent="0.35">
      <c r="B235" s="201">
        <v>45931</v>
      </c>
      <c r="C235" s="193" t="s">
        <v>144</v>
      </c>
      <c r="D235" s="205">
        <v>155966988.15200001</v>
      </c>
      <c r="E235" s="206">
        <v>2500000000</v>
      </c>
      <c r="F235" s="207">
        <v>16.029033000006301</v>
      </c>
    </row>
    <row r="236" spans="2:6" x14ac:dyDescent="0.35">
      <c r="B236" s="201">
        <v>45931</v>
      </c>
      <c r="C236" s="193" t="s">
        <v>143</v>
      </c>
      <c r="D236" s="205">
        <v>-26112108.951299999</v>
      </c>
      <c r="E236" s="206">
        <v>-2150000000</v>
      </c>
      <c r="F236" s="207">
        <v>82.337278999939286</v>
      </c>
    </row>
    <row r="237" spans="2:6" x14ac:dyDescent="0.35">
      <c r="B237" s="201">
        <v>45932</v>
      </c>
      <c r="C237" s="193" t="s">
        <v>144</v>
      </c>
      <c r="D237" s="205">
        <v>-150077654.51640001</v>
      </c>
      <c r="E237" s="206">
        <v>-2407808819.8800001</v>
      </c>
      <c r="F237" s="207">
        <v>16.043752999996961</v>
      </c>
    </row>
    <row r="238" spans="2:6" x14ac:dyDescent="0.35">
      <c r="B238" s="201">
        <v>45932</v>
      </c>
      <c r="C238" s="193" t="s">
        <v>143</v>
      </c>
      <c r="D238" s="205">
        <v>-4550664.7532000002</v>
      </c>
      <c r="E238" s="206">
        <v>-375000000</v>
      </c>
      <c r="F238" s="207">
        <v>82.405543000350065</v>
      </c>
    </row>
    <row r="239" spans="2:6" x14ac:dyDescent="0.35">
      <c r="B239" s="201">
        <v>45933</v>
      </c>
      <c r="C239" s="193" t="s">
        <v>143</v>
      </c>
      <c r="D239" s="205">
        <v>-1818745.8498</v>
      </c>
      <c r="E239" s="206">
        <v>-150000000</v>
      </c>
      <c r="F239" s="207">
        <v>82.474415002236228</v>
      </c>
    </row>
    <row r="240" spans="2:6" x14ac:dyDescent="0.35">
      <c r="B240" s="201">
        <v>45936</v>
      </c>
      <c r="C240" s="193" t="s">
        <v>143</v>
      </c>
      <c r="D240" s="205">
        <v>-2660474.0827000001</v>
      </c>
      <c r="E240" s="206">
        <v>-220000000</v>
      </c>
      <c r="F240" s="207">
        <v>82.692028999858366</v>
      </c>
    </row>
    <row r="241" spans="2:6" x14ac:dyDescent="0.35">
      <c r="B241" s="201">
        <v>45936</v>
      </c>
      <c r="C241" s="193" t="s">
        <v>143</v>
      </c>
      <c r="D241" s="205">
        <v>-241861.28020000001</v>
      </c>
      <c r="E241" s="206">
        <v>-20000000</v>
      </c>
      <c r="F241" s="207">
        <v>82.692029015399214</v>
      </c>
    </row>
    <row r="242" spans="2:6" x14ac:dyDescent="0.35">
      <c r="B242" s="201">
        <v>45937</v>
      </c>
      <c r="C242" s="193" t="s">
        <v>143</v>
      </c>
      <c r="D242" s="205">
        <v>4108131.1841000002</v>
      </c>
      <c r="E242" s="206">
        <v>340000000</v>
      </c>
      <c r="F242" s="207">
        <v>82.762693001607843</v>
      </c>
    </row>
    <row r="243" spans="2:6" x14ac:dyDescent="0.35">
      <c r="B243" s="201">
        <v>45938</v>
      </c>
      <c r="C243" s="193" t="s">
        <v>143</v>
      </c>
      <c r="D243" s="205">
        <v>-905354.21050000004</v>
      </c>
      <c r="E243" s="206">
        <v>-75000000</v>
      </c>
      <c r="F243" s="207">
        <v>82.840504998126363</v>
      </c>
    </row>
    <row r="244" spans="2:6" x14ac:dyDescent="0.35">
      <c r="B244" s="201">
        <v>45939</v>
      </c>
      <c r="C244" s="193" t="s">
        <v>143</v>
      </c>
      <c r="D244" s="205">
        <v>-4220607.6911000004</v>
      </c>
      <c r="E244" s="206">
        <v>-350000000</v>
      </c>
      <c r="F244" s="207">
        <v>82.926446999100477</v>
      </c>
    </row>
    <row r="245" spans="2:6" x14ac:dyDescent="0.35">
      <c r="B245" s="201">
        <v>45943</v>
      </c>
      <c r="C245" s="193" t="s">
        <v>143</v>
      </c>
      <c r="D245" s="205">
        <v>-8642142.0758999996</v>
      </c>
      <c r="E245" s="206">
        <v>-720000000</v>
      </c>
      <c r="F245" s="207">
        <v>83.312678000033756</v>
      </c>
    </row>
    <row r="246" spans="2:6" x14ac:dyDescent="0.35">
      <c r="B246" s="201">
        <v>45945</v>
      </c>
      <c r="C246" s="193" t="s">
        <v>143</v>
      </c>
      <c r="D246" s="205">
        <v>5026867.7101999996</v>
      </c>
      <c r="E246" s="206">
        <v>420000000</v>
      </c>
      <c r="F246" s="207">
        <v>83.551035000936963</v>
      </c>
    </row>
    <row r="247" spans="2:6" x14ac:dyDescent="0.35">
      <c r="B247" s="201">
        <v>45947</v>
      </c>
      <c r="C247" s="193" t="s">
        <v>142</v>
      </c>
      <c r="D247" s="205">
        <v>-597231</v>
      </c>
      <c r="E247" s="206">
        <v>-120000192.06999999</v>
      </c>
      <c r="F247" s="207">
        <v>200.92760099525978</v>
      </c>
    </row>
    <row r="248" spans="2:6" x14ac:dyDescent="0.35">
      <c r="B248" s="201">
        <v>45947</v>
      </c>
      <c r="C248" s="193" t="s">
        <v>144</v>
      </c>
      <c r="D248" s="205">
        <v>-12248658.2973</v>
      </c>
      <c r="E248" s="206">
        <v>-200000000.00031123</v>
      </c>
      <c r="F248" s="207">
        <v>16.328319</v>
      </c>
    </row>
    <row r="249" spans="2:6" x14ac:dyDescent="0.35">
      <c r="B249" s="201">
        <v>45950</v>
      </c>
      <c r="C249" s="193" t="s">
        <v>142</v>
      </c>
      <c r="D249" s="205">
        <v>595458</v>
      </c>
      <c r="E249" s="206">
        <v>120000000</v>
      </c>
      <c r="F249" s="207">
        <v>201.52554840139859</v>
      </c>
    </row>
    <row r="250" spans="2:6" x14ac:dyDescent="0.35">
      <c r="B250" s="201">
        <v>45950</v>
      </c>
      <c r="C250" s="193" t="s">
        <v>143</v>
      </c>
      <c r="D250" s="205">
        <v>-5473157.0440999996</v>
      </c>
      <c r="E250" s="206">
        <v>-460000000</v>
      </c>
      <c r="F250" s="207">
        <v>84.046555999315743</v>
      </c>
    </row>
    <row r="251" spans="2:6" x14ac:dyDescent="0.35">
      <c r="B251" s="201">
        <v>45951</v>
      </c>
      <c r="C251" s="193" t="s">
        <v>143</v>
      </c>
      <c r="D251" s="205">
        <v>-118879.6393</v>
      </c>
      <c r="E251" s="206">
        <v>-10000000</v>
      </c>
      <c r="F251" s="207">
        <v>84.118693990687433</v>
      </c>
    </row>
    <row r="252" spans="2:6" x14ac:dyDescent="0.35">
      <c r="B252" s="201">
        <v>45952</v>
      </c>
      <c r="C252" s="193" t="s">
        <v>143</v>
      </c>
      <c r="D252" s="205">
        <v>40386280.998899996</v>
      </c>
      <c r="E252" s="206">
        <v>3400000000</v>
      </c>
      <c r="F252" s="207">
        <v>84.187004000011939</v>
      </c>
    </row>
    <row r="253" spans="2:6" x14ac:dyDescent="0.35">
      <c r="B253" s="201">
        <v>45953</v>
      </c>
      <c r="C253" s="193" t="s">
        <v>143</v>
      </c>
      <c r="D253" s="205">
        <v>-118684.6278</v>
      </c>
      <c r="E253" s="206">
        <v>-10000000</v>
      </c>
      <c r="F253" s="207">
        <v>84.256909975328753</v>
      </c>
    </row>
    <row r="254" spans="2:6" x14ac:dyDescent="0.35">
      <c r="B254" s="201">
        <v>45954</v>
      </c>
      <c r="C254" s="193" t="s">
        <v>143</v>
      </c>
      <c r="D254" s="205">
        <v>-415027.36790000001</v>
      </c>
      <c r="E254" s="206">
        <v>-35000000</v>
      </c>
      <c r="F254" s="207">
        <v>84.331787990504708</v>
      </c>
    </row>
    <row r="255" spans="2:6" x14ac:dyDescent="0.35">
      <c r="B255" s="201">
        <v>45957</v>
      </c>
      <c r="C255" s="193" t="s">
        <v>143</v>
      </c>
      <c r="D255" s="205">
        <v>2363183.4638</v>
      </c>
      <c r="E255" s="206">
        <v>200000000</v>
      </c>
      <c r="F255" s="207">
        <v>84.631601000795726</v>
      </c>
    </row>
    <row r="256" spans="2:6" x14ac:dyDescent="0.35">
      <c r="B256" s="201">
        <v>45959</v>
      </c>
      <c r="C256" s="193" t="s">
        <v>142</v>
      </c>
      <c r="D256" s="205">
        <v>4913388</v>
      </c>
      <c r="E256" s="206">
        <v>1000000000</v>
      </c>
      <c r="F256" s="207">
        <v>203.52555100472424</v>
      </c>
    </row>
    <row r="257" spans="2:8" x14ac:dyDescent="0.35">
      <c r="B257" s="201">
        <v>45959</v>
      </c>
      <c r="C257" s="193" t="s">
        <v>144</v>
      </c>
      <c r="D257" s="205">
        <v>13776209.614499999</v>
      </c>
      <c r="E257" s="206">
        <v>227982713.32971433</v>
      </c>
      <c r="F257" s="207">
        <v>16.549016000000002</v>
      </c>
    </row>
    <row r="258" spans="2:8" x14ac:dyDescent="0.35">
      <c r="B258" s="201">
        <v>45959</v>
      </c>
      <c r="C258" s="193" t="s">
        <v>143</v>
      </c>
      <c r="D258" s="205">
        <v>-11783572.491</v>
      </c>
      <c r="E258" s="206">
        <v>-1000000000</v>
      </c>
      <c r="F258" s="207">
        <v>84.863906999662035</v>
      </c>
    </row>
    <row r="259" spans="2:8" x14ac:dyDescent="0.35">
      <c r="B259" s="201">
        <v>45959</v>
      </c>
      <c r="C259" s="193" t="s">
        <v>143</v>
      </c>
      <c r="D259" s="205">
        <v>-1060521.5242000001</v>
      </c>
      <c r="E259" s="206">
        <v>-90000000</v>
      </c>
      <c r="F259" s="207">
        <v>84.863906998861822</v>
      </c>
    </row>
    <row r="260" spans="2:8" x14ac:dyDescent="0.35">
      <c r="B260" s="201">
        <v>45960</v>
      </c>
      <c r="C260" s="193" t="s">
        <v>143</v>
      </c>
      <c r="D260" s="205">
        <v>-176586.75529999999</v>
      </c>
      <c r="E260" s="206">
        <v>-15000000</v>
      </c>
      <c r="F260" s="207">
        <v>84.944083006207208</v>
      </c>
    </row>
    <row r="261" spans="2:8" x14ac:dyDescent="0.35">
      <c r="B261" s="201">
        <v>45961</v>
      </c>
      <c r="C261" s="193" t="s">
        <v>143</v>
      </c>
      <c r="D261" s="205">
        <v>-4881183.6392999999</v>
      </c>
      <c r="E261" s="206">
        <v>-415000000</v>
      </c>
      <c r="F261" s="207">
        <v>85.020361999638737</v>
      </c>
    </row>
    <row r="262" spans="2:8" x14ac:dyDescent="0.35">
      <c r="B262" s="201">
        <v>45964</v>
      </c>
      <c r="C262" s="193" t="s">
        <v>143</v>
      </c>
      <c r="D262" s="205">
        <v>4634384.7082000002</v>
      </c>
      <c r="E262" s="206">
        <v>394999999.99749875</v>
      </c>
      <c r="F262" s="207">
        <v>85.232457999999994</v>
      </c>
    </row>
    <row r="263" spans="2:8" x14ac:dyDescent="0.35">
      <c r="B263" s="201">
        <v>45965</v>
      </c>
      <c r="C263" s="193" t="s">
        <v>143</v>
      </c>
      <c r="D263" s="205">
        <v>-3845338.6505999998</v>
      </c>
      <c r="E263" s="206">
        <v>-328000000.00063217</v>
      </c>
      <c r="F263" s="207">
        <v>85.298079000000001</v>
      </c>
    </row>
    <row r="264" spans="2:8" x14ac:dyDescent="0.35">
      <c r="B264" s="201">
        <v>45966</v>
      </c>
      <c r="C264" s="193" t="s">
        <v>143</v>
      </c>
      <c r="D264" s="205">
        <v>3795518.6357999998</v>
      </c>
      <c r="E264" s="206">
        <v>323999999.99722582</v>
      </c>
      <c r="F264" s="207">
        <v>85.363827999999998</v>
      </c>
    </row>
    <row r="265" spans="2:8" x14ac:dyDescent="0.35">
      <c r="B265" s="201">
        <v>45968</v>
      </c>
      <c r="C265" s="193" t="s">
        <v>144</v>
      </c>
      <c r="D265" s="205">
        <v>-3651683.5170999998</v>
      </c>
      <c r="E265" s="206">
        <v>-60922997.07</v>
      </c>
      <c r="F265" s="207">
        <v>16.683537000047107</v>
      </c>
    </row>
    <row r="266" spans="2:8" x14ac:dyDescent="0.35">
      <c r="B266" s="201">
        <v>45968</v>
      </c>
      <c r="C266" s="193" t="s">
        <v>143</v>
      </c>
      <c r="D266" s="205">
        <v>-23393837.5953</v>
      </c>
      <c r="E266" s="206">
        <v>-1999999999.9999447</v>
      </c>
      <c r="F266" s="207">
        <v>85.492599999999996</v>
      </c>
    </row>
    <row r="267" spans="2:8" x14ac:dyDescent="0.35">
      <c r="B267" s="201">
        <v>45968</v>
      </c>
      <c r="C267" s="193" t="s">
        <v>143</v>
      </c>
      <c r="D267" s="205">
        <v>-4070527.7415999998</v>
      </c>
      <c r="E267" s="206">
        <v>-348000000.00151211</v>
      </c>
      <c r="F267" s="207">
        <v>85.492599999999996</v>
      </c>
    </row>
    <row r="268" spans="2:8" x14ac:dyDescent="0.35">
      <c r="B268" s="201">
        <v>45971</v>
      </c>
      <c r="C268" s="193" t="s">
        <v>142</v>
      </c>
      <c r="D268" s="205">
        <v>-1459867.9996720164</v>
      </c>
      <c r="E268" s="206">
        <v>-300000027.19</v>
      </c>
      <c r="F268" s="207">
        <v>205.49805000000001</v>
      </c>
    </row>
    <row r="269" spans="2:8" x14ac:dyDescent="0.35">
      <c r="B269" s="201">
        <v>45972</v>
      </c>
      <c r="C269" s="193" t="s">
        <v>149</v>
      </c>
      <c r="D269" s="205">
        <v>7142691.9424999999</v>
      </c>
      <c r="E269" s="206">
        <v>2000000000</v>
      </c>
      <c r="F269" s="207">
        <v>280.00647600377732</v>
      </c>
      <c r="H269" s="143"/>
    </row>
    <row r="270" spans="2:8" x14ac:dyDescent="0.35">
      <c r="B270" s="201">
        <v>45972</v>
      </c>
      <c r="C270" s="193" t="s">
        <v>143</v>
      </c>
      <c r="D270" s="205">
        <v>-3230220.1579</v>
      </c>
      <c r="E270" s="206">
        <v>-276999999.99752641</v>
      </c>
      <c r="F270" s="207">
        <v>85.752668999999997</v>
      </c>
    </row>
    <row r="271" spans="2:8" x14ac:dyDescent="0.35">
      <c r="B271" s="201">
        <v>45973</v>
      </c>
      <c r="C271" s="193" t="s">
        <v>143</v>
      </c>
      <c r="D271" s="205">
        <v>-4661163.9683999997</v>
      </c>
      <c r="E271" s="206">
        <v>-400000000.001131</v>
      </c>
      <c r="F271" s="207">
        <v>85.815475000000006</v>
      </c>
    </row>
    <row r="272" spans="2:8" x14ac:dyDescent="0.35">
      <c r="B272" s="201">
        <v>45974</v>
      </c>
      <c r="C272" s="193" t="s">
        <v>143</v>
      </c>
      <c r="D272" s="205">
        <v>4948798.3926999997</v>
      </c>
      <c r="E272" s="206">
        <v>424999999.99638736</v>
      </c>
      <c r="F272" s="207">
        <v>85.879433000000006</v>
      </c>
    </row>
    <row r="273" spans="2:8" x14ac:dyDescent="0.35">
      <c r="B273" s="201">
        <v>45975</v>
      </c>
      <c r="C273" s="193" t="s">
        <v>143</v>
      </c>
      <c r="D273" s="205">
        <v>-2036254.5937999999</v>
      </c>
      <c r="E273" s="206">
        <v>-174999999.99832818</v>
      </c>
      <c r="F273" s="207">
        <v>85.942102000000006</v>
      </c>
    </row>
    <row r="274" spans="2:8" x14ac:dyDescent="0.35">
      <c r="B274" s="201">
        <v>45978</v>
      </c>
      <c r="C274" s="193" t="s">
        <v>149</v>
      </c>
      <c r="D274" s="205">
        <v>1229425.9399000001</v>
      </c>
      <c r="E274" s="206">
        <v>349000000</v>
      </c>
      <c r="F274" s="207">
        <v>283.87232502055974</v>
      </c>
      <c r="H274" s="143"/>
    </row>
    <row r="275" spans="2:8" x14ac:dyDescent="0.35">
      <c r="B275" s="201">
        <v>45979</v>
      </c>
      <c r="C275" s="193" t="s">
        <v>143</v>
      </c>
      <c r="D275" s="205">
        <v>-8121034.3176999995</v>
      </c>
      <c r="E275" s="206">
        <v>-700000000.0026207</v>
      </c>
      <c r="F275" s="207">
        <v>86.195916999999994</v>
      </c>
    </row>
    <row r="276" spans="2:8" x14ac:dyDescent="0.35">
      <c r="B276" s="201">
        <v>45980</v>
      </c>
      <c r="C276" s="193" t="s">
        <v>143</v>
      </c>
      <c r="D276" s="205">
        <v>-1507153.2216</v>
      </c>
      <c r="E276" s="206">
        <v>-129999999.99682435</v>
      </c>
      <c r="F276" s="207">
        <v>86.255330999999998</v>
      </c>
    </row>
    <row r="277" spans="2:8" x14ac:dyDescent="0.35">
      <c r="B277" s="201">
        <v>45986</v>
      </c>
      <c r="C277" s="193" t="s">
        <v>143</v>
      </c>
      <c r="D277" s="205">
        <v>-635036.61659999995</v>
      </c>
      <c r="E277" s="206">
        <v>-54999999.998663768</v>
      </c>
      <c r="F277" s="207">
        <v>86.609178999999997</v>
      </c>
    </row>
    <row r="278" spans="2:8" x14ac:dyDescent="0.35">
      <c r="B278" s="201">
        <v>45987</v>
      </c>
      <c r="C278" s="193" t="s">
        <v>149</v>
      </c>
      <c r="D278" s="205">
        <v>10466515.5913</v>
      </c>
      <c r="E278" s="206">
        <v>3000000000</v>
      </c>
      <c r="F278" s="207">
        <v>286.62834100143766</v>
      </c>
      <c r="H278" s="143"/>
    </row>
    <row r="279" spans="2:8" x14ac:dyDescent="0.35">
      <c r="B279" s="201">
        <v>45987</v>
      </c>
      <c r="C279" s="193" t="s">
        <v>143</v>
      </c>
      <c r="D279" s="205">
        <v>21808518.095600002</v>
      </c>
      <c r="E279" s="206">
        <v>1889999999.9984498</v>
      </c>
      <c r="F279" s="207">
        <v>86.663385000000005</v>
      </c>
    </row>
    <row r="280" spans="2:8" x14ac:dyDescent="0.35">
      <c r="B280" s="201">
        <v>45988</v>
      </c>
      <c r="C280" s="193" t="s">
        <v>142</v>
      </c>
      <c r="D280" s="205">
        <v>-9904.9999813926079</v>
      </c>
      <c r="E280" s="206">
        <v>-2060060.26</v>
      </c>
      <c r="F280" s="207">
        <v>207.981854</v>
      </c>
    </row>
    <row r="281" spans="2:8" x14ac:dyDescent="0.35">
      <c r="B281" s="201">
        <v>45988</v>
      </c>
      <c r="C281" s="193" t="s">
        <v>143</v>
      </c>
      <c r="D281" s="205">
        <v>-3955375.7506060628</v>
      </c>
      <c r="E281" s="206">
        <v>-343000000</v>
      </c>
      <c r="F281" s="207">
        <v>86.717425000000006</v>
      </c>
    </row>
    <row r="282" spans="2:8" x14ac:dyDescent="0.35">
      <c r="B282" s="201">
        <v>45989</v>
      </c>
      <c r="C282" s="193" t="s">
        <v>143</v>
      </c>
      <c r="D282" s="205">
        <v>-6050404.014287482</v>
      </c>
      <c r="E282" s="206">
        <v>-525000000</v>
      </c>
      <c r="F282" s="207">
        <v>86.771064999999993</v>
      </c>
    </row>
    <row r="283" spans="2:8" x14ac:dyDescent="0.35">
      <c r="B283" s="201">
        <v>45989</v>
      </c>
      <c r="C283" s="193" t="s">
        <v>143</v>
      </c>
      <c r="D283" s="205">
        <v>-518606.05836749845</v>
      </c>
      <c r="E283" s="206">
        <v>-45000000</v>
      </c>
      <c r="F283" s="207">
        <v>86.771064999999993</v>
      </c>
    </row>
    <row r="284" spans="2:8" x14ac:dyDescent="0.35">
      <c r="B284" s="201">
        <v>45992</v>
      </c>
      <c r="C284" s="193" t="s">
        <v>143</v>
      </c>
      <c r="D284" s="205">
        <v>7535058.2389000002</v>
      </c>
      <c r="E284" s="206">
        <v>655000000</v>
      </c>
      <c r="F284" s="207">
        <v>86.926999000291687</v>
      </c>
    </row>
    <row r="285" spans="2:8" x14ac:dyDescent="0.35">
      <c r="B285" s="201">
        <v>45993</v>
      </c>
      <c r="C285" s="193" t="s">
        <v>149</v>
      </c>
      <c r="D285" s="205">
        <v>777989.22869999998</v>
      </c>
      <c r="E285" s="206">
        <v>224000000</v>
      </c>
      <c r="F285" s="207">
        <v>287.92172402476348</v>
      </c>
      <c r="H285" s="143"/>
    </row>
    <row r="286" spans="2:8" x14ac:dyDescent="0.35">
      <c r="B286" s="201">
        <v>45994</v>
      </c>
      <c r="C286" s="193" t="s">
        <v>149</v>
      </c>
      <c r="D286" s="205">
        <v>-651744.79399999999</v>
      </c>
      <c r="E286" s="206">
        <v>-188000000</v>
      </c>
      <c r="F286" s="207">
        <v>288.45646598291046</v>
      </c>
      <c r="H286" s="143"/>
    </row>
    <row r="287" spans="2:8" x14ac:dyDescent="0.35">
      <c r="B287" s="201">
        <v>45994</v>
      </c>
      <c r="C287" s="193" t="s">
        <v>143</v>
      </c>
      <c r="D287" s="205">
        <v>-2160644.2940000002</v>
      </c>
      <c r="E287" s="206">
        <v>-188000000</v>
      </c>
      <c r="F287" s="207">
        <v>87.011083000596855</v>
      </c>
    </row>
    <row r="288" spans="2:8" x14ac:dyDescent="0.35">
      <c r="B288" s="201">
        <v>45995</v>
      </c>
      <c r="C288" s="193" t="s">
        <v>149</v>
      </c>
      <c r="D288" s="205">
        <v>651150.60210000002</v>
      </c>
      <c r="E288" s="206">
        <v>188000000</v>
      </c>
      <c r="F288" s="207">
        <v>288.71969002821874</v>
      </c>
    </row>
    <row r="289" spans="2:6" x14ac:dyDescent="0.35">
      <c r="B289" s="201">
        <v>45995</v>
      </c>
      <c r="C289" s="193" t="s">
        <v>143</v>
      </c>
      <c r="D289" s="205">
        <v>-5054310.0548999999</v>
      </c>
      <c r="E289" s="206">
        <v>-440000000</v>
      </c>
      <c r="F289" s="207">
        <v>87.054413999282332</v>
      </c>
    </row>
    <row r="290" spans="2:6" x14ac:dyDescent="0.35">
      <c r="B290" s="201">
        <v>45996</v>
      </c>
      <c r="C290" s="193" t="s">
        <v>142</v>
      </c>
      <c r="D290" s="205">
        <v>-1435109</v>
      </c>
      <c r="E290" s="206">
        <v>-300000153.70999998</v>
      </c>
      <c r="F290" s="207">
        <v>209.04346200184096</v>
      </c>
    </row>
    <row r="291" spans="2:6" x14ac:dyDescent="0.35">
      <c r="B291" s="201">
        <v>46000</v>
      </c>
      <c r="C291" s="193" t="s">
        <v>142</v>
      </c>
      <c r="D291" s="205">
        <v>1431645</v>
      </c>
      <c r="E291" s="206">
        <v>299999853.98000002</v>
      </c>
      <c r="F291" s="207">
        <v>209.5490529984738</v>
      </c>
    </row>
    <row r="292" spans="2:6" x14ac:dyDescent="0.35">
      <c r="B292" s="201">
        <v>46000</v>
      </c>
      <c r="C292" s="193" t="s">
        <v>143</v>
      </c>
      <c r="D292" s="205">
        <v>-7332553.9134</v>
      </c>
      <c r="E292" s="206">
        <v>-639999999.99959445</v>
      </c>
      <c r="F292" s="207">
        <v>87.282004000000001</v>
      </c>
    </row>
    <row r="293" spans="2:6" x14ac:dyDescent="0.35">
      <c r="B293" s="201">
        <v>46001</v>
      </c>
      <c r="C293" s="193" t="s">
        <v>143</v>
      </c>
      <c r="D293" s="205">
        <v>-4466151.9277999997</v>
      </c>
      <c r="E293" s="206">
        <v>-390000000.0026356</v>
      </c>
      <c r="F293" s="207">
        <v>87.323496000000006</v>
      </c>
    </row>
    <row r="294" spans="2:6" x14ac:dyDescent="0.35">
      <c r="B294" s="201">
        <v>46002</v>
      </c>
      <c r="C294" s="193" t="s">
        <v>149</v>
      </c>
      <c r="D294" s="205">
        <v>-1721240.3297999999</v>
      </c>
      <c r="E294" s="206">
        <v>-500000000.00728738</v>
      </c>
      <c r="F294" s="207">
        <v>290.48819700000001</v>
      </c>
    </row>
    <row r="295" spans="2:6" x14ac:dyDescent="0.35">
      <c r="B295" s="201">
        <v>46006</v>
      </c>
      <c r="C295" s="193" t="s">
        <v>143</v>
      </c>
      <c r="D295" s="205">
        <v>-1188049.5015</v>
      </c>
      <c r="E295" s="206">
        <v>-104000000.00408766</v>
      </c>
      <c r="F295" s="207">
        <v>87.538439999999994</v>
      </c>
    </row>
    <row r="296" spans="2:6" x14ac:dyDescent="0.35">
      <c r="B296" s="201">
        <v>46007</v>
      </c>
      <c r="C296" s="193" t="s">
        <v>142</v>
      </c>
      <c r="D296" s="205">
        <v>-2375945</v>
      </c>
      <c r="E296" s="206">
        <v>-500000209.56999999</v>
      </c>
      <c r="F296" s="207">
        <v>210.44266999867421</v>
      </c>
    </row>
    <row r="297" spans="2:6" x14ac:dyDescent="0.35">
      <c r="B297" s="201">
        <v>46007</v>
      </c>
      <c r="C297" s="193" t="s">
        <v>143</v>
      </c>
      <c r="D297" s="205">
        <v>3847908.0214</v>
      </c>
      <c r="E297" s="206">
        <v>336999999.99706119</v>
      </c>
      <c r="F297" s="207">
        <v>87.580055999999999</v>
      </c>
    </row>
    <row r="298" spans="2:6" x14ac:dyDescent="0.35">
      <c r="B298" s="201">
        <v>46008</v>
      </c>
      <c r="C298" s="193" t="s">
        <v>143</v>
      </c>
      <c r="D298" s="205">
        <v>-1335285.2387999999</v>
      </c>
      <c r="E298" s="206">
        <v>116999999.99999996</v>
      </c>
      <c r="F298" s="207">
        <v>-87.621728002584703</v>
      </c>
    </row>
    <row r="299" spans="2:6" x14ac:dyDescent="0.35">
      <c r="B299" s="201">
        <v>46009</v>
      </c>
      <c r="C299" s="193" t="s">
        <v>149</v>
      </c>
      <c r="D299" s="205">
        <v>-3421341.9375999998</v>
      </c>
      <c r="E299" s="206">
        <v>-1000000000.01</v>
      </c>
      <c r="F299" s="207">
        <v>292.28297499883314</v>
      </c>
    </row>
    <row r="300" spans="2:6" x14ac:dyDescent="0.35">
      <c r="B300" s="201">
        <v>46009</v>
      </c>
      <c r="C300" s="193" t="s">
        <v>143</v>
      </c>
      <c r="D300" s="205">
        <v>-6878589.8996000001</v>
      </c>
      <c r="E300" s="206">
        <v>603000000</v>
      </c>
      <c r="F300" s="207">
        <v>-87.663315999557597</v>
      </c>
    </row>
    <row r="301" spans="2:6" x14ac:dyDescent="0.35">
      <c r="B301" s="201">
        <v>46010</v>
      </c>
      <c r="C301" s="193" t="s">
        <v>143</v>
      </c>
      <c r="D301" s="205">
        <v>8836445.4780999999</v>
      </c>
      <c r="E301" s="206">
        <v>775000000</v>
      </c>
      <c r="F301" s="207">
        <v>87.704949000221688</v>
      </c>
    </row>
    <row r="302" spans="2:6" x14ac:dyDescent="0.35">
      <c r="B302" s="201">
        <v>46013</v>
      </c>
      <c r="C302" s="193" t="s">
        <v>143</v>
      </c>
      <c r="D302" s="205">
        <v>-2777951.0202000001</v>
      </c>
      <c r="E302" s="206">
        <v>243999999.99867937</v>
      </c>
      <c r="F302" s="207">
        <v>-87.834522000000007</v>
      </c>
    </row>
    <row r="303" spans="2:6" x14ac:dyDescent="0.35">
      <c r="B303" s="201">
        <v>46014</v>
      </c>
      <c r="C303" s="193" t="s">
        <v>142</v>
      </c>
      <c r="D303" s="205">
        <v>-9463</v>
      </c>
      <c r="E303" s="206">
        <v>-2000137.86</v>
      </c>
      <c r="F303" s="207">
        <v>211.3640346613125</v>
      </c>
    </row>
    <row r="304" spans="2:6" x14ac:dyDescent="0.35">
      <c r="B304" s="201">
        <v>46014</v>
      </c>
      <c r="C304" s="193" t="s">
        <v>143</v>
      </c>
      <c r="D304" s="205">
        <v>-113795.2114</v>
      </c>
      <c r="E304" s="206">
        <v>-10000000</v>
      </c>
      <c r="F304" s="207">
        <v>87.877160004994721</v>
      </c>
    </row>
    <row r="305" spans="2:6" x14ac:dyDescent="0.35">
      <c r="B305" s="201">
        <v>46017</v>
      </c>
      <c r="C305" s="193" t="s">
        <v>143</v>
      </c>
      <c r="D305" s="205">
        <v>25450883.7086</v>
      </c>
      <c r="E305" s="206">
        <v>2240000000</v>
      </c>
      <c r="F305" s="207">
        <v>88.012661000179378</v>
      </c>
    </row>
    <row r="306" spans="2:6" x14ac:dyDescent="0.35">
      <c r="B306" s="201">
        <v>46020</v>
      </c>
      <c r="C306" s="193" t="s">
        <v>143</v>
      </c>
      <c r="D306" s="205">
        <v>8553504.2963999994</v>
      </c>
      <c r="E306" s="206">
        <v>754000000</v>
      </c>
      <c r="F306" s="207">
        <v>88.151005000061048</v>
      </c>
    </row>
    <row r="307" spans="2:6" x14ac:dyDescent="0.35">
      <c r="B307" s="201">
        <v>46021</v>
      </c>
      <c r="C307" s="193" t="s">
        <v>144</v>
      </c>
      <c r="D307" s="205">
        <v>-292.34350000000001</v>
      </c>
      <c r="E307" s="206">
        <v>-5056.62</v>
      </c>
      <c r="F307" s="207">
        <v>17.296844294468663</v>
      </c>
    </row>
    <row r="308" spans="2:6" x14ac:dyDescent="0.35">
      <c r="B308" s="201">
        <v>46021</v>
      </c>
      <c r="C308" s="193" t="s">
        <v>143</v>
      </c>
      <c r="D308" s="205">
        <v>9354179.5097000003</v>
      </c>
      <c r="E308" s="206">
        <v>825000000</v>
      </c>
      <c r="F308" s="207">
        <v>88.195870000623785</v>
      </c>
    </row>
    <row r="309" spans="2:6" x14ac:dyDescent="0.35">
      <c r="B309" s="201">
        <v>46021</v>
      </c>
      <c r="C309" s="193" t="s">
        <v>143</v>
      </c>
      <c r="D309" s="205">
        <v>39684397.920199998</v>
      </c>
      <c r="E309" s="206">
        <v>3500000000</v>
      </c>
      <c r="F309" s="207">
        <v>88.195870000044621</v>
      </c>
    </row>
  </sheetData>
  <autoFilter ref="B41:F309" xr:uid="{355BD65C-339B-455D-8359-6FB11B141C74}"/>
  <conditionalFormatting sqref="B35">
    <cfRule type="duplicateValues" dxfId="0" priority="1"/>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52F5-81A0-447B-BDCA-6874CCF10462}">
  <sheetPr>
    <tabColor rgb="FF0070C0"/>
  </sheetPr>
  <dimension ref="A2:P89"/>
  <sheetViews>
    <sheetView showGridLines="0" zoomScale="83" workbookViewId="0">
      <selection activeCell="K92" sqref="K92"/>
    </sheetView>
  </sheetViews>
  <sheetFormatPr defaultRowHeight="14.5" x14ac:dyDescent="0.35"/>
  <cols>
    <col min="1" max="1" width="8.7265625" style="129"/>
    <col min="2" max="2" width="37.90625" style="129" bestFit="1" customWidth="1"/>
    <col min="3" max="3" width="17.54296875" style="129" bestFit="1" customWidth="1"/>
    <col min="4" max="4" width="17.36328125" style="129" bestFit="1" customWidth="1"/>
    <col min="5" max="5" width="12.453125" style="129" bestFit="1" customWidth="1"/>
    <col min="6" max="6" width="18.54296875" style="129" bestFit="1" customWidth="1"/>
    <col min="7" max="7" width="17.54296875" style="129" bestFit="1" customWidth="1"/>
    <col min="8" max="8" width="8.7265625" style="129"/>
    <col min="9" max="9" width="10.1796875" style="129" bestFit="1" customWidth="1"/>
    <col min="10" max="10" width="11.08984375" style="129" bestFit="1" customWidth="1"/>
    <col min="11" max="11" width="23" style="129" customWidth="1"/>
    <col min="12" max="12" width="8.7265625" style="129"/>
    <col min="13" max="13" width="18.54296875" style="129" bestFit="1" customWidth="1"/>
    <col min="14" max="14" width="19" style="131" bestFit="1" customWidth="1"/>
    <col min="15" max="15" width="18.1796875" style="129" bestFit="1" customWidth="1"/>
    <col min="16" max="16384" width="8.7265625" style="129"/>
  </cols>
  <sheetData>
    <row r="2" spans="2:5" x14ac:dyDescent="0.35">
      <c r="B2" s="130" t="str">
        <f>+[6]Inicio!B2</f>
        <v>FAURECIA SISTEMAS DE ESCAPE ARGENTINA S.A</v>
      </c>
    </row>
    <row r="3" spans="2:5" x14ac:dyDescent="0.35">
      <c r="B3" s="130" t="str">
        <f>+[6]Inicio!B3</f>
        <v>30-68837468-1</v>
      </c>
    </row>
    <row r="4" spans="2:5" x14ac:dyDescent="0.35">
      <c r="B4" s="130">
        <f>+[6]Inicio!B4</f>
        <v>2025</v>
      </c>
      <c r="D4" s="130" t="s">
        <v>134</v>
      </c>
      <c r="E4" s="129">
        <f>[6]Inicio!E4</f>
        <v>12</v>
      </c>
    </row>
    <row r="5" spans="2:5" x14ac:dyDescent="0.35">
      <c r="B5" s="130" t="str">
        <f>+[6]Inicio!B5</f>
        <v>Original</v>
      </c>
    </row>
    <row r="6" spans="2:5" x14ac:dyDescent="0.35">
      <c r="B6" s="129" t="s">
        <v>135</v>
      </c>
    </row>
    <row r="28" spans="2:15" x14ac:dyDescent="0.35">
      <c r="I28" s="215" t="s">
        <v>200</v>
      </c>
      <c r="J28" s="215"/>
      <c r="K28" s="215"/>
    </row>
    <row r="30" spans="2:15" x14ac:dyDescent="0.35">
      <c r="B30" s="132" t="s">
        <v>150</v>
      </c>
      <c r="C30" s="133" t="s">
        <v>142</v>
      </c>
      <c r="F30" s="129">
        <v>212.385538</v>
      </c>
      <c r="J30" s="129">
        <v>10121.371499999999</v>
      </c>
    </row>
    <row r="31" spans="2:15" x14ac:dyDescent="0.35">
      <c r="B31" s="134" t="s">
        <v>137</v>
      </c>
      <c r="C31" s="134" t="s">
        <v>126</v>
      </c>
      <c r="D31" s="134" t="s">
        <v>151</v>
      </c>
      <c r="E31" s="134" t="s">
        <v>152</v>
      </c>
      <c r="F31" s="134" t="s">
        <v>139</v>
      </c>
      <c r="G31" s="134" t="s">
        <v>153</v>
      </c>
      <c r="I31" s="170" t="s">
        <v>140</v>
      </c>
      <c r="J31" s="170" t="s">
        <v>141</v>
      </c>
      <c r="K31" s="170" t="s">
        <v>154</v>
      </c>
      <c r="M31" s="136" t="s">
        <v>155</v>
      </c>
      <c r="N31" s="137" t="s">
        <v>133</v>
      </c>
      <c r="O31" s="138">
        <f>-'1. PEPS T&amp;L DTT'!$E$35</f>
        <v>-6240408652.3427811</v>
      </c>
    </row>
    <row r="32" spans="2:15" x14ac:dyDescent="0.35">
      <c r="B32" s="139">
        <v>45959</v>
      </c>
      <c r="C32" s="129" t="s">
        <v>142</v>
      </c>
      <c r="D32" s="140">
        <v>4913388</v>
      </c>
      <c r="E32" s="140">
        <v>255028.00034659123</v>
      </c>
      <c r="F32" s="141">
        <v>203.52555100472424</v>
      </c>
      <c r="G32" s="140">
        <v>51904714.292172983</v>
      </c>
      <c r="I32" s="138">
        <v>9603.8623000000007</v>
      </c>
      <c r="J32" s="138">
        <v>5.389E-2</v>
      </c>
      <c r="K32" s="138">
        <f>+G32*J32</f>
        <v>2797145.0532052019</v>
      </c>
    </row>
    <row r="33" spans="2:16" x14ac:dyDescent="0.35">
      <c r="B33" s="139">
        <v>46000</v>
      </c>
      <c r="C33" s="129" t="s">
        <v>142</v>
      </c>
      <c r="D33" s="140">
        <v>1431645</v>
      </c>
      <c r="E33" s="140">
        <v>1431645</v>
      </c>
      <c r="F33" s="141">
        <v>209.5490529984738</v>
      </c>
      <c r="G33" s="140">
        <v>299999853.98000002</v>
      </c>
      <c r="I33" s="142">
        <v>10121.371499999999</v>
      </c>
      <c r="J33" s="142">
        <v>0</v>
      </c>
      <c r="K33" s="142">
        <f>+G33*J33</f>
        <v>0</v>
      </c>
      <c r="M33" s="136" t="s">
        <v>156</v>
      </c>
      <c r="N33" s="137" t="s">
        <v>157</v>
      </c>
      <c r="O33" s="138">
        <v>6392744062.5799999</v>
      </c>
    </row>
    <row r="34" spans="2:16" x14ac:dyDescent="0.35">
      <c r="K34" s="143">
        <f>+SUM(K32:K33)</f>
        <v>2797145.0532052019</v>
      </c>
    </row>
    <row r="35" spans="2:16" x14ac:dyDescent="0.35">
      <c r="D35" s="144" t="s">
        <v>158</v>
      </c>
      <c r="E35" s="140">
        <f>SUMIF('1. PEPS T&amp;L DTT'!$C$13:$C$31,C30,'1. PEPS T&amp;L DTT'!$D$13:$D$31) + SUMIF('1. PEPS T&amp;L DTT'!$C$42:$C$309,C30,'1. PEPS T&amp;L DTT'!$D$42:$D$309)</f>
        <v>1686673.0003465917</v>
      </c>
      <c r="G35" s="145">
        <f>SUM(G32:G33)</f>
        <v>351904568.27217299</v>
      </c>
      <c r="M35" s="136" t="s">
        <v>159</v>
      </c>
      <c r="N35" s="137" t="str">
        <f>+H85</f>
        <v>[1]</v>
      </c>
      <c r="O35" s="140">
        <f>+G85</f>
        <v>12979910048.727617</v>
      </c>
      <c r="P35" s="137"/>
    </row>
    <row r="36" spans="2:16" x14ac:dyDescent="0.35">
      <c r="D36" s="144" t="s">
        <v>160</v>
      </c>
      <c r="E36" s="140">
        <f>SUM(E32:E33)</f>
        <v>1686673.0003465912</v>
      </c>
      <c r="P36" s="137"/>
    </row>
    <row r="37" spans="2:16" x14ac:dyDescent="0.35">
      <c r="D37" s="146" t="s">
        <v>161</v>
      </c>
      <c r="E37" s="147">
        <f>E35-E36</f>
        <v>0</v>
      </c>
      <c r="M37" s="136" t="s">
        <v>162</v>
      </c>
      <c r="N37" s="137" t="s">
        <v>89</v>
      </c>
      <c r="O37" s="143">
        <f>-C88</f>
        <v>-13137290900.27</v>
      </c>
      <c r="P37" s="137"/>
    </row>
    <row r="38" spans="2:16" x14ac:dyDescent="0.35">
      <c r="D38" s="146"/>
      <c r="E38" s="140"/>
      <c r="P38" s="137"/>
    </row>
    <row r="39" spans="2:16" x14ac:dyDescent="0.35">
      <c r="B39" s="148" t="s">
        <v>163</v>
      </c>
      <c r="C39" s="148">
        <f>+E35*F30</f>
        <v>358224952.60868508</v>
      </c>
      <c r="D39" s="146"/>
      <c r="E39" s="140"/>
      <c r="M39" s="136" t="s">
        <v>164</v>
      </c>
      <c r="N39" s="137" t="s">
        <v>165</v>
      </c>
      <c r="O39" s="140">
        <f>-'Resumen Ventas DTT'!L332</f>
        <v>-80177954.433012918</v>
      </c>
      <c r="P39" s="137"/>
    </row>
    <row r="40" spans="2:16" x14ac:dyDescent="0.35">
      <c r="D40" s="146"/>
      <c r="E40" s="140"/>
    </row>
    <row r="41" spans="2:16" x14ac:dyDescent="0.35">
      <c r="M41" s="136" t="s">
        <v>166</v>
      </c>
      <c r="O41" s="143">
        <f>+SUM(O31:O39)</f>
        <v>-85223395.738177255</v>
      </c>
    </row>
    <row r="43" spans="2:16" x14ac:dyDescent="0.35">
      <c r="B43" s="132" t="s">
        <v>150</v>
      </c>
      <c r="C43" s="133" t="s">
        <v>144</v>
      </c>
      <c r="F43" s="129">
        <v>17.296842000000002</v>
      </c>
      <c r="J43" s="129">
        <v>10121.371499999999</v>
      </c>
    </row>
    <row r="44" spans="2:16" x14ac:dyDescent="0.35">
      <c r="B44" s="134" t="s">
        <v>137</v>
      </c>
      <c r="C44" s="134" t="s">
        <v>126</v>
      </c>
      <c r="D44" s="134" t="s">
        <v>151</v>
      </c>
      <c r="E44" s="134" t="s">
        <v>152</v>
      </c>
      <c r="F44" s="134" t="s">
        <v>139</v>
      </c>
      <c r="G44" s="134" t="s">
        <v>153</v>
      </c>
      <c r="I44" s="135" t="s">
        <v>140</v>
      </c>
      <c r="J44" s="135" t="s">
        <v>141</v>
      </c>
      <c r="K44" s="135" t="s">
        <v>154</v>
      </c>
    </row>
    <row r="45" spans="2:16" x14ac:dyDescent="0.35">
      <c r="B45" s="139">
        <v>45959</v>
      </c>
      <c r="C45" s="129" t="s">
        <v>144</v>
      </c>
      <c r="D45" s="140">
        <v>13776209.614499999</v>
      </c>
      <c r="E45" s="140">
        <v>10407047.838599879</v>
      </c>
      <c r="F45" s="141">
        <v>16.549016000000002</v>
      </c>
      <c r="G45" s="140">
        <v>172226401.19375485</v>
      </c>
      <c r="I45" s="142">
        <v>9603.8623000000007</v>
      </c>
      <c r="J45" s="142">
        <v>5.389E-2</v>
      </c>
      <c r="K45" s="142">
        <f>+G45*J45</f>
        <v>9281280.7603314482</v>
      </c>
    </row>
    <row r="46" spans="2:16" x14ac:dyDescent="0.35">
      <c r="K46" s="143">
        <f>+K45</f>
        <v>9281280.7603314482</v>
      </c>
    </row>
    <row r="47" spans="2:16" x14ac:dyDescent="0.35">
      <c r="D47" s="144" t="s">
        <v>158</v>
      </c>
      <c r="E47" s="140">
        <f>SUMIF('1. PEPS T&amp;L DTT'!$C$13:$C$31,C43,'1. PEPS T&amp;L DTT'!$D$13:$D$31) + SUMIF('1. PEPS T&amp;L DTT'!$C$42:$C$309,C43,'1. PEPS T&amp;L DTT'!$D$42:$D$309)</f>
        <v>10407047.838599881</v>
      </c>
      <c r="G47" s="145">
        <f>SUM(G45:G45)</f>
        <v>172226401.19375485</v>
      </c>
    </row>
    <row r="48" spans="2:16" x14ac:dyDescent="0.35">
      <c r="D48" s="144" t="s">
        <v>160</v>
      </c>
      <c r="E48" s="140">
        <f>SUM(E45:E45)</f>
        <v>10407047.838599879</v>
      </c>
    </row>
    <row r="49" spans="1:16" x14ac:dyDescent="0.35">
      <c r="D49" s="146" t="s">
        <v>161</v>
      </c>
      <c r="E49" s="147">
        <f>E47-E48</f>
        <v>0</v>
      </c>
    </row>
    <row r="50" spans="1:16" x14ac:dyDescent="0.35">
      <c r="D50" s="146"/>
      <c r="E50" s="140"/>
    </row>
    <row r="51" spans="1:16" x14ac:dyDescent="0.35">
      <c r="B51" s="149" t="s">
        <v>167</v>
      </c>
      <c r="C51" s="148">
        <f>+E47*F43</f>
        <v>180009062.15070367</v>
      </c>
      <c r="D51" s="146"/>
      <c r="E51" s="140"/>
    </row>
    <row r="52" spans="1:16" x14ac:dyDescent="0.35">
      <c r="D52" s="146"/>
      <c r="E52" s="140"/>
    </row>
    <row r="55" spans="1:16" s="131" customFormat="1" x14ac:dyDescent="0.35">
      <c r="A55" s="129"/>
      <c r="B55" s="132" t="s">
        <v>150</v>
      </c>
      <c r="C55" s="133" t="s">
        <v>143</v>
      </c>
      <c r="D55" s="129"/>
      <c r="E55" s="129"/>
      <c r="F55" s="129"/>
      <c r="G55" s="129"/>
      <c r="H55" s="129"/>
      <c r="I55" s="129"/>
      <c r="J55" s="129">
        <v>10121.371499999999</v>
      </c>
      <c r="K55" s="129"/>
      <c r="L55" s="129"/>
      <c r="M55" s="129"/>
      <c r="O55" s="129"/>
      <c r="P55" s="129"/>
    </row>
    <row r="56" spans="1:16" s="131" customFormat="1" x14ac:dyDescent="0.35">
      <c r="A56" s="129"/>
      <c r="B56" s="134" t="s">
        <v>137</v>
      </c>
      <c r="C56" s="134" t="s">
        <v>126</v>
      </c>
      <c r="D56" s="134" t="s">
        <v>151</v>
      </c>
      <c r="E56" s="134" t="s">
        <v>152</v>
      </c>
      <c r="F56" s="134" t="s">
        <v>139</v>
      </c>
      <c r="G56" s="134" t="s">
        <v>153</v>
      </c>
      <c r="H56" s="129"/>
      <c r="I56" s="135" t="s">
        <v>140</v>
      </c>
      <c r="J56" s="135" t="s">
        <v>141</v>
      </c>
      <c r="K56" s="135" t="s">
        <v>154</v>
      </c>
      <c r="L56" s="129"/>
      <c r="M56" s="129"/>
      <c r="O56" s="129"/>
      <c r="P56" s="129"/>
    </row>
    <row r="57" spans="1:16" s="131" customFormat="1" x14ac:dyDescent="0.35">
      <c r="A57" s="129"/>
      <c r="B57" s="139">
        <v>46007</v>
      </c>
      <c r="C57" s="129" t="s">
        <v>143</v>
      </c>
      <c r="D57" s="140">
        <v>3847908.0214</v>
      </c>
      <c r="E57" s="140">
        <v>2548847.2002989519</v>
      </c>
      <c r="F57" s="141">
        <v>87.580055999999999</v>
      </c>
      <c r="G57" s="140">
        <v>223228180.53762543</v>
      </c>
      <c r="H57" s="129"/>
      <c r="I57" s="138">
        <v>10121.371499999999</v>
      </c>
      <c r="J57" s="143">
        <v>0</v>
      </c>
      <c r="K57" s="138">
        <f t="shared" ref="K57:K62" si="0">+G57*J57</f>
        <v>0</v>
      </c>
      <c r="L57" s="129"/>
      <c r="M57" s="129"/>
      <c r="O57" s="129"/>
      <c r="P57" s="129"/>
    </row>
    <row r="58" spans="1:16" s="131" customFormat="1" x14ac:dyDescent="0.35">
      <c r="A58" s="129"/>
      <c r="B58" s="139">
        <v>46010</v>
      </c>
      <c r="C58" s="129" t="s">
        <v>143</v>
      </c>
      <c r="D58" s="140">
        <v>8836445.4780999999</v>
      </c>
      <c r="E58" s="140">
        <v>8836445.4780999999</v>
      </c>
      <c r="F58" s="141">
        <v>87.704949000221688</v>
      </c>
      <c r="G58" s="140">
        <v>775000000</v>
      </c>
      <c r="H58" s="129"/>
      <c r="I58" s="138">
        <v>10121.371499999999</v>
      </c>
      <c r="J58" s="143">
        <v>0</v>
      </c>
      <c r="K58" s="138">
        <f t="shared" si="0"/>
        <v>0</v>
      </c>
      <c r="L58" s="129"/>
      <c r="M58" s="129"/>
      <c r="O58" s="129"/>
      <c r="P58" s="129"/>
    </row>
    <row r="59" spans="1:16" s="131" customFormat="1" x14ac:dyDescent="0.35">
      <c r="A59" s="129"/>
      <c r="B59" s="139">
        <v>46017</v>
      </c>
      <c r="C59" s="129" t="s">
        <v>143</v>
      </c>
      <c r="D59" s="140">
        <v>25450883.7086</v>
      </c>
      <c r="E59" s="140">
        <v>25450883.7086</v>
      </c>
      <c r="F59" s="141">
        <v>88.012661000179378</v>
      </c>
      <c r="G59" s="140">
        <v>2240000000</v>
      </c>
      <c r="H59" s="129"/>
      <c r="I59" s="138">
        <v>10121.371499999999</v>
      </c>
      <c r="J59" s="143">
        <v>0</v>
      </c>
      <c r="K59" s="138">
        <f t="shared" si="0"/>
        <v>0</v>
      </c>
      <c r="L59" s="129"/>
      <c r="M59" s="129"/>
      <c r="O59" s="129"/>
      <c r="P59" s="129"/>
    </row>
    <row r="60" spans="1:16" s="131" customFormat="1" x14ac:dyDescent="0.35">
      <c r="A60" s="129"/>
      <c r="B60" s="139">
        <v>46020</v>
      </c>
      <c r="C60" s="129" t="s">
        <v>143</v>
      </c>
      <c r="D60" s="140">
        <v>8553504.2963999994</v>
      </c>
      <c r="E60" s="140">
        <v>8553504.2963999994</v>
      </c>
      <c r="F60" s="141">
        <v>88.151005000061048</v>
      </c>
      <c r="G60" s="140">
        <v>754000000</v>
      </c>
      <c r="H60" s="129"/>
      <c r="I60" s="138">
        <v>10121.371499999999</v>
      </c>
      <c r="J60" s="143">
        <v>0</v>
      </c>
      <c r="K60" s="138">
        <f t="shared" si="0"/>
        <v>0</v>
      </c>
      <c r="L60" s="129"/>
      <c r="M60" s="129"/>
      <c r="O60" s="129"/>
      <c r="P60" s="129"/>
    </row>
    <row r="61" spans="1:16" s="131" customFormat="1" x14ac:dyDescent="0.35">
      <c r="A61" s="129"/>
      <c r="B61" s="139">
        <v>46021</v>
      </c>
      <c r="C61" s="129" t="s">
        <v>143</v>
      </c>
      <c r="D61" s="140">
        <v>9354179.5097000003</v>
      </c>
      <c r="E61" s="140">
        <v>9354179.5097000003</v>
      </c>
      <c r="F61" s="141">
        <v>88.195870000623785</v>
      </c>
      <c r="G61" s="140">
        <v>825000000</v>
      </c>
      <c r="H61" s="129"/>
      <c r="I61" s="138">
        <v>10121.371499999999</v>
      </c>
      <c r="J61" s="143">
        <v>0</v>
      </c>
      <c r="K61" s="138">
        <f t="shared" si="0"/>
        <v>0</v>
      </c>
      <c r="L61" s="129"/>
      <c r="M61" s="129"/>
      <c r="O61" s="129"/>
      <c r="P61" s="129"/>
    </row>
    <row r="62" spans="1:16" s="131" customFormat="1" x14ac:dyDescent="0.35">
      <c r="A62" s="129"/>
      <c r="B62" s="139">
        <v>46021</v>
      </c>
      <c r="C62" s="129" t="s">
        <v>143</v>
      </c>
      <c r="D62" s="140">
        <v>39684397.920199998</v>
      </c>
      <c r="E62" s="140">
        <v>39684397.920199998</v>
      </c>
      <c r="F62" s="141">
        <v>88.195870000044621</v>
      </c>
      <c r="G62" s="140">
        <v>3500000000</v>
      </c>
      <c r="H62" s="129"/>
      <c r="I62" s="142">
        <v>10121.371499999999</v>
      </c>
      <c r="J62" s="150">
        <v>0</v>
      </c>
      <c r="K62" s="142">
        <f t="shared" si="0"/>
        <v>0</v>
      </c>
      <c r="L62" s="129"/>
      <c r="M62" s="129"/>
      <c r="O62" s="129"/>
      <c r="P62" s="129"/>
    </row>
    <row r="63" spans="1:16" s="131" customFormat="1" x14ac:dyDescent="0.35">
      <c r="A63" s="129"/>
      <c r="B63" s="129"/>
      <c r="C63" s="129"/>
      <c r="D63" s="129"/>
      <c r="E63" s="129"/>
      <c r="F63" s="129"/>
      <c r="G63" s="129"/>
      <c r="H63" s="129"/>
      <c r="I63" s="129"/>
      <c r="J63" s="129"/>
      <c r="K63" s="143">
        <f>+SUM(K57:K62)</f>
        <v>0</v>
      </c>
      <c r="L63" s="129"/>
      <c r="M63" s="129"/>
      <c r="O63" s="129"/>
      <c r="P63" s="129"/>
    </row>
    <row r="64" spans="1:16" s="131" customFormat="1" x14ac:dyDescent="0.35">
      <c r="A64" s="129"/>
      <c r="B64" s="129"/>
      <c r="C64" s="129"/>
      <c r="D64" s="144" t="s">
        <v>158</v>
      </c>
      <c r="E64" s="140">
        <f>SUMIF('1. PEPS T&amp;L DTT'!$C$13:$C$31,C55,'1. PEPS T&amp;L DTT'!$D$13:$D$31) + SUMIF('1. PEPS T&amp;L DTT'!$C$42:$C$309,C55,'1. PEPS T&amp;L DTT'!$D$42:$D$309)</f>
        <v>94428258.113298953</v>
      </c>
      <c r="F64" s="129"/>
      <c r="G64" s="151">
        <f>SUM(G57:G62)</f>
        <v>8317228180.5376253</v>
      </c>
      <c r="H64" s="129"/>
      <c r="I64" s="129"/>
      <c r="J64" s="129"/>
      <c r="K64" s="129"/>
      <c r="L64" s="129"/>
      <c r="M64" s="129"/>
      <c r="O64" s="129"/>
      <c r="P64" s="129"/>
    </row>
    <row r="65" spans="1:16" s="131" customFormat="1" x14ac:dyDescent="0.35">
      <c r="A65" s="129"/>
      <c r="B65" s="129"/>
      <c r="C65" s="129"/>
      <c r="D65" s="144" t="s">
        <v>160</v>
      </c>
      <c r="E65" s="140">
        <f>SUM(E57:E62)</f>
        <v>94428258.113298953</v>
      </c>
      <c r="F65" s="129"/>
      <c r="G65" s="129"/>
      <c r="H65" s="129"/>
      <c r="I65" s="129"/>
      <c r="J65" s="129"/>
      <c r="K65" s="129"/>
      <c r="L65" s="129"/>
      <c r="M65" s="143"/>
      <c r="O65" s="129"/>
      <c r="P65" s="129"/>
    </row>
    <row r="66" spans="1:16" s="131" customFormat="1" x14ac:dyDescent="0.35">
      <c r="A66" s="129"/>
      <c r="B66" s="129"/>
      <c r="C66" s="129"/>
      <c r="D66" s="146" t="s">
        <v>161</v>
      </c>
      <c r="E66" s="147">
        <f>E64-E65</f>
        <v>0</v>
      </c>
      <c r="F66" s="129"/>
      <c r="G66" s="129"/>
      <c r="H66" s="129"/>
      <c r="I66" s="129"/>
      <c r="J66" s="129"/>
      <c r="K66" s="129"/>
      <c r="L66" s="129"/>
      <c r="M66" s="143"/>
      <c r="O66" s="129"/>
      <c r="P66" s="129"/>
    </row>
    <row r="67" spans="1:16" s="131" customFormat="1" x14ac:dyDescent="0.35">
      <c r="A67" s="129"/>
      <c r="B67" s="129"/>
      <c r="C67" s="129"/>
      <c r="D67" s="129"/>
      <c r="E67" s="129"/>
      <c r="F67" s="129"/>
      <c r="G67" s="129"/>
      <c r="H67" s="129"/>
      <c r="I67" s="129"/>
      <c r="J67" s="129"/>
      <c r="K67" s="129"/>
      <c r="L67" s="129"/>
      <c r="M67" s="143"/>
      <c r="O67" s="129"/>
      <c r="P67" s="129"/>
    </row>
    <row r="68" spans="1:16" s="131" customFormat="1" x14ac:dyDescent="0.35">
      <c r="A68" s="129"/>
      <c r="B68" s="148" t="s">
        <v>168</v>
      </c>
      <c r="C68" s="148">
        <f>+E64*F62</f>
        <v>8328182376.8911734</v>
      </c>
      <c r="D68" s="129"/>
      <c r="E68" s="129"/>
      <c r="F68" s="129"/>
      <c r="G68" s="129"/>
      <c r="H68" s="129"/>
      <c r="I68" s="129"/>
      <c r="J68" s="129"/>
      <c r="K68" s="129"/>
      <c r="L68" s="129"/>
      <c r="M68" s="143"/>
      <c r="O68" s="129"/>
      <c r="P68" s="129"/>
    </row>
    <row r="69" spans="1:16" s="131" customFormat="1" x14ac:dyDescent="0.35">
      <c r="A69" s="129"/>
      <c r="B69" s="129"/>
      <c r="C69" s="129"/>
      <c r="D69" s="129"/>
      <c r="E69" s="129"/>
      <c r="F69" s="129"/>
      <c r="G69" s="129"/>
      <c r="H69" s="129"/>
      <c r="I69" s="129"/>
      <c r="J69" s="129"/>
      <c r="K69" s="129"/>
      <c r="L69" s="129"/>
      <c r="M69" s="143"/>
      <c r="O69" s="129"/>
      <c r="P69" s="129"/>
    </row>
    <row r="73" spans="1:16" s="131" customFormat="1" x14ac:dyDescent="0.35">
      <c r="A73" s="129"/>
      <c r="B73" s="132" t="s">
        <v>150</v>
      </c>
      <c r="C73" s="152" t="s">
        <v>149</v>
      </c>
      <c r="D73" s="129"/>
      <c r="E73" s="129"/>
      <c r="F73" s="129">
        <v>295.08345400000002</v>
      </c>
      <c r="G73" s="129"/>
      <c r="H73" s="129"/>
      <c r="I73" s="129"/>
      <c r="J73" s="129">
        <v>10121.371499999999</v>
      </c>
      <c r="K73" s="129"/>
      <c r="L73" s="129"/>
      <c r="M73" s="129"/>
      <c r="O73" s="129"/>
      <c r="P73" s="129"/>
    </row>
    <row r="74" spans="1:16" s="131" customFormat="1" x14ac:dyDescent="0.35">
      <c r="A74" s="129"/>
      <c r="B74" s="134" t="s">
        <v>137</v>
      </c>
      <c r="C74" s="134" t="s">
        <v>126</v>
      </c>
      <c r="D74" s="134" t="s">
        <v>151</v>
      </c>
      <c r="E74" s="134" t="s">
        <v>152</v>
      </c>
      <c r="F74" s="134" t="s">
        <v>139</v>
      </c>
      <c r="G74" s="134" t="s">
        <v>153</v>
      </c>
      <c r="H74" s="129"/>
      <c r="I74" s="135" t="s">
        <v>140</v>
      </c>
      <c r="J74" s="135" t="s">
        <v>141</v>
      </c>
      <c r="K74" s="135" t="s">
        <v>154</v>
      </c>
      <c r="L74" s="129"/>
      <c r="M74" s="129"/>
      <c r="O74" s="129"/>
      <c r="P74" s="129"/>
    </row>
    <row r="75" spans="1:16" s="131" customFormat="1" x14ac:dyDescent="0.35">
      <c r="A75" s="129"/>
      <c r="B75" s="139">
        <v>45972</v>
      </c>
      <c r="C75" s="129" t="s">
        <v>149</v>
      </c>
      <c r="D75" s="140">
        <v>7142691.9424999999</v>
      </c>
      <c r="E75" s="153">
        <v>1348364.8811000041</v>
      </c>
      <c r="F75" s="141">
        <v>280.00647600377732</v>
      </c>
      <c r="G75" s="153">
        <v>377550898.72406435</v>
      </c>
      <c r="H75" s="129"/>
      <c r="I75" s="138">
        <v>9841.3580999999995</v>
      </c>
      <c r="J75" s="138">
        <v>2.845E-2</v>
      </c>
      <c r="K75" s="138">
        <f>+J75*G75</f>
        <v>10741323.06869963</v>
      </c>
      <c r="L75" s="129"/>
      <c r="M75" s="129"/>
      <c r="O75" s="129"/>
      <c r="P75" s="129"/>
    </row>
    <row r="76" spans="1:16" s="131" customFormat="1" x14ac:dyDescent="0.35">
      <c r="A76" s="129"/>
      <c r="B76" s="139">
        <v>45978</v>
      </c>
      <c r="C76" s="129" t="s">
        <v>149</v>
      </c>
      <c r="D76" s="140">
        <v>1229425.9399000001</v>
      </c>
      <c r="E76" s="140">
        <v>1229425.9399000001</v>
      </c>
      <c r="F76" s="141">
        <v>283.87232502055974</v>
      </c>
      <c r="G76" s="140">
        <v>349000000</v>
      </c>
      <c r="H76" s="129"/>
      <c r="I76" s="138">
        <v>9841.3580999999995</v>
      </c>
      <c r="J76" s="138">
        <v>2.845E-2</v>
      </c>
      <c r="K76" s="138">
        <f t="shared" ref="K76:K79" si="1">+J76*G76</f>
        <v>9929050</v>
      </c>
      <c r="L76" s="129"/>
      <c r="M76" s="129"/>
      <c r="O76" s="129"/>
      <c r="P76" s="129"/>
    </row>
    <row r="77" spans="1:16" s="131" customFormat="1" x14ac:dyDescent="0.35">
      <c r="A77" s="129"/>
      <c r="B77" s="139">
        <v>45987</v>
      </c>
      <c r="C77" s="129" t="s">
        <v>149</v>
      </c>
      <c r="D77" s="140">
        <v>10466515.5913</v>
      </c>
      <c r="E77" s="140">
        <v>10466515.5913</v>
      </c>
      <c r="F77" s="141">
        <v>286.62834100143766</v>
      </c>
      <c r="G77" s="140">
        <v>3000000000</v>
      </c>
      <c r="H77" s="129"/>
      <c r="I77" s="138">
        <v>9841.3580999999995</v>
      </c>
      <c r="J77" s="138">
        <v>2.845E-2</v>
      </c>
      <c r="K77" s="138">
        <f t="shared" si="1"/>
        <v>85350000</v>
      </c>
      <c r="L77" s="129"/>
      <c r="M77" s="138"/>
      <c r="O77" s="129"/>
      <c r="P77" s="129"/>
    </row>
    <row r="78" spans="1:16" s="131" customFormat="1" x14ac:dyDescent="0.35">
      <c r="A78" s="129"/>
      <c r="B78" s="139">
        <v>45993</v>
      </c>
      <c r="C78" s="129" t="s">
        <v>149</v>
      </c>
      <c r="D78" s="140">
        <v>777989.22869999998</v>
      </c>
      <c r="E78" s="140">
        <v>777989.22869999998</v>
      </c>
      <c r="F78" s="141">
        <v>287.92172402476348</v>
      </c>
      <c r="G78" s="140">
        <v>224000000</v>
      </c>
      <c r="H78" s="129"/>
      <c r="I78" s="138">
        <v>10121.371499999999</v>
      </c>
      <c r="J78" s="138">
        <v>0</v>
      </c>
      <c r="K78" s="138">
        <f t="shared" si="1"/>
        <v>0</v>
      </c>
      <c r="L78" s="129"/>
      <c r="M78" s="140"/>
      <c r="O78" s="129"/>
      <c r="P78" s="129"/>
    </row>
    <row r="79" spans="1:16" s="131" customFormat="1" x14ac:dyDescent="0.35">
      <c r="A79" s="129"/>
      <c r="B79" s="139">
        <v>45995</v>
      </c>
      <c r="C79" s="129" t="s">
        <v>149</v>
      </c>
      <c r="D79" s="140">
        <v>651150.60210000002</v>
      </c>
      <c r="E79" s="140">
        <v>651150.60210000002</v>
      </c>
      <c r="F79" s="159">
        <v>288.71969002821874</v>
      </c>
      <c r="G79" s="140">
        <v>188000000</v>
      </c>
      <c r="H79" s="129"/>
      <c r="I79" s="142">
        <v>10121.371499999999</v>
      </c>
      <c r="J79" s="142">
        <v>0</v>
      </c>
      <c r="K79" s="142">
        <f t="shared" si="1"/>
        <v>0</v>
      </c>
      <c r="L79" s="129"/>
      <c r="M79" s="129"/>
      <c r="O79" s="129"/>
      <c r="P79" s="129"/>
    </row>
    <row r="80" spans="1:16" s="131" customFormat="1" x14ac:dyDescent="0.35">
      <c r="A80" s="129"/>
      <c r="B80" s="129"/>
      <c r="C80" s="129"/>
      <c r="D80" s="129"/>
      <c r="E80" s="129"/>
      <c r="F80" s="129"/>
      <c r="G80" s="129"/>
      <c r="H80" s="129"/>
      <c r="I80" s="138"/>
      <c r="J80" s="138"/>
      <c r="K80" s="138">
        <f>+SUM(K75:K79)</f>
        <v>106020373.06869963</v>
      </c>
      <c r="L80" s="129"/>
      <c r="M80" s="129"/>
      <c r="O80" s="129"/>
      <c r="P80" s="129"/>
    </row>
    <row r="81" spans="1:16" s="131" customFormat="1" x14ac:dyDescent="0.35">
      <c r="A81" s="129"/>
      <c r="B81" s="129"/>
      <c r="C81" s="129"/>
      <c r="D81" s="144" t="s">
        <v>158</v>
      </c>
      <c r="E81" s="140">
        <f>SUMIF('1. PEPS T&amp;L DTT'!$C$13:$C$31,C73,'1. PEPS T&amp;L DTT'!$D$13:$D$31) + SUMIF('1. PEPS T&amp;L DTT'!$C$42:$C$309,C73,'1. PEPS T&amp;L DTT'!$D$42:$D$309)</f>
        <v>14473446.243100004</v>
      </c>
      <c r="F81" s="129"/>
      <c r="G81" s="151">
        <f>SUM(G75:G79)</f>
        <v>4138550898.7240644</v>
      </c>
      <c r="H81" s="129"/>
      <c r="I81" s="137"/>
      <c r="J81" s="129"/>
      <c r="K81" s="129"/>
      <c r="L81" s="129"/>
      <c r="M81" s="129"/>
      <c r="O81" s="129"/>
      <c r="P81" s="129"/>
    </row>
    <row r="82" spans="1:16" s="131" customFormat="1" x14ac:dyDescent="0.35">
      <c r="A82" s="129"/>
      <c r="B82" s="129"/>
      <c r="C82" s="129"/>
      <c r="D82" s="144" t="s">
        <v>160</v>
      </c>
      <c r="E82" s="140">
        <f>SUM(E75:E79)</f>
        <v>14473446.243100004</v>
      </c>
      <c r="F82" s="129"/>
      <c r="G82" s="138">
        <v>4138384521.3226638</v>
      </c>
      <c r="H82" s="129"/>
      <c r="I82" s="129"/>
      <c r="J82" s="129"/>
      <c r="K82" s="129"/>
      <c r="L82" s="129"/>
      <c r="M82" s="129"/>
      <c r="O82" s="129"/>
      <c r="P82" s="129"/>
    </row>
    <row r="83" spans="1:16" s="131" customFormat="1" x14ac:dyDescent="0.35">
      <c r="A83" s="129"/>
      <c r="B83" s="129"/>
      <c r="C83" s="129"/>
      <c r="D83" s="146" t="s">
        <v>161</v>
      </c>
      <c r="E83" s="147">
        <f>E81-E82</f>
        <v>0</v>
      </c>
      <c r="F83" s="129"/>
      <c r="G83" s="143">
        <f>+G81-G82</f>
        <v>166377.4014005661</v>
      </c>
      <c r="H83" s="129"/>
      <c r="I83" s="129"/>
      <c r="J83" s="129"/>
      <c r="K83" s="129"/>
      <c r="L83" s="129"/>
      <c r="M83" s="129"/>
      <c r="O83" s="129"/>
      <c r="P83" s="129"/>
    </row>
    <row r="84" spans="1:16" s="131" customFormat="1" x14ac:dyDescent="0.35">
      <c r="A84" s="129"/>
      <c r="B84" s="129"/>
      <c r="C84" s="129"/>
      <c r="D84" s="129"/>
      <c r="E84" s="129"/>
      <c r="F84" s="129"/>
      <c r="G84" s="129"/>
      <c r="H84" s="129"/>
      <c r="I84" s="129"/>
      <c r="J84" s="158"/>
      <c r="K84" s="167"/>
      <c r="L84" s="158"/>
      <c r="M84" s="158"/>
      <c r="O84" s="129"/>
      <c r="P84" s="129"/>
    </row>
    <row r="85" spans="1:16" x14ac:dyDescent="0.35">
      <c r="B85" s="148" t="s">
        <v>169</v>
      </c>
      <c r="C85" s="148">
        <f>+E81*F73</f>
        <v>4270874508.6972733</v>
      </c>
      <c r="F85" s="148" t="s">
        <v>170</v>
      </c>
      <c r="G85" s="148">
        <f>+G81+G64+G47+G35</f>
        <v>12979910048.727617</v>
      </c>
      <c r="H85" s="137" t="s">
        <v>90</v>
      </c>
      <c r="J85" s="158"/>
      <c r="K85" s="167"/>
      <c r="L85" s="158"/>
      <c r="M85" s="158"/>
    </row>
    <row r="86" spans="1:16" x14ac:dyDescent="0.35">
      <c r="B86" s="154"/>
      <c r="J86" s="158"/>
      <c r="K86" s="167"/>
      <c r="L86" s="158"/>
      <c r="M86" s="158"/>
    </row>
    <row r="87" spans="1:16" x14ac:dyDescent="0.35">
      <c r="B87" s="129" t="s">
        <v>171</v>
      </c>
      <c r="C87" s="143">
        <f>+C85+C68+C51+C39</f>
        <v>13137290900.347836</v>
      </c>
      <c r="F87" s="149" t="s">
        <v>154</v>
      </c>
      <c r="G87" s="155">
        <f>+K34+K46+K63+K80</f>
        <v>118098798.88223627</v>
      </c>
      <c r="H87" s="137" t="s">
        <v>172</v>
      </c>
      <c r="J87" s="158"/>
      <c r="K87" s="167"/>
      <c r="L87" s="158"/>
      <c r="M87" s="158"/>
    </row>
    <row r="88" spans="1:16" ht="15" thickBot="1" x14ac:dyDescent="0.4">
      <c r="B88" s="129" t="s">
        <v>173</v>
      </c>
      <c r="C88" s="166">
        <v>13137290900.27</v>
      </c>
      <c r="J88" s="158"/>
      <c r="K88" s="168"/>
      <c r="L88" s="158"/>
      <c r="M88" s="158"/>
    </row>
    <row r="89" spans="1:16" x14ac:dyDescent="0.35">
      <c r="C89" s="165">
        <f>+C87-C88</f>
        <v>7.78350830078125E-2</v>
      </c>
      <c r="J89" s="158"/>
      <c r="K89" s="168"/>
      <c r="L89" s="169"/>
      <c r="M89" s="158"/>
    </row>
  </sheetData>
  <mergeCells count="1">
    <mergeCell ref="I28:K2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7612-8376-47A3-953C-FF6242C172B5}">
  <sheetPr>
    <tabColor rgb="FF0070C0"/>
  </sheetPr>
  <dimension ref="B2:M334"/>
  <sheetViews>
    <sheetView showGridLines="0" topLeftCell="A66" zoomScale="56" workbookViewId="0">
      <selection activeCell="M1" sqref="M1"/>
    </sheetView>
  </sheetViews>
  <sheetFormatPr defaultRowHeight="14.5" x14ac:dyDescent="0.35"/>
  <cols>
    <col min="1" max="1" width="8.7265625" style="129"/>
    <col min="2" max="2" width="38.36328125" style="129" bestFit="1" customWidth="1"/>
    <col min="3" max="3" width="12.1796875" style="129" bestFit="1" customWidth="1"/>
    <col min="4" max="4" width="23.54296875" style="129" bestFit="1" customWidth="1"/>
    <col min="5" max="5" width="16.36328125" style="129" bestFit="1" customWidth="1"/>
    <col min="6" max="6" width="20.36328125" style="129" bestFit="1" customWidth="1"/>
    <col min="7" max="7" width="26.08984375" style="129" customWidth="1"/>
    <col min="8" max="8" width="16.26953125" style="129" bestFit="1" customWidth="1"/>
    <col min="9" max="9" width="12.453125" style="129" bestFit="1" customWidth="1"/>
    <col min="10" max="10" width="15.54296875" style="129" bestFit="1" customWidth="1"/>
    <col min="11" max="11" width="31.36328125" style="129" bestFit="1" customWidth="1"/>
    <col min="12" max="12" width="26.36328125" style="129" bestFit="1" customWidth="1"/>
    <col min="13" max="13" width="5.1796875" style="129" bestFit="1" customWidth="1"/>
    <col min="14" max="14" width="8.7265625" style="129"/>
    <col min="15" max="15" width="28.7265625" style="129" bestFit="1" customWidth="1"/>
    <col min="16" max="16" width="12.36328125" style="129" bestFit="1" customWidth="1"/>
    <col min="17" max="16384" width="8.7265625" style="129"/>
  </cols>
  <sheetData>
    <row r="2" spans="2:5" x14ac:dyDescent="0.35">
      <c r="B2" s="130" t="str">
        <f>+[6]Inicio!B2</f>
        <v>FAURECIA SISTEMAS DE ESCAPE ARGENTINA S.A</v>
      </c>
    </row>
    <row r="3" spans="2:5" x14ac:dyDescent="0.35">
      <c r="B3" s="130" t="str">
        <f>+[6]Inicio!B3</f>
        <v>30-68837468-1</v>
      </c>
    </row>
    <row r="4" spans="2:5" x14ac:dyDescent="0.35">
      <c r="B4" s="130">
        <f>+[6]Inicio!B4</f>
        <v>2025</v>
      </c>
      <c r="D4" s="130" t="s">
        <v>134</v>
      </c>
      <c r="E4" s="129">
        <f>[6]Inicio!E4</f>
        <v>12</v>
      </c>
    </row>
    <row r="5" spans="2:5" x14ac:dyDescent="0.35">
      <c r="B5" s="130" t="str">
        <f>+[6]Inicio!B5</f>
        <v>Original</v>
      </c>
    </row>
    <row r="6" spans="2:5" x14ac:dyDescent="0.35">
      <c r="B6" s="129" t="s">
        <v>135</v>
      </c>
      <c r="D6" s="132" t="s">
        <v>174</v>
      </c>
      <c r="E6" s="156" cm="1">
        <f t="array" ref="E6">INDEX('[6]IPC-Update'!C:C, MATCH(1, ('[6]IPC-Update'!B:B&gt;=DATE($B$4-1, $E$4, 1))*('[6]IPC-Update'!B:B&lt;=EOMONTH(DATE($B$4-1, $E$4, 1), 0)), 0))</f>
        <v>7694.0074999999997</v>
      </c>
    </row>
    <row r="7" spans="2:5" x14ac:dyDescent="0.35">
      <c r="D7" s="132"/>
      <c r="E7" s="156"/>
    </row>
    <row r="8" spans="2:5" x14ac:dyDescent="0.35">
      <c r="D8" s="132"/>
      <c r="E8" s="156"/>
    </row>
    <row r="9" spans="2:5" x14ac:dyDescent="0.35">
      <c r="D9" s="132"/>
      <c r="E9" s="156"/>
    </row>
    <row r="10" spans="2:5" x14ac:dyDescent="0.35">
      <c r="D10" s="132"/>
      <c r="E10" s="156"/>
    </row>
    <row r="11" spans="2:5" x14ac:dyDescent="0.35">
      <c r="D11" s="132"/>
      <c r="E11" s="156"/>
    </row>
    <row r="12" spans="2:5" x14ac:dyDescent="0.35">
      <c r="D12" s="132"/>
      <c r="E12" s="156"/>
    </row>
    <row r="26" spans="2:13" x14ac:dyDescent="0.35">
      <c r="B26" s="132" t="s">
        <v>175</v>
      </c>
      <c r="C26" s="132" t="s">
        <v>142</v>
      </c>
    </row>
    <row r="27" spans="2:13" x14ac:dyDescent="0.35">
      <c r="B27" s="134" t="s">
        <v>176</v>
      </c>
      <c r="C27" s="134" t="s">
        <v>126</v>
      </c>
      <c r="D27" s="134" t="s">
        <v>177</v>
      </c>
      <c r="E27" s="134" t="s">
        <v>178</v>
      </c>
      <c r="F27" s="134" t="s">
        <v>179</v>
      </c>
      <c r="G27" s="134" t="s">
        <v>180</v>
      </c>
      <c r="H27" s="134" t="s">
        <v>181</v>
      </c>
      <c r="I27" s="134" t="s">
        <v>182</v>
      </c>
      <c r="J27" s="134" t="s">
        <v>183</v>
      </c>
      <c r="K27" s="134" t="s">
        <v>184</v>
      </c>
      <c r="L27" s="171" t="s">
        <v>185</v>
      </c>
    </row>
    <row r="28" spans="2:13" x14ac:dyDescent="0.35">
      <c r="B28" s="139">
        <v>45659</v>
      </c>
      <c r="C28" s="129" t="s">
        <v>142</v>
      </c>
      <c r="D28" s="140">
        <v>247597</v>
      </c>
      <c r="E28" s="141">
        <v>157.42586699929001</v>
      </c>
      <c r="F28" s="140">
        <v>38978172.391423211</v>
      </c>
      <c r="G28" s="141">
        <v>125.75876</v>
      </c>
      <c r="H28" s="140">
        <v>31137491.699719999</v>
      </c>
      <c r="I28" s="140">
        <v>7840680.6917032115</v>
      </c>
      <c r="J28" s="139">
        <v>45433</v>
      </c>
      <c r="K28" s="156">
        <v>6073.7165000000005</v>
      </c>
      <c r="L28" s="140">
        <v>8306577.6223883647</v>
      </c>
      <c r="M28" s="129">
        <f t="shared" ref="M28:M73" si="0">+YEAR(J28)</f>
        <v>2024</v>
      </c>
    </row>
    <row r="29" spans="2:13" x14ac:dyDescent="0.35">
      <c r="B29" s="139">
        <v>45659</v>
      </c>
      <c r="C29" s="129" t="s">
        <v>142</v>
      </c>
      <c r="D29" s="140">
        <v>277412</v>
      </c>
      <c r="E29" s="141">
        <v>157.42586699929001</v>
      </c>
      <c r="F29" s="140">
        <v>43671824.616007037</v>
      </c>
      <c r="G29" s="141">
        <v>126.16603899999998</v>
      </c>
      <c r="H29" s="140">
        <v>34999973.211067997</v>
      </c>
      <c r="I29" s="140">
        <v>8671851.4049390405</v>
      </c>
      <c r="J29" s="139">
        <v>45436</v>
      </c>
      <c r="K29" s="156">
        <v>6073.7165000000005</v>
      </c>
      <c r="L29" s="140">
        <v>9336975.4077482112</v>
      </c>
      <c r="M29" s="129">
        <f t="shared" si="0"/>
        <v>2024</v>
      </c>
    </row>
    <row r="30" spans="2:13" x14ac:dyDescent="0.35">
      <c r="B30" s="139">
        <v>45659</v>
      </c>
      <c r="C30" s="129" t="s">
        <v>142</v>
      </c>
      <c r="D30" s="140">
        <v>3286309</v>
      </c>
      <c r="E30" s="141">
        <v>157.42586699929001</v>
      </c>
      <c r="F30" s="140">
        <v>517350043.55256975</v>
      </c>
      <c r="G30" s="141">
        <v>149.24300700000001</v>
      </c>
      <c r="H30" s="140">
        <v>490458637.09116304</v>
      </c>
      <c r="I30" s="140">
        <v>26891406.461406708</v>
      </c>
      <c r="J30" s="139">
        <v>45600</v>
      </c>
      <c r="K30" s="156">
        <v>7491.4314000000004</v>
      </c>
      <c r="L30" s="140">
        <v>13262511.876334187</v>
      </c>
      <c r="M30" s="129">
        <f t="shared" si="0"/>
        <v>2024</v>
      </c>
    </row>
    <row r="31" spans="2:13" x14ac:dyDescent="0.35">
      <c r="B31" s="139">
        <v>45674</v>
      </c>
      <c r="C31" s="129" t="s">
        <v>142</v>
      </c>
      <c r="D31" s="140">
        <v>733979</v>
      </c>
      <c r="E31" s="141">
        <v>159.45827600145745</v>
      </c>
      <c r="F31" s="140">
        <v>117039025.96127373</v>
      </c>
      <c r="G31" s="141">
        <v>149.24300700000001</v>
      </c>
      <c r="H31" s="140">
        <v>109541233.03485301</v>
      </c>
      <c r="I31" s="140">
        <v>7497792.9264207184</v>
      </c>
      <c r="J31" s="139">
        <v>45600</v>
      </c>
      <c r="K31" s="156">
        <v>7491.4314000000004</v>
      </c>
      <c r="L31" s="140">
        <v>2962108.9205183964</v>
      </c>
      <c r="M31" s="129">
        <f t="shared" si="0"/>
        <v>2024</v>
      </c>
    </row>
    <row r="32" spans="2:13" x14ac:dyDescent="0.35">
      <c r="B32" s="139">
        <v>45674</v>
      </c>
      <c r="C32" s="129" t="s">
        <v>142</v>
      </c>
      <c r="D32" s="140">
        <v>179556</v>
      </c>
      <c r="E32" s="141">
        <v>159.45827600145745</v>
      </c>
      <c r="F32" s="140">
        <v>28631690.205717694</v>
      </c>
      <c r="G32" s="141">
        <v>150.37087299999999</v>
      </c>
      <c r="H32" s="140">
        <v>26999992.472387999</v>
      </c>
      <c r="I32" s="140">
        <v>1631697.7333296947</v>
      </c>
      <c r="J32" s="139">
        <v>45608</v>
      </c>
      <c r="K32" s="156">
        <v>7491.4314000000004</v>
      </c>
      <c r="L32" s="140">
        <v>730107.89034064987</v>
      </c>
      <c r="M32" s="129">
        <f t="shared" si="0"/>
        <v>2024</v>
      </c>
    </row>
    <row r="33" spans="2:13" x14ac:dyDescent="0.35">
      <c r="B33" s="139">
        <v>45674</v>
      </c>
      <c r="C33" s="129" t="s">
        <v>142</v>
      </c>
      <c r="D33" s="140">
        <v>340712</v>
      </c>
      <c r="E33" s="141">
        <v>159.45827600145745</v>
      </c>
      <c r="F33" s="140">
        <v>54329348.133008569</v>
      </c>
      <c r="G33" s="141">
        <v>156.08868100000001</v>
      </c>
      <c r="H33" s="140">
        <v>53181286.680872001</v>
      </c>
      <c r="I33" s="140">
        <v>1148061.4521365687</v>
      </c>
      <c r="J33" s="139">
        <v>45649</v>
      </c>
      <c r="K33" s="156">
        <v>7694.0074999999997</v>
      </c>
      <c r="L33" s="140" t="s">
        <v>201</v>
      </c>
      <c r="M33" s="129">
        <f t="shared" si="0"/>
        <v>2024</v>
      </c>
    </row>
    <row r="34" spans="2:13" x14ac:dyDescent="0.35">
      <c r="B34" s="139">
        <v>45687</v>
      </c>
      <c r="C34" s="129" t="s">
        <v>142</v>
      </c>
      <c r="D34" s="140">
        <v>876544</v>
      </c>
      <c r="E34" s="141">
        <v>161.21971899900782</v>
      </c>
      <c r="F34" s="140">
        <v>141316177.37026632</v>
      </c>
      <c r="G34" s="141">
        <v>156.08868100000001</v>
      </c>
      <c r="H34" s="140">
        <v>136818596.798464</v>
      </c>
      <c r="I34" s="140">
        <v>4497580.5718023181</v>
      </c>
      <c r="J34" s="139">
        <v>45649</v>
      </c>
      <c r="K34" s="156">
        <v>7694.0074999999997</v>
      </c>
      <c r="L34" s="140" t="s">
        <v>201</v>
      </c>
      <c r="M34" s="129">
        <f t="shared" si="0"/>
        <v>2024</v>
      </c>
    </row>
    <row r="35" spans="2:13" x14ac:dyDescent="0.35">
      <c r="B35" s="139">
        <v>45687</v>
      </c>
      <c r="C35" s="129" t="s">
        <v>142</v>
      </c>
      <c r="D35" s="140">
        <v>773379</v>
      </c>
      <c r="E35" s="141">
        <v>161.21971899900782</v>
      </c>
      <c r="F35" s="140">
        <v>124683945.05973367</v>
      </c>
      <c r="G35" s="141">
        <v>156.48221899999999</v>
      </c>
      <c r="H35" s="140">
        <v>121020062.04800099</v>
      </c>
      <c r="I35" s="140">
        <v>3663883.0117326826</v>
      </c>
      <c r="J35" s="139">
        <v>45652</v>
      </c>
      <c r="K35" s="156">
        <v>7694.0074999999997</v>
      </c>
      <c r="L35" s="140" t="s">
        <v>201</v>
      </c>
      <c r="M35" s="129">
        <f t="shared" si="0"/>
        <v>2024</v>
      </c>
    </row>
    <row r="36" spans="2:13" x14ac:dyDescent="0.35">
      <c r="B36" s="139">
        <v>45693</v>
      </c>
      <c r="C36" s="129" t="s">
        <v>142</v>
      </c>
      <c r="D36" s="140">
        <v>1296415</v>
      </c>
      <c r="E36" s="141">
        <v>161.9852230034364</v>
      </c>
      <c r="F36" s="140">
        <v>210000072.88</v>
      </c>
      <c r="G36" s="141">
        <v>156.48221899999999</v>
      </c>
      <c r="H36" s="140">
        <v>202865895.94488499</v>
      </c>
      <c r="I36" s="140">
        <v>7134176.9351150095</v>
      </c>
      <c r="J36" s="139">
        <v>45652</v>
      </c>
      <c r="K36" s="156">
        <v>7694.0074999999997</v>
      </c>
      <c r="L36" s="140" t="s">
        <v>201</v>
      </c>
      <c r="M36" s="129">
        <f t="shared" si="0"/>
        <v>2024</v>
      </c>
    </row>
    <row r="37" spans="2:13" x14ac:dyDescent="0.35">
      <c r="B37" s="139">
        <v>45694</v>
      </c>
      <c r="C37" s="129" t="s">
        <v>142</v>
      </c>
      <c r="D37" s="140">
        <v>801922</v>
      </c>
      <c r="E37" s="141">
        <v>162.11058200174082</v>
      </c>
      <c r="F37" s="140">
        <v>130000042.14</v>
      </c>
      <c r="G37" s="141">
        <v>156.48221899999999</v>
      </c>
      <c r="H37" s="140">
        <v>125486534.02491799</v>
      </c>
      <c r="I37" s="140">
        <v>4513508.1150820106</v>
      </c>
      <c r="J37" s="139">
        <v>45652</v>
      </c>
      <c r="K37" s="156">
        <v>7694.0074999999997</v>
      </c>
      <c r="L37" s="140" t="s">
        <v>201</v>
      </c>
      <c r="M37" s="129">
        <f t="shared" si="0"/>
        <v>2024</v>
      </c>
    </row>
    <row r="38" spans="2:13" x14ac:dyDescent="0.35">
      <c r="B38" s="139">
        <v>45695</v>
      </c>
      <c r="C38" s="129" t="s">
        <v>142</v>
      </c>
      <c r="D38" s="140">
        <v>1448515</v>
      </c>
      <c r="E38" s="141">
        <v>162.23518399878498</v>
      </c>
      <c r="F38" s="140">
        <v>235000097.55000001</v>
      </c>
      <c r="G38" s="141">
        <v>156.48221899999999</v>
      </c>
      <c r="H38" s="140">
        <v>226666841.45478499</v>
      </c>
      <c r="I38" s="140">
        <v>8333256.0952150226</v>
      </c>
      <c r="J38" s="139">
        <v>45652</v>
      </c>
      <c r="K38" s="156">
        <v>7694.0074999999997</v>
      </c>
      <c r="L38" s="140" t="s">
        <v>201</v>
      </c>
      <c r="M38" s="129">
        <f t="shared" si="0"/>
        <v>2024</v>
      </c>
    </row>
    <row r="39" spans="2:13" x14ac:dyDescent="0.35">
      <c r="B39" s="139">
        <v>45722</v>
      </c>
      <c r="C39" s="129" t="s">
        <v>142</v>
      </c>
      <c r="D39" s="140">
        <v>1431221</v>
      </c>
      <c r="E39" s="141">
        <v>165.577268</v>
      </c>
      <c r="F39" s="140">
        <v>236977663.08422801</v>
      </c>
      <c r="G39" s="141">
        <v>156.48221899999999</v>
      </c>
      <c r="H39" s="140">
        <v>223960637.95939898</v>
      </c>
      <c r="I39" s="140">
        <v>13017025.124829024</v>
      </c>
      <c r="J39" s="139">
        <v>45652</v>
      </c>
      <c r="K39" s="156">
        <v>7694.0074999999997</v>
      </c>
      <c r="L39" s="140" t="s">
        <v>201</v>
      </c>
      <c r="M39" s="129">
        <f t="shared" si="0"/>
        <v>2024</v>
      </c>
    </row>
    <row r="40" spans="2:13" x14ac:dyDescent="0.35">
      <c r="B40" s="139">
        <v>45722</v>
      </c>
      <c r="C40" s="129" t="s">
        <v>142</v>
      </c>
      <c r="D40" s="140">
        <v>247754</v>
      </c>
      <c r="E40" s="141">
        <v>165.577268</v>
      </c>
      <c r="F40" s="140">
        <v>41022430.456072003</v>
      </c>
      <c r="G40" s="141">
        <v>156.48221899999999</v>
      </c>
      <c r="H40" s="140">
        <v>38769095.686125994</v>
      </c>
      <c r="I40" s="140">
        <v>2253334.7699460089</v>
      </c>
      <c r="J40" s="139">
        <v>45652</v>
      </c>
      <c r="K40" s="156">
        <v>7694.0074999999997</v>
      </c>
      <c r="L40" s="140" t="s">
        <v>201</v>
      </c>
      <c r="M40" s="129">
        <f t="shared" si="0"/>
        <v>2024</v>
      </c>
    </row>
    <row r="41" spans="2:13" x14ac:dyDescent="0.35">
      <c r="B41" s="139">
        <v>45768</v>
      </c>
      <c r="C41" s="129" t="s">
        <v>142</v>
      </c>
      <c r="D41" s="140">
        <v>1222061</v>
      </c>
      <c r="E41" s="141">
        <v>171.432896</v>
      </c>
      <c r="F41" s="140">
        <v>209501456.318656</v>
      </c>
      <c r="G41" s="141">
        <v>156.48221899999999</v>
      </c>
      <c r="H41" s="140">
        <v>191230817.03335899</v>
      </c>
      <c r="I41" s="140">
        <v>18270639.285297006</v>
      </c>
      <c r="J41" s="139">
        <v>45652</v>
      </c>
      <c r="K41" s="156">
        <v>7694.0074999999997</v>
      </c>
      <c r="L41" s="140" t="s">
        <v>201</v>
      </c>
      <c r="M41" s="129">
        <f t="shared" si="0"/>
        <v>2024</v>
      </c>
    </row>
    <row r="42" spans="2:13" x14ac:dyDescent="0.35">
      <c r="B42" s="139">
        <v>45768</v>
      </c>
      <c r="C42" s="129" t="s">
        <v>142</v>
      </c>
      <c r="D42" s="140">
        <v>527895</v>
      </c>
      <c r="E42" s="141">
        <v>171.432896</v>
      </c>
      <c r="F42" s="140">
        <v>90498568.633919999</v>
      </c>
      <c r="G42" s="141">
        <v>166.91756463100265</v>
      </c>
      <c r="H42" s="140">
        <v>88114947.780883148</v>
      </c>
      <c r="I42" s="140">
        <v>2383620.8530368507</v>
      </c>
      <c r="J42" s="139">
        <v>45733</v>
      </c>
      <c r="K42" s="156">
        <v>8353.3158000000003</v>
      </c>
      <c r="L42" s="140" t="s">
        <v>201</v>
      </c>
      <c r="M42" s="129">
        <f t="shared" si="0"/>
        <v>2025</v>
      </c>
    </row>
    <row r="43" spans="2:13" x14ac:dyDescent="0.35">
      <c r="B43" s="139">
        <v>45771</v>
      </c>
      <c r="C43" s="129" t="s">
        <v>142</v>
      </c>
      <c r="D43" s="140">
        <v>430662</v>
      </c>
      <c r="E43" s="141">
        <v>171.80448999999999</v>
      </c>
      <c r="F43" s="140">
        <v>73989665.272379994</v>
      </c>
      <c r="G43" s="141">
        <v>166.91756463100265</v>
      </c>
      <c r="H43" s="140">
        <v>71885052.219116867</v>
      </c>
      <c r="I43" s="140">
        <v>2104613.0532631278</v>
      </c>
      <c r="J43" s="139">
        <v>45733</v>
      </c>
      <c r="K43" s="156">
        <v>8353.3158000000003</v>
      </c>
      <c r="L43" s="140" t="s">
        <v>201</v>
      </c>
      <c r="M43" s="129">
        <f t="shared" si="0"/>
        <v>2025</v>
      </c>
    </row>
    <row r="44" spans="2:13" x14ac:dyDescent="0.35">
      <c r="B44" s="139">
        <v>45771</v>
      </c>
      <c r="C44" s="129" t="s">
        <v>142</v>
      </c>
      <c r="D44" s="140">
        <v>50405</v>
      </c>
      <c r="E44" s="141">
        <v>171.80448999999999</v>
      </c>
      <c r="F44" s="140">
        <v>8659805.3184500001</v>
      </c>
      <c r="G44" s="141">
        <v>168.63406408094434</v>
      </c>
      <c r="H44" s="140">
        <v>8500000</v>
      </c>
      <c r="I44" s="140">
        <v>159805.31845000014</v>
      </c>
      <c r="J44" s="139">
        <v>45747</v>
      </c>
      <c r="K44" s="156">
        <v>8353.3158000000003</v>
      </c>
      <c r="L44" s="140" t="s">
        <v>201</v>
      </c>
      <c r="M44" s="129">
        <f t="shared" si="0"/>
        <v>2025</v>
      </c>
    </row>
    <row r="45" spans="2:13" x14ac:dyDescent="0.35">
      <c r="B45" s="139">
        <v>45771</v>
      </c>
      <c r="C45" s="129" t="s">
        <v>142</v>
      </c>
      <c r="D45" s="140">
        <v>130093</v>
      </c>
      <c r="E45" s="141">
        <v>171.80448999999999</v>
      </c>
      <c r="F45" s="140">
        <v>22350561.51757</v>
      </c>
      <c r="G45" s="141">
        <v>171.56071600000001</v>
      </c>
      <c r="H45" s="140">
        <v>22318848.226588003</v>
      </c>
      <c r="I45" s="140">
        <v>31713.290981996804</v>
      </c>
      <c r="J45" s="139">
        <v>45769</v>
      </c>
      <c r="K45" s="156">
        <v>8585.6077999999998</v>
      </c>
      <c r="L45" s="140" t="s">
        <v>201</v>
      </c>
      <c r="M45" s="129">
        <f t="shared" si="0"/>
        <v>2025</v>
      </c>
    </row>
    <row r="46" spans="2:13" x14ac:dyDescent="0.35">
      <c r="B46" s="139">
        <v>45791</v>
      </c>
      <c r="C46" s="129" t="s">
        <v>142</v>
      </c>
      <c r="D46" s="140">
        <v>1778834</v>
      </c>
      <c r="E46" s="141">
        <v>174.2714609667479</v>
      </c>
      <c r="F46" s="140">
        <v>309999999.99732405</v>
      </c>
      <c r="G46" s="141">
        <v>171.56071600000001</v>
      </c>
      <c r="H46" s="140">
        <v>305178034.68514401</v>
      </c>
      <c r="I46" s="140">
        <v>4821965.3121800423</v>
      </c>
      <c r="J46" s="139">
        <v>45769</v>
      </c>
      <c r="K46" s="156">
        <v>8585.6077999999998</v>
      </c>
      <c r="L46" s="140" t="s">
        <v>201</v>
      </c>
      <c r="M46" s="129">
        <f t="shared" si="0"/>
        <v>2025</v>
      </c>
    </row>
    <row r="47" spans="2:13" x14ac:dyDescent="0.35">
      <c r="B47" s="139">
        <v>45793</v>
      </c>
      <c r="C47" s="129" t="s">
        <v>142</v>
      </c>
      <c r="D47" s="140">
        <v>1005493</v>
      </c>
      <c r="E47" s="141">
        <v>174.52189726460313</v>
      </c>
      <c r="F47" s="140">
        <v>175480546.04627758</v>
      </c>
      <c r="G47" s="141">
        <v>171.56071600000001</v>
      </c>
      <c r="H47" s="140">
        <v>172503099.012988</v>
      </c>
      <c r="I47" s="140">
        <v>2977447.0332895815</v>
      </c>
      <c r="J47" s="139">
        <v>45769</v>
      </c>
      <c r="K47" s="156">
        <v>8585.6077999999998</v>
      </c>
      <c r="L47" s="140" t="s">
        <v>201</v>
      </c>
      <c r="M47" s="129">
        <f t="shared" si="0"/>
        <v>2025</v>
      </c>
    </row>
    <row r="48" spans="2:13" x14ac:dyDescent="0.35">
      <c r="B48" s="139">
        <v>45793</v>
      </c>
      <c r="C48" s="129" t="s">
        <v>142</v>
      </c>
      <c r="D48" s="140">
        <v>140495</v>
      </c>
      <c r="E48" s="141">
        <v>174.52189726460313</v>
      </c>
      <c r="F48" s="140">
        <v>24519453.956190415</v>
      </c>
      <c r="G48" s="141">
        <v>171.56071600000001</v>
      </c>
      <c r="H48" s="140">
        <v>24103422.79442</v>
      </c>
      <c r="I48" s="140">
        <v>416031.16177041456</v>
      </c>
      <c r="J48" s="139">
        <v>45769</v>
      </c>
      <c r="K48" s="156">
        <v>8585.6077999999998</v>
      </c>
      <c r="L48" s="140" t="s">
        <v>201</v>
      </c>
      <c r="M48" s="129">
        <f t="shared" si="0"/>
        <v>2025</v>
      </c>
    </row>
    <row r="49" spans="2:13" x14ac:dyDescent="0.35">
      <c r="B49" s="139">
        <v>45804</v>
      </c>
      <c r="C49" s="129" t="s">
        <v>142</v>
      </c>
      <c r="D49" s="140">
        <v>1506684</v>
      </c>
      <c r="E49" s="141">
        <v>175.88293232160956</v>
      </c>
      <c r="F49" s="140">
        <v>265000000.00205198</v>
      </c>
      <c r="G49" s="141">
        <v>171.56071600000001</v>
      </c>
      <c r="H49" s="140">
        <v>258487785.82574403</v>
      </c>
      <c r="I49" s="140">
        <v>6512214.1763079464</v>
      </c>
      <c r="J49" s="139">
        <v>45769</v>
      </c>
      <c r="K49" s="156">
        <v>8585.6077999999998</v>
      </c>
      <c r="L49" s="140" t="s">
        <v>201</v>
      </c>
      <c r="M49" s="129">
        <f t="shared" si="0"/>
        <v>2025</v>
      </c>
    </row>
    <row r="50" spans="2:13" x14ac:dyDescent="0.35">
      <c r="B50" s="139">
        <v>45805</v>
      </c>
      <c r="C50" s="129" t="s">
        <v>142</v>
      </c>
      <c r="D50" s="140">
        <v>710203</v>
      </c>
      <c r="E50" s="141">
        <v>176.00601518732108</v>
      </c>
      <c r="F50" s="140">
        <v>125000000.004081</v>
      </c>
      <c r="G50" s="141">
        <v>171.56071600000001</v>
      </c>
      <c r="H50" s="140">
        <v>121842935.185348</v>
      </c>
      <c r="I50" s="140">
        <v>3157064.8187329918</v>
      </c>
      <c r="J50" s="139">
        <v>45769</v>
      </c>
      <c r="K50" s="156">
        <v>8585.6077999999998</v>
      </c>
      <c r="L50" s="140" t="s">
        <v>201</v>
      </c>
      <c r="M50" s="129">
        <f t="shared" si="0"/>
        <v>2025</v>
      </c>
    </row>
    <row r="51" spans="2:13" x14ac:dyDescent="0.35">
      <c r="B51" s="139">
        <v>45806</v>
      </c>
      <c r="C51" s="129" t="s">
        <v>142</v>
      </c>
      <c r="D51" s="140">
        <v>113552</v>
      </c>
      <c r="E51" s="141">
        <v>176.13075945300832</v>
      </c>
      <c r="F51" s="140">
        <v>19999999.997408003</v>
      </c>
      <c r="G51" s="141">
        <v>171.56071600000001</v>
      </c>
      <c r="H51" s="140">
        <v>19481062.423232</v>
      </c>
      <c r="I51" s="140">
        <v>518937.57417600229</v>
      </c>
      <c r="J51" s="139">
        <v>45769</v>
      </c>
      <c r="K51" s="156">
        <v>8585.6077999999998</v>
      </c>
      <c r="L51" s="140" t="s">
        <v>201</v>
      </c>
      <c r="M51" s="129">
        <f t="shared" si="0"/>
        <v>2025</v>
      </c>
    </row>
    <row r="52" spans="2:13" x14ac:dyDescent="0.35">
      <c r="B52" s="139">
        <v>45813</v>
      </c>
      <c r="C52" s="129" t="s">
        <v>142</v>
      </c>
      <c r="D52" s="140">
        <v>338958</v>
      </c>
      <c r="E52" s="141">
        <v>177.01308125858662</v>
      </c>
      <c r="F52" s="140">
        <v>59999999.997248001</v>
      </c>
      <c r="G52" s="141">
        <v>171.56071600000001</v>
      </c>
      <c r="H52" s="140">
        <v>58151877.173928007</v>
      </c>
      <c r="I52" s="140">
        <v>1848122.8233199939</v>
      </c>
      <c r="J52" s="139">
        <v>45769</v>
      </c>
      <c r="K52" s="156">
        <v>8585.6077999999998</v>
      </c>
      <c r="L52" s="140" t="s">
        <v>201</v>
      </c>
      <c r="M52" s="129">
        <f t="shared" si="0"/>
        <v>2025</v>
      </c>
    </row>
    <row r="53" spans="2:13" x14ac:dyDescent="0.35">
      <c r="B53" s="139">
        <v>45814</v>
      </c>
      <c r="C53" s="129" t="s">
        <v>142</v>
      </c>
      <c r="D53" s="140">
        <v>104528</v>
      </c>
      <c r="E53" s="141">
        <v>177.14210733119012</v>
      </c>
      <c r="F53" s="140">
        <v>18516310.195114642</v>
      </c>
      <c r="G53" s="141">
        <v>171.56071600000001</v>
      </c>
      <c r="H53" s="140">
        <v>17932898.522048</v>
      </c>
      <c r="I53" s="140">
        <v>583411.67306664214</v>
      </c>
      <c r="J53" s="139">
        <v>45769</v>
      </c>
      <c r="K53" s="156">
        <v>8585.6077999999998</v>
      </c>
      <c r="L53" s="140" t="s">
        <v>201</v>
      </c>
      <c r="M53" s="129">
        <f t="shared" si="0"/>
        <v>2025</v>
      </c>
    </row>
    <row r="54" spans="2:13" x14ac:dyDescent="0.35">
      <c r="B54" s="139">
        <v>45814</v>
      </c>
      <c r="C54" s="129" t="s">
        <v>142</v>
      </c>
      <c r="D54" s="140">
        <v>288743</v>
      </c>
      <c r="E54" s="141">
        <v>177.14210733119012</v>
      </c>
      <c r="F54" s="140">
        <v>51148543.497129828</v>
      </c>
      <c r="G54" s="141">
        <v>173.16437107014889</v>
      </c>
      <c r="H54" s="140">
        <v>49999999.995908</v>
      </c>
      <c r="I54" s="140">
        <v>1148543.5012218282</v>
      </c>
      <c r="J54" s="139">
        <v>45782</v>
      </c>
      <c r="K54" s="156">
        <v>8714.4871000000003</v>
      </c>
      <c r="L54" s="140" t="s">
        <v>201</v>
      </c>
      <c r="M54" s="129">
        <f t="shared" si="0"/>
        <v>2025</v>
      </c>
    </row>
    <row r="55" spans="2:13" x14ac:dyDescent="0.35">
      <c r="B55" s="139">
        <v>45814</v>
      </c>
      <c r="C55" s="129" t="s">
        <v>142</v>
      </c>
      <c r="D55" s="140">
        <v>368829</v>
      </c>
      <c r="E55" s="141">
        <v>177.14210733119012</v>
      </c>
      <c r="F55" s="140">
        <v>65335146.304855518</v>
      </c>
      <c r="G55" s="141">
        <v>174.02559263886607</v>
      </c>
      <c r="H55" s="140">
        <v>64185685.307400338</v>
      </c>
      <c r="I55" s="140">
        <v>1149460.9974551797</v>
      </c>
      <c r="J55" s="139">
        <v>45789</v>
      </c>
      <c r="K55" s="156">
        <v>8714.4871000000003</v>
      </c>
      <c r="L55" s="140" t="s">
        <v>201</v>
      </c>
      <c r="M55" s="129">
        <f t="shared" si="0"/>
        <v>2025</v>
      </c>
    </row>
    <row r="56" spans="2:13" x14ac:dyDescent="0.35">
      <c r="B56" s="139">
        <v>45817</v>
      </c>
      <c r="C56" s="129" t="s">
        <v>142</v>
      </c>
      <c r="D56" s="140">
        <v>675942</v>
      </c>
      <c r="E56" s="141">
        <v>177.53002476993589</v>
      </c>
      <c r="F56" s="140">
        <v>120000000.00304</v>
      </c>
      <c r="G56" s="141">
        <v>174.02559263886607</v>
      </c>
      <c r="H56" s="140">
        <v>117631207.13950041</v>
      </c>
      <c r="I56" s="140">
        <v>2368792.8635395914</v>
      </c>
      <c r="J56" s="139">
        <v>45789</v>
      </c>
      <c r="K56" s="156">
        <v>8714.4871000000003</v>
      </c>
      <c r="L56" s="140" t="s">
        <v>201</v>
      </c>
      <c r="M56" s="129">
        <f t="shared" si="0"/>
        <v>2025</v>
      </c>
    </row>
    <row r="57" spans="2:13" x14ac:dyDescent="0.35">
      <c r="B57" s="139">
        <v>45842</v>
      </c>
      <c r="C57" s="129" t="s">
        <v>142</v>
      </c>
      <c r="D57" s="140">
        <v>1713283</v>
      </c>
      <c r="E57" s="141">
        <v>180.93916767087339</v>
      </c>
      <c r="F57" s="140">
        <v>310000000.00465697</v>
      </c>
      <c r="G57" s="141">
        <v>174.02559263886607</v>
      </c>
      <c r="H57" s="140">
        <v>298155089.43309438</v>
      </c>
      <c r="I57" s="140">
        <v>11844910.571562588</v>
      </c>
      <c r="J57" s="139">
        <v>45789</v>
      </c>
      <c r="K57" s="156">
        <v>8714.4871000000003</v>
      </c>
      <c r="L57" s="140" t="s">
        <v>201</v>
      </c>
      <c r="M57" s="129">
        <f t="shared" si="0"/>
        <v>2025</v>
      </c>
    </row>
    <row r="58" spans="2:13" x14ac:dyDescent="0.35">
      <c r="B58" s="139">
        <v>45846</v>
      </c>
      <c r="C58" s="129" t="s">
        <v>142</v>
      </c>
      <c r="D58" s="140">
        <v>161</v>
      </c>
      <c r="E58" s="141">
        <v>181.44649143282359</v>
      </c>
      <c r="F58" s="140">
        <v>29212.885120684597</v>
      </c>
      <c r="G58" s="141">
        <v>174.02559263886607</v>
      </c>
      <c r="H58" s="140">
        <v>28018.120414857436</v>
      </c>
      <c r="I58" s="140">
        <v>1194.7647058271614</v>
      </c>
      <c r="J58" s="139">
        <v>45789</v>
      </c>
      <c r="K58" s="156">
        <v>8714.4871000000003</v>
      </c>
      <c r="L58" s="140" t="s">
        <v>201</v>
      </c>
      <c r="M58" s="129">
        <f t="shared" si="0"/>
        <v>2025</v>
      </c>
    </row>
    <row r="59" spans="2:13" x14ac:dyDescent="0.35">
      <c r="B59" s="139">
        <v>45846</v>
      </c>
      <c r="C59" s="129" t="s">
        <v>142</v>
      </c>
      <c r="D59" s="140">
        <v>730597</v>
      </c>
      <c r="E59" s="141">
        <v>181.44649143282359</v>
      </c>
      <c r="F59" s="140">
        <v>132564262.30134661</v>
      </c>
      <c r="G59" s="141">
        <v>177.93667370255696</v>
      </c>
      <c r="H59" s="140">
        <v>129999999.997067</v>
      </c>
      <c r="I59" s="140">
        <v>2564262.3042796105</v>
      </c>
      <c r="J59" s="139">
        <v>45820</v>
      </c>
      <c r="K59" s="156">
        <v>8855.5681000000004</v>
      </c>
      <c r="L59" s="140" t="s">
        <v>201</v>
      </c>
      <c r="M59" s="129">
        <f t="shared" si="0"/>
        <v>2025</v>
      </c>
    </row>
    <row r="60" spans="2:13" x14ac:dyDescent="0.35">
      <c r="B60" s="139">
        <v>45846</v>
      </c>
      <c r="C60" s="129" t="s">
        <v>142</v>
      </c>
      <c r="D60" s="140">
        <v>178601</v>
      </c>
      <c r="E60" s="141">
        <v>181.44649143282359</v>
      </c>
      <c r="F60" s="140">
        <v>32406524.816393726</v>
      </c>
      <c r="G60" s="141">
        <v>179.86523597129028</v>
      </c>
      <c r="H60" s="140">
        <v>32124111.009708416</v>
      </c>
      <c r="I60" s="140">
        <v>282413.80668530986</v>
      </c>
      <c r="J60" s="139">
        <v>45834</v>
      </c>
      <c r="K60" s="156">
        <v>8855.5681000000004</v>
      </c>
      <c r="L60" s="140" t="s">
        <v>201</v>
      </c>
      <c r="M60" s="129">
        <f t="shared" si="0"/>
        <v>2025</v>
      </c>
    </row>
    <row r="61" spans="2:13" x14ac:dyDescent="0.35">
      <c r="B61" s="139">
        <v>45862</v>
      </c>
      <c r="C61" s="129" t="s">
        <v>142</v>
      </c>
      <c r="D61" s="140">
        <v>408329</v>
      </c>
      <c r="E61" s="141">
        <v>183.67541860612153</v>
      </c>
      <c r="F61" s="140">
        <v>75000000.004018992</v>
      </c>
      <c r="G61" s="141">
        <v>179.86523597129028</v>
      </c>
      <c r="H61" s="140">
        <v>73444191.93892099</v>
      </c>
      <c r="I61" s="140">
        <v>1555808.0650980026</v>
      </c>
      <c r="J61" s="139">
        <v>45834</v>
      </c>
      <c r="K61" s="156">
        <v>8855.5681000000004</v>
      </c>
      <c r="L61" s="140" t="s">
        <v>201</v>
      </c>
      <c r="M61" s="129">
        <f t="shared" si="0"/>
        <v>2025</v>
      </c>
    </row>
    <row r="62" spans="2:13" x14ac:dyDescent="0.35">
      <c r="B62" s="139">
        <v>45890</v>
      </c>
      <c r="C62" s="129" t="s">
        <v>142</v>
      </c>
      <c r="D62" s="140">
        <v>26488</v>
      </c>
      <c r="E62" s="141">
        <v>188.76612299999999</v>
      </c>
      <c r="F62" s="140">
        <v>5000037.0660239998</v>
      </c>
      <c r="G62" s="141">
        <v>179.86523597129028</v>
      </c>
      <c r="H62" s="140">
        <v>4764270.3704075366</v>
      </c>
      <c r="I62" s="140">
        <v>235766.6956164632</v>
      </c>
      <c r="J62" s="139">
        <v>45834</v>
      </c>
      <c r="K62" s="156">
        <v>8855.5681000000004</v>
      </c>
      <c r="L62" s="140" t="s">
        <v>201</v>
      </c>
      <c r="M62" s="129">
        <f t="shared" si="0"/>
        <v>2025</v>
      </c>
    </row>
    <row r="63" spans="2:13" x14ac:dyDescent="0.35">
      <c r="B63" s="139">
        <v>45922</v>
      </c>
      <c r="C63" s="129" t="s">
        <v>142</v>
      </c>
      <c r="D63" s="140">
        <v>3389579</v>
      </c>
      <c r="E63" s="141">
        <v>195.73237300052045</v>
      </c>
      <c r="F63" s="140">
        <v>663450341.14273107</v>
      </c>
      <c r="G63" s="141">
        <v>179.86523597129028</v>
      </c>
      <c r="H63" s="140">
        <v>609667426.67833006</v>
      </c>
      <c r="I63" s="140">
        <v>53782914.464401007</v>
      </c>
      <c r="J63" s="139">
        <v>45834</v>
      </c>
      <c r="K63" s="156">
        <v>8855.5681000000004</v>
      </c>
      <c r="L63" s="140" t="s">
        <v>201</v>
      </c>
      <c r="M63" s="129">
        <f t="shared" si="0"/>
        <v>2025</v>
      </c>
    </row>
    <row r="64" spans="2:13" x14ac:dyDescent="0.35">
      <c r="B64" s="139">
        <v>45922</v>
      </c>
      <c r="C64" s="129" t="s">
        <v>142</v>
      </c>
      <c r="D64" s="140">
        <v>1152834</v>
      </c>
      <c r="E64" s="141">
        <v>195.73237300052045</v>
      </c>
      <c r="F64" s="140">
        <v>225646934.495682</v>
      </c>
      <c r="G64" s="141">
        <v>182.15979056505796</v>
      </c>
      <c r="H64" s="140">
        <v>209999999.99627802</v>
      </c>
      <c r="I64" s="140">
        <v>15646934.499403983</v>
      </c>
      <c r="J64" s="139">
        <v>45852</v>
      </c>
      <c r="K64" s="156">
        <v>9023.973</v>
      </c>
      <c r="L64" s="140" t="s">
        <v>201</v>
      </c>
      <c r="M64" s="129">
        <f t="shared" si="0"/>
        <v>2025</v>
      </c>
    </row>
    <row r="65" spans="2:13" x14ac:dyDescent="0.35">
      <c r="B65" s="139">
        <v>45922</v>
      </c>
      <c r="C65" s="129" t="s">
        <v>142</v>
      </c>
      <c r="D65" s="140">
        <v>566604</v>
      </c>
      <c r="E65" s="141">
        <v>195.73237300052045</v>
      </c>
      <c r="F65" s="140">
        <v>110902745.4715869</v>
      </c>
      <c r="G65" s="141">
        <v>183.28644255066413</v>
      </c>
      <c r="H65" s="140">
        <v>103850831.49497651</v>
      </c>
      <c r="I65" s="140">
        <v>7051913.9766103923</v>
      </c>
      <c r="J65" s="139">
        <v>45860</v>
      </c>
      <c r="K65" s="156">
        <v>9023.973</v>
      </c>
      <c r="L65" s="140" t="s">
        <v>201</v>
      </c>
      <c r="M65" s="129">
        <f t="shared" si="0"/>
        <v>2025</v>
      </c>
    </row>
    <row r="66" spans="2:13" x14ac:dyDescent="0.35">
      <c r="B66" s="139">
        <v>45947</v>
      </c>
      <c r="C66" s="129" t="s">
        <v>142</v>
      </c>
      <c r="D66" s="140">
        <v>597231</v>
      </c>
      <c r="E66" s="141">
        <v>200.92760099525978</v>
      </c>
      <c r="F66" s="140">
        <v>120000192.06999999</v>
      </c>
      <c r="G66" s="141">
        <v>183.28644255066413</v>
      </c>
      <c r="H66" s="140">
        <v>109464345.37097569</v>
      </c>
      <c r="I66" s="140">
        <v>10535846.699024305</v>
      </c>
      <c r="J66" s="139">
        <v>45860</v>
      </c>
      <c r="K66" s="156">
        <v>9023.973</v>
      </c>
      <c r="L66" s="140" t="s">
        <v>201</v>
      </c>
      <c r="M66" s="129">
        <f t="shared" si="0"/>
        <v>2025</v>
      </c>
    </row>
    <row r="67" spans="2:13" x14ac:dyDescent="0.35">
      <c r="B67" s="139">
        <v>45971</v>
      </c>
      <c r="C67" s="129" t="s">
        <v>142</v>
      </c>
      <c r="D67" s="140">
        <v>36472</v>
      </c>
      <c r="E67" s="141">
        <v>205.49805000000228</v>
      </c>
      <c r="F67" s="140">
        <v>7494924.8796000835</v>
      </c>
      <c r="G67" s="141">
        <v>183.28644255066413</v>
      </c>
      <c r="H67" s="140">
        <v>6684823.1327078221</v>
      </c>
      <c r="I67" s="140">
        <v>810101.74689226132</v>
      </c>
      <c r="J67" s="139">
        <v>45860</v>
      </c>
      <c r="K67" s="156">
        <v>9023.973</v>
      </c>
      <c r="L67" s="140" t="s">
        <v>201</v>
      </c>
      <c r="M67" s="129">
        <f t="shared" si="0"/>
        <v>2025</v>
      </c>
    </row>
    <row r="68" spans="2:13" x14ac:dyDescent="0.35">
      <c r="B68" s="139">
        <v>45971</v>
      </c>
      <c r="C68" s="129" t="s">
        <v>142</v>
      </c>
      <c r="D68" s="140">
        <v>595458</v>
      </c>
      <c r="E68" s="141">
        <v>205.49805000000228</v>
      </c>
      <c r="F68" s="140">
        <v>122365457.85690136</v>
      </c>
      <c r="G68" s="141">
        <v>201.52554840139859</v>
      </c>
      <c r="H68" s="140">
        <v>120000000</v>
      </c>
      <c r="I68" s="140">
        <v>2365457.8569013625</v>
      </c>
      <c r="J68" s="139">
        <v>45950</v>
      </c>
      <c r="K68" s="156">
        <v>9603.8623000000007</v>
      </c>
      <c r="L68" s="140" t="s">
        <v>201</v>
      </c>
      <c r="M68" s="129">
        <f t="shared" si="0"/>
        <v>2025</v>
      </c>
    </row>
    <row r="69" spans="2:13" x14ac:dyDescent="0.35">
      <c r="B69" s="139">
        <v>45971</v>
      </c>
      <c r="C69" s="129" t="s">
        <v>142</v>
      </c>
      <c r="D69" s="140">
        <v>827937.99967199995</v>
      </c>
      <c r="E69" s="141">
        <v>205.49805000000228</v>
      </c>
      <c r="F69" s="140">
        <v>170139644.45349851</v>
      </c>
      <c r="G69" s="141">
        <v>203.52555100472424</v>
      </c>
      <c r="H69" s="140">
        <v>168506537.580993</v>
      </c>
      <c r="I69" s="140">
        <v>1633106.8725055158</v>
      </c>
      <c r="J69" s="139">
        <v>45959</v>
      </c>
      <c r="K69" s="156">
        <v>9603.8623000000007</v>
      </c>
      <c r="L69" s="140" t="s">
        <v>201</v>
      </c>
      <c r="M69" s="129">
        <f t="shared" si="0"/>
        <v>2025</v>
      </c>
    </row>
    <row r="70" spans="2:13" x14ac:dyDescent="0.35">
      <c r="B70" s="139">
        <v>45988</v>
      </c>
      <c r="C70" s="129" t="s">
        <v>142</v>
      </c>
      <c r="D70" s="140">
        <v>9904.9999810000008</v>
      </c>
      <c r="E70" s="141">
        <v>207.98185400824383</v>
      </c>
      <c r="F70" s="140">
        <v>2060060.26</v>
      </c>
      <c r="G70" s="141">
        <v>203.52555100472424</v>
      </c>
      <c r="H70" s="140">
        <v>2015920.5788348082</v>
      </c>
      <c r="I70" s="140">
        <v>44139.681165191811</v>
      </c>
      <c r="J70" s="139">
        <v>45959</v>
      </c>
      <c r="K70" s="156">
        <v>9603.8623000000007</v>
      </c>
      <c r="L70" s="140" t="s">
        <v>201</v>
      </c>
      <c r="M70" s="129">
        <f t="shared" si="0"/>
        <v>2025</v>
      </c>
    </row>
    <row r="71" spans="2:13" x14ac:dyDescent="0.35">
      <c r="B71" s="139">
        <v>45996</v>
      </c>
      <c r="C71" s="129" t="s">
        <v>142</v>
      </c>
      <c r="D71" s="140">
        <v>1435109</v>
      </c>
      <c r="E71" s="141">
        <v>209.04346200184096</v>
      </c>
      <c r="F71" s="140">
        <v>300000153.70999998</v>
      </c>
      <c r="G71" s="141">
        <v>203.52555100472424</v>
      </c>
      <c r="H71" s="140">
        <v>292081349.97683877</v>
      </c>
      <c r="I71" s="140">
        <v>7918803.733161211</v>
      </c>
      <c r="J71" s="139">
        <v>45959</v>
      </c>
      <c r="K71" s="156">
        <v>9603.8623000000007</v>
      </c>
      <c r="L71" s="140" t="s">
        <v>201</v>
      </c>
      <c r="M71" s="129">
        <f t="shared" si="0"/>
        <v>2025</v>
      </c>
    </row>
    <row r="72" spans="2:13" x14ac:dyDescent="0.35">
      <c r="B72" s="139">
        <v>46007</v>
      </c>
      <c r="C72" s="129" t="s">
        <v>142</v>
      </c>
      <c r="D72" s="140">
        <v>2375945</v>
      </c>
      <c r="E72" s="141">
        <v>210.44266999867421</v>
      </c>
      <c r="F72" s="140">
        <v>500000209.56999999</v>
      </c>
      <c r="G72" s="141">
        <v>203.52555100472424</v>
      </c>
      <c r="H72" s="140">
        <v>483565515.28191954</v>
      </c>
      <c r="I72" s="140">
        <v>16434694.288080454</v>
      </c>
      <c r="J72" s="139">
        <v>45959</v>
      </c>
      <c r="K72" s="156">
        <v>9603.8623000000007</v>
      </c>
      <c r="L72" s="140" t="s">
        <v>201</v>
      </c>
      <c r="M72" s="129">
        <f t="shared" si="0"/>
        <v>2025</v>
      </c>
    </row>
    <row r="73" spans="2:13" x14ac:dyDescent="0.35">
      <c r="B73" s="139">
        <v>46014</v>
      </c>
      <c r="C73" s="129" t="s">
        <v>142</v>
      </c>
      <c r="D73" s="140">
        <v>9463</v>
      </c>
      <c r="E73" s="141">
        <v>211.3640346613125</v>
      </c>
      <c r="F73" s="140">
        <v>2000137.86</v>
      </c>
      <c r="G73" s="141">
        <v>203.52555100472424</v>
      </c>
      <c r="H73" s="140">
        <v>1925962.2891577054</v>
      </c>
      <c r="I73" s="140">
        <v>74175.570842294721</v>
      </c>
      <c r="J73" s="139">
        <v>45959</v>
      </c>
      <c r="K73" s="156">
        <v>9603.8623000000007</v>
      </c>
      <c r="L73" s="140" t="s">
        <v>201</v>
      </c>
      <c r="M73" s="129">
        <f t="shared" si="0"/>
        <v>2025</v>
      </c>
    </row>
    <row r="75" spans="2:13" x14ac:dyDescent="0.35">
      <c r="D75" s="144" t="s">
        <v>186</v>
      </c>
      <c r="E75" s="140">
        <f>SUM(D28:D73)</f>
        <v>35388688.999652997</v>
      </c>
      <c r="K75" s="144" t="s">
        <v>187</v>
      </c>
      <c r="L75" s="140">
        <f>SUM(L28:L73)</f>
        <v>34598281.717329808</v>
      </c>
      <c r="M75" s="210" t="s">
        <v>222</v>
      </c>
    </row>
    <row r="76" spans="2:13" x14ac:dyDescent="0.35">
      <c r="D76" s="144" t="s">
        <v>188</v>
      </c>
      <c r="E76" s="151">
        <f>SUM(F28:F73)</f>
        <v>6338061429.309557</v>
      </c>
    </row>
    <row r="77" spans="2:13" x14ac:dyDescent="0.35">
      <c r="D77" s="144" t="s">
        <v>189</v>
      </c>
      <c r="E77" s="151">
        <f>SUM(H28:H73)</f>
        <v>6059732344.6828737</v>
      </c>
    </row>
    <row r="78" spans="2:13" x14ac:dyDescent="0.35">
      <c r="D78" s="144" t="s">
        <v>190</v>
      </c>
      <c r="E78" s="151">
        <f>SUM(I28:I73)</f>
        <v>278329084.626683</v>
      </c>
    </row>
    <row r="81" spans="2:13" x14ac:dyDescent="0.35">
      <c r="B81" s="132" t="s">
        <v>175</v>
      </c>
      <c r="C81" s="132" t="s">
        <v>144</v>
      </c>
    </row>
    <row r="82" spans="2:13" x14ac:dyDescent="0.35">
      <c r="B82" s="134" t="s">
        <v>176</v>
      </c>
      <c r="C82" s="134" t="s">
        <v>126</v>
      </c>
      <c r="D82" s="134" t="s">
        <v>177</v>
      </c>
      <c r="E82" s="134" t="s">
        <v>178</v>
      </c>
      <c r="F82" s="134" t="s">
        <v>179</v>
      </c>
      <c r="G82" s="134" t="s">
        <v>180</v>
      </c>
      <c r="H82" s="134" t="s">
        <v>181</v>
      </c>
      <c r="I82" s="134" t="s">
        <v>182</v>
      </c>
      <c r="J82" s="134" t="s">
        <v>183</v>
      </c>
      <c r="K82" s="134" t="s">
        <v>184</v>
      </c>
      <c r="L82" s="134" t="s">
        <v>185</v>
      </c>
    </row>
    <row r="83" spans="2:13" x14ac:dyDescent="0.35">
      <c r="B83" s="139">
        <v>45663</v>
      </c>
      <c r="C83" s="129" t="s">
        <v>144</v>
      </c>
      <c r="D83" s="140">
        <v>413527.97960000002</v>
      </c>
      <c r="E83" s="141">
        <v>12.789790995801338</v>
      </c>
      <c r="F83" s="140">
        <v>5288936.43</v>
      </c>
      <c r="G83" s="141">
        <v>11.59208099999965</v>
      </c>
      <c r="H83" s="140">
        <v>4793649.8352894029</v>
      </c>
      <c r="I83" s="140">
        <v>495286.59471059684</v>
      </c>
      <c r="J83" s="139">
        <v>45558</v>
      </c>
      <c r="K83" s="156">
        <v>7122.2421000000004</v>
      </c>
      <c r="L83" s="140">
        <v>384828.69257339259</v>
      </c>
      <c r="M83" s="129">
        <v>2024</v>
      </c>
    </row>
    <row r="84" spans="2:13" x14ac:dyDescent="0.35">
      <c r="B84" s="139">
        <v>45701</v>
      </c>
      <c r="C84" s="129" t="s">
        <v>144</v>
      </c>
      <c r="D84" s="140">
        <v>3532732.4183</v>
      </c>
      <c r="E84" s="141">
        <v>13.186145000037095</v>
      </c>
      <c r="F84" s="140">
        <v>46583121.914035499</v>
      </c>
      <c r="G84" s="141">
        <v>11.59208099999965</v>
      </c>
      <c r="H84" s="140">
        <v>40951720.344258249</v>
      </c>
      <c r="I84" s="140">
        <v>5631401.5697772503</v>
      </c>
      <c r="J84" s="139">
        <v>45558</v>
      </c>
      <c r="K84" s="156">
        <v>7122.2421000000004</v>
      </c>
      <c r="L84" s="140">
        <v>3287556.9848043933</v>
      </c>
      <c r="M84" s="129">
        <v>2024</v>
      </c>
    </row>
    <row r="85" spans="2:13" x14ac:dyDescent="0.35">
      <c r="B85" s="139">
        <v>45701</v>
      </c>
      <c r="C85" s="129" t="s">
        <v>144</v>
      </c>
      <c r="D85" s="140">
        <v>1493300.5882999999</v>
      </c>
      <c r="E85" s="141">
        <v>13.186145000037095</v>
      </c>
      <c r="F85" s="140">
        <v>19690878.085964497</v>
      </c>
      <c r="G85" s="141">
        <v>12.714225000000001</v>
      </c>
      <c r="H85" s="140">
        <v>18986159.672278568</v>
      </c>
      <c r="I85" s="140">
        <v>704718.41368592903</v>
      </c>
      <c r="J85" s="139">
        <v>45656</v>
      </c>
      <c r="K85" s="156">
        <v>7694.0074999999997</v>
      </c>
      <c r="L85" s="140" t="s">
        <v>201</v>
      </c>
      <c r="M85" s="129">
        <v>2024</v>
      </c>
    </row>
    <row r="86" spans="2:13" x14ac:dyDescent="0.35">
      <c r="B86" s="139">
        <v>45708</v>
      </c>
      <c r="C86" s="129" t="s">
        <v>144</v>
      </c>
      <c r="D86" s="140">
        <v>139996.22750000001</v>
      </c>
      <c r="E86" s="141">
        <v>13.256540002122557</v>
      </c>
      <c r="F86" s="140">
        <v>1855865.59</v>
      </c>
      <c r="G86" s="141">
        <v>12.714225000000001</v>
      </c>
      <c r="H86" s="140">
        <v>1779943.5355861876</v>
      </c>
      <c r="I86" s="140">
        <v>75922.054413812468</v>
      </c>
      <c r="J86" s="139">
        <v>45656</v>
      </c>
      <c r="K86" s="156">
        <v>7694.0074999999997</v>
      </c>
      <c r="L86" s="140" t="s">
        <v>201</v>
      </c>
      <c r="M86" s="129">
        <v>2024</v>
      </c>
    </row>
    <row r="87" spans="2:13" x14ac:dyDescent="0.35">
      <c r="B87" s="139">
        <v>45743</v>
      </c>
      <c r="C87" s="129" t="s">
        <v>144</v>
      </c>
      <c r="D87" s="140">
        <v>10302949.306399999</v>
      </c>
      <c r="E87" s="141">
        <v>13.599670000001396</v>
      </c>
      <c r="F87" s="140">
        <v>140116710.59378326</v>
      </c>
      <c r="G87" s="141">
        <v>12.714225000000001</v>
      </c>
      <c r="H87" s="140">
        <v>130994015.64516354</v>
      </c>
      <c r="I87" s="140">
        <v>9122694.9486197233</v>
      </c>
      <c r="J87" s="139">
        <v>45656</v>
      </c>
      <c r="K87" s="156">
        <v>7694.0074999999997</v>
      </c>
      <c r="L87" s="140" t="s">
        <v>201</v>
      </c>
      <c r="M87" s="129">
        <v>2024</v>
      </c>
    </row>
    <row r="88" spans="2:13" x14ac:dyDescent="0.35">
      <c r="B88" s="139">
        <v>45743</v>
      </c>
      <c r="C88" s="129" t="s">
        <v>144</v>
      </c>
      <c r="D88" s="140">
        <v>38387243.384300001</v>
      </c>
      <c r="E88" s="141">
        <v>13.599670000001396</v>
      </c>
      <c r="F88" s="140">
        <v>522053842.23621678</v>
      </c>
      <c r="G88" s="141">
        <v>13.510903000008451</v>
      </c>
      <c r="H88" s="140">
        <v>518646321.80299342</v>
      </c>
      <c r="I88" s="140">
        <v>3407520.4332233667</v>
      </c>
      <c r="J88" s="139">
        <v>45734</v>
      </c>
      <c r="K88" s="156">
        <v>8353.3158000000003</v>
      </c>
      <c r="L88" s="140" t="s">
        <v>201</v>
      </c>
      <c r="M88" s="129">
        <v>2025</v>
      </c>
    </row>
    <row r="89" spans="2:13" x14ac:dyDescent="0.35">
      <c r="B89" s="139">
        <v>45859</v>
      </c>
      <c r="C89" s="129" t="s">
        <v>144</v>
      </c>
      <c r="D89" s="140">
        <v>2320620.4794000001</v>
      </c>
      <c r="E89" s="141">
        <v>14.858462000071238</v>
      </c>
      <c r="F89" s="140">
        <v>34480851.209752001</v>
      </c>
      <c r="G89" s="141">
        <v>13.510903000008451</v>
      </c>
      <c r="H89" s="140">
        <v>31353678.197006509</v>
      </c>
      <c r="I89" s="140">
        <v>3127173.0127454922</v>
      </c>
      <c r="J89" s="139">
        <v>45734</v>
      </c>
      <c r="K89" s="156">
        <v>8353.3158000000003</v>
      </c>
      <c r="L89" s="140" t="s">
        <v>201</v>
      </c>
      <c r="M89" s="129">
        <v>2025</v>
      </c>
    </row>
    <row r="90" spans="2:13" x14ac:dyDescent="0.35">
      <c r="B90" s="139">
        <v>45859</v>
      </c>
      <c r="C90" s="129" t="s">
        <v>144</v>
      </c>
      <c r="D90" s="140">
        <v>7012962.9022000004</v>
      </c>
      <c r="E90" s="141">
        <v>14.858462000071238</v>
      </c>
      <c r="F90" s="140">
        <v>104201842.79024802</v>
      </c>
      <c r="G90" s="141">
        <v>14.811605000123908</v>
      </c>
      <c r="H90" s="140">
        <v>103873236.387909</v>
      </c>
      <c r="I90" s="140">
        <v>328606.40233902633</v>
      </c>
      <c r="J90" s="139">
        <v>45855</v>
      </c>
      <c r="K90" s="156">
        <v>9023.973</v>
      </c>
      <c r="L90" s="140" t="s">
        <v>201</v>
      </c>
      <c r="M90" s="129">
        <v>2025</v>
      </c>
    </row>
    <row r="91" spans="2:13" x14ac:dyDescent="0.35">
      <c r="B91" s="139">
        <v>45887</v>
      </c>
      <c r="C91" s="129" t="s">
        <v>144</v>
      </c>
      <c r="D91" s="140">
        <v>3789377.5597999999</v>
      </c>
      <c r="E91" s="141">
        <v>15.261521</v>
      </c>
      <c r="F91" s="140">
        <v>57831665.205816455</v>
      </c>
      <c r="G91" s="141">
        <v>14.811605000123908</v>
      </c>
      <c r="H91" s="140">
        <v>56126763.612091012</v>
      </c>
      <c r="I91" s="140">
        <v>1704901.5937254429</v>
      </c>
      <c r="J91" s="139">
        <v>45855</v>
      </c>
      <c r="K91" s="156">
        <v>9023.973</v>
      </c>
      <c r="L91" s="140" t="s">
        <v>201</v>
      </c>
      <c r="M91" s="129">
        <v>2025</v>
      </c>
    </row>
    <row r="92" spans="2:13" x14ac:dyDescent="0.35">
      <c r="B92" s="139">
        <v>45887</v>
      </c>
      <c r="C92" s="129" t="s">
        <v>144</v>
      </c>
      <c r="D92" s="140">
        <v>63546.064899999998</v>
      </c>
      <c r="E92" s="141">
        <v>15.261521</v>
      </c>
      <c r="F92" s="140">
        <v>969809.60393871285</v>
      </c>
      <c r="G92" s="141">
        <v>14.912720000123814</v>
      </c>
      <c r="H92" s="140">
        <v>947644.67296339583</v>
      </c>
      <c r="I92" s="140">
        <v>22164.930975317024</v>
      </c>
      <c r="J92" s="139">
        <v>45863</v>
      </c>
      <c r="K92" s="156">
        <v>9023.973</v>
      </c>
      <c r="L92" s="140" t="s">
        <v>201</v>
      </c>
      <c r="M92" s="129">
        <v>2025</v>
      </c>
    </row>
    <row r="93" spans="2:13" x14ac:dyDescent="0.35">
      <c r="B93" s="139">
        <v>45932</v>
      </c>
      <c r="C93" s="129" t="s">
        <v>144</v>
      </c>
      <c r="D93" s="140">
        <v>6642138.7463999996</v>
      </c>
      <c r="E93" s="141">
        <v>16.043752999996961</v>
      </c>
      <c r="F93" s="140">
        <v>106564833.43895105</v>
      </c>
      <c r="G93" s="141">
        <v>14.912720000123814</v>
      </c>
      <c r="H93" s="140">
        <v>99052355.327036589</v>
      </c>
      <c r="I93" s="140">
        <v>7512478.1119144559</v>
      </c>
      <c r="J93" s="139">
        <v>45863</v>
      </c>
      <c r="K93" s="156">
        <v>9023.973</v>
      </c>
      <c r="L93" s="140" t="s">
        <v>201</v>
      </c>
      <c r="M93" s="129">
        <v>2025</v>
      </c>
    </row>
    <row r="94" spans="2:13" x14ac:dyDescent="0.35">
      <c r="B94" s="139">
        <v>45932</v>
      </c>
      <c r="C94" s="129" t="s">
        <v>144</v>
      </c>
      <c r="D94" s="140">
        <v>143435515.77000001</v>
      </c>
      <c r="E94" s="141">
        <v>16.043752999996961</v>
      </c>
      <c r="F94" s="140">
        <v>2301243986.4410491</v>
      </c>
      <c r="G94" s="141">
        <v>16.029033000006301</v>
      </c>
      <c r="H94" s="140">
        <v>2299132615.6502542</v>
      </c>
      <c r="I94" s="140">
        <v>2111370.7907948494</v>
      </c>
      <c r="J94" s="139">
        <v>45931</v>
      </c>
      <c r="K94" s="156">
        <v>9603.8623000000007</v>
      </c>
      <c r="L94" s="140" t="s">
        <v>201</v>
      </c>
      <c r="M94" s="129">
        <v>2025</v>
      </c>
    </row>
    <row r="95" spans="2:13" x14ac:dyDescent="0.35">
      <c r="B95" s="139">
        <v>45947</v>
      </c>
      <c r="C95" s="129" t="s">
        <v>144</v>
      </c>
      <c r="D95" s="140">
        <v>12248658.2973</v>
      </c>
      <c r="E95" s="141">
        <v>16.328319</v>
      </c>
      <c r="F95" s="140">
        <v>200000000.00031123</v>
      </c>
      <c r="G95" s="141">
        <v>16.029033000006301</v>
      </c>
      <c r="H95" s="140">
        <v>196334148.05322269</v>
      </c>
      <c r="I95" s="140">
        <v>3665851.9470885396</v>
      </c>
      <c r="J95" s="139">
        <v>45931</v>
      </c>
      <c r="K95" s="156">
        <v>9603.8623000000007</v>
      </c>
      <c r="L95" s="140" t="s">
        <v>201</v>
      </c>
      <c r="M95" s="129">
        <v>2025</v>
      </c>
    </row>
    <row r="96" spans="2:13" x14ac:dyDescent="0.35">
      <c r="B96" s="139">
        <v>45968</v>
      </c>
      <c r="C96" s="129" t="s">
        <v>144</v>
      </c>
      <c r="D96" s="140">
        <v>282814.08470000001</v>
      </c>
      <c r="E96" s="141">
        <v>16.683537000047107</v>
      </c>
      <c r="F96" s="140">
        <v>4718339.2462269068</v>
      </c>
      <c r="G96" s="141">
        <v>16.029033000006301</v>
      </c>
      <c r="H96" s="140">
        <v>4533236.2965228772</v>
      </c>
      <c r="I96" s="140">
        <v>185102.9497040296</v>
      </c>
      <c r="J96" s="139">
        <v>45931</v>
      </c>
      <c r="K96" s="156">
        <v>9603.8623000000007</v>
      </c>
      <c r="L96" s="140" t="s">
        <v>201</v>
      </c>
      <c r="M96" s="129">
        <v>2025</v>
      </c>
    </row>
    <row r="97" spans="2:13" x14ac:dyDescent="0.35">
      <c r="B97" s="139">
        <v>45968</v>
      </c>
      <c r="C97" s="129" t="s">
        <v>144</v>
      </c>
      <c r="D97" s="140">
        <v>3368869.4323999998</v>
      </c>
      <c r="E97" s="141">
        <v>16.683537000047107</v>
      </c>
      <c r="F97" s="140">
        <v>56204657.823773094</v>
      </c>
      <c r="G97" s="141">
        <v>16.549016000000002</v>
      </c>
      <c r="H97" s="140">
        <v>55751474.138698518</v>
      </c>
      <c r="I97" s="140">
        <v>453183.68507457525</v>
      </c>
      <c r="J97" s="139">
        <v>45959</v>
      </c>
      <c r="K97" s="156">
        <v>9603.8623000000007</v>
      </c>
      <c r="L97" s="140" t="s">
        <v>201</v>
      </c>
      <c r="M97" s="129">
        <v>2025</v>
      </c>
    </row>
    <row r="98" spans="2:13" x14ac:dyDescent="0.35">
      <c r="B98" s="139">
        <v>46021</v>
      </c>
      <c r="C98" s="129" t="s">
        <v>144</v>
      </c>
      <c r="D98" s="140">
        <v>292.34350000000001</v>
      </c>
      <c r="E98" s="141">
        <v>17.296844294468663</v>
      </c>
      <c r="F98" s="140">
        <v>5056.62</v>
      </c>
      <c r="G98" s="141">
        <v>16.549016000000002</v>
      </c>
      <c r="H98" s="140">
        <v>4837.9972589960007</v>
      </c>
      <c r="I98" s="140">
        <v>218.62274100399918</v>
      </c>
      <c r="J98" s="139">
        <v>45959</v>
      </c>
      <c r="K98" s="156">
        <v>9603.8623000000007</v>
      </c>
      <c r="L98" s="140" t="s">
        <v>201</v>
      </c>
      <c r="M98" s="129">
        <v>2025</v>
      </c>
    </row>
    <row r="100" spans="2:13" x14ac:dyDescent="0.35">
      <c r="D100" s="144" t="s">
        <v>186</v>
      </c>
      <c r="E100" s="140">
        <f>SUM(D83:D98)</f>
        <v>233434545.58499998</v>
      </c>
      <c r="K100" s="144" t="s">
        <v>187</v>
      </c>
      <c r="L100" s="140">
        <f>SUM(L83:L98)</f>
        <v>3672385.677377786</v>
      </c>
      <c r="M100" s="210" t="s">
        <v>222</v>
      </c>
    </row>
    <row r="101" spans="2:13" x14ac:dyDescent="0.35">
      <c r="D101" s="144" t="s">
        <v>188</v>
      </c>
      <c r="E101" s="151">
        <f>SUM(F83:F98)</f>
        <v>3601810397.2300663</v>
      </c>
    </row>
    <row r="102" spans="2:13" x14ac:dyDescent="0.35">
      <c r="D102" s="144" t="s">
        <v>189</v>
      </c>
      <c r="E102" s="151">
        <f>SUM(H83:H98)</f>
        <v>3563261801.1685333</v>
      </c>
    </row>
    <row r="103" spans="2:13" x14ac:dyDescent="0.35">
      <c r="D103" s="144" t="s">
        <v>190</v>
      </c>
      <c r="E103" s="151">
        <f>SUM(I83:I98)</f>
        <v>38548596.061533414</v>
      </c>
    </row>
    <row r="106" spans="2:13" x14ac:dyDescent="0.35">
      <c r="B106" s="132" t="s">
        <v>175</v>
      </c>
      <c r="C106" s="132" t="s">
        <v>143</v>
      </c>
    </row>
    <row r="107" spans="2:13" x14ac:dyDescent="0.35">
      <c r="B107" s="134" t="s">
        <v>176</v>
      </c>
      <c r="C107" s="134" t="s">
        <v>126</v>
      </c>
      <c r="D107" s="134" t="s">
        <v>177</v>
      </c>
      <c r="E107" s="134" t="s">
        <v>178</v>
      </c>
      <c r="F107" s="134" t="s">
        <v>179</v>
      </c>
      <c r="G107" s="134" t="s">
        <v>180</v>
      </c>
      <c r="H107" s="134" t="s">
        <v>181</v>
      </c>
      <c r="I107" s="134" t="s">
        <v>182</v>
      </c>
      <c r="J107" s="134" t="s">
        <v>183</v>
      </c>
      <c r="K107" s="134" t="s">
        <v>184</v>
      </c>
      <c r="L107" s="134" t="s">
        <v>185</v>
      </c>
    </row>
    <row r="108" spans="2:13" x14ac:dyDescent="0.35">
      <c r="B108" s="157">
        <v>45663</v>
      </c>
      <c r="C108" s="158" t="s">
        <v>143</v>
      </c>
      <c r="D108" s="153">
        <v>1578688.9606999999</v>
      </c>
      <c r="E108" s="159">
        <v>66.550145000192728</v>
      </c>
      <c r="F108" s="153">
        <v>105061979.24478856</v>
      </c>
      <c r="G108" s="159">
        <v>63.195518999999919</v>
      </c>
      <c r="H108" s="153">
        <v>99766068.211006969</v>
      </c>
      <c r="I108" s="153">
        <v>5295911.0337815881</v>
      </c>
      <c r="J108" s="157">
        <v>45603</v>
      </c>
      <c r="K108" s="160">
        <v>7491.4314000000004</v>
      </c>
      <c r="L108" s="153">
        <v>2697778.2924795528</v>
      </c>
      <c r="M108" s="129">
        <f t="shared" ref="M108:M171" si="1">+YEAR(J108)</f>
        <v>2024</v>
      </c>
    </row>
    <row r="109" spans="2:13" x14ac:dyDescent="0.35">
      <c r="B109" s="157">
        <v>45663</v>
      </c>
      <c r="C109" s="158" t="s">
        <v>143</v>
      </c>
      <c r="D109" s="153">
        <v>5351017.5438999999</v>
      </c>
      <c r="E109" s="159">
        <v>66.550145000192728</v>
      </c>
      <c r="F109" s="153">
        <v>356110993.44512016</v>
      </c>
      <c r="G109" s="159">
        <v>63.539316999999997</v>
      </c>
      <c r="H109" s="153">
        <v>339999999.99442351</v>
      </c>
      <c r="I109" s="153">
        <v>16110993.450696647</v>
      </c>
      <c r="J109" s="157">
        <v>45617</v>
      </c>
      <c r="K109" s="160">
        <v>7491.4314000000004</v>
      </c>
      <c r="L109" s="153">
        <v>9193953.774824677</v>
      </c>
      <c r="M109" s="129">
        <f t="shared" si="1"/>
        <v>2024</v>
      </c>
    </row>
    <row r="110" spans="2:13" x14ac:dyDescent="0.35">
      <c r="B110" s="157">
        <v>45663</v>
      </c>
      <c r="C110" s="158" t="s">
        <v>143</v>
      </c>
      <c r="D110" s="153">
        <v>7796031.5083999997</v>
      </c>
      <c r="E110" s="159">
        <v>66.550145000192728</v>
      </c>
      <c r="F110" s="153">
        <v>518827027.3100912</v>
      </c>
      <c r="G110" s="159">
        <v>64.000720999999999</v>
      </c>
      <c r="H110" s="153">
        <v>498951637.47631752</v>
      </c>
      <c r="I110" s="153">
        <v>19875389.833773673</v>
      </c>
      <c r="J110" s="157">
        <v>45617</v>
      </c>
      <c r="K110" s="160">
        <v>7491.4314000000004</v>
      </c>
      <c r="L110" s="153">
        <v>13492171.443839949</v>
      </c>
      <c r="M110" s="129">
        <f t="shared" si="1"/>
        <v>2024</v>
      </c>
    </row>
    <row r="111" spans="2:13" x14ac:dyDescent="0.35">
      <c r="B111" s="157">
        <v>45666</v>
      </c>
      <c r="C111" s="158" t="s">
        <v>143</v>
      </c>
      <c r="D111" s="153">
        <v>5563192.9914999995</v>
      </c>
      <c r="E111" s="159">
        <v>66.707979000267329</v>
      </c>
      <c r="F111" s="153">
        <v>371109361.25141633</v>
      </c>
      <c r="G111" s="159">
        <v>64.000720999999999</v>
      </c>
      <c r="H111" s="153">
        <v>356048362.51814681</v>
      </c>
      <c r="I111" s="153">
        <v>15060998.733269513</v>
      </c>
      <c r="J111" s="157">
        <v>45617</v>
      </c>
      <c r="K111" s="160">
        <v>7491.4314000000004</v>
      </c>
      <c r="L111" s="153">
        <v>9627918.1960222088</v>
      </c>
      <c r="M111" s="129">
        <f t="shared" si="1"/>
        <v>2024</v>
      </c>
    </row>
    <row r="112" spans="2:13" x14ac:dyDescent="0.35">
      <c r="B112" s="157">
        <v>45666</v>
      </c>
      <c r="C112" s="158" t="s">
        <v>143</v>
      </c>
      <c r="D112" s="153">
        <v>3962907.0038999999</v>
      </c>
      <c r="E112" s="159">
        <v>66.707979000267329</v>
      </c>
      <c r="F112" s="153">
        <v>264357517.19617352</v>
      </c>
      <c r="G112" s="159">
        <v>64.346703000000005</v>
      </c>
      <c r="H112" s="153">
        <v>254999999.99657315</v>
      </c>
      <c r="I112" s="153">
        <v>9357517.1996003687</v>
      </c>
      <c r="J112" s="157">
        <v>45623</v>
      </c>
      <c r="K112" s="160">
        <v>7491.4314000000004</v>
      </c>
      <c r="L112" s="153">
        <v>6895465.3311389387</v>
      </c>
      <c r="M112" s="129">
        <f t="shared" si="1"/>
        <v>2024</v>
      </c>
    </row>
    <row r="113" spans="2:13" x14ac:dyDescent="0.35">
      <c r="B113" s="139">
        <v>45666</v>
      </c>
      <c r="C113" s="129" t="s">
        <v>143</v>
      </c>
      <c r="D113" s="140">
        <v>367768.92239999998</v>
      </c>
      <c r="E113" s="141">
        <v>66.707979000267329</v>
      </c>
      <c r="F113" s="140">
        <v>24533121.552410144</v>
      </c>
      <c r="G113" s="141">
        <v>64.692571000000001</v>
      </c>
      <c r="H113" s="140">
        <v>23791917.123955488</v>
      </c>
      <c r="I113" s="140">
        <v>741204.42845465615</v>
      </c>
      <c r="J113" s="139">
        <v>45629</v>
      </c>
      <c r="K113" s="156">
        <v>7694.0074999999997</v>
      </c>
      <c r="L113" s="140" t="s">
        <v>201</v>
      </c>
      <c r="M113" s="129">
        <f t="shared" si="1"/>
        <v>2024</v>
      </c>
    </row>
    <row r="114" spans="2:13" x14ac:dyDescent="0.35">
      <c r="B114" s="139">
        <v>45667</v>
      </c>
      <c r="C114" s="129" t="s">
        <v>143</v>
      </c>
      <c r="D114" s="140">
        <v>3969430.9479</v>
      </c>
      <c r="E114" s="141">
        <v>66.760199000362107</v>
      </c>
      <c r="F114" s="140">
        <v>265000000</v>
      </c>
      <c r="G114" s="141">
        <v>64.692571000000001</v>
      </c>
      <c r="H114" s="140">
        <v>256792693.42661807</v>
      </c>
      <c r="I114" s="140">
        <v>8207306.5733819306</v>
      </c>
      <c r="J114" s="139">
        <v>45629</v>
      </c>
      <c r="K114" s="156">
        <v>7694.0074999999997</v>
      </c>
      <c r="L114" s="140" t="s">
        <v>201</v>
      </c>
      <c r="M114" s="129">
        <f t="shared" si="1"/>
        <v>2024</v>
      </c>
    </row>
    <row r="115" spans="2:13" x14ac:dyDescent="0.35">
      <c r="B115" s="139">
        <v>45670</v>
      </c>
      <c r="C115" s="129" t="s">
        <v>143</v>
      </c>
      <c r="D115" s="140">
        <v>5005875.0294000003</v>
      </c>
      <c r="E115" s="141">
        <v>66.92136700027703</v>
      </c>
      <c r="F115" s="140">
        <v>335000000</v>
      </c>
      <c r="G115" s="141">
        <v>64.692571000000001</v>
      </c>
      <c r="H115" s="140">
        <v>323842925.75658661</v>
      </c>
      <c r="I115" s="140">
        <v>11157074.243413389</v>
      </c>
      <c r="J115" s="139">
        <v>45629</v>
      </c>
      <c r="K115" s="156">
        <v>7694.0074999999997</v>
      </c>
      <c r="L115" s="140" t="s">
        <v>201</v>
      </c>
      <c r="M115" s="129">
        <f t="shared" si="1"/>
        <v>2024</v>
      </c>
    </row>
    <row r="116" spans="2:13" x14ac:dyDescent="0.35">
      <c r="B116" s="139">
        <v>45671</v>
      </c>
      <c r="C116" s="129" t="s">
        <v>143</v>
      </c>
      <c r="D116" s="140">
        <v>447926.15120000002</v>
      </c>
      <c r="E116" s="141">
        <v>66.975325998782623</v>
      </c>
      <c r="F116" s="140">
        <v>29999999.999999996</v>
      </c>
      <c r="G116" s="141">
        <v>64.692571000000001</v>
      </c>
      <c r="H116" s="140">
        <v>28977494.339262739</v>
      </c>
      <c r="I116" s="140">
        <v>1022505.6607372575</v>
      </c>
      <c r="J116" s="139">
        <v>45629</v>
      </c>
      <c r="K116" s="156">
        <v>7694.0074999999997</v>
      </c>
      <c r="L116" s="140" t="s">
        <v>201</v>
      </c>
      <c r="M116" s="129">
        <f t="shared" si="1"/>
        <v>2024</v>
      </c>
    </row>
    <row r="117" spans="2:13" x14ac:dyDescent="0.35">
      <c r="B117" s="139">
        <v>45673</v>
      </c>
      <c r="C117" s="129" t="s">
        <v>143</v>
      </c>
      <c r="D117" s="140">
        <v>2086899.8203</v>
      </c>
      <c r="E117" s="141">
        <v>67.085155999426192</v>
      </c>
      <c r="F117" s="140">
        <v>140000000</v>
      </c>
      <c r="G117" s="141">
        <v>64.692571000000001</v>
      </c>
      <c r="H117" s="140">
        <v>135006914.79464498</v>
      </c>
      <c r="I117" s="140">
        <v>4993085.2053550184</v>
      </c>
      <c r="J117" s="139">
        <v>45629</v>
      </c>
      <c r="K117" s="156">
        <v>7694.0074999999997</v>
      </c>
      <c r="L117" s="140" t="s">
        <v>201</v>
      </c>
      <c r="M117" s="129">
        <f t="shared" si="1"/>
        <v>2024</v>
      </c>
    </row>
    <row r="118" spans="2:13" x14ac:dyDescent="0.35">
      <c r="B118" s="139">
        <v>45677</v>
      </c>
      <c r="C118" s="129" t="s">
        <v>143</v>
      </c>
      <c r="D118" s="140">
        <v>3579824.5606</v>
      </c>
      <c r="E118" s="141">
        <v>67.300229999949323</v>
      </c>
      <c r="F118" s="140">
        <v>240923016.28784752</v>
      </c>
      <c r="G118" s="141">
        <v>64.692571000000001</v>
      </c>
      <c r="H118" s="140">
        <v>231588054.55415931</v>
      </c>
      <c r="I118" s="140">
        <v>9334961.7336882055</v>
      </c>
      <c r="J118" s="139">
        <v>45629</v>
      </c>
      <c r="K118" s="156">
        <v>7694.0074999999997</v>
      </c>
      <c r="L118" s="140" t="s">
        <v>201</v>
      </c>
      <c r="M118" s="129">
        <f t="shared" si="1"/>
        <v>2024</v>
      </c>
    </row>
    <row r="119" spans="2:13" x14ac:dyDescent="0.35">
      <c r="B119" s="139">
        <v>45677</v>
      </c>
      <c r="C119" s="129" t="s">
        <v>143</v>
      </c>
      <c r="D119" s="140">
        <v>2958043.1406</v>
      </c>
      <c r="E119" s="141">
        <v>67.300229999949323</v>
      </c>
      <c r="F119" s="140">
        <v>199076983.71215245</v>
      </c>
      <c r="G119" s="141">
        <v>65.135182</v>
      </c>
      <c r="H119" s="140">
        <v>192672678.32683259</v>
      </c>
      <c r="I119" s="140">
        <v>6404305.3853198588</v>
      </c>
      <c r="J119" s="139">
        <v>45637</v>
      </c>
      <c r="K119" s="156">
        <v>7694.0074999999997</v>
      </c>
      <c r="L119" s="140" t="s">
        <v>201</v>
      </c>
      <c r="M119" s="129">
        <f t="shared" si="1"/>
        <v>2024</v>
      </c>
    </row>
    <row r="120" spans="2:13" x14ac:dyDescent="0.35">
      <c r="B120" s="139">
        <v>45678</v>
      </c>
      <c r="C120" s="129" t="s">
        <v>143</v>
      </c>
      <c r="D120" s="140">
        <v>2875977.5580000002</v>
      </c>
      <c r="E120" s="141">
        <v>67.353636000329629</v>
      </c>
      <c r="F120" s="140">
        <v>193707545.58664891</v>
      </c>
      <c r="G120" s="141">
        <v>65.135182</v>
      </c>
      <c r="H120" s="140">
        <v>187327321.66824558</v>
      </c>
      <c r="I120" s="140">
        <v>6380223.9184033275</v>
      </c>
      <c r="J120" s="139">
        <v>45637</v>
      </c>
      <c r="K120" s="156">
        <v>7694.0074999999997</v>
      </c>
      <c r="L120" s="140" t="s">
        <v>201</v>
      </c>
      <c r="M120" s="129">
        <f t="shared" si="1"/>
        <v>2024</v>
      </c>
    </row>
    <row r="121" spans="2:13" x14ac:dyDescent="0.35">
      <c r="B121" s="139">
        <v>45678</v>
      </c>
      <c r="C121" s="129" t="s">
        <v>143</v>
      </c>
      <c r="D121" s="140">
        <v>3508236.0573999998</v>
      </c>
      <c r="E121" s="141">
        <v>67.353636000329629</v>
      </c>
      <c r="F121" s="140">
        <v>236292454.41335112</v>
      </c>
      <c r="G121" s="141">
        <v>65.407067999999995</v>
      </c>
      <c r="H121" s="140">
        <v>229463434.36641368</v>
      </c>
      <c r="I121" s="140">
        <v>6829020.0469374359</v>
      </c>
      <c r="J121" s="139">
        <v>45642</v>
      </c>
      <c r="K121" s="156">
        <v>7694.0074999999997</v>
      </c>
      <c r="L121" s="140" t="s">
        <v>201</v>
      </c>
      <c r="M121" s="129">
        <f t="shared" si="1"/>
        <v>2024</v>
      </c>
    </row>
    <row r="122" spans="2:13" x14ac:dyDescent="0.35">
      <c r="B122" s="139">
        <v>45679</v>
      </c>
      <c r="C122" s="129" t="s">
        <v>143</v>
      </c>
      <c r="D122" s="140">
        <v>1537090.2365999999</v>
      </c>
      <c r="E122" s="141">
        <v>67.407291999410504</v>
      </c>
      <c r="F122" s="140">
        <v>103611090.40793918</v>
      </c>
      <c r="G122" s="141">
        <v>65.407067999999995</v>
      </c>
      <c r="H122" s="140">
        <v>100536565.62743227</v>
      </c>
      <c r="I122" s="140">
        <v>3074524.7805069089</v>
      </c>
      <c r="J122" s="139">
        <v>45642</v>
      </c>
      <c r="K122" s="156">
        <v>7694.0074999999997</v>
      </c>
      <c r="L122" s="140" t="s">
        <v>201</v>
      </c>
      <c r="M122" s="129">
        <f t="shared" si="1"/>
        <v>2024</v>
      </c>
    </row>
    <row r="123" spans="2:13" x14ac:dyDescent="0.35">
      <c r="B123" s="139">
        <v>45679</v>
      </c>
      <c r="C123" s="129" t="s">
        <v>143</v>
      </c>
      <c r="D123" s="140">
        <v>1133244.0056</v>
      </c>
      <c r="E123" s="141">
        <v>67.407291999410504</v>
      </c>
      <c r="F123" s="140">
        <v>76388909.592060789</v>
      </c>
      <c r="G123" s="141">
        <v>65.460652999999994</v>
      </c>
      <c r="H123" s="140">
        <v>74182892.614911646</v>
      </c>
      <c r="I123" s="140">
        <v>2206016.9771491438</v>
      </c>
      <c r="J123" s="139">
        <v>45643</v>
      </c>
      <c r="K123" s="156">
        <v>7694.0074999999997</v>
      </c>
      <c r="L123" s="140" t="s">
        <v>201</v>
      </c>
      <c r="M123" s="129">
        <f t="shared" si="1"/>
        <v>2024</v>
      </c>
    </row>
    <row r="124" spans="2:13" x14ac:dyDescent="0.35">
      <c r="B124" s="139">
        <v>45680</v>
      </c>
      <c r="C124" s="129" t="s">
        <v>143</v>
      </c>
      <c r="D124" s="140">
        <v>963514.02159999998</v>
      </c>
      <c r="E124" s="141">
        <v>67.461395000834315</v>
      </c>
      <c r="F124" s="140">
        <v>65000000.000000007</v>
      </c>
      <c r="G124" s="141">
        <v>65.460652999999994</v>
      </c>
      <c r="H124" s="140">
        <v>63072257.028592095</v>
      </c>
      <c r="I124" s="140">
        <v>1927742.9714079127</v>
      </c>
      <c r="J124" s="139">
        <v>45643</v>
      </c>
      <c r="K124" s="156">
        <v>7694.0074999999997</v>
      </c>
      <c r="L124" s="140" t="s">
        <v>201</v>
      </c>
      <c r="M124" s="129">
        <f t="shared" si="1"/>
        <v>2024</v>
      </c>
    </row>
    <row r="125" spans="2:13" x14ac:dyDescent="0.35">
      <c r="B125" s="139">
        <v>45681</v>
      </c>
      <c r="C125" s="129" t="s">
        <v>143</v>
      </c>
      <c r="D125" s="140">
        <v>1407069.9608</v>
      </c>
      <c r="E125" s="141">
        <v>67.516187998205183</v>
      </c>
      <c r="F125" s="140">
        <v>95000000</v>
      </c>
      <c r="G125" s="141">
        <v>65.460652999999994</v>
      </c>
      <c r="H125" s="140">
        <v>92107718.450652391</v>
      </c>
      <c r="I125" s="140">
        <v>2892281.5493476093</v>
      </c>
      <c r="J125" s="139">
        <v>45643</v>
      </c>
      <c r="K125" s="156">
        <v>7694.0074999999997</v>
      </c>
      <c r="L125" s="140" t="s">
        <v>201</v>
      </c>
      <c r="M125" s="129">
        <f t="shared" si="1"/>
        <v>2024</v>
      </c>
    </row>
    <row r="126" spans="2:13" x14ac:dyDescent="0.35">
      <c r="B126" s="139">
        <v>45684</v>
      </c>
      <c r="C126" s="129" t="s">
        <v>143</v>
      </c>
      <c r="D126" s="140">
        <v>2511754.8278999999</v>
      </c>
      <c r="E126" s="141">
        <v>67.681765000181855</v>
      </c>
      <c r="F126" s="140">
        <v>170000000</v>
      </c>
      <c r="G126" s="141">
        <v>65.460652999999994</v>
      </c>
      <c r="H126" s="140">
        <v>164421111.21023661</v>
      </c>
      <c r="I126" s="140">
        <v>5578888.789763391</v>
      </c>
      <c r="J126" s="139">
        <v>45643</v>
      </c>
      <c r="K126" s="156">
        <v>7694.0074999999997</v>
      </c>
      <c r="L126" s="140" t="s">
        <v>201</v>
      </c>
      <c r="M126" s="129">
        <f t="shared" si="1"/>
        <v>2024</v>
      </c>
    </row>
    <row r="127" spans="2:13" x14ac:dyDescent="0.35">
      <c r="B127" s="139">
        <v>45685</v>
      </c>
      <c r="C127" s="129" t="s">
        <v>143</v>
      </c>
      <c r="D127" s="140">
        <v>2691938.0210000002</v>
      </c>
      <c r="E127" s="141">
        <v>67.736955000143013</v>
      </c>
      <c r="F127" s="140">
        <v>182343684.59165105</v>
      </c>
      <c r="G127" s="141">
        <v>65.460652999999994</v>
      </c>
      <c r="H127" s="140">
        <v>176216020.69018772</v>
      </c>
      <c r="I127" s="140">
        <v>6127663.9014633298</v>
      </c>
      <c r="J127" s="139">
        <v>45643</v>
      </c>
      <c r="K127" s="156">
        <v>7694.0074999999997</v>
      </c>
      <c r="L127" s="140" t="s">
        <v>201</v>
      </c>
      <c r="M127" s="129">
        <f t="shared" si="1"/>
        <v>2024</v>
      </c>
    </row>
    <row r="128" spans="2:13" x14ac:dyDescent="0.35">
      <c r="B128" s="139">
        <v>45685</v>
      </c>
      <c r="C128" s="129" t="s">
        <v>143</v>
      </c>
      <c r="D128" s="140">
        <v>1525149.4242</v>
      </c>
      <c r="E128" s="141">
        <v>67.736955000143013</v>
      </c>
      <c r="F128" s="140">
        <v>103308977.91552943</v>
      </c>
      <c r="G128" s="141">
        <v>65.567346000000001</v>
      </c>
      <c r="H128" s="140">
        <v>99999999.998222172</v>
      </c>
      <c r="I128" s="140">
        <v>3308977.9173072577</v>
      </c>
      <c r="J128" s="139">
        <v>45645</v>
      </c>
      <c r="K128" s="156">
        <v>7694.0074999999997</v>
      </c>
      <c r="L128" s="140" t="s">
        <v>201</v>
      </c>
      <c r="M128" s="129">
        <f t="shared" si="1"/>
        <v>2024</v>
      </c>
    </row>
    <row r="129" spans="2:13" x14ac:dyDescent="0.35">
      <c r="B129" s="139">
        <v>45685</v>
      </c>
      <c r="C129" s="129" t="s">
        <v>143</v>
      </c>
      <c r="D129" s="140">
        <v>211809.60219999999</v>
      </c>
      <c r="E129" s="141">
        <v>67.736955000143013</v>
      </c>
      <c r="F129" s="140">
        <v>14347337.492819592</v>
      </c>
      <c r="G129" s="141">
        <v>66.160156000000001</v>
      </c>
      <c r="H129" s="140">
        <v>14013356.323849943</v>
      </c>
      <c r="I129" s="140">
        <v>333981.16896964982</v>
      </c>
      <c r="J129" s="139">
        <v>45656</v>
      </c>
      <c r="K129" s="156">
        <v>7694.0074999999997</v>
      </c>
      <c r="L129" s="140" t="s">
        <v>201</v>
      </c>
      <c r="M129" s="129">
        <f t="shared" si="1"/>
        <v>2024</v>
      </c>
    </row>
    <row r="130" spans="2:13" x14ac:dyDescent="0.35">
      <c r="B130" s="139">
        <v>45686</v>
      </c>
      <c r="C130" s="129" t="s">
        <v>143</v>
      </c>
      <c r="D130" s="140">
        <v>1299674.1373000001</v>
      </c>
      <c r="E130" s="141">
        <v>67.791941000111123</v>
      </c>
      <c r="F130" s="140">
        <v>88107432.435211927</v>
      </c>
      <c r="G130" s="141">
        <v>66.160156000000001</v>
      </c>
      <c r="H130" s="140">
        <v>85986643.672933429</v>
      </c>
      <c r="I130" s="140">
        <v>2120788.7622784972</v>
      </c>
      <c r="J130" s="139">
        <v>45656</v>
      </c>
      <c r="K130" s="156">
        <v>7694.0074999999997</v>
      </c>
      <c r="L130" s="140" t="s">
        <v>201</v>
      </c>
      <c r="M130" s="129">
        <f t="shared" si="1"/>
        <v>2024</v>
      </c>
    </row>
    <row r="131" spans="2:13" x14ac:dyDescent="0.35">
      <c r="B131" s="139">
        <v>45686</v>
      </c>
      <c r="C131" s="129" t="s">
        <v>143</v>
      </c>
      <c r="D131" s="140">
        <v>3002848.5321</v>
      </c>
      <c r="E131" s="141">
        <v>67.791941000111123</v>
      </c>
      <c r="F131" s="140">
        <v>203568930.52039349</v>
      </c>
      <c r="G131" s="141">
        <v>66.603426001022044</v>
      </c>
      <c r="H131" s="140">
        <v>200000000</v>
      </c>
      <c r="I131" s="140">
        <v>3568930.5203934908</v>
      </c>
      <c r="J131" s="139">
        <v>45664</v>
      </c>
      <c r="K131" s="156">
        <v>7864.1256999999996</v>
      </c>
      <c r="L131" s="140" t="s">
        <v>201</v>
      </c>
      <c r="M131" s="129">
        <f t="shared" si="1"/>
        <v>2025</v>
      </c>
    </row>
    <row r="132" spans="2:13" x14ac:dyDescent="0.35">
      <c r="B132" s="139">
        <v>45686</v>
      </c>
      <c r="C132" s="129" t="s">
        <v>143</v>
      </c>
      <c r="D132" s="140">
        <v>270292.26150000002</v>
      </c>
      <c r="E132" s="141">
        <v>67.791941000111123</v>
      </c>
      <c r="F132" s="140">
        <v>18323637.044394609</v>
      </c>
      <c r="G132" s="141">
        <v>66.655903000350534</v>
      </c>
      <c r="H132" s="140">
        <v>18016574.764289383</v>
      </c>
      <c r="I132" s="140">
        <v>307062.28010522574</v>
      </c>
      <c r="J132" s="139">
        <v>45665</v>
      </c>
      <c r="K132" s="156">
        <v>7864.1256999999996</v>
      </c>
      <c r="L132" s="140" t="s">
        <v>201</v>
      </c>
      <c r="M132" s="129">
        <f t="shared" si="1"/>
        <v>2025</v>
      </c>
    </row>
    <row r="133" spans="2:13" x14ac:dyDescent="0.35">
      <c r="B133" s="139">
        <v>45688</v>
      </c>
      <c r="C133" s="129" t="s">
        <v>143</v>
      </c>
      <c r="D133" s="140">
        <v>5301811.0427000001</v>
      </c>
      <c r="E133" s="141">
        <v>67.901325999854265</v>
      </c>
      <c r="F133" s="140">
        <v>359999999.99999994</v>
      </c>
      <c r="G133" s="141">
        <v>66.655903000350534</v>
      </c>
      <c r="H133" s="140">
        <v>353397002.58839852</v>
      </c>
      <c r="I133" s="140">
        <v>6602997.4116014242</v>
      </c>
      <c r="J133" s="139">
        <v>45665</v>
      </c>
      <c r="K133" s="156">
        <v>7864.1256999999996</v>
      </c>
      <c r="L133" s="140" t="s">
        <v>201</v>
      </c>
      <c r="M133" s="129">
        <f t="shared" si="1"/>
        <v>2025</v>
      </c>
    </row>
    <row r="134" spans="2:13" x14ac:dyDescent="0.35">
      <c r="B134" s="139">
        <v>45698</v>
      </c>
      <c r="C134" s="129" t="s">
        <v>143</v>
      </c>
      <c r="D134" s="140">
        <v>6429834.4686000003</v>
      </c>
      <c r="E134" s="141">
        <v>68.41205499968423</v>
      </c>
      <c r="F134" s="140">
        <v>439878189.30472863</v>
      </c>
      <c r="G134" s="141">
        <v>66.655903000350534</v>
      </c>
      <c r="H134" s="140">
        <v>428586422.64731205</v>
      </c>
      <c r="I134" s="140">
        <v>11291766.657416582</v>
      </c>
      <c r="J134" s="139">
        <v>45665</v>
      </c>
      <c r="K134" s="156">
        <v>7864.1256999999996</v>
      </c>
      <c r="L134" s="140" t="s">
        <v>201</v>
      </c>
      <c r="M134" s="129">
        <f t="shared" si="1"/>
        <v>2025</v>
      </c>
    </row>
    <row r="135" spans="2:13" x14ac:dyDescent="0.35">
      <c r="B135" s="139">
        <v>45698</v>
      </c>
      <c r="C135" s="129" t="s">
        <v>143</v>
      </c>
      <c r="D135" s="140">
        <v>1536597.7633</v>
      </c>
      <c r="E135" s="141">
        <v>68.41205499968423</v>
      </c>
      <c r="F135" s="140">
        <v>105121810.69527137</v>
      </c>
      <c r="G135" s="141">
        <v>67.030853002057569</v>
      </c>
      <c r="H135" s="140">
        <v>102999458.79505275</v>
      </c>
      <c r="I135" s="140">
        <v>2122351.9002186209</v>
      </c>
      <c r="J135" s="139">
        <v>45672</v>
      </c>
      <c r="K135" s="156">
        <v>7864.1256999999996</v>
      </c>
      <c r="L135" s="140" t="s">
        <v>201</v>
      </c>
      <c r="M135" s="129">
        <f t="shared" si="1"/>
        <v>2025</v>
      </c>
    </row>
    <row r="136" spans="2:13" x14ac:dyDescent="0.35">
      <c r="B136" s="139">
        <v>45702</v>
      </c>
      <c r="C136" s="129" t="s">
        <v>143</v>
      </c>
      <c r="D136" s="140">
        <v>1148732.8260999999</v>
      </c>
      <c r="E136" s="141">
        <v>68.61933099968806</v>
      </c>
      <c r="F136" s="140">
        <v>78825278.024362996</v>
      </c>
      <c r="G136" s="141">
        <v>67.030853002057569</v>
      </c>
      <c r="H136" s="140">
        <v>77000541.204947263</v>
      </c>
      <c r="I136" s="140">
        <v>1824736.8194157332</v>
      </c>
      <c r="J136" s="139">
        <v>45672</v>
      </c>
      <c r="K136" s="156">
        <v>7864.1256999999996</v>
      </c>
      <c r="L136" s="140" t="s">
        <v>201</v>
      </c>
      <c r="M136" s="129">
        <f t="shared" si="1"/>
        <v>2025</v>
      </c>
    </row>
    <row r="137" spans="2:13" x14ac:dyDescent="0.35">
      <c r="B137" s="139">
        <v>45702</v>
      </c>
      <c r="C137" s="129" t="s">
        <v>143</v>
      </c>
      <c r="D137" s="140">
        <v>1474434.6891999999</v>
      </c>
      <c r="E137" s="141">
        <v>68.61933099968806</v>
      </c>
      <c r="F137" s="140">
        <v>101174721.97563699</v>
      </c>
      <c r="G137" s="141">
        <v>67.846692000953226</v>
      </c>
      <c r="H137" s="140">
        <v>100035516.23367359</v>
      </c>
      <c r="I137" s="140">
        <v>1139205.7419634014</v>
      </c>
      <c r="J137" s="139">
        <v>45687</v>
      </c>
      <c r="K137" s="156">
        <v>7864.1256999999996</v>
      </c>
      <c r="L137" s="140" t="s">
        <v>201</v>
      </c>
      <c r="M137" s="129">
        <f t="shared" si="1"/>
        <v>2025</v>
      </c>
    </row>
    <row r="138" spans="2:13" x14ac:dyDescent="0.35">
      <c r="B138" s="139">
        <v>45705</v>
      </c>
      <c r="C138" s="129" t="s">
        <v>143</v>
      </c>
      <c r="D138" s="140">
        <v>1235911.4635000001</v>
      </c>
      <c r="E138" s="141">
        <v>68.775153002697266</v>
      </c>
      <c r="F138" s="140">
        <v>85000000</v>
      </c>
      <c r="G138" s="141">
        <v>67.846692000953226</v>
      </c>
      <c r="H138" s="140">
        <v>83852504.404531851</v>
      </c>
      <c r="I138" s="140">
        <v>1147495.5954681486</v>
      </c>
      <c r="J138" s="139">
        <v>45687</v>
      </c>
      <c r="K138" s="156">
        <v>7864.1256999999996</v>
      </c>
      <c r="L138" s="140" t="s">
        <v>201</v>
      </c>
      <c r="M138" s="129">
        <f t="shared" si="1"/>
        <v>2025</v>
      </c>
    </row>
    <row r="139" spans="2:13" x14ac:dyDescent="0.35">
      <c r="B139" s="139">
        <v>45707</v>
      </c>
      <c r="C139" s="129" t="s">
        <v>143</v>
      </c>
      <c r="D139" s="140">
        <v>237476.2702</v>
      </c>
      <c r="E139" s="141">
        <v>68.877089000263851</v>
      </c>
      <c r="F139" s="140">
        <v>16356674.198016105</v>
      </c>
      <c r="G139" s="141">
        <v>67.846692000953226</v>
      </c>
      <c r="H139" s="140">
        <v>16111979.361794546</v>
      </c>
      <c r="I139" s="140">
        <v>244694.83622155897</v>
      </c>
      <c r="J139" s="139">
        <v>45687</v>
      </c>
      <c r="K139" s="156">
        <v>7864.1256999999996</v>
      </c>
      <c r="L139" s="140" t="s">
        <v>201</v>
      </c>
      <c r="M139" s="129">
        <f t="shared" si="1"/>
        <v>2025</v>
      </c>
    </row>
    <row r="140" spans="2:13" x14ac:dyDescent="0.35">
      <c r="B140" s="139">
        <v>45707</v>
      </c>
      <c r="C140" s="129" t="s">
        <v>143</v>
      </c>
      <c r="D140" s="140">
        <v>1168507.6211999999</v>
      </c>
      <c r="E140" s="141">
        <v>68.877089000263851</v>
      </c>
      <c r="F140" s="140">
        <v>80483403.422878996</v>
      </c>
      <c r="G140" s="141">
        <v>68.463396000655891</v>
      </c>
      <c r="H140" s="140">
        <v>80000000</v>
      </c>
      <c r="I140" s="140">
        <v>483403.42287899554</v>
      </c>
      <c r="J140" s="139">
        <v>45699</v>
      </c>
      <c r="K140" s="156">
        <v>8052.9926999999998</v>
      </c>
      <c r="L140" s="140" t="s">
        <v>201</v>
      </c>
      <c r="M140" s="129">
        <f t="shared" si="1"/>
        <v>2025</v>
      </c>
    </row>
    <row r="141" spans="2:13" x14ac:dyDescent="0.35">
      <c r="B141" s="139">
        <v>45707</v>
      </c>
      <c r="C141" s="129" t="s">
        <v>143</v>
      </c>
      <c r="D141" s="140">
        <v>3239973.1989000002</v>
      </c>
      <c r="E141" s="141">
        <v>68.877089000263851</v>
      </c>
      <c r="F141" s="140">
        <v>223159922.37910488</v>
      </c>
      <c r="G141" s="141">
        <v>68.5149550002795</v>
      </c>
      <c r="H141" s="140">
        <v>221986617.92474514</v>
      </c>
      <c r="I141" s="140">
        <v>1173304.45435974</v>
      </c>
      <c r="J141" s="139">
        <v>45700</v>
      </c>
      <c r="K141" s="156">
        <v>8052.9926999999998</v>
      </c>
      <c r="L141" s="140" t="s">
        <v>201</v>
      </c>
      <c r="M141" s="129">
        <f t="shared" si="1"/>
        <v>2025</v>
      </c>
    </row>
    <row r="142" spans="2:13" x14ac:dyDescent="0.35">
      <c r="B142" s="139">
        <v>45709</v>
      </c>
      <c r="C142" s="129" t="s">
        <v>143</v>
      </c>
      <c r="D142" s="140">
        <v>1232303.6306</v>
      </c>
      <c r="E142" s="141">
        <v>68.976506998209601</v>
      </c>
      <c r="F142" s="140">
        <v>85000000</v>
      </c>
      <c r="G142" s="141">
        <v>68.5149550002795</v>
      </c>
      <c r="H142" s="140">
        <v>84431227.797240049</v>
      </c>
      <c r="I142" s="140">
        <v>568772.20275995135</v>
      </c>
      <c r="J142" s="139">
        <v>45700</v>
      </c>
      <c r="K142" s="156">
        <v>8052.9926999999998</v>
      </c>
      <c r="L142" s="140" t="s">
        <v>201</v>
      </c>
      <c r="M142" s="129">
        <f t="shared" si="1"/>
        <v>2025</v>
      </c>
    </row>
    <row r="143" spans="2:13" x14ac:dyDescent="0.35">
      <c r="B143" s="139">
        <v>45712</v>
      </c>
      <c r="C143" s="129" t="s">
        <v>143</v>
      </c>
      <c r="D143" s="140">
        <v>795658.97719999996</v>
      </c>
      <c r="E143" s="141">
        <v>69.125092000533016</v>
      </c>
      <c r="F143" s="140">
        <v>55000000</v>
      </c>
      <c r="G143" s="141">
        <v>68.5149550002795</v>
      </c>
      <c r="H143" s="140">
        <v>54514539.018426411</v>
      </c>
      <c r="I143" s="140">
        <v>485460.98157358915</v>
      </c>
      <c r="J143" s="139">
        <v>45700</v>
      </c>
      <c r="K143" s="156">
        <v>8052.9926999999998</v>
      </c>
      <c r="L143" s="140" t="s">
        <v>201</v>
      </c>
      <c r="M143" s="129">
        <f t="shared" si="1"/>
        <v>2025</v>
      </c>
    </row>
    <row r="144" spans="2:13" x14ac:dyDescent="0.35">
      <c r="B144" s="139">
        <v>45713</v>
      </c>
      <c r="C144" s="129" t="s">
        <v>143</v>
      </c>
      <c r="D144" s="140">
        <v>1445625.6813000001</v>
      </c>
      <c r="E144" s="141">
        <v>69.17419999766021</v>
      </c>
      <c r="F144" s="140">
        <v>100000000</v>
      </c>
      <c r="G144" s="141">
        <v>68.5149550002795</v>
      </c>
      <c r="H144" s="140">
        <v>99046978.501517892</v>
      </c>
      <c r="I144" s="140">
        <v>953021.49848210812</v>
      </c>
      <c r="J144" s="139">
        <v>45700</v>
      </c>
      <c r="K144" s="156">
        <v>8052.9926999999998</v>
      </c>
      <c r="L144" s="140" t="s">
        <v>201</v>
      </c>
      <c r="M144" s="129">
        <f t="shared" si="1"/>
        <v>2025</v>
      </c>
    </row>
    <row r="145" spans="2:13" x14ac:dyDescent="0.35">
      <c r="B145" s="139">
        <v>45716</v>
      </c>
      <c r="C145" s="129" t="s">
        <v>143</v>
      </c>
      <c r="D145" s="140">
        <v>7212726.3074000003</v>
      </c>
      <c r="E145" s="141">
        <v>69.321915000021249</v>
      </c>
      <c r="F145" s="140">
        <v>499999999.99999994</v>
      </c>
      <c r="G145" s="141">
        <v>68.5149550002795</v>
      </c>
      <c r="H145" s="140">
        <v>494179618.38084316</v>
      </c>
      <c r="I145" s="140">
        <v>5820381.6191567779</v>
      </c>
      <c r="J145" s="139">
        <v>45700</v>
      </c>
      <c r="K145" s="156">
        <v>8052.9926999999998</v>
      </c>
      <c r="L145" s="140" t="s">
        <v>201</v>
      </c>
      <c r="M145" s="129">
        <f t="shared" si="1"/>
        <v>2025</v>
      </c>
    </row>
    <row r="146" spans="2:13" x14ac:dyDescent="0.35">
      <c r="B146" s="139">
        <v>45723</v>
      </c>
      <c r="C146" s="129" t="s">
        <v>143</v>
      </c>
      <c r="D146" s="140">
        <v>2440076.3887</v>
      </c>
      <c r="E146" s="141">
        <v>69.66995</v>
      </c>
      <c r="F146" s="140">
        <v>169999999.99690956</v>
      </c>
      <c r="G146" s="141">
        <v>68.5149550002795</v>
      </c>
      <c r="H146" s="140">
        <v>167181723.96902502</v>
      </c>
      <c r="I146" s="140">
        <v>2818276.0278845429</v>
      </c>
      <c r="J146" s="139">
        <v>45700</v>
      </c>
      <c r="K146" s="156">
        <v>8052.9926999999998</v>
      </c>
      <c r="L146" s="140" t="s">
        <v>201</v>
      </c>
      <c r="M146" s="129">
        <f t="shared" si="1"/>
        <v>2025</v>
      </c>
    </row>
    <row r="147" spans="2:13" x14ac:dyDescent="0.35">
      <c r="B147" s="139">
        <v>45730</v>
      </c>
      <c r="C147" s="129" t="s">
        <v>143</v>
      </c>
      <c r="D147" s="140">
        <v>785540.13150000002</v>
      </c>
      <c r="E147" s="141">
        <v>70.015518999999998</v>
      </c>
      <c r="F147" s="140">
        <v>55000000.002300747</v>
      </c>
      <c r="G147" s="141">
        <v>68.5149550002795</v>
      </c>
      <c r="H147" s="140">
        <v>53821246.760636143</v>
      </c>
      <c r="I147" s="140">
        <v>1178753.2416646034</v>
      </c>
      <c r="J147" s="139">
        <v>45700</v>
      </c>
      <c r="K147" s="156">
        <v>8052.9926999999998</v>
      </c>
      <c r="L147" s="140" t="s">
        <v>201</v>
      </c>
      <c r="M147" s="129">
        <f t="shared" si="1"/>
        <v>2025</v>
      </c>
    </row>
    <row r="148" spans="2:13" x14ac:dyDescent="0.35">
      <c r="B148" s="139">
        <v>45734</v>
      </c>
      <c r="C148" s="129" t="s">
        <v>143</v>
      </c>
      <c r="D148" s="140">
        <v>4741126.1913000001</v>
      </c>
      <c r="E148" s="141">
        <v>70.213735</v>
      </c>
      <c r="F148" s="140">
        <v>332892177.9974975</v>
      </c>
      <c r="G148" s="141">
        <v>68.5149550002795</v>
      </c>
      <c r="H148" s="140">
        <v>324838047.64756602</v>
      </c>
      <c r="I148" s="140">
        <v>8054130.3499314785</v>
      </c>
      <c r="J148" s="139">
        <v>45700</v>
      </c>
      <c r="K148" s="156">
        <v>8052.9926999999998</v>
      </c>
      <c r="L148" s="140" t="s">
        <v>201</v>
      </c>
      <c r="M148" s="129">
        <f t="shared" si="1"/>
        <v>2025</v>
      </c>
    </row>
    <row r="149" spans="2:13" x14ac:dyDescent="0.35">
      <c r="B149" s="139">
        <v>45734</v>
      </c>
      <c r="C149" s="129" t="s">
        <v>143</v>
      </c>
      <c r="D149" s="140">
        <v>3804210.4155999999</v>
      </c>
      <c r="E149" s="141">
        <v>70.213735</v>
      </c>
      <c r="F149" s="140">
        <v>267107822.00517827</v>
      </c>
      <c r="G149" s="141">
        <v>68.826818000090711</v>
      </c>
      <c r="H149" s="140">
        <v>261831697.90855065</v>
      </c>
      <c r="I149" s="140">
        <v>5276124.0966276228</v>
      </c>
      <c r="J149" s="139">
        <v>45706</v>
      </c>
      <c r="K149" s="156">
        <v>8052.9926999999998</v>
      </c>
      <c r="L149" s="140" t="s">
        <v>201</v>
      </c>
      <c r="M149" s="129">
        <f t="shared" si="1"/>
        <v>2025</v>
      </c>
    </row>
    <row r="150" spans="2:13" x14ac:dyDescent="0.35">
      <c r="B150" s="139">
        <v>45743</v>
      </c>
      <c r="C150" s="129" t="s">
        <v>143</v>
      </c>
      <c r="D150" s="140">
        <v>283042.48599999998</v>
      </c>
      <c r="E150" s="141">
        <v>70.660769999999999</v>
      </c>
      <c r="F150" s="140">
        <v>20000000.003474217</v>
      </c>
      <c r="G150" s="141">
        <v>68.826818000090711</v>
      </c>
      <c r="H150" s="140">
        <v>19480913.670215223</v>
      </c>
      <c r="I150" s="140">
        <v>519086.33325899392</v>
      </c>
      <c r="J150" s="139">
        <v>45706</v>
      </c>
      <c r="K150" s="156">
        <v>8052.9926999999998</v>
      </c>
      <c r="L150" s="140" t="s">
        <v>201</v>
      </c>
      <c r="M150" s="129">
        <f t="shared" si="1"/>
        <v>2025</v>
      </c>
    </row>
    <row r="151" spans="2:13" x14ac:dyDescent="0.35">
      <c r="B151" s="139">
        <v>45750</v>
      </c>
      <c r="C151" s="129" t="s">
        <v>143</v>
      </c>
      <c r="D151" s="140">
        <v>7318185.0193999996</v>
      </c>
      <c r="E151" s="141">
        <v>71.012877000000003</v>
      </c>
      <c r="F151" s="140">
        <v>519685372.64589483</v>
      </c>
      <c r="G151" s="141">
        <v>68.826818000090711</v>
      </c>
      <c r="H151" s="140">
        <v>503687388.42123407</v>
      </c>
      <c r="I151" s="140">
        <v>15997984.224660754</v>
      </c>
      <c r="J151" s="139">
        <v>45706</v>
      </c>
      <c r="K151" s="156">
        <v>8052.9926999999998</v>
      </c>
      <c r="L151" s="140" t="s">
        <v>201</v>
      </c>
      <c r="M151" s="129">
        <f t="shared" si="1"/>
        <v>2025</v>
      </c>
    </row>
    <row r="152" spans="2:13" x14ac:dyDescent="0.35">
      <c r="B152" s="139">
        <v>45750</v>
      </c>
      <c r="C152" s="129" t="s">
        <v>143</v>
      </c>
      <c r="D152" s="140">
        <v>2961640.7085000002</v>
      </c>
      <c r="E152" s="141">
        <v>71.012877000000003</v>
      </c>
      <c r="F152" s="140">
        <v>210314627.35090336</v>
      </c>
      <c r="G152" s="141">
        <v>69.223490000066533</v>
      </c>
      <c r="H152" s="140">
        <v>205015105.96863973</v>
      </c>
      <c r="I152" s="140">
        <v>5299521.3822636306</v>
      </c>
      <c r="J152" s="139">
        <v>45714</v>
      </c>
      <c r="K152" s="156">
        <v>8052.9926999999998</v>
      </c>
      <c r="L152" s="140" t="s">
        <v>201</v>
      </c>
      <c r="M152" s="129">
        <f t="shared" si="1"/>
        <v>2025</v>
      </c>
    </row>
    <row r="153" spans="2:13" x14ac:dyDescent="0.35">
      <c r="B153" s="139">
        <v>45751</v>
      </c>
      <c r="C153" s="129" t="s">
        <v>143</v>
      </c>
      <c r="D153" s="140">
        <v>2238906.1000999999</v>
      </c>
      <c r="E153" s="141">
        <v>71.063320000000004</v>
      </c>
      <c r="F153" s="140">
        <v>159104100.64135835</v>
      </c>
      <c r="G153" s="141">
        <v>69.223490000066533</v>
      </c>
      <c r="H153" s="140">
        <v>154984894.0313603</v>
      </c>
      <c r="I153" s="140">
        <v>4119206.6099980474</v>
      </c>
      <c r="J153" s="139">
        <v>45714</v>
      </c>
      <c r="K153" s="156">
        <v>8052.9926999999998</v>
      </c>
      <c r="L153" s="140" t="s">
        <v>201</v>
      </c>
      <c r="M153" s="129">
        <f t="shared" si="1"/>
        <v>2025</v>
      </c>
    </row>
    <row r="154" spans="2:13" x14ac:dyDescent="0.35">
      <c r="B154" s="139">
        <v>45751</v>
      </c>
      <c r="C154" s="129" t="s">
        <v>143</v>
      </c>
      <c r="D154" s="140">
        <v>1841961.4979999999</v>
      </c>
      <c r="E154" s="141">
        <v>71.063320000000004</v>
      </c>
      <c r="F154" s="140">
        <v>130895899.36005336</v>
      </c>
      <c r="G154" s="141">
        <v>69.272321000082798</v>
      </c>
      <c r="H154" s="140">
        <v>127596948.15924937</v>
      </c>
      <c r="I154" s="140">
        <v>3298951.2008039951</v>
      </c>
      <c r="J154" s="139">
        <v>45715</v>
      </c>
      <c r="K154" s="156">
        <v>8052.9926999999998</v>
      </c>
      <c r="L154" s="140" t="s">
        <v>201</v>
      </c>
      <c r="M154" s="129">
        <f t="shared" si="1"/>
        <v>2025</v>
      </c>
    </row>
    <row r="155" spans="2:13" x14ac:dyDescent="0.35">
      <c r="B155" s="139">
        <v>45755</v>
      </c>
      <c r="C155" s="129" t="s">
        <v>143</v>
      </c>
      <c r="D155" s="140">
        <v>179047.73019999999</v>
      </c>
      <c r="E155" s="141">
        <v>71.267533</v>
      </c>
      <c r="F155" s="140">
        <v>12760290.020603595</v>
      </c>
      <c r="G155" s="141">
        <v>69.272321000082798</v>
      </c>
      <c r="H155" s="140">
        <v>12403051.840750618</v>
      </c>
      <c r="I155" s="140">
        <v>357238.1798529774</v>
      </c>
      <c r="J155" s="139">
        <v>45715</v>
      </c>
      <c r="K155" s="156">
        <v>8052.9926999999998</v>
      </c>
      <c r="L155" s="140" t="s">
        <v>201</v>
      </c>
      <c r="M155" s="129">
        <f t="shared" si="1"/>
        <v>2025</v>
      </c>
    </row>
    <row r="156" spans="2:13" x14ac:dyDescent="0.35">
      <c r="B156" s="139">
        <v>45755</v>
      </c>
      <c r="C156" s="129" t="s">
        <v>143</v>
      </c>
      <c r="D156" s="140">
        <v>5714238.9084999999</v>
      </c>
      <c r="E156" s="141">
        <v>71.267533</v>
      </c>
      <c r="F156" s="140">
        <v>407239709.9814077</v>
      </c>
      <c r="G156" s="141">
        <v>69.570621000000003</v>
      </c>
      <c r="H156" s="140">
        <v>397543149.40670717</v>
      </c>
      <c r="I156" s="140">
        <v>9696560.5747005343</v>
      </c>
      <c r="J156" s="139">
        <v>45721</v>
      </c>
      <c r="K156" s="156">
        <v>8353.3158000000003</v>
      </c>
      <c r="L156" s="140" t="s">
        <v>201</v>
      </c>
      <c r="M156" s="129">
        <f t="shared" si="1"/>
        <v>2025</v>
      </c>
    </row>
    <row r="157" spans="2:13" x14ac:dyDescent="0.35">
      <c r="B157" s="139">
        <v>45757</v>
      </c>
      <c r="C157" s="129" t="s">
        <v>143</v>
      </c>
      <c r="D157" s="140">
        <v>1041486.3278</v>
      </c>
      <c r="E157" s="141">
        <v>71.369743</v>
      </c>
      <c r="F157" s="140">
        <v>74330611.553099751</v>
      </c>
      <c r="G157" s="141">
        <v>69.570621000000003</v>
      </c>
      <c r="H157" s="140">
        <v>72456850.588055566</v>
      </c>
      <c r="I157" s="140">
        <v>1873760.9650441855</v>
      </c>
      <c r="J157" s="139">
        <v>45721</v>
      </c>
      <c r="K157" s="156">
        <v>8353.3158000000003</v>
      </c>
      <c r="L157" s="140" t="s">
        <v>201</v>
      </c>
      <c r="M157" s="129">
        <f t="shared" si="1"/>
        <v>2025</v>
      </c>
    </row>
    <row r="158" spans="2:13" x14ac:dyDescent="0.35">
      <c r="B158" s="139">
        <v>45757</v>
      </c>
      <c r="C158" s="129" t="s">
        <v>143</v>
      </c>
      <c r="D158" s="140">
        <v>2531456.3406000002</v>
      </c>
      <c r="E158" s="141">
        <v>71.369743</v>
      </c>
      <c r="F158" s="140">
        <v>180669388.44434249</v>
      </c>
      <c r="G158" s="141">
        <v>69.620165</v>
      </c>
      <c r="H158" s="140">
        <v>176240408.12286821</v>
      </c>
      <c r="I158" s="140">
        <v>4428980.3214742839</v>
      </c>
      <c r="J158" s="139">
        <v>45722</v>
      </c>
      <c r="K158" s="156">
        <v>8353.3158000000003</v>
      </c>
      <c r="L158" s="140" t="s">
        <v>201</v>
      </c>
      <c r="M158" s="129">
        <f t="shared" si="1"/>
        <v>2025</v>
      </c>
    </row>
    <row r="159" spans="2:13" x14ac:dyDescent="0.35">
      <c r="B159" s="139">
        <v>45761</v>
      </c>
      <c r="C159" s="129" t="s">
        <v>143</v>
      </c>
      <c r="D159" s="140">
        <v>2374620.7574</v>
      </c>
      <c r="E159" s="141">
        <v>71.590378999999999</v>
      </c>
      <c r="F159" s="140">
        <v>170000000.00353307</v>
      </c>
      <c r="G159" s="141">
        <v>69.620165</v>
      </c>
      <c r="H159" s="140">
        <v>165321488.94261298</v>
      </c>
      <c r="I159" s="140">
        <v>4678511.0609200895</v>
      </c>
      <c r="J159" s="139">
        <v>45722</v>
      </c>
      <c r="K159" s="156">
        <v>8353.3158000000003</v>
      </c>
      <c r="L159" s="140" t="s">
        <v>201</v>
      </c>
      <c r="M159" s="129">
        <f t="shared" si="1"/>
        <v>2025</v>
      </c>
    </row>
    <row r="160" spans="2:13" x14ac:dyDescent="0.35">
      <c r="B160" s="139">
        <v>45769</v>
      </c>
      <c r="C160" s="129" t="s">
        <v>143</v>
      </c>
      <c r="D160" s="140">
        <v>7218476.4345000004</v>
      </c>
      <c r="E160" s="141">
        <v>72.037362000000002</v>
      </c>
      <c r="F160" s="140">
        <v>520000000.00054586</v>
      </c>
      <c r="G160" s="141">
        <v>69.620165</v>
      </c>
      <c r="H160" s="140">
        <v>502551520.41850173</v>
      </c>
      <c r="I160" s="140">
        <v>17448479.582044125</v>
      </c>
      <c r="J160" s="139">
        <v>45722</v>
      </c>
      <c r="K160" s="156">
        <v>8353.3158000000003</v>
      </c>
      <c r="L160" s="140" t="s">
        <v>201</v>
      </c>
      <c r="M160" s="129">
        <f t="shared" si="1"/>
        <v>2025</v>
      </c>
    </row>
    <row r="161" spans="2:13" x14ac:dyDescent="0.35">
      <c r="B161" s="139">
        <v>45772</v>
      </c>
      <c r="C161" s="129" t="s">
        <v>143</v>
      </c>
      <c r="D161" s="140">
        <v>831188.79700000002</v>
      </c>
      <c r="E161" s="141">
        <v>72.185766000000001</v>
      </c>
      <c r="F161" s="140">
        <v>60000000.002063505</v>
      </c>
      <c r="G161" s="141">
        <v>69.620165</v>
      </c>
      <c r="H161" s="140">
        <v>57867501.193291508</v>
      </c>
      <c r="I161" s="140">
        <v>2132498.8087719977</v>
      </c>
      <c r="J161" s="139">
        <v>45722</v>
      </c>
      <c r="K161" s="156">
        <v>8353.3158000000003</v>
      </c>
      <c r="L161" s="140" t="s">
        <v>201</v>
      </c>
      <c r="M161" s="129">
        <f t="shared" si="1"/>
        <v>2025</v>
      </c>
    </row>
    <row r="162" spans="2:13" x14ac:dyDescent="0.35">
      <c r="B162" s="139">
        <v>45777</v>
      </c>
      <c r="C162" s="129" t="s">
        <v>143</v>
      </c>
      <c r="D162" s="140">
        <v>1407912.2237</v>
      </c>
      <c r="E162" s="141">
        <v>72.433739000000003</v>
      </c>
      <c r="F162" s="140">
        <v>101980346.54639542</v>
      </c>
      <c r="G162" s="141">
        <v>69.620165</v>
      </c>
      <c r="H162" s="140">
        <v>98019081.319510907</v>
      </c>
      <c r="I162" s="140">
        <v>3961265.2268845141</v>
      </c>
      <c r="J162" s="139">
        <v>45722</v>
      </c>
      <c r="K162" s="156">
        <v>8353.3158000000003</v>
      </c>
      <c r="L162" s="140" t="s">
        <v>201</v>
      </c>
      <c r="M162" s="129">
        <f t="shared" si="1"/>
        <v>2025</v>
      </c>
    </row>
    <row r="163" spans="2:13" x14ac:dyDescent="0.35">
      <c r="B163" s="139">
        <v>45777</v>
      </c>
      <c r="C163" s="129" t="s">
        <v>143</v>
      </c>
      <c r="D163" s="140">
        <v>2291633.5751999998</v>
      </c>
      <c r="E163" s="141">
        <v>72.433739000000003</v>
      </c>
      <c r="F163" s="140">
        <v>165991588.26967368</v>
      </c>
      <c r="G163" s="141">
        <v>69.819190000000006</v>
      </c>
      <c r="H163" s="140">
        <v>159999999.99726808</v>
      </c>
      <c r="I163" s="140">
        <v>5991588.2724055946</v>
      </c>
      <c r="J163" s="139">
        <v>45726</v>
      </c>
      <c r="K163" s="156">
        <v>8353.3158000000003</v>
      </c>
      <c r="L163" s="140" t="s">
        <v>201</v>
      </c>
      <c r="M163" s="129">
        <f t="shared" si="1"/>
        <v>2025</v>
      </c>
    </row>
    <row r="164" spans="2:13" x14ac:dyDescent="0.35">
      <c r="B164" s="139">
        <v>45777</v>
      </c>
      <c r="C164" s="129" t="s">
        <v>143</v>
      </c>
      <c r="D164" s="140">
        <v>4169715.2370000002</v>
      </c>
      <c r="E164" s="141">
        <v>72.433739000000003</v>
      </c>
      <c r="F164" s="140">
        <v>302028065.18118119</v>
      </c>
      <c r="G164" s="141">
        <v>69.917613000000003</v>
      </c>
      <c r="H164" s="140">
        <v>291536536.26076931</v>
      </c>
      <c r="I164" s="140">
        <v>10491528.920411885</v>
      </c>
      <c r="J164" s="139">
        <v>45728</v>
      </c>
      <c r="K164" s="156">
        <v>8353.3158000000003</v>
      </c>
      <c r="L164" s="140" t="s">
        <v>201</v>
      </c>
      <c r="M164" s="129">
        <f t="shared" si="1"/>
        <v>2025</v>
      </c>
    </row>
    <row r="165" spans="2:13" x14ac:dyDescent="0.35">
      <c r="B165" s="139">
        <v>45784</v>
      </c>
      <c r="C165" s="129" t="s">
        <v>143</v>
      </c>
      <c r="D165" s="140">
        <v>3709614.1011000001</v>
      </c>
      <c r="E165" s="141">
        <v>72.783850999999999</v>
      </c>
      <c r="F165" s="140">
        <v>270000000.00196135</v>
      </c>
      <c r="G165" s="141">
        <v>69.917613000000003</v>
      </c>
      <c r="H165" s="140">
        <v>259367363.10005268</v>
      </c>
      <c r="I165" s="140">
        <v>10632636.901908666</v>
      </c>
      <c r="J165" s="139">
        <v>45728</v>
      </c>
      <c r="K165" s="156">
        <v>8353.3158000000003</v>
      </c>
      <c r="L165" s="140" t="s">
        <v>201</v>
      </c>
      <c r="M165" s="129">
        <f t="shared" si="1"/>
        <v>2025</v>
      </c>
    </row>
    <row r="166" spans="2:13" x14ac:dyDescent="0.35">
      <c r="B166" s="139">
        <v>45785</v>
      </c>
      <c r="C166" s="129" t="s">
        <v>143</v>
      </c>
      <c r="D166" s="140">
        <v>274598.50679999997</v>
      </c>
      <c r="E166" s="141">
        <v>72.833607999999998</v>
      </c>
      <c r="F166" s="140">
        <v>20000000.001656532</v>
      </c>
      <c r="G166" s="141">
        <v>69.917613000000003</v>
      </c>
      <c r="H166" s="140">
        <v>19199272.128820267</v>
      </c>
      <c r="I166" s="140">
        <v>800727.87283626571</v>
      </c>
      <c r="J166" s="139">
        <v>45728</v>
      </c>
      <c r="K166" s="156">
        <v>8353.3158000000003</v>
      </c>
      <c r="L166" s="140" t="s">
        <v>201</v>
      </c>
      <c r="M166" s="129">
        <f t="shared" si="1"/>
        <v>2025</v>
      </c>
    </row>
    <row r="167" spans="2:13" x14ac:dyDescent="0.35">
      <c r="B167" s="139">
        <v>45786</v>
      </c>
      <c r="C167" s="129" t="s">
        <v>143</v>
      </c>
      <c r="D167" s="140">
        <v>928189.98990000004</v>
      </c>
      <c r="E167" s="141">
        <v>72.883758</v>
      </c>
      <c r="F167" s="140">
        <v>67649974.601894051</v>
      </c>
      <c r="G167" s="141">
        <v>69.917613000000003</v>
      </c>
      <c r="H167" s="140">
        <v>64896828.504302114</v>
      </c>
      <c r="I167" s="140">
        <v>2753146.0975919366</v>
      </c>
      <c r="J167" s="139">
        <v>45728</v>
      </c>
      <c r="K167" s="156">
        <v>8353.3158000000003</v>
      </c>
      <c r="L167" s="140" t="s">
        <v>201</v>
      </c>
      <c r="M167" s="129">
        <f t="shared" si="1"/>
        <v>2025</v>
      </c>
    </row>
    <row r="168" spans="2:13" x14ac:dyDescent="0.35">
      <c r="B168" s="139">
        <v>45786</v>
      </c>
      <c r="C168" s="129" t="s">
        <v>143</v>
      </c>
      <c r="D168" s="140">
        <v>128633.1688</v>
      </c>
      <c r="E168" s="141">
        <v>72.883758</v>
      </c>
      <c r="F168" s="140">
        <v>9375268.7455923501</v>
      </c>
      <c r="G168" s="141">
        <v>69.966402000000002</v>
      </c>
      <c r="H168" s="140">
        <v>8999999.9987946581</v>
      </c>
      <c r="I168" s="140">
        <v>375268.74679769203</v>
      </c>
      <c r="J168" s="139">
        <v>45729</v>
      </c>
      <c r="K168" s="156">
        <v>8353.3158000000003</v>
      </c>
      <c r="L168" s="140" t="s">
        <v>201</v>
      </c>
      <c r="M168" s="129">
        <f t="shared" si="1"/>
        <v>2025</v>
      </c>
    </row>
    <row r="169" spans="2:13" x14ac:dyDescent="0.35">
      <c r="B169" s="139">
        <v>45786</v>
      </c>
      <c r="C169" s="129" t="s">
        <v>143</v>
      </c>
      <c r="D169" s="140">
        <v>4294163.2709999997</v>
      </c>
      <c r="E169" s="141">
        <v>72.883758</v>
      </c>
      <c r="F169" s="140">
        <v>312974756.65605241</v>
      </c>
      <c r="G169" s="141">
        <v>70.312269000000001</v>
      </c>
      <c r="H169" s="140">
        <v>301932363.04047185</v>
      </c>
      <c r="I169" s="140">
        <v>11042393.615580559</v>
      </c>
      <c r="J169" s="139">
        <v>45736</v>
      </c>
      <c r="K169" s="156">
        <v>8353.3158000000003</v>
      </c>
      <c r="L169" s="140" t="s">
        <v>201</v>
      </c>
      <c r="M169" s="129">
        <f t="shared" si="1"/>
        <v>2025</v>
      </c>
    </row>
    <row r="170" spans="2:13" x14ac:dyDescent="0.35">
      <c r="B170" s="139">
        <v>45790</v>
      </c>
      <c r="C170" s="129" t="s">
        <v>143</v>
      </c>
      <c r="D170" s="140">
        <v>342047.94420000003</v>
      </c>
      <c r="E170" s="141">
        <v>73.089168999999998</v>
      </c>
      <c r="F170" s="140">
        <v>24999999.999736372</v>
      </c>
      <c r="G170" s="141">
        <v>70.312269000000001</v>
      </c>
      <c r="H170" s="140">
        <v>24050167.063487392</v>
      </c>
      <c r="I170" s="140">
        <v>949832.93624898046</v>
      </c>
      <c r="J170" s="139">
        <v>45736</v>
      </c>
      <c r="K170" s="156">
        <v>8353.3158000000003</v>
      </c>
      <c r="L170" s="140" t="s">
        <v>201</v>
      </c>
      <c r="M170" s="129">
        <f t="shared" si="1"/>
        <v>2025</v>
      </c>
    </row>
    <row r="171" spans="2:13" x14ac:dyDescent="0.35">
      <c r="B171" s="139">
        <v>45792</v>
      </c>
      <c r="C171" s="129" t="s">
        <v>143</v>
      </c>
      <c r="D171" s="140">
        <v>3186036.7056999998</v>
      </c>
      <c r="E171" s="141">
        <v>73.191261999999995</v>
      </c>
      <c r="F171" s="140">
        <v>233190047.26850557</v>
      </c>
      <c r="G171" s="141">
        <v>70.312269000000001</v>
      </c>
      <c r="H171" s="140">
        <v>224017469.89505222</v>
      </c>
      <c r="I171" s="140">
        <v>9172577.3734533489</v>
      </c>
      <c r="J171" s="139">
        <v>45736</v>
      </c>
      <c r="K171" s="156">
        <v>8353.3158000000003</v>
      </c>
      <c r="L171" s="140" t="s">
        <v>201</v>
      </c>
      <c r="M171" s="129">
        <f t="shared" si="1"/>
        <v>2025</v>
      </c>
    </row>
    <row r="172" spans="2:13" x14ac:dyDescent="0.35">
      <c r="B172" s="139">
        <v>45792</v>
      </c>
      <c r="C172" s="129" t="s">
        <v>143</v>
      </c>
      <c r="D172" s="140">
        <v>297985.745</v>
      </c>
      <c r="E172" s="141">
        <v>73.191261999999995</v>
      </c>
      <c r="F172" s="140">
        <v>21809952.734560188</v>
      </c>
      <c r="G172" s="141">
        <v>70.361712999999995</v>
      </c>
      <c r="H172" s="140">
        <v>20966787.467781182</v>
      </c>
      <c r="I172" s="140">
        <v>843165.26677900553</v>
      </c>
      <c r="J172" s="139">
        <v>45737</v>
      </c>
      <c r="K172" s="156">
        <v>8353.3158000000003</v>
      </c>
      <c r="L172" s="140" t="s">
        <v>201</v>
      </c>
      <c r="M172" s="129">
        <f t="shared" ref="M172:M235" si="2">+YEAR(J172)</f>
        <v>2025</v>
      </c>
    </row>
    <row r="173" spans="2:13" x14ac:dyDescent="0.35">
      <c r="B173" s="139">
        <v>45797</v>
      </c>
      <c r="C173" s="129" t="s">
        <v>143</v>
      </c>
      <c r="D173" s="140">
        <v>270505.24660000001</v>
      </c>
      <c r="E173" s="141">
        <v>73.454024000000004</v>
      </c>
      <c r="F173" s="140">
        <v>19869698.87588232</v>
      </c>
      <c r="G173" s="141">
        <v>70.361712999999995</v>
      </c>
      <c r="H173" s="140">
        <v>19033212.526263427</v>
      </c>
      <c r="I173" s="140">
        <v>836486.34961889312</v>
      </c>
      <c r="J173" s="139">
        <v>45737</v>
      </c>
      <c r="K173" s="156">
        <v>8353.3158000000003</v>
      </c>
      <c r="L173" s="140" t="s">
        <v>201</v>
      </c>
      <c r="M173" s="129">
        <f t="shared" si="2"/>
        <v>2025</v>
      </c>
    </row>
    <row r="174" spans="2:13" x14ac:dyDescent="0.35">
      <c r="B174" s="139">
        <v>45797</v>
      </c>
      <c r="C174" s="129" t="s">
        <v>143</v>
      </c>
      <c r="D174" s="140">
        <v>6235720.8192999996</v>
      </c>
      <c r="E174" s="141">
        <v>73.454024000000004</v>
      </c>
      <c r="F174" s="140">
        <v>458038786.71816188</v>
      </c>
      <c r="G174" s="141">
        <v>70.561209000000005</v>
      </c>
      <c r="H174" s="140">
        <v>439999999.99627852</v>
      </c>
      <c r="I174" s="140">
        <v>18038786.721883357</v>
      </c>
      <c r="J174" s="139">
        <v>45741</v>
      </c>
      <c r="K174" s="156">
        <v>8353.3158000000003</v>
      </c>
      <c r="L174" s="140" t="s">
        <v>201</v>
      </c>
      <c r="M174" s="129">
        <f t="shared" si="2"/>
        <v>2025</v>
      </c>
    </row>
    <row r="175" spans="2:13" x14ac:dyDescent="0.35">
      <c r="B175" s="139">
        <v>45797</v>
      </c>
      <c r="C175" s="129" t="s">
        <v>143</v>
      </c>
      <c r="D175" s="140">
        <v>2342846.6546999998</v>
      </c>
      <c r="E175" s="141">
        <v>73.454024000000004</v>
      </c>
      <c r="F175" s="140">
        <v>172091514.40265352</v>
      </c>
      <c r="G175" s="141">
        <v>70.610900000000001</v>
      </c>
      <c r="H175" s="140">
        <v>165430510.85035622</v>
      </c>
      <c r="I175" s="140">
        <v>6661003.5522972941</v>
      </c>
      <c r="J175" s="139">
        <v>45742</v>
      </c>
      <c r="K175" s="156">
        <v>8353.3158000000003</v>
      </c>
      <c r="L175" s="140" t="s">
        <v>201</v>
      </c>
      <c r="M175" s="129">
        <f t="shared" si="2"/>
        <v>2025</v>
      </c>
    </row>
    <row r="176" spans="2:13" x14ac:dyDescent="0.35">
      <c r="B176" s="139">
        <v>45799</v>
      </c>
      <c r="C176" s="129" t="s">
        <v>143</v>
      </c>
      <c r="D176" s="140">
        <v>1622546.7901999999</v>
      </c>
      <c r="E176" s="141">
        <v>73.556099000000003</v>
      </c>
      <c r="F176" s="140">
        <v>119348212.33208343</v>
      </c>
      <c r="G176" s="141">
        <v>70.610900000000001</v>
      </c>
      <c r="H176" s="140">
        <v>114569489.14813317</v>
      </c>
      <c r="I176" s="140">
        <v>4778723.1839502603</v>
      </c>
      <c r="J176" s="139">
        <v>45742</v>
      </c>
      <c r="K176" s="156">
        <v>8353.3158000000003</v>
      </c>
      <c r="L176" s="140" t="s">
        <v>201</v>
      </c>
      <c r="M176" s="129">
        <f t="shared" si="2"/>
        <v>2025</v>
      </c>
    </row>
    <row r="177" spans="2:13" x14ac:dyDescent="0.35">
      <c r="B177" s="139">
        <v>45799</v>
      </c>
      <c r="C177" s="129" t="s">
        <v>143</v>
      </c>
      <c r="D177" s="140">
        <v>212787.08199999999</v>
      </c>
      <c r="E177" s="141">
        <v>73.556099000000003</v>
      </c>
      <c r="F177" s="140">
        <v>15651787.669513118</v>
      </c>
      <c r="G177" s="141">
        <v>70.710464000000002</v>
      </c>
      <c r="H177" s="140">
        <v>15046273.301426047</v>
      </c>
      <c r="I177" s="140">
        <v>605514.36808707006</v>
      </c>
      <c r="J177" s="139">
        <v>45744</v>
      </c>
      <c r="K177" s="156">
        <v>8353.3158000000003</v>
      </c>
      <c r="L177" s="140" t="s">
        <v>201</v>
      </c>
      <c r="M177" s="129">
        <f t="shared" si="2"/>
        <v>2025</v>
      </c>
    </row>
    <row r="178" spans="2:13" x14ac:dyDescent="0.35">
      <c r="B178" s="139">
        <v>45800</v>
      </c>
      <c r="C178" s="129" t="s">
        <v>143</v>
      </c>
      <c r="D178" s="140">
        <v>282189.16360000003</v>
      </c>
      <c r="E178" s="141">
        <v>73.607215999999994</v>
      </c>
      <c r="F178" s="140">
        <v>20771158.717964537</v>
      </c>
      <c r="G178" s="141">
        <v>70.710464000000002</v>
      </c>
      <c r="H178" s="140">
        <v>19953726.693927914</v>
      </c>
      <c r="I178" s="140">
        <v>817432.02403662354</v>
      </c>
      <c r="J178" s="139">
        <v>45744</v>
      </c>
      <c r="K178" s="156">
        <v>8353.3158000000003</v>
      </c>
      <c r="L178" s="140" t="s">
        <v>201</v>
      </c>
      <c r="M178" s="129">
        <f t="shared" si="2"/>
        <v>2025</v>
      </c>
    </row>
    <row r="179" spans="2:13" x14ac:dyDescent="0.35">
      <c r="B179" s="139">
        <v>45800</v>
      </c>
      <c r="C179" s="129" t="s">
        <v>143</v>
      </c>
      <c r="D179" s="140">
        <v>261235.818</v>
      </c>
      <c r="E179" s="141">
        <v>73.607215999999994</v>
      </c>
      <c r="F179" s="140">
        <v>19228841.282462686</v>
      </c>
      <c r="G179" s="141">
        <v>70.861883000071273</v>
      </c>
      <c r="H179" s="140">
        <v>18511661.970543914</v>
      </c>
      <c r="I179" s="140">
        <v>717179.31191877276</v>
      </c>
      <c r="J179" s="139">
        <v>45747</v>
      </c>
      <c r="K179" s="156">
        <v>8353.3158000000003</v>
      </c>
      <c r="L179" s="140" t="s">
        <v>201</v>
      </c>
      <c r="M179" s="129">
        <f t="shared" si="2"/>
        <v>2025</v>
      </c>
    </row>
    <row r="180" spans="2:13" x14ac:dyDescent="0.35">
      <c r="B180" s="139">
        <v>45812</v>
      </c>
      <c r="C180" s="129" t="s">
        <v>143</v>
      </c>
      <c r="D180" s="140">
        <v>373802.34490000003</v>
      </c>
      <c r="E180" s="141">
        <v>74.229662000000005</v>
      </c>
      <c r="F180" s="140">
        <v>27747221.716734428</v>
      </c>
      <c r="G180" s="141">
        <v>70.861883000071273</v>
      </c>
      <c r="H180" s="140">
        <v>26488338.02945609</v>
      </c>
      <c r="I180" s="140">
        <v>1258883.6872783378</v>
      </c>
      <c r="J180" s="139">
        <v>45747</v>
      </c>
      <c r="K180" s="156">
        <v>8353.3158000000003</v>
      </c>
      <c r="L180" s="140" t="s">
        <v>201</v>
      </c>
      <c r="M180" s="129">
        <f t="shared" si="2"/>
        <v>2025</v>
      </c>
    </row>
    <row r="181" spans="2:13" x14ac:dyDescent="0.35">
      <c r="B181" s="139">
        <v>45812</v>
      </c>
      <c r="C181" s="129" t="s">
        <v>143</v>
      </c>
      <c r="D181" s="140">
        <v>1333957.6629000001</v>
      </c>
      <c r="E181" s="141">
        <v>74.229662000000005</v>
      </c>
      <c r="F181" s="140">
        <v>99019226.43937695</v>
      </c>
      <c r="G181" s="141">
        <v>71.216652999999994</v>
      </c>
      <c r="H181" s="140">
        <v>94999999.995440274</v>
      </c>
      <c r="I181" s="140">
        <v>4019226.4439366758</v>
      </c>
      <c r="J181" s="139">
        <v>45754</v>
      </c>
      <c r="K181" s="156">
        <v>8585.6077999999998</v>
      </c>
      <c r="L181" s="140" t="s">
        <v>201</v>
      </c>
      <c r="M181" s="129">
        <f t="shared" si="2"/>
        <v>2025</v>
      </c>
    </row>
    <row r="182" spans="2:13" x14ac:dyDescent="0.35">
      <c r="B182" s="139">
        <v>45812</v>
      </c>
      <c r="C182" s="129" t="s">
        <v>143</v>
      </c>
      <c r="D182" s="140">
        <v>2670543.6412</v>
      </c>
      <c r="E182" s="141">
        <v>74.229662000000005</v>
      </c>
      <c r="F182" s="140">
        <v>198233551.84252527</v>
      </c>
      <c r="G182" s="141">
        <v>71.318320999999997</v>
      </c>
      <c r="H182" s="140">
        <v>190458688.64761043</v>
      </c>
      <c r="I182" s="140">
        <v>7774863.1949148476</v>
      </c>
      <c r="J182" s="139">
        <v>45756</v>
      </c>
      <c r="K182" s="156">
        <v>8585.6077999999998</v>
      </c>
      <c r="L182" s="140" t="s">
        <v>201</v>
      </c>
      <c r="M182" s="129">
        <f t="shared" si="2"/>
        <v>2025</v>
      </c>
    </row>
    <row r="183" spans="2:13" x14ac:dyDescent="0.35">
      <c r="B183" s="139">
        <v>45818</v>
      </c>
      <c r="C183" s="129" t="s">
        <v>143</v>
      </c>
      <c r="D183" s="140">
        <v>414217.70640000002</v>
      </c>
      <c r="E183" s="141">
        <v>74.547175999999993</v>
      </c>
      <c r="F183" s="140">
        <v>30878760.261317126</v>
      </c>
      <c r="G183" s="141">
        <v>71.318320999999997</v>
      </c>
      <c r="H183" s="140">
        <v>29541311.348918956</v>
      </c>
      <c r="I183" s="140">
        <v>1337448.9123981707</v>
      </c>
      <c r="J183" s="139">
        <v>45756</v>
      </c>
      <c r="K183" s="156">
        <v>8585.6077999999998</v>
      </c>
      <c r="L183" s="140" t="s">
        <v>201</v>
      </c>
      <c r="M183" s="129">
        <f t="shared" si="2"/>
        <v>2025</v>
      </c>
    </row>
    <row r="184" spans="2:13" x14ac:dyDescent="0.35">
      <c r="B184" s="139">
        <v>45818</v>
      </c>
      <c r="C184" s="129" t="s">
        <v>143</v>
      </c>
      <c r="D184" s="140">
        <v>591856.62159999995</v>
      </c>
      <c r="E184" s="141">
        <v>74.547175999999993</v>
      </c>
      <c r="F184" s="140">
        <v>44121239.737180591</v>
      </c>
      <c r="G184" s="141">
        <v>71.421818999999999</v>
      </c>
      <c r="H184" s="140">
        <v>42271476.501866683</v>
      </c>
      <c r="I184" s="140">
        <v>1849763.2353139073</v>
      </c>
      <c r="J184" s="139">
        <v>45758</v>
      </c>
      <c r="K184" s="156">
        <v>8585.6077999999998</v>
      </c>
      <c r="L184" s="140" t="s">
        <v>201</v>
      </c>
      <c r="M184" s="129">
        <f t="shared" si="2"/>
        <v>2025</v>
      </c>
    </row>
    <row r="185" spans="2:13" x14ac:dyDescent="0.35">
      <c r="B185" s="139">
        <v>45819</v>
      </c>
      <c r="C185" s="129" t="s">
        <v>143</v>
      </c>
      <c r="D185" s="140">
        <v>2278414.7165999999</v>
      </c>
      <c r="E185" s="141">
        <v>74.600954000000002</v>
      </c>
      <c r="F185" s="140">
        <v>169971911.46599963</v>
      </c>
      <c r="G185" s="141">
        <v>71.421818999999999</v>
      </c>
      <c r="H185" s="140">
        <v>162728523.49594149</v>
      </c>
      <c r="I185" s="140">
        <v>7243387.9700581431</v>
      </c>
      <c r="J185" s="139">
        <v>45758</v>
      </c>
      <c r="K185" s="156">
        <v>8585.6077999999998</v>
      </c>
      <c r="L185" s="140" t="s">
        <v>201</v>
      </c>
      <c r="M185" s="129">
        <f t="shared" si="2"/>
        <v>2025</v>
      </c>
    </row>
    <row r="186" spans="2:13" x14ac:dyDescent="0.35">
      <c r="B186" s="139">
        <v>45819</v>
      </c>
      <c r="C186" s="129" t="s">
        <v>143</v>
      </c>
      <c r="D186" s="140">
        <v>804655.77599999995</v>
      </c>
      <c r="E186" s="141">
        <v>74.600954000000002</v>
      </c>
      <c r="F186" s="140">
        <v>60028088.531210303</v>
      </c>
      <c r="G186" s="141">
        <v>71.651672000000005</v>
      </c>
      <c r="H186" s="140">
        <v>57654931.73485747</v>
      </c>
      <c r="I186" s="140">
        <v>2373156.7963528335</v>
      </c>
      <c r="J186" s="139">
        <v>45762</v>
      </c>
      <c r="K186" s="156">
        <v>8585.6077999999998</v>
      </c>
      <c r="L186" s="140" t="s">
        <v>201</v>
      </c>
      <c r="M186" s="129">
        <f t="shared" si="2"/>
        <v>2025</v>
      </c>
    </row>
    <row r="187" spans="2:13" x14ac:dyDescent="0.35">
      <c r="B187" s="139">
        <v>45821</v>
      </c>
      <c r="C187" s="129" t="s">
        <v>143</v>
      </c>
      <c r="D187" s="140">
        <v>1606215.9701</v>
      </c>
      <c r="E187" s="141">
        <v>74.709754000000004</v>
      </c>
      <c r="F187" s="140">
        <v>119999999.99704236</v>
      </c>
      <c r="G187" s="141">
        <v>71.651672000000005</v>
      </c>
      <c r="H187" s="140">
        <v>115088059.85076702</v>
      </c>
      <c r="I187" s="140">
        <v>4911940.1462753415</v>
      </c>
      <c r="J187" s="139">
        <v>45762</v>
      </c>
      <c r="K187" s="156">
        <v>8585.6077999999998</v>
      </c>
      <c r="L187" s="140" t="s">
        <v>201</v>
      </c>
      <c r="M187" s="129">
        <f t="shared" si="2"/>
        <v>2025</v>
      </c>
    </row>
    <row r="188" spans="2:13" x14ac:dyDescent="0.35">
      <c r="B188" s="139">
        <v>45825</v>
      </c>
      <c r="C188" s="129" t="s">
        <v>143</v>
      </c>
      <c r="D188" s="140">
        <v>2124960.9975999999</v>
      </c>
      <c r="E188" s="141">
        <v>74.927633</v>
      </c>
      <c r="F188" s="140">
        <v>159218297.76748666</v>
      </c>
      <c r="G188" s="141">
        <v>71.651672000000005</v>
      </c>
      <c r="H188" s="140">
        <v>152257008.412828</v>
      </c>
      <c r="I188" s="140">
        <v>6961289.3546586633</v>
      </c>
      <c r="J188" s="139">
        <v>45762</v>
      </c>
      <c r="K188" s="156">
        <v>8585.6077999999998</v>
      </c>
      <c r="L188" s="140" t="s">
        <v>201</v>
      </c>
      <c r="M188" s="129">
        <f t="shared" si="2"/>
        <v>2025</v>
      </c>
    </row>
    <row r="189" spans="2:13" x14ac:dyDescent="0.35">
      <c r="B189" s="139">
        <v>45825</v>
      </c>
      <c r="C189" s="129" t="s">
        <v>143</v>
      </c>
      <c r="D189" s="140">
        <v>277356.98300000001</v>
      </c>
      <c r="E189" s="141">
        <v>74.927633</v>
      </c>
      <c r="F189" s="140">
        <v>20781702.23221124</v>
      </c>
      <c r="G189" s="141">
        <v>71.711856999999995</v>
      </c>
      <c r="H189" s="140">
        <v>19889784.30284743</v>
      </c>
      <c r="I189" s="140">
        <v>891917.92936380953</v>
      </c>
      <c r="J189" s="139">
        <v>45763</v>
      </c>
      <c r="K189" s="156">
        <v>8585.6077999999998</v>
      </c>
      <c r="L189" s="140" t="s">
        <v>201</v>
      </c>
      <c r="M189" s="129">
        <f t="shared" si="2"/>
        <v>2025</v>
      </c>
    </row>
    <row r="190" spans="2:13" x14ac:dyDescent="0.35">
      <c r="B190" s="139">
        <v>45826</v>
      </c>
      <c r="C190" s="129" t="s">
        <v>143</v>
      </c>
      <c r="D190" s="140">
        <v>5134499.3438999997</v>
      </c>
      <c r="E190" s="141">
        <v>74.982968</v>
      </c>
      <c r="F190" s="140">
        <v>384999999.99967468</v>
      </c>
      <c r="G190" s="141">
        <v>71.711856999999995</v>
      </c>
      <c r="H190" s="140">
        <v>368204482.71635056</v>
      </c>
      <c r="I190" s="140">
        <v>16795517.283324122</v>
      </c>
      <c r="J190" s="139">
        <v>45763</v>
      </c>
      <c r="K190" s="156">
        <v>8585.6077999999998</v>
      </c>
      <c r="L190" s="140" t="s">
        <v>201</v>
      </c>
      <c r="M190" s="129">
        <f t="shared" si="2"/>
        <v>2025</v>
      </c>
    </row>
    <row r="191" spans="2:13" x14ac:dyDescent="0.35">
      <c r="B191" s="139">
        <v>45834</v>
      </c>
      <c r="C191" s="129" t="s">
        <v>143</v>
      </c>
      <c r="D191" s="140">
        <v>305468.77309999999</v>
      </c>
      <c r="E191" s="141">
        <v>75.423661999999993</v>
      </c>
      <c r="F191" s="140">
        <v>23039573.493849091</v>
      </c>
      <c r="G191" s="141">
        <v>71.711856999999995</v>
      </c>
      <c r="H191" s="140">
        <v>21905732.974512644</v>
      </c>
      <c r="I191" s="140">
        <v>1133840.5193364471</v>
      </c>
      <c r="J191" s="139">
        <v>45763</v>
      </c>
      <c r="K191" s="156">
        <v>8585.6077999999998</v>
      </c>
      <c r="L191" s="140" t="s">
        <v>201</v>
      </c>
      <c r="M191" s="129">
        <f t="shared" si="2"/>
        <v>2025</v>
      </c>
    </row>
    <row r="192" spans="2:13" x14ac:dyDescent="0.35">
      <c r="B192" s="139">
        <v>45834</v>
      </c>
      <c r="C192" s="129" t="s">
        <v>143</v>
      </c>
      <c r="D192" s="140">
        <v>2496987.8695999999</v>
      </c>
      <c r="E192" s="141">
        <v>75.423661999999993</v>
      </c>
      <c r="F192" s="140">
        <v>188331969.09481046</v>
      </c>
      <c r="G192" s="141">
        <v>72.086854000000002</v>
      </c>
      <c r="H192" s="140">
        <v>179999999.99562624</v>
      </c>
      <c r="I192" s="140">
        <v>8331969.0991842151</v>
      </c>
      <c r="J192" s="139">
        <v>45770</v>
      </c>
      <c r="K192" s="156">
        <v>8585.6077999999998</v>
      </c>
      <c r="L192" s="140" t="s">
        <v>201</v>
      </c>
      <c r="M192" s="129">
        <f t="shared" si="2"/>
        <v>2025</v>
      </c>
    </row>
    <row r="193" spans="2:13" x14ac:dyDescent="0.35">
      <c r="B193" s="139">
        <v>45834</v>
      </c>
      <c r="C193" s="129" t="s">
        <v>143</v>
      </c>
      <c r="D193" s="140">
        <v>3456090.1534000002</v>
      </c>
      <c r="E193" s="141">
        <v>75.423661999999993</v>
      </c>
      <c r="F193" s="140">
        <v>260670975.57156974</v>
      </c>
      <c r="G193" s="141">
        <v>72.336076000000006</v>
      </c>
      <c r="H193" s="140">
        <v>249999999.99919409</v>
      </c>
      <c r="I193" s="140">
        <v>10670975.572375655</v>
      </c>
      <c r="J193" s="139">
        <v>45775</v>
      </c>
      <c r="K193" s="156">
        <v>8585.6077999999998</v>
      </c>
      <c r="L193" s="140" t="s">
        <v>201</v>
      </c>
      <c r="M193" s="129">
        <f t="shared" si="2"/>
        <v>2025</v>
      </c>
    </row>
    <row r="194" spans="2:13" x14ac:dyDescent="0.35">
      <c r="B194" s="139">
        <v>45834</v>
      </c>
      <c r="C194" s="129" t="s">
        <v>143</v>
      </c>
      <c r="D194" s="140">
        <v>897976.65819999995</v>
      </c>
      <c r="E194" s="141">
        <v>75.423661999999993</v>
      </c>
      <c r="F194" s="140">
        <v>67728687.951966316</v>
      </c>
      <c r="G194" s="141">
        <v>72.384955000000005</v>
      </c>
      <c r="H194" s="140">
        <v>64999999.994857378</v>
      </c>
      <c r="I194" s="140">
        <v>2728687.9571089372</v>
      </c>
      <c r="J194" s="139">
        <v>45776</v>
      </c>
      <c r="K194" s="156">
        <v>8585.6077999999998</v>
      </c>
      <c r="L194" s="140" t="s">
        <v>201</v>
      </c>
      <c r="M194" s="129">
        <f t="shared" si="2"/>
        <v>2025</v>
      </c>
    </row>
    <row r="195" spans="2:13" x14ac:dyDescent="0.35">
      <c r="B195" s="139">
        <v>45834</v>
      </c>
      <c r="C195" s="129" t="s">
        <v>143</v>
      </c>
      <c r="D195" s="140">
        <v>2887226.7384000001</v>
      </c>
      <c r="E195" s="141">
        <v>75.423661999999993</v>
      </c>
      <c r="F195" s="140">
        <v>217765213.634444</v>
      </c>
      <c r="G195" s="141">
        <v>72.734155999999999</v>
      </c>
      <c r="H195" s="140">
        <v>209999999.99815679</v>
      </c>
      <c r="I195" s="140">
        <v>7765213.6362872124</v>
      </c>
      <c r="J195" s="139">
        <v>45783</v>
      </c>
      <c r="K195" s="156">
        <v>8714.4871000000003</v>
      </c>
      <c r="L195" s="140" t="s">
        <v>201</v>
      </c>
      <c r="M195" s="129">
        <f t="shared" si="2"/>
        <v>2025</v>
      </c>
    </row>
    <row r="196" spans="2:13" x14ac:dyDescent="0.35">
      <c r="B196" s="139">
        <v>45834</v>
      </c>
      <c r="C196" s="129" t="s">
        <v>143</v>
      </c>
      <c r="D196" s="140">
        <v>2929037.83256</v>
      </c>
      <c r="E196" s="141">
        <v>75.423661999999993</v>
      </c>
      <c r="F196" s="140">
        <v>220918759.46821803</v>
      </c>
      <c r="G196" s="141">
        <v>73.402944000000005</v>
      </c>
      <c r="H196" s="140">
        <v>214999999.99728307</v>
      </c>
      <c r="I196" s="140">
        <v>5918759.4709349573</v>
      </c>
      <c r="J196" s="139">
        <v>45796</v>
      </c>
      <c r="K196" s="156">
        <v>8714.4871000000003</v>
      </c>
      <c r="L196" s="140" t="s">
        <v>201</v>
      </c>
      <c r="M196" s="129">
        <f t="shared" si="2"/>
        <v>2025</v>
      </c>
    </row>
    <row r="197" spans="2:13" x14ac:dyDescent="0.35">
      <c r="B197" s="139">
        <v>45834</v>
      </c>
      <c r="C197" s="129" t="s">
        <v>143</v>
      </c>
      <c r="D197" s="140">
        <v>2274416.4926399998</v>
      </c>
      <c r="E197" s="141">
        <v>75.423661999999993</v>
      </c>
      <c r="F197" s="140">
        <v>171544820.78810483</v>
      </c>
      <c r="G197" s="141">
        <v>73.505064000370311</v>
      </c>
      <c r="H197" s="140">
        <v>167181129.85500097</v>
      </c>
      <c r="I197" s="140">
        <v>4363690.9331038594</v>
      </c>
      <c r="J197" s="139">
        <v>45798</v>
      </c>
      <c r="K197" s="156">
        <v>8714.4871000000003</v>
      </c>
      <c r="L197" s="140" t="s">
        <v>201</v>
      </c>
      <c r="M197" s="129">
        <f t="shared" si="2"/>
        <v>2025</v>
      </c>
    </row>
    <row r="198" spans="2:13" x14ac:dyDescent="0.35">
      <c r="B198" s="139">
        <v>45835</v>
      </c>
      <c r="C198" s="129" t="s">
        <v>143</v>
      </c>
      <c r="D198" s="140">
        <v>1192383.0253999999</v>
      </c>
      <c r="E198" s="141">
        <v>75.479101999999997</v>
      </c>
      <c r="F198" s="140">
        <v>89999999.997235179</v>
      </c>
      <c r="G198" s="141">
        <v>73.505064000370311</v>
      </c>
      <c r="H198" s="140">
        <v>87646190.594982177</v>
      </c>
      <c r="I198" s="140">
        <v>2353809.4022530019</v>
      </c>
      <c r="J198" s="139">
        <v>45798</v>
      </c>
      <c r="K198" s="156">
        <v>8714.4871000000003</v>
      </c>
      <c r="L198" s="140" t="s">
        <v>201</v>
      </c>
      <c r="M198" s="129">
        <f t="shared" si="2"/>
        <v>2025</v>
      </c>
    </row>
    <row r="199" spans="2:13" x14ac:dyDescent="0.35">
      <c r="B199" s="139">
        <v>45838</v>
      </c>
      <c r="C199" s="129" t="s">
        <v>143</v>
      </c>
      <c r="D199" s="140">
        <v>3569265.7662999998</v>
      </c>
      <c r="E199" s="141">
        <v>75.645809999999997</v>
      </c>
      <c r="F199" s="140">
        <v>269999999.99703419</v>
      </c>
      <c r="G199" s="141">
        <v>73.505064000370311</v>
      </c>
      <c r="H199" s="140">
        <v>262359108.58621228</v>
      </c>
      <c r="I199" s="140">
        <v>7640891.4108219147</v>
      </c>
      <c r="J199" s="139">
        <v>45798</v>
      </c>
      <c r="K199" s="156">
        <v>8714.4871000000003</v>
      </c>
      <c r="L199" s="140" t="s">
        <v>201</v>
      </c>
      <c r="M199" s="129">
        <f t="shared" si="2"/>
        <v>2025</v>
      </c>
    </row>
    <row r="200" spans="2:13" x14ac:dyDescent="0.35">
      <c r="B200" s="139">
        <v>45839</v>
      </c>
      <c r="C200" s="129" t="s">
        <v>143</v>
      </c>
      <c r="D200" s="140">
        <v>10303773.607799999</v>
      </c>
      <c r="E200" s="141">
        <v>75.700421000000006</v>
      </c>
      <c r="F200" s="140">
        <v>779999999.99914885</v>
      </c>
      <c r="G200" s="141">
        <v>73.505064000370311</v>
      </c>
      <c r="H200" s="140">
        <v>757379538.48666549</v>
      </c>
      <c r="I200" s="140">
        <v>22620461.512483358</v>
      </c>
      <c r="J200" s="139">
        <v>45798</v>
      </c>
      <c r="K200" s="156">
        <v>8714.4871000000003</v>
      </c>
      <c r="L200" s="140" t="s">
        <v>201</v>
      </c>
      <c r="M200" s="129">
        <f t="shared" si="2"/>
        <v>2025</v>
      </c>
    </row>
    <row r="201" spans="2:13" x14ac:dyDescent="0.35">
      <c r="B201" s="139">
        <v>45840</v>
      </c>
      <c r="C201" s="129" t="s">
        <v>143</v>
      </c>
      <c r="D201" s="140">
        <v>1320057.6369</v>
      </c>
      <c r="E201" s="141">
        <v>75.754267999999996</v>
      </c>
      <c r="F201" s="140">
        <v>100000000.00116929</v>
      </c>
      <c r="G201" s="141">
        <v>73.505064000370311</v>
      </c>
      <c r="H201" s="140">
        <v>97030921.0845121</v>
      </c>
      <c r="I201" s="140">
        <v>2969078.9166571945</v>
      </c>
      <c r="J201" s="139">
        <v>45798</v>
      </c>
      <c r="K201" s="156">
        <v>8714.4871000000003</v>
      </c>
      <c r="L201" s="140" t="s">
        <v>201</v>
      </c>
      <c r="M201" s="129">
        <f t="shared" si="2"/>
        <v>2025</v>
      </c>
    </row>
    <row r="202" spans="2:13" x14ac:dyDescent="0.35">
      <c r="B202" s="139">
        <v>45841</v>
      </c>
      <c r="C202" s="129" t="s">
        <v>143</v>
      </c>
      <c r="D202" s="140">
        <v>725524.61829999997</v>
      </c>
      <c r="E202" s="141">
        <v>75.807214000000002</v>
      </c>
      <c r="F202" s="140">
        <v>55000000.001736417</v>
      </c>
      <c r="G202" s="141">
        <v>73.505064000370311</v>
      </c>
      <c r="H202" s="140">
        <v>53329733.501985736</v>
      </c>
      <c r="I202" s="140">
        <v>1670266.4997506812</v>
      </c>
      <c r="J202" s="139">
        <v>45798</v>
      </c>
      <c r="K202" s="156">
        <v>8714.4871000000003</v>
      </c>
      <c r="L202" s="140" t="s">
        <v>201</v>
      </c>
      <c r="M202" s="129">
        <f t="shared" si="2"/>
        <v>2025</v>
      </c>
    </row>
    <row r="203" spans="2:13" x14ac:dyDescent="0.35">
      <c r="B203" s="139">
        <v>45849</v>
      </c>
      <c r="C203" s="129" t="s">
        <v>143</v>
      </c>
      <c r="D203" s="140">
        <v>7619520.98826</v>
      </c>
      <c r="E203" s="141">
        <v>76.221813999999995</v>
      </c>
      <c r="F203" s="140">
        <v>580773711.53624988</v>
      </c>
      <c r="G203" s="141">
        <v>73.505064000370311</v>
      </c>
      <c r="H203" s="140">
        <v>560073377.89421618</v>
      </c>
      <c r="I203" s="140">
        <v>20700333.642033696</v>
      </c>
      <c r="J203" s="139">
        <v>45798</v>
      </c>
      <c r="K203" s="156">
        <v>8714.4871000000003</v>
      </c>
      <c r="L203" s="140" t="s">
        <v>201</v>
      </c>
      <c r="M203" s="129">
        <f t="shared" si="2"/>
        <v>2025</v>
      </c>
    </row>
    <row r="204" spans="2:13" x14ac:dyDescent="0.35">
      <c r="B204" s="139">
        <v>45849</v>
      </c>
      <c r="C204" s="129" t="s">
        <v>143</v>
      </c>
      <c r="D204" s="140">
        <v>5106494.6901399996</v>
      </c>
      <c r="E204" s="141">
        <v>76.221813999999995</v>
      </c>
      <c r="F204" s="140">
        <v>389226288.46383864</v>
      </c>
      <c r="G204" s="141">
        <v>73.761154000000005</v>
      </c>
      <c r="H204" s="140">
        <v>376660941.23959881</v>
      </c>
      <c r="I204" s="140">
        <v>12565347.224239826</v>
      </c>
      <c r="J204" s="139">
        <v>45803</v>
      </c>
      <c r="K204" s="156">
        <v>8714.4871000000003</v>
      </c>
      <c r="L204" s="140" t="s">
        <v>201</v>
      </c>
      <c r="M204" s="129">
        <f t="shared" si="2"/>
        <v>2025</v>
      </c>
    </row>
    <row r="205" spans="2:13" x14ac:dyDescent="0.35">
      <c r="B205" s="139">
        <v>45853</v>
      </c>
      <c r="C205" s="129" t="s">
        <v>143</v>
      </c>
      <c r="D205" s="140">
        <v>587559.39145999996</v>
      </c>
      <c r="E205" s="141">
        <v>76.404475000000005</v>
      </c>
      <c r="F205" s="140">
        <v>44892166.835820787</v>
      </c>
      <c r="G205" s="141">
        <v>73.761154000000005</v>
      </c>
      <c r="H205" s="140">
        <v>43339058.757627346</v>
      </c>
      <c r="I205" s="140">
        <v>1553108.078193441</v>
      </c>
      <c r="J205" s="139">
        <v>45803</v>
      </c>
      <c r="K205" s="156">
        <v>8714.4871000000003</v>
      </c>
      <c r="L205" s="140" t="s">
        <v>201</v>
      </c>
      <c r="M205" s="129">
        <f t="shared" si="2"/>
        <v>2025</v>
      </c>
    </row>
    <row r="206" spans="2:13" x14ac:dyDescent="0.35">
      <c r="B206" s="139">
        <v>45853</v>
      </c>
      <c r="C206" s="129" t="s">
        <v>143</v>
      </c>
      <c r="D206" s="140">
        <v>2946265.0344400001</v>
      </c>
      <c r="E206" s="141">
        <v>76.404475000000005</v>
      </c>
      <c r="F206" s="140">
        <v>225107833.16724515</v>
      </c>
      <c r="G206" s="141">
        <v>74.177744000000004</v>
      </c>
      <c r="H206" s="140">
        <v>218547293.48084152</v>
      </c>
      <c r="I206" s="140">
        <v>6560539.6864036322</v>
      </c>
      <c r="J206" s="139">
        <v>45811</v>
      </c>
      <c r="K206" s="156">
        <v>8855.5681000000004</v>
      </c>
      <c r="L206" s="140" t="s">
        <v>201</v>
      </c>
      <c r="M206" s="129">
        <f t="shared" si="2"/>
        <v>2025</v>
      </c>
    </row>
    <row r="207" spans="2:13" x14ac:dyDescent="0.35">
      <c r="B207" s="139">
        <v>45854</v>
      </c>
      <c r="C207" s="129" t="s">
        <v>143</v>
      </c>
      <c r="D207" s="140">
        <v>588566.26069999998</v>
      </c>
      <c r="E207" s="141">
        <v>76.456981999999996</v>
      </c>
      <c r="F207" s="140">
        <v>45000000.000147201</v>
      </c>
      <c r="G207" s="141">
        <v>74.177744000000004</v>
      </c>
      <c r="H207" s="140">
        <v>43658517.413241863</v>
      </c>
      <c r="I207" s="140">
        <v>1341482.5869053379</v>
      </c>
      <c r="J207" s="139">
        <v>45811</v>
      </c>
      <c r="K207" s="156">
        <v>8855.5681000000004</v>
      </c>
      <c r="L207" s="140" t="s">
        <v>201</v>
      </c>
      <c r="M207" s="129">
        <f t="shared" si="2"/>
        <v>2025</v>
      </c>
    </row>
    <row r="208" spans="2:13" x14ac:dyDescent="0.35">
      <c r="B208" s="139">
        <v>45855</v>
      </c>
      <c r="C208" s="129" t="s">
        <v>143</v>
      </c>
      <c r="D208" s="140">
        <v>4351631.2534600003</v>
      </c>
      <c r="E208" s="141">
        <v>76.511131000000006</v>
      </c>
      <c r="F208" s="140">
        <v>332948228.89717233</v>
      </c>
      <c r="G208" s="141">
        <v>74.177744000000004</v>
      </c>
      <c r="H208" s="140">
        <v>322794189.10155505</v>
      </c>
      <c r="I208" s="140">
        <v>10154039.795617282</v>
      </c>
      <c r="J208" s="139">
        <v>45811</v>
      </c>
      <c r="K208" s="156">
        <v>8855.5681000000004</v>
      </c>
      <c r="L208" s="140" t="s">
        <v>201</v>
      </c>
      <c r="M208" s="129">
        <f t="shared" si="2"/>
        <v>2025</v>
      </c>
    </row>
    <row r="209" spans="2:13" x14ac:dyDescent="0.35">
      <c r="B209" s="139">
        <v>45855</v>
      </c>
      <c r="C209" s="129" t="s">
        <v>143</v>
      </c>
      <c r="D209" s="140">
        <v>1328776.7629</v>
      </c>
      <c r="E209" s="141">
        <v>76.511131000000006</v>
      </c>
      <c r="F209" s="140">
        <v>101666212.97599785</v>
      </c>
      <c r="G209" s="141">
        <v>75.257186000000004</v>
      </c>
      <c r="H209" s="140">
        <v>99999999.998043209</v>
      </c>
      <c r="I209" s="140">
        <v>1666212.977954641</v>
      </c>
      <c r="J209" s="139">
        <v>45831</v>
      </c>
      <c r="K209" s="156">
        <v>8855.5681000000004</v>
      </c>
      <c r="L209" s="140" t="s">
        <v>201</v>
      </c>
      <c r="M209" s="129">
        <f t="shared" si="2"/>
        <v>2025</v>
      </c>
    </row>
    <row r="210" spans="2:13" x14ac:dyDescent="0.35">
      <c r="B210" s="139">
        <v>45855</v>
      </c>
      <c r="C210" s="129" t="s">
        <v>143</v>
      </c>
      <c r="D210" s="140">
        <v>1115988.70664</v>
      </c>
      <c r="E210" s="141">
        <v>76.511131000000006</v>
      </c>
      <c r="F210" s="140">
        <v>85385558.128253609</v>
      </c>
      <c r="G210" s="141">
        <v>75.312325999999999</v>
      </c>
      <c r="H210" s="140">
        <v>84047705.286790043</v>
      </c>
      <c r="I210" s="140">
        <v>1337852.8414635658</v>
      </c>
      <c r="J210" s="139">
        <v>45832</v>
      </c>
      <c r="K210" s="156">
        <v>8855.5681000000004</v>
      </c>
      <c r="L210" s="140" t="s">
        <v>201</v>
      </c>
      <c r="M210" s="129">
        <f t="shared" si="2"/>
        <v>2025</v>
      </c>
    </row>
    <row r="211" spans="2:13" x14ac:dyDescent="0.35">
      <c r="B211" s="139">
        <v>45861</v>
      </c>
      <c r="C211" s="129" t="s">
        <v>143</v>
      </c>
      <c r="D211" s="140">
        <v>1430384.9524000001</v>
      </c>
      <c r="E211" s="141">
        <v>76.902375000000006</v>
      </c>
      <c r="F211" s="140">
        <v>110000000.00382197</v>
      </c>
      <c r="G211" s="141">
        <v>75.312325999999999</v>
      </c>
      <c r="H211" s="140">
        <v>107725617.84064329</v>
      </c>
      <c r="I211" s="140">
        <v>2274382.1631786823</v>
      </c>
      <c r="J211" s="139">
        <v>45832</v>
      </c>
      <c r="K211" s="156">
        <v>8855.5681000000004</v>
      </c>
      <c r="L211" s="140" t="s">
        <v>201</v>
      </c>
      <c r="M211" s="129">
        <f t="shared" si="2"/>
        <v>2025</v>
      </c>
    </row>
    <row r="212" spans="2:13" x14ac:dyDescent="0.35">
      <c r="B212" s="139">
        <v>45863</v>
      </c>
      <c r="C212" s="129" t="s">
        <v>143</v>
      </c>
      <c r="D212" s="140">
        <v>2076865.8972</v>
      </c>
      <c r="E212" s="141">
        <v>77.039158</v>
      </c>
      <c r="F212" s="140">
        <v>159999999.99920255</v>
      </c>
      <c r="G212" s="141">
        <v>75.312325999999999</v>
      </c>
      <c r="H212" s="140">
        <v>156413601.50820887</v>
      </c>
      <c r="I212" s="140">
        <v>3586398.4909936786</v>
      </c>
      <c r="J212" s="139">
        <v>45832</v>
      </c>
      <c r="K212" s="156">
        <v>8855.5681000000004</v>
      </c>
      <c r="L212" s="140" t="s">
        <v>201</v>
      </c>
      <c r="M212" s="129">
        <f t="shared" si="2"/>
        <v>2025</v>
      </c>
    </row>
    <row r="213" spans="2:13" x14ac:dyDescent="0.35">
      <c r="B213" s="139">
        <v>45866</v>
      </c>
      <c r="C213" s="129" t="s">
        <v>143</v>
      </c>
      <c r="D213" s="140">
        <v>5050177.0048000002</v>
      </c>
      <c r="E213" s="141">
        <v>77.225015999999997</v>
      </c>
      <c r="F213" s="140">
        <v>389999999.99851209</v>
      </c>
      <c r="G213" s="141">
        <v>75.312325999999999</v>
      </c>
      <c r="H213" s="140">
        <v>380340576.94320118</v>
      </c>
      <c r="I213" s="140">
        <v>9659423.055310905</v>
      </c>
      <c r="J213" s="139">
        <v>45832</v>
      </c>
      <c r="K213" s="156">
        <v>8855.5681000000004</v>
      </c>
      <c r="L213" s="140" t="s">
        <v>201</v>
      </c>
      <c r="M213" s="129">
        <f t="shared" si="2"/>
        <v>2025</v>
      </c>
    </row>
    <row r="214" spans="2:13" x14ac:dyDescent="0.35">
      <c r="B214" s="139">
        <v>45868</v>
      </c>
      <c r="C214" s="129" t="s">
        <v>143</v>
      </c>
      <c r="D214" s="140">
        <v>129.27930000000001</v>
      </c>
      <c r="E214" s="141">
        <v>77.351905000000002</v>
      </c>
      <c r="F214" s="140">
        <v>10000.000132066501</v>
      </c>
      <c r="G214" s="141">
        <v>75.312325999999999</v>
      </c>
      <c r="H214" s="140">
        <v>9736.3247866517995</v>
      </c>
      <c r="I214" s="140">
        <v>263.67534541470195</v>
      </c>
      <c r="J214" s="139">
        <v>45832</v>
      </c>
      <c r="K214" s="156">
        <v>8855.5681000000004</v>
      </c>
      <c r="L214" s="140" t="s">
        <v>201</v>
      </c>
      <c r="M214" s="129">
        <f t="shared" si="2"/>
        <v>2025</v>
      </c>
    </row>
    <row r="215" spans="2:13" x14ac:dyDescent="0.35">
      <c r="B215" s="139">
        <v>45868</v>
      </c>
      <c r="C215" s="129" t="s">
        <v>143</v>
      </c>
      <c r="D215" s="140">
        <v>1034234.3863</v>
      </c>
      <c r="E215" s="141">
        <v>77.351905000000002</v>
      </c>
      <c r="F215" s="140">
        <v>79999999.996810898</v>
      </c>
      <c r="G215" s="141">
        <v>75.312325999999999</v>
      </c>
      <c r="H215" s="140">
        <v>77890597.261435539</v>
      </c>
      <c r="I215" s="140">
        <v>2109402.7353753597</v>
      </c>
      <c r="J215" s="139">
        <v>45832</v>
      </c>
      <c r="K215" s="156">
        <v>8855.5681000000004</v>
      </c>
      <c r="L215" s="140" t="s">
        <v>201</v>
      </c>
      <c r="M215" s="129">
        <f t="shared" si="2"/>
        <v>2025</v>
      </c>
    </row>
    <row r="216" spans="2:13" x14ac:dyDescent="0.35">
      <c r="B216" s="139">
        <v>45869</v>
      </c>
      <c r="C216" s="129" t="s">
        <v>143</v>
      </c>
      <c r="D216" s="140">
        <v>64590.190199999997</v>
      </c>
      <c r="E216" s="141">
        <v>77.411135999999999</v>
      </c>
      <c r="F216" s="140">
        <v>4999999.9978380669</v>
      </c>
      <c r="G216" s="141">
        <v>75.312325999999999</v>
      </c>
      <c r="H216" s="140">
        <v>4864437.4607444052</v>
      </c>
      <c r="I216" s="140">
        <v>135562.53709366173</v>
      </c>
      <c r="J216" s="139">
        <v>45832</v>
      </c>
      <c r="K216" s="156">
        <v>8855.5681000000004</v>
      </c>
      <c r="L216" s="140" t="s">
        <v>201</v>
      </c>
      <c r="M216" s="129">
        <f t="shared" si="2"/>
        <v>2025</v>
      </c>
    </row>
    <row r="217" spans="2:13" x14ac:dyDescent="0.35">
      <c r="B217" s="139">
        <v>45869</v>
      </c>
      <c r="C217" s="129" t="s">
        <v>143</v>
      </c>
      <c r="D217" s="140">
        <v>3487870.2722999998</v>
      </c>
      <c r="E217" s="141">
        <v>77.411135999999999</v>
      </c>
      <c r="F217" s="140">
        <v>269999999.9993723</v>
      </c>
      <c r="G217" s="141">
        <v>75.312325999999999</v>
      </c>
      <c r="H217" s="140">
        <v>262679622.99316636</v>
      </c>
      <c r="I217" s="140">
        <v>7320377.0062059462</v>
      </c>
      <c r="J217" s="139">
        <v>45832</v>
      </c>
      <c r="K217" s="156">
        <v>8855.5681000000004</v>
      </c>
      <c r="L217" s="140" t="s">
        <v>201</v>
      </c>
      <c r="M217" s="129">
        <f t="shared" si="2"/>
        <v>2025</v>
      </c>
    </row>
    <row r="218" spans="2:13" x14ac:dyDescent="0.35">
      <c r="B218" s="139">
        <v>45873</v>
      </c>
      <c r="C218" s="129" t="s">
        <v>143</v>
      </c>
      <c r="D218" s="140">
        <v>18157740.853500001</v>
      </c>
      <c r="E218" s="141">
        <v>77.652832000000004</v>
      </c>
      <c r="F218" s="140">
        <v>1409999999.9963722</v>
      </c>
      <c r="G218" s="141">
        <v>75.312325999999999</v>
      </c>
      <c r="H218" s="140">
        <v>1367501698.5823102</v>
      </c>
      <c r="I218" s="140">
        <v>42498301.414062023</v>
      </c>
      <c r="J218" s="139">
        <v>45832</v>
      </c>
      <c r="K218" s="156">
        <v>8855.5681000000004</v>
      </c>
      <c r="L218" s="140" t="s">
        <v>201</v>
      </c>
      <c r="M218" s="129">
        <f t="shared" si="2"/>
        <v>2025</v>
      </c>
    </row>
    <row r="219" spans="2:13" x14ac:dyDescent="0.35">
      <c r="B219" s="139">
        <v>45874</v>
      </c>
      <c r="C219" s="129" t="s">
        <v>143</v>
      </c>
      <c r="D219" s="140">
        <v>2766614.2390999999</v>
      </c>
      <c r="E219" s="141">
        <v>77.712316000000001</v>
      </c>
      <c r="F219" s="140">
        <v>214999999.99903876</v>
      </c>
      <c r="G219" s="141">
        <v>75.312325999999999</v>
      </c>
      <c r="H219" s="140">
        <v>208360153.49134114</v>
      </c>
      <c r="I219" s="140">
        <v>6639846.507697612</v>
      </c>
      <c r="J219" s="139">
        <v>45832</v>
      </c>
      <c r="K219" s="156">
        <v>8855.5681000000004</v>
      </c>
      <c r="L219" s="140" t="s">
        <v>201</v>
      </c>
      <c r="M219" s="129">
        <f t="shared" si="2"/>
        <v>2025</v>
      </c>
    </row>
    <row r="220" spans="2:13" x14ac:dyDescent="0.35">
      <c r="B220" s="139">
        <v>45875</v>
      </c>
      <c r="C220" s="129" t="s">
        <v>143</v>
      </c>
      <c r="D220" s="140">
        <v>1285797.6513</v>
      </c>
      <c r="E220" s="141">
        <v>77.772734999999997</v>
      </c>
      <c r="F220" s="140">
        <v>99999999.998177305</v>
      </c>
      <c r="G220" s="141">
        <v>75.312325999999999</v>
      </c>
      <c r="H220" s="140">
        <v>96836411.88473992</v>
      </c>
      <c r="I220" s="140">
        <v>3163588.1134373844</v>
      </c>
      <c r="J220" s="139">
        <v>45832</v>
      </c>
      <c r="K220" s="156">
        <v>8855.5681000000004</v>
      </c>
      <c r="L220" s="140" t="s">
        <v>201</v>
      </c>
      <c r="M220" s="129">
        <f t="shared" si="2"/>
        <v>2025</v>
      </c>
    </row>
    <row r="221" spans="2:13" x14ac:dyDescent="0.35">
      <c r="B221" s="139">
        <v>45877</v>
      </c>
      <c r="C221" s="129" t="s">
        <v>143</v>
      </c>
      <c r="D221" s="140">
        <v>3363723.49486</v>
      </c>
      <c r="E221" s="141">
        <v>77.906160999999997</v>
      </c>
      <c r="F221" s="140">
        <v>262054784.15004581</v>
      </c>
      <c r="G221" s="141">
        <v>75.312325999999999</v>
      </c>
      <c r="H221" s="140">
        <v>253329840.41875565</v>
      </c>
      <c r="I221" s="140">
        <v>8724943.7312901616</v>
      </c>
      <c r="J221" s="139">
        <v>45832</v>
      </c>
      <c r="K221" s="156">
        <v>8855.5681000000004</v>
      </c>
      <c r="L221" s="140" t="s">
        <v>201</v>
      </c>
      <c r="M221" s="129">
        <f t="shared" si="2"/>
        <v>2025</v>
      </c>
    </row>
    <row r="222" spans="2:13" x14ac:dyDescent="0.35">
      <c r="B222" s="139">
        <v>45877</v>
      </c>
      <c r="C222" s="129" t="s">
        <v>143</v>
      </c>
      <c r="D222" s="140">
        <v>101984.43544</v>
      </c>
      <c r="E222" s="141">
        <v>77.906160999999997</v>
      </c>
      <c r="F222" s="140">
        <v>7945215.8468827456</v>
      </c>
      <c r="G222" s="141">
        <v>75.367957004567742</v>
      </c>
      <c r="H222" s="140">
        <v>7686358.5453770347</v>
      </c>
      <c r="I222" s="140">
        <v>258857.30150571093</v>
      </c>
      <c r="J222" s="139">
        <v>45833</v>
      </c>
      <c r="K222" s="156">
        <v>8855.5681000000004</v>
      </c>
      <c r="L222" s="140" t="s">
        <v>201</v>
      </c>
      <c r="M222" s="129">
        <f t="shared" si="2"/>
        <v>2025</v>
      </c>
    </row>
    <row r="223" spans="2:13" x14ac:dyDescent="0.35">
      <c r="B223" s="139">
        <v>45880</v>
      </c>
      <c r="C223" s="129" t="s">
        <v>143</v>
      </c>
      <c r="D223" s="140">
        <v>2087274.85406</v>
      </c>
      <c r="E223" s="141">
        <v>78.138773999999998</v>
      </c>
      <c r="F223" s="140">
        <v>163097098.09727731</v>
      </c>
      <c r="G223" s="141">
        <v>75.367957004567742</v>
      </c>
      <c r="H223" s="140">
        <v>157313641.45750949</v>
      </c>
      <c r="I223" s="140">
        <v>5783456.6397678256</v>
      </c>
      <c r="J223" s="139">
        <v>45833</v>
      </c>
      <c r="K223" s="156">
        <v>8855.5681000000004</v>
      </c>
      <c r="L223" s="140" t="s">
        <v>201</v>
      </c>
      <c r="M223" s="129">
        <f t="shared" si="2"/>
        <v>2025</v>
      </c>
    </row>
    <row r="224" spans="2:13" x14ac:dyDescent="0.35">
      <c r="B224" s="139">
        <v>45880</v>
      </c>
      <c r="C224" s="129" t="s">
        <v>143</v>
      </c>
      <c r="D224" s="140">
        <v>170666.16250000001</v>
      </c>
      <c r="E224" s="141">
        <v>78.138773999999998</v>
      </c>
      <c r="F224" s="140">
        <v>13335644.701034775</v>
      </c>
      <c r="G224" s="141">
        <v>76.1721</v>
      </c>
      <c r="H224" s="140">
        <v>12999999.996566251</v>
      </c>
      <c r="I224" s="140">
        <v>335644.70446852408</v>
      </c>
      <c r="J224" s="139">
        <v>45848</v>
      </c>
      <c r="K224" s="156">
        <v>9023.973</v>
      </c>
      <c r="L224" s="140" t="s">
        <v>201</v>
      </c>
      <c r="M224" s="129">
        <f t="shared" si="2"/>
        <v>2025</v>
      </c>
    </row>
    <row r="225" spans="2:13" x14ac:dyDescent="0.35">
      <c r="B225" s="139">
        <v>45880</v>
      </c>
      <c r="C225" s="129" t="s">
        <v>143</v>
      </c>
      <c r="D225" s="140">
        <v>914234.77379999997</v>
      </c>
      <c r="E225" s="141">
        <v>78.138773999999998</v>
      </c>
      <c r="F225" s="140">
        <v>71437184.372899324</v>
      </c>
      <c r="G225" s="141">
        <v>76.56676601093811</v>
      </c>
      <c r="H225" s="140">
        <v>70000000.004607528</v>
      </c>
      <c r="I225" s="140">
        <v>1437184.3682917953</v>
      </c>
      <c r="J225" s="139">
        <v>45856</v>
      </c>
      <c r="K225" s="156">
        <v>9023.973</v>
      </c>
      <c r="L225" s="140" t="s">
        <v>201</v>
      </c>
      <c r="M225" s="129">
        <f t="shared" si="2"/>
        <v>2025</v>
      </c>
    </row>
    <row r="226" spans="2:13" x14ac:dyDescent="0.35">
      <c r="B226" s="139">
        <v>45880</v>
      </c>
      <c r="C226" s="129" t="s">
        <v>143</v>
      </c>
      <c r="D226" s="140">
        <v>475181.15434000001</v>
      </c>
      <c r="E226" s="141">
        <v>78.138773999999998</v>
      </c>
      <c r="F226" s="140">
        <v>37130072.828032382</v>
      </c>
      <c r="G226" s="141">
        <v>76.821528000000001</v>
      </c>
      <c r="H226" s="140">
        <v>36504142.353202634</v>
      </c>
      <c r="I226" s="140">
        <v>625930.47482974827</v>
      </c>
      <c r="J226" s="139">
        <v>45860</v>
      </c>
      <c r="K226" s="156">
        <v>9023.973</v>
      </c>
      <c r="L226" s="140" t="s">
        <v>201</v>
      </c>
      <c r="M226" s="129">
        <f t="shared" si="2"/>
        <v>2025</v>
      </c>
    </row>
    <row r="227" spans="2:13" x14ac:dyDescent="0.35">
      <c r="B227" s="139">
        <v>45880</v>
      </c>
      <c r="C227" s="129" t="s">
        <v>143</v>
      </c>
      <c r="D227" s="140">
        <v>1023819.4933</v>
      </c>
      <c r="E227" s="141">
        <v>78.138773999999998</v>
      </c>
      <c r="F227" s="140">
        <v>80000000.003763214</v>
      </c>
      <c r="G227" s="141">
        <v>76.821528000000001</v>
      </c>
      <c r="H227" s="140">
        <v>78651377.87149176</v>
      </c>
      <c r="I227" s="140">
        <v>1348622.1322714537</v>
      </c>
      <c r="J227" s="139">
        <v>45860</v>
      </c>
      <c r="K227" s="156">
        <v>9023.973</v>
      </c>
      <c r="L227" s="140" t="s">
        <v>201</v>
      </c>
      <c r="M227" s="129">
        <f t="shared" si="2"/>
        <v>2025</v>
      </c>
    </row>
    <row r="228" spans="2:13" x14ac:dyDescent="0.35">
      <c r="B228" s="139">
        <v>45882</v>
      </c>
      <c r="C228" s="129" t="s">
        <v>143</v>
      </c>
      <c r="D228" s="140">
        <v>1660140.5266</v>
      </c>
      <c r="E228" s="141">
        <v>78.306623997814526</v>
      </c>
      <c r="F228" s="140">
        <v>130000000</v>
      </c>
      <c r="G228" s="141">
        <v>76.821528000000001</v>
      </c>
      <c r="H228" s="140">
        <v>127534531.94813664</v>
      </c>
      <c r="I228" s="140">
        <v>2465468.0518633574</v>
      </c>
      <c r="J228" s="139">
        <v>45860</v>
      </c>
      <c r="K228" s="156">
        <v>9023.973</v>
      </c>
      <c r="L228" s="140" t="s">
        <v>201</v>
      </c>
      <c r="M228" s="129">
        <f t="shared" si="2"/>
        <v>2025</v>
      </c>
    </row>
    <row r="229" spans="2:13" x14ac:dyDescent="0.35">
      <c r="B229" s="139">
        <v>45883</v>
      </c>
      <c r="C229" s="129" t="s">
        <v>143</v>
      </c>
      <c r="D229" s="140">
        <v>242364.5226</v>
      </c>
      <c r="E229" s="141">
        <v>78.394311999999999</v>
      </c>
      <c r="F229" s="140">
        <v>19000000.00243545</v>
      </c>
      <c r="G229" s="141">
        <v>76.821528000000001</v>
      </c>
      <c r="H229" s="140">
        <v>18618812.959122531</v>
      </c>
      <c r="I229" s="140">
        <v>381187.04331291839</v>
      </c>
      <c r="J229" s="139">
        <v>45860</v>
      </c>
      <c r="K229" s="156">
        <v>9023.973</v>
      </c>
      <c r="L229" s="140" t="s">
        <v>201</v>
      </c>
      <c r="M229" s="129">
        <f t="shared" si="2"/>
        <v>2025</v>
      </c>
    </row>
    <row r="230" spans="2:13" x14ac:dyDescent="0.35">
      <c r="B230" s="139">
        <v>45887</v>
      </c>
      <c r="C230" s="129" t="s">
        <v>143</v>
      </c>
      <c r="D230" s="140">
        <v>5585127.3947000001</v>
      </c>
      <c r="E230" s="141">
        <v>78.780655999999993</v>
      </c>
      <c r="F230" s="140">
        <v>439999999.99803686</v>
      </c>
      <c r="G230" s="141">
        <v>76.821528000000001</v>
      </c>
      <c r="H230" s="140">
        <v>429058020.5355131</v>
      </c>
      <c r="I230" s="140">
        <v>10941979.462523758</v>
      </c>
      <c r="J230" s="139">
        <v>45860</v>
      </c>
      <c r="K230" s="156">
        <v>9023.973</v>
      </c>
      <c r="L230" s="140" t="s">
        <v>201</v>
      </c>
      <c r="M230" s="129">
        <f t="shared" si="2"/>
        <v>2025</v>
      </c>
    </row>
    <row r="231" spans="2:13" x14ac:dyDescent="0.35">
      <c r="B231" s="139">
        <v>45890</v>
      </c>
      <c r="C231" s="129" t="s">
        <v>143</v>
      </c>
      <c r="D231" s="140">
        <v>2721564.9093999998</v>
      </c>
      <c r="E231" s="141">
        <v>78.998666999999998</v>
      </c>
      <c r="F231" s="140">
        <v>214999999.99657574</v>
      </c>
      <c r="G231" s="141">
        <v>76.821528000000001</v>
      </c>
      <c r="H231" s="140">
        <v>209074774.89128956</v>
      </c>
      <c r="I231" s="140">
        <v>5925225.105286181</v>
      </c>
      <c r="J231" s="139">
        <v>45860</v>
      </c>
      <c r="K231" s="156">
        <v>9023.973</v>
      </c>
      <c r="L231" s="140" t="s">
        <v>201</v>
      </c>
      <c r="M231" s="129">
        <f t="shared" si="2"/>
        <v>2025</v>
      </c>
    </row>
    <row r="232" spans="2:13" x14ac:dyDescent="0.35">
      <c r="B232" s="139">
        <v>45895</v>
      </c>
      <c r="C232" s="129" t="s">
        <v>143</v>
      </c>
      <c r="D232" s="140">
        <v>3713940.9849999999</v>
      </c>
      <c r="E232" s="141">
        <v>79.430448999999996</v>
      </c>
      <c r="F232" s="140">
        <v>294999999.99805224</v>
      </c>
      <c r="G232" s="141">
        <v>76.821528000000001</v>
      </c>
      <c r="H232" s="140">
        <v>285310621.36952507</v>
      </c>
      <c r="I232" s="140">
        <v>9689378.6285271645</v>
      </c>
      <c r="J232" s="139">
        <v>45860</v>
      </c>
      <c r="K232" s="156">
        <v>9023.973</v>
      </c>
      <c r="L232" s="140" t="s">
        <v>201</v>
      </c>
      <c r="M232" s="129">
        <f t="shared" si="2"/>
        <v>2025</v>
      </c>
    </row>
    <row r="233" spans="2:13" x14ac:dyDescent="0.35">
      <c r="B233" s="139">
        <v>45897</v>
      </c>
      <c r="C233" s="129" t="s">
        <v>143</v>
      </c>
      <c r="D233" s="140">
        <v>1444705.3958999999</v>
      </c>
      <c r="E233" s="141">
        <v>79.601004000000003</v>
      </c>
      <c r="F233" s="140">
        <v>114999999.99785748</v>
      </c>
      <c r="G233" s="141">
        <v>76.821528000000001</v>
      </c>
      <c r="H233" s="140">
        <v>110984476.02288292</v>
      </c>
      <c r="I233" s="140">
        <v>4015523.9749745578</v>
      </c>
      <c r="J233" s="139">
        <v>45860</v>
      </c>
      <c r="K233" s="156">
        <v>9023.973</v>
      </c>
      <c r="L233" s="140" t="s">
        <v>201</v>
      </c>
      <c r="M233" s="129">
        <f t="shared" si="2"/>
        <v>2025</v>
      </c>
    </row>
    <row r="234" spans="2:13" x14ac:dyDescent="0.35">
      <c r="B234" s="139">
        <v>45898</v>
      </c>
      <c r="C234" s="129" t="s">
        <v>143</v>
      </c>
      <c r="D234" s="140">
        <v>5772743.2373000002</v>
      </c>
      <c r="E234" s="141">
        <v>79.684819000000005</v>
      </c>
      <c r="F234" s="140">
        <v>459999999.99772459</v>
      </c>
      <c r="G234" s="141">
        <v>76.821528000000001</v>
      </c>
      <c r="H234" s="140">
        <v>443470956.24105263</v>
      </c>
      <c r="I234" s="140">
        <v>16529043.756671965</v>
      </c>
      <c r="J234" s="139">
        <v>45860</v>
      </c>
      <c r="K234" s="156">
        <v>9023.973</v>
      </c>
      <c r="L234" s="140" t="s">
        <v>201</v>
      </c>
      <c r="M234" s="129">
        <f t="shared" si="2"/>
        <v>2025</v>
      </c>
    </row>
    <row r="235" spans="2:13" x14ac:dyDescent="0.35">
      <c r="B235" s="139">
        <v>45898</v>
      </c>
      <c r="C235" s="129" t="s">
        <v>143</v>
      </c>
      <c r="D235" s="140">
        <v>175692.18549999999</v>
      </c>
      <c r="E235" s="141">
        <v>79.684819000000005</v>
      </c>
      <c r="F235" s="140">
        <v>14000000.001281925</v>
      </c>
      <c r="G235" s="141">
        <v>76.821528000000001</v>
      </c>
      <c r="H235" s="140">
        <v>13496942.147769444</v>
      </c>
      <c r="I235" s="140">
        <v>503057.85351248085</v>
      </c>
      <c r="J235" s="139">
        <v>45860</v>
      </c>
      <c r="K235" s="156">
        <v>9023.973</v>
      </c>
      <c r="L235" s="140" t="s">
        <v>201</v>
      </c>
      <c r="M235" s="129">
        <f t="shared" si="2"/>
        <v>2025</v>
      </c>
    </row>
    <row r="236" spans="2:13" x14ac:dyDescent="0.35">
      <c r="B236" s="139">
        <v>45902</v>
      </c>
      <c r="C236" s="129" t="s">
        <v>143</v>
      </c>
      <c r="D236" s="140">
        <v>2499194.2910000002</v>
      </c>
      <c r="E236" s="141">
        <v>80.025790999999998</v>
      </c>
      <c r="F236" s="140">
        <v>199999999.9999592</v>
      </c>
      <c r="G236" s="141">
        <v>76.821528000000001</v>
      </c>
      <c r="H236" s="140">
        <v>191991924.20349666</v>
      </c>
      <c r="I236" s="140">
        <v>8008075.7964625359</v>
      </c>
      <c r="J236" s="139">
        <v>45860</v>
      </c>
      <c r="K236" s="156">
        <v>9023.973</v>
      </c>
      <c r="L236" s="140" t="s">
        <v>201</v>
      </c>
      <c r="M236" s="129">
        <f t="shared" ref="M236:M299" si="3">+YEAR(J236)</f>
        <v>2025</v>
      </c>
    </row>
    <row r="237" spans="2:13" x14ac:dyDescent="0.35">
      <c r="B237" s="139">
        <v>45903</v>
      </c>
      <c r="C237" s="129" t="s">
        <v>143</v>
      </c>
      <c r="D237" s="140">
        <v>719894.81195999996</v>
      </c>
      <c r="E237" s="141">
        <v>80.110673000000006</v>
      </c>
      <c r="F237" s="140">
        <v>57671257.875324048</v>
      </c>
      <c r="G237" s="141">
        <v>76.821528000000001</v>
      </c>
      <c r="H237" s="140">
        <v>55303419.454039872</v>
      </c>
      <c r="I237" s="140">
        <v>2367838.4212841764</v>
      </c>
      <c r="J237" s="139">
        <v>45860</v>
      </c>
      <c r="K237" s="156">
        <v>9023.973</v>
      </c>
      <c r="L237" s="140" t="s">
        <v>201</v>
      </c>
      <c r="M237" s="129">
        <f t="shared" si="3"/>
        <v>2025</v>
      </c>
    </row>
    <row r="238" spans="2:13" x14ac:dyDescent="0.35">
      <c r="B238" s="139">
        <v>45903</v>
      </c>
      <c r="C238" s="129" t="s">
        <v>143</v>
      </c>
      <c r="D238" s="140">
        <v>1301718.4453</v>
      </c>
      <c r="E238" s="141">
        <v>80.110673000000006</v>
      </c>
      <c r="F238" s="140">
        <v>104281540.70949669</v>
      </c>
      <c r="G238" s="141">
        <v>76.821528007682161</v>
      </c>
      <c r="H238" s="140">
        <v>100000000.00373043</v>
      </c>
      <c r="I238" s="140">
        <v>4281540.7057662606</v>
      </c>
      <c r="J238" s="139">
        <v>45860</v>
      </c>
      <c r="K238" s="156">
        <v>9023.973</v>
      </c>
      <c r="L238" s="140" t="s">
        <v>201</v>
      </c>
      <c r="M238" s="129">
        <f t="shared" si="3"/>
        <v>2025</v>
      </c>
    </row>
    <row r="239" spans="2:13" x14ac:dyDescent="0.35">
      <c r="B239" s="139">
        <v>45903</v>
      </c>
      <c r="C239" s="129" t="s">
        <v>143</v>
      </c>
      <c r="D239" s="140">
        <v>2659410.9553399999</v>
      </c>
      <c r="E239" s="141">
        <v>80.110673000000006</v>
      </c>
      <c r="F239" s="140">
        <v>213047201.41586035</v>
      </c>
      <c r="G239" s="141">
        <v>77.290364999999994</v>
      </c>
      <c r="H239" s="140">
        <v>205546843.42322728</v>
      </c>
      <c r="I239" s="140">
        <v>7500357.9926330745</v>
      </c>
      <c r="J239" s="139">
        <v>45867</v>
      </c>
      <c r="K239" s="156">
        <v>9023.973</v>
      </c>
      <c r="L239" s="140" t="s">
        <v>201</v>
      </c>
      <c r="M239" s="129">
        <f t="shared" si="3"/>
        <v>2025</v>
      </c>
    </row>
    <row r="240" spans="2:13" x14ac:dyDescent="0.35">
      <c r="B240" s="139">
        <v>45904</v>
      </c>
      <c r="C240" s="129" t="s">
        <v>143</v>
      </c>
      <c r="D240" s="140">
        <v>2515878.3578599999</v>
      </c>
      <c r="E240" s="141">
        <v>80.193270999999996</v>
      </c>
      <c r="F240" s="140">
        <v>201756514.95490193</v>
      </c>
      <c r="G240" s="141">
        <v>77.290364999999994</v>
      </c>
      <c r="H240" s="140">
        <v>194453156.57459998</v>
      </c>
      <c r="I240" s="140">
        <v>7303358.3803019524</v>
      </c>
      <c r="J240" s="139">
        <v>45867</v>
      </c>
      <c r="K240" s="156">
        <v>9023.973</v>
      </c>
      <c r="L240" s="140" t="s">
        <v>201</v>
      </c>
      <c r="M240" s="129">
        <f t="shared" si="3"/>
        <v>2025</v>
      </c>
    </row>
    <row r="241" spans="2:13" x14ac:dyDescent="0.35">
      <c r="B241" s="139">
        <v>45904</v>
      </c>
      <c r="C241" s="129" t="s">
        <v>143</v>
      </c>
      <c r="D241" s="140">
        <v>12.917999999999999</v>
      </c>
      <c r="E241" s="141">
        <v>80.193270999999996</v>
      </c>
      <c r="F241" s="140">
        <v>1035.936674778</v>
      </c>
      <c r="G241" s="141">
        <v>77.411135999999999</v>
      </c>
      <c r="H241" s="140">
        <v>999.99705484799995</v>
      </c>
      <c r="I241" s="140">
        <v>35.939619930000049</v>
      </c>
      <c r="J241" s="139">
        <v>45869</v>
      </c>
      <c r="K241" s="156">
        <v>9023.973</v>
      </c>
      <c r="L241" s="140" t="s">
        <v>201</v>
      </c>
      <c r="M241" s="129">
        <f t="shared" si="3"/>
        <v>2025</v>
      </c>
    </row>
    <row r="242" spans="2:13" x14ac:dyDescent="0.35">
      <c r="B242" s="139">
        <v>45904</v>
      </c>
      <c r="C242" s="129" t="s">
        <v>143</v>
      </c>
      <c r="D242" s="140">
        <v>578145.39480000001</v>
      </c>
      <c r="E242" s="141">
        <v>80.193270999999996</v>
      </c>
      <c r="F242" s="140">
        <v>46363370.32259839</v>
      </c>
      <c r="G242" s="141">
        <v>77.835092017296674</v>
      </c>
      <c r="H242" s="140">
        <v>45000000.003634311</v>
      </c>
      <c r="I242" s="140">
        <v>1363370.318964079</v>
      </c>
      <c r="J242" s="139">
        <v>45876</v>
      </c>
      <c r="K242" s="156">
        <v>9193.2440999999999</v>
      </c>
      <c r="L242" s="140" t="s">
        <v>201</v>
      </c>
      <c r="M242" s="129">
        <f t="shared" si="3"/>
        <v>2025</v>
      </c>
    </row>
    <row r="243" spans="2:13" x14ac:dyDescent="0.35">
      <c r="B243" s="139">
        <v>45904</v>
      </c>
      <c r="C243" s="129" t="s">
        <v>143</v>
      </c>
      <c r="D243" s="140">
        <v>1150586.0419999999</v>
      </c>
      <c r="E243" s="141">
        <v>80.193270999999996</v>
      </c>
      <c r="F243" s="140">
        <v>92269258.274923369</v>
      </c>
      <c r="G243" s="141">
        <v>78.221007999999998</v>
      </c>
      <c r="H243" s="140">
        <v>89999999.995970324</v>
      </c>
      <c r="I243" s="140">
        <v>2269258.2789530456</v>
      </c>
      <c r="J243" s="139">
        <v>45881</v>
      </c>
      <c r="K243" s="156">
        <v>9193.2440999999999</v>
      </c>
      <c r="L243" s="140" t="s">
        <v>201</v>
      </c>
      <c r="M243" s="129">
        <f t="shared" si="3"/>
        <v>2025</v>
      </c>
    </row>
    <row r="244" spans="2:13" x14ac:dyDescent="0.35">
      <c r="B244" s="139">
        <v>45904</v>
      </c>
      <c r="C244" s="129" t="s">
        <v>143</v>
      </c>
      <c r="D244" s="140">
        <v>242364.52249999999</v>
      </c>
      <c r="E244" s="141">
        <v>80.193270999999996</v>
      </c>
      <c r="F244" s="140">
        <v>19436003.833628096</v>
      </c>
      <c r="G244" s="141">
        <v>78.394312041260164</v>
      </c>
      <c r="H244" s="140">
        <v>19000000.004596021</v>
      </c>
      <c r="I244" s="140">
        <v>436003.82903207466</v>
      </c>
      <c r="J244" s="139">
        <v>45883</v>
      </c>
      <c r="K244" s="156">
        <v>9193.2440999999999</v>
      </c>
      <c r="L244" s="140" t="s">
        <v>201</v>
      </c>
      <c r="M244" s="129">
        <f t="shared" si="3"/>
        <v>2025</v>
      </c>
    </row>
    <row r="245" spans="2:13" x14ac:dyDescent="0.35">
      <c r="B245" s="139">
        <v>45904</v>
      </c>
      <c r="C245" s="129" t="s">
        <v>143</v>
      </c>
      <c r="D245" s="140">
        <v>2167.4721399999999</v>
      </c>
      <c r="E245" s="141">
        <v>80.193270999999996</v>
      </c>
      <c r="F245" s="140">
        <v>173816.68070796991</v>
      </c>
      <c r="G245" s="141">
        <v>78.858336002816358</v>
      </c>
      <c r="H245" s="140">
        <v>170923.24629286342</v>
      </c>
      <c r="I245" s="140">
        <v>2893.434415106487</v>
      </c>
      <c r="J245" s="139">
        <v>45888</v>
      </c>
      <c r="K245" s="156">
        <v>9193.2440999999999</v>
      </c>
      <c r="L245" s="140" t="s">
        <v>201</v>
      </c>
      <c r="M245" s="129">
        <f t="shared" si="3"/>
        <v>2025</v>
      </c>
    </row>
    <row r="246" spans="2:13" x14ac:dyDescent="0.35">
      <c r="B246" s="139">
        <v>45908</v>
      </c>
      <c r="C246" s="129" t="s">
        <v>143</v>
      </c>
      <c r="D246" s="140">
        <v>3548503.4422599999</v>
      </c>
      <c r="E246" s="141">
        <v>80.535633000000004</v>
      </c>
      <c r="F246" s="140">
        <v>285780970.92508805</v>
      </c>
      <c r="G246" s="141">
        <v>78.858336002816358</v>
      </c>
      <c r="H246" s="140">
        <v>279829076.75688952</v>
      </c>
      <c r="I246" s="140">
        <v>5951894.1681985259</v>
      </c>
      <c r="J246" s="139">
        <v>45888</v>
      </c>
      <c r="K246" s="156">
        <v>9193.2440999999999</v>
      </c>
      <c r="L246" s="140" t="s">
        <v>201</v>
      </c>
      <c r="M246" s="129">
        <f t="shared" si="3"/>
        <v>2025</v>
      </c>
    </row>
    <row r="247" spans="2:13" x14ac:dyDescent="0.35">
      <c r="B247" s="139">
        <v>45908</v>
      </c>
      <c r="C247" s="129" t="s">
        <v>143</v>
      </c>
      <c r="D247" s="140">
        <v>300724.38964000001</v>
      </c>
      <c r="E247" s="141">
        <v>80.535633000000004</v>
      </c>
      <c r="F247" s="140">
        <v>24219029.078196045</v>
      </c>
      <c r="G247" s="141">
        <v>78.921493999999996</v>
      </c>
      <c r="H247" s="140">
        <v>23733618.112626921</v>
      </c>
      <c r="I247" s="140">
        <v>485410.96556912363</v>
      </c>
      <c r="J247" s="139">
        <v>45889</v>
      </c>
      <c r="K247" s="156">
        <v>9193.2440999999999</v>
      </c>
      <c r="L247" s="140" t="s">
        <v>201</v>
      </c>
      <c r="M247" s="129">
        <f t="shared" si="3"/>
        <v>2025</v>
      </c>
    </row>
    <row r="248" spans="2:13" x14ac:dyDescent="0.35">
      <c r="B248" s="139">
        <v>45908</v>
      </c>
      <c r="C248" s="129" t="s">
        <v>143</v>
      </c>
      <c r="D248" s="140">
        <v>186252.9596</v>
      </c>
      <c r="E248" s="141">
        <v>80.535633000000004</v>
      </c>
      <c r="F248" s="140">
        <v>14999999.999509428</v>
      </c>
      <c r="G248" s="141">
        <v>78.921493999999996</v>
      </c>
      <c r="H248" s="140">
        <v>14699361.833553642</v>
      </c>
      <c r="I248" s="140">
        <v>300638.16595578566</v>
      </c>
      <c r="J248" s="139">
        <v>45889</v>
      </c>
      <c r="K248" s="156">
        <v>9193.2440999999999</v>
      </c>
      <c r="L248" s="140" t="s">
        <v>201</v>
      </c>
      <c r="M248" s="129">
        <f t="shared" si="3"/>
        <v>2025</v>
      </c>
    </row>
    <row r="249" spans="2:13" x14ac:dyDescent="0.35">
      <c r="B249" s="139">
        <v>45910</v>
      </c>
      <c r="C249" s="129" t="s">
        <v>143</v>
      </c>
      <c r="D249" s="140">
        <v>209917.71966</v>
      </c>
      <c r="E249" s="141">
        <v>80.704159000000004</v>
      </c>
      <c r="F249" s="140">
        <v>16941233.024358068</v>
      </c>
      <c r="G249" s="141">
        <v>78.921493999999996</v>
      </c>
      <c r="H249" s="140">
        <v>16567020.052640371</v>
      </c>
      <c r="I249" s="140">
        <v>374212.97171769664</v>
      </c>
      <c r="J249" s="139">
        <v>45889</v>
      </c>
      <c r="K249" s="156">
        <v>9193.2440999999999</v>
      </c>
      <c r="L249" s="140" t="s">
        <v>201</v>
      </c>
      <c r="M249" s="129">
        <f t="shared" si="3"/>
        <v>2025</v>
      </c>
    </row>
    <row r="250" spans="2:13" x14ac:dyDescent="0.35">
      <c r="B250" s="139">
        <v>45910</v>
      </c>
      <c r="C250" s="129" t="s">
        <v>143</v>
      </c>
      <c r="D250" s="140">
        <v>1153085.1461400001</v>
      </c>
      <c r="E250" s="141">
        <v>80.704159000000004</v>
      </c>
      <c r="F250" s="140">
        <v>93058766.974620804</v>
      </c>
      <c r="G250" s="141">
        <v>79.083110000556928</v>
      </c>
      <c r="H250" s="140">
        <v>91189559.452197894</v>
      </c>
      <c r="I250" s="140">
        <v>1869207.5224229097</v>
      </c>
      <c r="J250" s="139">
        <v>45891</v>
      </c>
      <c r="K250" s="156">
        <v>9193.2440999999999</v>
      </c>
      <c r="L250" s="140" t="s">
        <v>201</v>
      </c>
      <c r="M250" s="129">
        <f t="shared" si="3"/>
        <v>2025</v>
      </c>
    </row>
    <row r="251" spans="2:13" x14ac:dyDescent="0.35">
      <c r="B251" s="139">
        <v>45911</v>
      </c>
      <c r="C251" s="129" t="s">
        <v>143</v>
      </c>
      <c r="D251" s="140">
        <v>1299809.2634999999</v>
      </c>
      <c r="E251" s="141">
        <v>80.781082999999995</v>
      </c>
      <c r="F251" s="140">
        <v>104999999.99896236</v>
      </c>
      <c r="G251" s="141">
        <v>79.083110000556928</v>
      </c>
      <c r="H251" s="140">
        <v>102792958.96511337</v>
      </c>
      <c r="I251" s="140">
        <v>2207041.033848986</v>
      </c>
      <c r="J251" s="139">
        <v>45891</v>
      </c>
      <c r="K251" s="156">
        <v>9193.2440999999999</v>
      </c>
      <c r="L251" s="140" t="s">
        <v>201</v>
      </c>
      <c r="M251" s="129">
        <f t="shared" si="3"/>
        <v>2025</v>
      </c>
    </row>
    <row r="252" spans="2:13" x14ac:dyDescent="0.35">
      <c r="B252" s="139">
        <v>45912</v>
      </c>
      <c r="C252" s="129" t="s">
        <v>143</v>
      </c>
      <c r="D252" s="140">
        <v>3586532.9989999998</v>
      </c>
      <c r="E252" s="141">
        <v>80.858031999999994</v>
      </c>
      <c r="F252" s="140">
        <v>290000000.00219792</v>
      </c>
      <c r="G252" s="141">
        <v>79.083110000556928</v>
      </c>
      <c r="H252" s="140">
        <v>283634183.68054432</v>
      </c>
      <c r="I252" s="140">
        <v>6365816.3216536045</v>
      </c>
      <c r="J252" s="139">
        <v>45891</v>
      </c>
      <c r="K252" s="156">
        <v>9193.2440999999999</v>
      </c>
      <c r="L252" s="140" t="s">
        <v>201</v>
      </c>
      <c r="M252" s="129">
        <f t="shared" si="3"/>
        <v>2025</v>
      </c>
    </row>
    <row r="253" spans="2:13" x14ac:dyDescent="0.35">
      <c r="B253" s="139">
        <v>45917</v>
      </c>
      <c r="C253" s="129" t="s">
        <v>143</v>
      </c>
      <c r="D253" s="140">
        <v>4491997.5372000001</v>
      </c>
      <c r="E253" s="141">
        <v>81.255610000000004</v>
      </c>
      <c r="F253" s="140">
        <v>365000000.00368375</v>
      </c>
      <c r="G253" s="141">
        <v>79.083110000556928</v>
      </c>
      <c r="H253" s="140">
        <v>355241135.3566184</v>
      </c>
      <c r="I253" s="140">
        <v>9758864.6470653415</v>
      </c>
      <c r="J253" s="139">
        <v>45891</v>
      </c>
      <c r="K253" s="156">
        <v>9193.2440999999999</v>
      </c>
      <c r="L253" s="140" t="s">
        <v>201</v>
      </c>
      <c r="M253" s="129">
        <f t="shared" si="3"/>
        <v>2025</v>
      </c>
    </row>
    <row r="254" spans="2:13" x14ac:dyDescent="0.35">
      <c r="B254" s="139">
        <v>45918</v>
      </c>
      <c r="C254" s="129" t="s">
        <v>143</v>
      </c>
      <c r="D254" s="140">
        <v>491793.48509999999</v>
      </c>
      <c r="E254" s="141">
        <v>81.334952999999999</v>
      </c>
      <c r="F254" s="140">
        <v>39999999.996314697</v>
      </c>
      <c r="G254" s="141">
        <v>79.083110000556928</v>
      </c>
      <c r="H254" s="140">
        <v>38892558.279720552</v>
      </c>
      <c r="I254" s="140">
        <v>1107441.7165941447</v>
      </c>
      <c r="J254" s="139">
        <v>45891</v>
      </c>
      <c r="K254" s="156">
        <v>9193.2440999999999</v>
      </c>
      <c r="L254" s="140" t="s">
        <v>201</v>
      </c>
      <c r="M254" s="129">
        <f t="shared" si="3"/>
        <v>2025</v>
      </c>
    </row>
    <row r="255" spans="2:13" x14ac:dyDescent="0.35">
      <c r="B255" s="139">
        <v>45919</v>
      </c>
      <c r="C255" s="129" t="s">
        <v>143</v>
      </c>
      <c r="D255" s="140">
        <v>675550.1263</v>
      </c>
      <c r="E255" s="141">
        <v>81.415127999999996</v>
      </c>
      <c r="F255" s="140">
        <v>55000000.003130667</v>
      </c>
      <c r="G255" s="141">
        <v>79.083110000556928</v>
      </c>
      <c r="H255" s="140">
        <v>53424604.949073024</v>
      </c>
      <c r="I255" s="140">
        <v>1575395.0540576428</v>
      </c>
      <c r="J255" s="139">
        <v>45891</v>
      </c>
      <c r="K255" s="156">
        <v>9193.2440999999999</v>
      </c>
      <c r="L255" s="140" t="s">
        <v>201</v>
      </c>
      <c r="M255" s="129">
        <f t="shared" si="3"/>
        <v>2025</v>
      </c>
    </row>
    <row r="256" spans="2:13" x14ac:dyDescent="0.35">
      <c r="B256" s="139">
        <v>45923</v>
      </c>
      <c r="C256" s="129" t="s">
        <v>143</v>
      </c>
      <c r="D256" s="140">
        <v>2079483.2058999999</v>
      </c>
      <c r="E256" s="141">
        <v>81.751080999999999</v>
      </c>
      <c r="F256" s="140">
        <v>170000000.00367057</v>
      </c>
      <c r="G256" s="141">
        <v>79.083110000556928</v>
      </c>
      <c r="H256" s="140">
        <v>164451999.11650047</v>
      </c>
      <c r="I256" s="140">
        <v>5548000.8871701062</v>
      </c>
      <c r="J256" s="139">
        <v>45891</v>
      </c>
      <c r="K256" s="156">
        <v>9193.2440999999999</v>
      </c>
      <c r="L256" s="140" t="s">
        <v>201</v>
      </c>
      <c r="M256" s="129">
        <f t="shared" si="3"/>
        <v>2025</v>
      </c>
    </row>
    <row r="257" spans="2:13" x14ac:dyDescent="0.35">
      <c r="B257" s="139">
        <v>45923</v>
      </c>
      <c r="C257" s="129" t="s">
        <v>143</v>
      </c>
      <c r="D257" s="140">
        <v>122322.54150000001</v>
      </c>
      <c r="E257" s="141">
        <v>81.751080999999999</v>
      </c>
      <c r="F257" s="140">
        <v>9999999.9982923623</v>
      </c>
      <c r="G257" s="141">
        <v>79.083110000556928</v>
      </c>
      <c r="H257" s="140">
        <v>9673647.0049921907</v>
      </c>
      <c r="I257" s="140">
        <v>326352.99330017157</v>
      </c>
      <c r="J257" s="139">
        <v>45891</v>
      </c>
      <c r="K257" s="156">
        <v>9193.2440999999999</v>
      </c>
      <c r="L257" s="140" t="s">
        <v>201</v>
      </c>
      <c r="M257" s="129">
        <f t="shared" si="3"/>
        <v>2025</v>
      </c>
    </row>
    <row r="258" spans="2:13" x14ac:dyDescent="0.35">
      <c r="B258" s="139">
        <v>45925</v>
      </c>
      <c r="C258" s="129" t="s">
        <v>143</v>
      </c>
      <c r="D258" s="140">
        <v>244173.28969999999</v>
      </c>
      <c r="E258" s="141">
        <v>81.909041000000002</v>
      </c>
      <c r="F258" s="140">
        <v>19999999.997142177</v>
      </c>
      <c r="G258" s="141">
        <v>79.083110000556928</v>
      </c>
      <c r="H258" s="140">
        <v>19309983.128542952</v>
      </c>
      <c r="I258" s="140">
        <v>690016.86859922484</v>
      </c>
      <c r="J258" s="139">
        <v>45891</v>
      </c>
      <c r="K258" s="156">
        <v>9193.2440999999999</v>
      </c>
      <c r="L258" s="140" t="s">
        <v>201</v>
      </c>
      <c r="M258" s="129">
        <f t="shared" si="3"/>
        <v>2025</v>
      </c>
    </row>
    <row r="259" spans="2:13" x14ac:dyDescent="0.35">
      <c r="B259" s="139">
        <v>45929</v>
      </c>
      <c r="C259" s="129" t="s">
        <v>143</v>
      </c>
      <c r="D259" s="140">
        <v>243297.9504</v>
      </c>
      <c r="E259" s="141">
        <v>82.203734010576355</v>
      </c>
      <c r="F259" s="140">
        <v>20000000</v>
      </c>
      <c r="G259" s="141">
        <v>79.083110000556928</v>
      </c>
      <c r="H259" s="140">
        <v>19240758.574393243</v>
      </c>
      <c r="I259" s="140">
        <v>759241.4256067574</v>
      </c>
      <c r="J259" s="139">
        <v>45891</v>
      </c>
      <c r="K259" s="156">
        <v>9193.2440999999999</v>
      </c>
      <c r="L259" s="140" t="s">
        <v>201</v>
      </c>
      <c r="M259" s="129">
        <f t="shared" si="3"/>
        <v>2025</v>
      </c>
    </row>
    <row r="260" spans="2:13" x14ac:dyDescent="0.35">
      <c r="B260" s="139">
        <v>45930</v>
      </c>
      <c r="C260" s="129" t="s">
        <v>143</v>
      </c>
      <c r="D260" s="140">
        <v>2977993.6238000002</v>
      </c>
      <c r="E260" s="141">
        <v>82.270156000996863</v>
      </c>
      <c r="F260" s="140">
        <v>244999999.99999997</v>
      </c>
      <c r="G260" s="141">
        <v>79.083110000556928</v>
      </c>
      <c r="H260" s="140">
        <v>235508997.33193257</v>
      </c>
      <c r="I260" s="140">
        <v>9491002.6680673957</v>
      </c>
      <c r="J260" s="139">
        <v>45891</v>
      </c>
      <c r="K260" s="156">
        <v>9193.2440999999999</v>
      </c>
      <c r="L260" s="140" t="s">
        <v>201</v>
      </c>
      <c r="M260" s="129">
        <f t="shared" si="3"/>
        <v>2025</v>
      </c>
    </row>
    <row r="261" spans="2:13" x14ac:dyDescent="0.35">
      <c r="B261" s="139">
        <v>45931</v>
      </c>
      <c r="C261" s="129" t="s">
        <v>143</v>
      </c>
      <c r="D261" s="140">
        <v>589754.42625999998</v>
      </c>
      <c r="E261" s="141">
        <v>82.337278999939286</v>
      </c>
      <c r="F261" s="140">
        <v>48558774.736418739</v>
      </c>
      <c r="G261" s="141">
        <v>79.083110000556928</v>
      </c>
      <c r="H261" s="140">
        <v>46639614.165234916</v>
      </c>
      <c r="I261" s="140">
        <v>1919160.571183823</v>
      </c>
      <c r="J261" s="139">
        <v>45891</v>
      </c>
      <c r="K261" s="156">
        <v>9193.2440999999999</v>
      </c>
      <c r="L261" s="140" t="s">
        <v>201</v>
      </c>
      <c r="M261" s="129">
        <f t="shared" si="3"/>
        <v>2025</v>
      </c>
    </row>
    <row r="262" spans="2:13" x14ac:dyDescent="0.35">
      <c r="B262" s="139">
        <v>45931</v>
      </c>
      <c r="C262" s="129" t="s">
        <v>143</v>
      </c>
      <c r="D262" s="140">
        <v>7032759.9697000002</v>
      </c>
      <c r="E262" s="141">
        <v>82.337278999939286</v>
      </c>
      <c r="F262" s="140">
        <v>579058319.76479352</v>
      </c>
      <c r="G262" s="141">
        <v>79.342961000000003</v>
      </c>
      <c r="H262" s="140">
        <v>557999999.99826837</v>
      </c>
      <c r="I262" s="140">
        <v>21058319.766525149</v>
      </c>
      <c r="J262" s="139">
        <v>45894</v>
      </c>
      <c r="K262" s="156">
        <v>9193.2440999999999</v>
      </c>
      <c r="L262" s="140" t="s">
        <v>201</v>
      </c>
      <c r="M262" s="129">
        <f t="shared" si="3"/>
        <v>2025</v>
      </c>
    </row>
    <row r="263" spans="2:13" x14ac:dyDescent="0.35">
      <c r="B263" s="139">
        <v>45931</v>
      </c>
      <c r="C263" s="129" t="s">
        <v>143</v>
      </c>
      <c r="D263" s="140">
        <v>5253983.2417000001</v>
      </c>
      <c r="E263" s="141">
        <v>82.337278999939286</v>
      </c>
      <c r="F263" s="140">
        <v>432598684.03285837</v>
      </c>
      <c r="G263" s="141">
        <v>79.939349000000007</v>
      </c>
      <c r="H263" s="140">
        <v>419999999.99840772</v>
      </c>
      <c r="I263" s="140">
        <v>12598684.03445065</v>
      </c>
      <c r="J263" s="139">
        <v>45901</v>
      </c>
      <c r="K263" s="156">
        <v>9384.0921999999991</v>
      </c>
      <c r="L263" s="140" t="s">
        <v>201</v>
      </c>
      <c r="M263" s="129">
        <f t="shared" si="3"/>
        <v>2025</v>
      </c>
    </row>
    <row r="264" spans="2:13" x14ac:dyDescent="0.35">
      <c r="B264" s="139">
        <v>45931</v>
      </c>
      <c r="C264" s="129" t="s">
        <v>143</v>
      </c>
      <c r="D264" s="140">
        <v>1245717.7982999999</v>
      </c>
      <c r="E264" s="141">
        <v>82.337278999939286</v>
      </c>
      <c r="F264" s="140">
        <v>102569013.91381718</v>
      </c>
      <c r="G264" s="141">
        <v>80.275002999999998</v>
      </c>
      <c r="H264" s="140">
        <v>99999999.99568589</v>
      </c>
      <c r="I264" s="140">
        <v>2569013.9181312919</v>
      </c>
      <c r="J264" s="139">
        <v>45905</v>
      </c>
      <c r="K264" s="156">
        <v>9384.0921999999991</v>
      </c>
      <c r="L264" s="140" t="s">
        <v>201</v>
      </c>
      <c r="M264" s="129">
        <f t="shared" si="3"/>
        <v>2025</v>
      </c>
    </row>
    <row r="265" spans="2:13" x14ac:dyDescent="0.35">
      <c r="B265" s="139">
        <v>45931</v>
      </c>
      <c r="C265" s="129" t="s">
        <v>143</v>
      </c>
      <c r="D265" s="140">
        <v>4217100.2920000004</v>
      </c>
      <c r="E265" s="141">
        <v>82.337278999939286</v>
      </c>
      <c r="F265" s="140">
        <v>347224563.31312948</v>
      </c>
      <c r="G265" s="141">
        <v>80.624120000000005</v>
      </c>
      <c r="H265" s="140">
        <v>339999999.99424309</v>
      </c>
      <c r="I265" s="140">
        <v>7224563.3188863993</v>
      </c>
      <c r="J265" s="139">
        <v>45909</v>
      </c>
      <c r="K265" s="156">
        <v>9384.0921999999991</v>
      </c>
      <c r="L265" s="140" t="s">
        <v>201</v>
      </c>
      <c r="M265" s="129">
        <f t="shared" si="3"/>
        <v>2025</v>
      </c>
    </row>
    <row r="266" spans="2:13" x14ac:dyDescent="0.35">
      <c r="B266" s="139">
        <v>45931</v>
      </c>
      <c r="C266" s="129" t="s">
        <v>143</v>
      </c>
      <c r="D266" s="140">
        <v>4130761.8687</v>
      </c>
      <c r="E266" s="141">
        <v>82.337278999939286</v>
      </c>
      <c r="F266" s="140">
        <v>340115692.46546245</v>
      </c>
      <c r="G266" s="141">
        <v>81.098840999999993</v>
      </c>
      <c r="H266" s="140">
        <v>334999999.99856412</v>
      </c>
      <c r="I266" s="140">
        <v>5115692.4668983221</v>
      </c>
      <c r="J266" s="139">
        <v>45915</v>
      </c>
      <c r="K266" s="156">
        <v>9384.0921999999991</v>
      </c>
      <c r="L266" s="140" t="s">
        <v>201</v>
      </c>
      <c r="M266" s="129">
        <f t="shared" si="3"/>
        <v>2025</v>
      </c>
    </row>
    <row r="267" spans="2:13" x14ac:dyDescent="0.35">
      <c r="B267" s="139">
        <v>45931</v>
      </c>
      <c r="C267" s="129" t="s">
        <v>143</v>
      </c>
      <c r="D267" s="140">
        <v>3449258.1784999999</v>
      </c>
      <c r="E267" s="141">
        <v>82.337278999939286</v>
      </c>
      <c r="F267" s="140">
        <v>284002532.98597687</v>
      </c>
      <c r="G267" s="141">
        <v>81.176874999999995</v>
      </c>
      <c r="H267" s="140">
        <v>279999999.99882215</v>
      </c>
      <c r="I267" s="140">
        <v>4002532.9871547222</v>
      </c>
      <c r="J267" s="139">
        <v>45916</v>
      </c>
      <c r="K267" s="156">
        <v>9384.0921999999991</v>
      </c>
      <c r="L267" s="140" t="s">
        <v>201</v>
      </c>
      <c r="M267" s="129">
        <f t="shared" si="3"/>
        <v>2025</v>
      </c>
    </row>
    <row r="268" spans="2:13" x14ac:dyDescent="0.35">
      <c r="B268" s="139">
        <v>45931</v>
      </c>
      <c r="C268" s="129" t="s">
        <v>143</v>
      </c>
      <c r="D268" s="140">
        <v>192773.17614</v>
      </c>
      <c r="E268" s="141">
        <v>82.337278999939286</v>
      </c>
      <c r="F268" s="140">
        <v>15872418.787543619</v>
      </c>
      <c r="G268" s="141">
        <v>81.668678</v>
      </c>
      <c r="H268" s="140">
        <v>15743530.449214943</v>
      </c>
      <c r="I268" s="140">
        <v>128888.3383286763</v>
      </c>
      <c r="J268" s="139">
        <v>45922</v>
      </c>
      <c r="K268" s="156">
        <v>9384.0921999999991</v>
      </c>
      <c r="L268" s="140" t="s">
        <v>201</v>
      </c>
      <c r="M268" s="129">
        <f t="shared" si="3"/>
        <v>2025</v>
      </c>
    </row>
    <row r="269" spans="2:13" x14ac:dyDescent="0.35">
      <c r="B269" s="139">
        <v>45932</v>
      </c>
      <c r="C269" s="129" t="s">
        <v>143</v>
      </c>
      <c r="D269" s="140">
        <v>4550664.7532000002</v>
      </c>
      <c r="E269" s="141">
        <v>82.405543000350065</v>
      </c>
      <c r="F269" s="140">
        <v>375000000</v>
      </c>
      <c r="G269" s="141">
        <v>81.668678</v>
      </c>
      <c r="H269" s="140">
        <v>371646774.41504025</v>
      </c>
      <c r="I269" s="140">
        <v>3353225.5849597454</v>
      </c>
      <c r="J269" s="139">
        <v>45922</v>
      </c>
      <c r="K269" s="156">
        <v>9384.0921999999991</v>
      </c>
      <c r="L269" s="140" t="s">
        <v>201</v>
      </c>
      <c r="M269" s="129">
        <f t="shared" si="3"/>
        <v>2025</v>
      </c>
    </row>
    <row r="270" spans="2:13" x14ac:dyDescent="0.35">
      <c r="B270" s="139">
        <v>45933</v>
      </c>
      <c r="C270" s="129" t="s">
        <v>143</v>
      </c>
      <c r="D270" s="140">
        <v>1818745.8498</v>
      </c>
      <c r="E270" s="141">
        <v>82.474415002236228</v>
      </c>
      <c r="F270" s="140">
        <v>150000000</v>
      </c>
      <c r="G270" s="141">
        <v>81.668678</v>
      </c>
      <c r="H270" s="140">
        <v>148534569.17115256</v>
      </c>
      <c r="I270" s="140">
        <v>1465430.8288474381</v>
      </c>
      <c r="J270" s="139">
        <v>45922</v>
      </c>
      <c r="K270" s="156">
        <v>9384.0921999999991</v>
      </c>
      <c r="L270" s="140" t="s">
        <v>201</v>
      </c>
      <c r="M270" s="129">
        <f t="shared" si="3"/>
        <v>2025</v>
      </c>
    </row>
    <row r="271" spans="2:13" x14ac:dyDescent="0.35">
      <c r="B271" s="139">
        <v>45936</v>
      </c>
      <c r="C271" s="129" t="s">
        <v>143</v>
      </c>
      <c r="D271" s="140">
        <v>2660474.0827000001</v>
      </c>
      <c r="E271" s="141">
        <v>82.692028999858366</v>
      </c>
      <c r="F271" s="140">
        <v>220000000</v>
      </c>
      <c r="G271" s="141">
        <v>81.668678</v>
      </c>
      <c r="H271" s="140">
        <v>217277401.18737167</v>
      </c>
      <c r="I271" s="140">
        <v>2722598.8126283288</v>
      </c>
      <c r="J271" s="139">
        <v>45922</v>
      </c>
      <c r="K271" s="156">
        <v>9384.0921999999991</v>
      </c>
      <c r="L271" s="140" t="s">
        <v>201</v>
      </c>
      <c r="M271" s="129">
        <f t="shared" si="3"/>
        <v>2025</v>
      </c>
    </row>
    <row r="272" spans="2:13" x14ac:dyDescent="0.35">
      <c r="B272" s="139">
        <v>45936</v>
      </c>
      <c r="C272" s="129" t="s">
        <v>143</v>
      </c>
      <c r="D272" s="140">
        <v>241861.28020000001</v>
      </c>
      <c r="E272" s="141">
        <v>82.692029015399214</v>
      </c>
      <c r="F272" s="140">
        <v>20000000</v>
      </c>
      <c r="G272" s="141">
        <v>81.668678</v>
      </c>
      <c r="H272" s="140">
        <v>19752491.013321575</v>
      </c>
      <c r="I272" s="140">
        <v>247508.98667842522</v>
      </c>
      <c r="J272" s="139">
        <v>45922</v>
      </c>
      <c r="K272" s="156">
        <v>9384.0921999999991</v>
      </c>
      <c r="L272" s="140" t="s">
        <v>201</v>
      </c>
      <c r="M272" s="129">
        <f t="shared" si="3"/>
        <v>2025</v>
      </c>
    </row>
    <row r="273" spans="2:13" x14ac:dyDescent="0.35">
      <c r="B273" s="139">
        <v>45938</v>
      </c>
      <c r="C273" s="129" t="s">
        <v>143</v>
      </c>
      <c r="D273" s="140">
        <v>905354.21050000004</v>
      </c>
      <c r="E273" s="141">
        <v>82.840504998126363</v>
      </c>
      <c r="F273" s="140">
        <v>75000000</v>
      </c>
      <c r="G273" s="141">
        <v>81.668678</v>
      </c>
      <c r="H273" s="140">
        <v>73939081.493268728</v>
      </c>
      <c r="I273" s="140">
        <v>1060918.5067312717</v>
      </c>
      <c r="J273" s="139">
        <v>45922</v>
      </c>
      <c r="K273" s="156">
        <v>9384.0921999999991</v>
      </c>
      <c r="L273" s="140" t="s">
        <v>201</v>
      </c>
      <c r="M273" s="129">
        <f t="shared" si="3"/>
        <v>2025</v>
      </c>
    </row>
    <row r="274" spans="2:13" x14ac:dyDescent="0.35">
      <c r="B274" s="139">
        <v>45939</v>
      </c>
      <c r="C274" s="129" t="s">
        <v>143</v>
      </c>
      <c r="D274" s="140">
        <v>1140047.2561600001</v>
      </c>
      <c r="E274" s="141">
        <v>82.926446999100477</v>
      </c>
      <c r="F274" s="140">
        <v>94540068.364422172</v>
      </c>
      <c r="G274" s="141">
        <v>81.668678</v>
      </c>
      <c r="H274" s="140">
        <v>93106152.268114567</v>
      </c>
      <c r="I274" s="140">
        <v>1433916.0963076055</v>
      </c>
      <c r="J274" s="139">
        <v>45922</v>
      </c>
      <c r="K274" s="156">
        <v>9384.0921999999991</v>
      </c>
      <c r="L274" s="140" t="s">
        <v>201</v>
      </c>
      <c r="M274" s="129">
        <f t="shared" si="3"/>
        <v>2025</v>
      </c>
    </row>
    <row r="275" spans="2:13" x14ac:dyDescent="0.35">
      <c r="B275" s="139">
        <v>45939</v>
      </c>
      <c r="C275" s="129" t="s">
        <v>143</v>
      </c>
      <c r="D275" s="140">
        <v>3080560.4349400001</v>
      </c>
      <c r="E275" s="141">
        <v>82.926446999100477</v>
      </c>
      <c r="F275" s="140">
        <v>255459931.63557783</v>
      </c>
      <c r="G275" s="141">
        <v>81.834300999999996</v>
      </c>
      <c r="H275" s="140">
        <v>252095509.88157088</v>
      </c>
      <c r="I275" s="140">
        <v>3364421.754006952</v>
      </c>
      <c r="J275" s="139">
        <v>45924</v>
      </c>
      <c r="K275" s="156">
        <v>9384.0921999999991</v>
      </c>
      <c r="L275" s="140" t="s">
        <v>201</v>
      </c>
      <c r="M275" s="129">
        <f t="shared" si="3"/>
        <v>2025</v>
      </c>
    </row>
    <row r="276" spans="2:13" x14ac:dyDescent="0.35">
      <c r="B276" s="139">
        <v>45943</v>
      </c>
      <c r="C276" s="129" t="s">
        <v>143</v>
      </c>
      <c r="D276" s="140">
        <v>8642142.0758999996</v>
      </c>
      <c r="E276" s="141">
        <v>83.312678000033756</v>
      </c>
      <c r="F276" s="140">
        <v>720000000</v>
      </c>
      <c r="G276" s="141">
        <v>81.834300999999996</v>
      </c>
      <c r="H276" s="140">
        <v>707223655.92396533</v>
      </c>
      <c r="I276" s="140">
        <v>12776344.076034665</v>
      </c>
      <c r="J276" s="139">
        <v>45924</v>
      </c>
      <c r="K276" s="156">
        <v>9384.0921999999991</v>
      </c>
      <c r="L276" s="140" t="s">
        <v>201</v>
      </c>
      <c r="M276" s="129">
        <f t="shared" si="3"/>
        <v>2025</v>
      </c>
    </row>
    <row r="277" spans="2:13" x14ac:dyDescent="0.35">
      <c r="B277" s="139">
        <v>45950</v>
      </c>
      <c r="C277" s="129" t="s">
        <v>143</v>
      </c>
      <c r="D277" s="140">
        <v>5473157.0440999996</v>
      </c>
      <c r="E277" s="141">
        <v>84.046555999315743</v>
      </c>
      <c r="F277" s="140">
        <v>460000000.00000006</v>
      </c>
      <c r="G277" s="141">
        <v>81.834300999999996</v>
      </c>
      <c r="H277" s="140">
        <v>447891980.96714962</v>
      </c>
      <c r="I277" s="140">
        <v>12108019.032850444</v>
      </c>
      <c r="J277" s="139">
        <v>45924</v>
      </c>
      <c r="K277" s="156">
        <v>9384.0921999999991</v>
      </c>
      <c r="L277" s="140" t="s">
        <v>201</v>
      </c>
      <c r="M277" s="129">
        <f t="shared" si="3"/>
        <v>2025</v>
      </c>
    </row>
    <row r="278" spans="2:13" x14ac:dyDescent="0.35">
      <c r="B278" s="139">
        <v>45951</v>
      </c>
      <c r="C278" s="129" t="s">
        <v>143</v>
      </c>
      <c r="D278" s="140">
        <v>118879.6393</v>
      </c>
      <c r="E278" s="141">
        <v>84.118693990687433</v>
      </c>
      <c r="F278" s="140">
        <v>10000000</v>
      </c>
      <c r="G278" s="141">
        <v>81.834300999999996</v>
      </c>
      <c r="H278" s="140">
        <v>9728432.185247628</v>
      </c>
      <c r="I278" s="140">
        <v>271567.81475237198</v>
      </c>
      <c r="J278" s="139">
        <v>45924</v>
      </c>
      <c r="K278" s="156">
        <v>9384.0921999999991</v>
      </c>
      <c r="L278" s="140" t="s">
        <v>201</v>
      </c>
      <c r="M278" s="129">
        <f t="shared" si="3"/>
        <v>2025</v>
      </c>
    </row>
    <row r="279" spans="2:13" x14ac:dyDescent="0.35">
      <c r="B279" s="139">
        <v>45953</v>
      </c>
      <c r="C279" s="129" t="s">
        <v>143</v>
      </c>
      <c r="D279" s="140">
        <v>118684.6278</v>
      </c>
      <c r="E279" s="141">
        <v>84.256909975328753</v>
      </c>
      <c r="F279" s="140">
        <v>10000000</v>
      </c>
      <c r="G279" s="141">
        <v>81.834300999999996</v>
      </c>
      <c r="H279" s="140">
        <v>9712473.5554581676</v>
      </c>
      <c r="I279" s="140">
        <v>287526.44454183243</v>
      </c>
      <c r="J279" s="139">
        <v>45924</v>
      </c>
      <c r="K279" s="156">
        <v>9384.0921999999991</v>
      </c>
      <c r="L279" s="140" t="s">
        <v>201</v>
      </c>
      <c r="M279" s="129">
        <f t="shared" si="3"/>
        <v>2025</v>
      </c>
    </row>
    <row r="280" spans="2:13" x14ac:dyDescent="0.35">
      <c r="B280" s="139">
        <v>45954</v>
      </c>
      <c r="C280" s="129" t="s">
        <v>143</v>
      </c>
      <c r="D280" s="140">
        <v>415027.36790000001</v>
      </c>
      <c r="E280" s="141">
        <v>84.331787990504708</v>
      </c>
      <c r="F280" s="140">
        <v>35000000</v>
      </c>
      <c r="G280" s="141">
        <v>81.834300999999996</v>
      </c>
      <c r="H280" s="140">
        <v>33963474.547966339</v>
      </c>
      <c r="I280" s="140">
        <v>1036525.4520336613</v>
      </c>
      <c r="J280" s="139">
        <v>45924</v>
      </c>
      <c r="K280" s="156">
        <v>9384.0921999999991</v>
      </c>
      <c r="L280" s="140" t="s">
        <v>201</v>
      </c>
      <c r="M280" s="129">
        <f t="shared" si="3"/>
        <v>2025</v>
      </c>
    </row>
    <row r="281" spans="2:13" x14ac:dyDescent="0.35">
      <c r="B281" s="139">
        <v>45959</v>
      </c>
      <c r="C281" s="129" t="s">
        <v>143</v>
      </c>
      <c r="D281" s="140">
        <v>11783572.491</v>
      </c>
      <c r="E281" s="141">
        <v>84.863906999662035</v>
      </c>
      <c r="F281" s="140">
        <v>999999999.99999988</v>
      </c>
      <c r="G281" s="141">
        <v>81.834300999999996</v>
      </c>
      <c r="H281" s="140">
        <v>964300418.08381379</v>
      </c>
      <c r="I281" s="140">
        <v>35699581.916186094</v>
      </c>
      <c r="J281" s="139">
        <v>45924</v>
      </c>
      <c r="K281" s="156">
        <v>9384.0921999999991</v>
      </c>
      <c r="L281" s="140" t="s">
        <v>201</v>
      </c>
      <c r="M281" s="129">
        <f t="shared" si="3"/>
        <v>2025</v>
      </c>
    </row>
    <row r="282" spans="2:13" x14ac:dyDescent="0.35">
      <c r="B282" s="139">
        <v>45959</v>
      </c>
      <c r="C282" s="129" t="s">
        <v>143</v>
      </c>
      <c r="D282" s="140">
        <v>1060521.5242000001</v>
      </c>
      <c r="E282" s="141">
        <v>84.863906998861822</v>
      </c>
      <c r="F282" s="140">
        <v>90000000</v>
      </c>
      <c r="G282" s="141">
        <v>81.834300999999996</v>
      </c>
      <c r="H282" s="140">
        <v>86787037.628361583</v>
      </c>
      <c r="I282" s="140">
        <v>3212962.3716384172</v>
      </c>
      <c r="J282" s="139">
        <v>45924</v>
      </c>
      <c r="K282" s="156">
        <v>9384.0921999999991</v>
      </c>
      <c r="L282" s="140" t="s">
        <v>201</v>
      </c>
      <c r="M282" s="129">
        <f t="shared" si="3"/>
        <v>2025</v>
      </c>
    </row>
    <row r="283" spans="2:13" x14ac:dyDescent="0.35">
      <c r="B283" s="139">
        <v>45960</v>
      </c>
      <c r="C283" s="129" t="s">
        <v>143</v>
      </c>
      <c r="D283" s="140">
        <v>176586.75529999999</v>
      </c>
      <c r="E283" s="141">
        <v>84.944083006207208</v>
      </c>
      <c r="F283" s="140">
        <v>15000000</v>
      </c>
      <c r="G283" s="141">
        <v>81.834300999999996</v>
      </c>
      <c r="H283" s="140">
        <v>14450853.685833544</v>
      </c>
      <c r="I283" s="140">
        <v>549146.31416645646</v>
      </c>
      <c r="J283" s="139">
        <v>45924</v>
      </c>
      <c r="K283" s="156">
        <v>9384.0921999999991</v>
      </c>
      <c r="L283" s="140" t="s">
        <v>201</v>
      </c>
      <c r="M283" s="129">
        <f t="shared" si="3"/>
        <v>2025</v>
      </c>
    </row>
    <row r="284" spans="2:13" x14ac:dyDescent="0.35">
      <c r="B284" s="139">
        <v>45961</v>
      </c>
      <c r="C284" s="129" t="s">
        <v>143</v>
      </c>
      <c r="D284" s="140">
        <v>2307665.1383600002</v>
      </c>
      <c r="E284" s="141">
        <v>85.020361999638737</v>
      </c>
      <c r="F284" s="140">
        <v>196198525.43731365</v>
      </c>
      <c r="G284" s="141">
        <v>81.834300999999996</v>
      </c>
      <c r="H284" s="140">
        <v>188846163.53975889</v>
      </c>
      <c r="I284" s="140">
        <v>7352361.8975547552</v>
      </c>
      <c r="J284" s="139">
        <v>45924</v>
      </c>
      <c r="K284" s="156">
        <v>9384.0921999999991</v>
      </c>
      <c r="L284" s="140" t="s">
        <v>201</v>
      </c>
      <c r="M284" s="129">
        <f t="shared" si="3"/>
        <v>2025</v>
      </c>
    </row>
    <row r="285" spans="2:13" x14ac:dyDescent="0.35">
      <c r="B285" s="139">
        <v>45961</v>
      </c>
      <c r="C285" s="129" t="s">
        <v>143</v>
      </c>
      <c r="D285" s="140">
        <v>2573518.5009400002</v>
      </c>
      <c r="E285" s="141">
        <v>85.020361999638737</v>
      </c>
      <c r="F285" s="140">
        <v>218801474.56268644</v>
      </c>
      <c r="G285" s="141">
        <v>82.762693001607843</v>
      </c>
      <c r="H285" s="140">
        <v>212991321.62725526</v>
      </c>
      <c r="I285" s="140">
        <v>5810152.9354311824</v>
      </c>
      <c r="J285" s="139">
        <v>45937</v>
      </c>
      <c r="K285" s="156">
        <v>9603.8623000000007</v>
      </c>
      <c r="L285" s="140" t="s">
        <v>201</v>
      </c>
      <c r="M285" s="129">
        <f t="shared" si="3"/>
        <v>2025</v>
      </c>
    </row>
    <row r="286" spans="2:13" x14ac:dyDescent="0.35">
      <c r="B286" s="139">
        <v>45965</v>
      </c>
      <c r="C286" s="129" t="s">
        <v>143</v>
      </c>
      <c r="D286" s="140">
        <v>1534612.68316</v>
      </c>
      <c r="E286" s="141">
        <v>85.298079000000001</v>
      </c>
      <c r="F286" s="140">
        <v>130899513.88258365</v>
      </c>
      <c r="G286" s="141">
        <v>82.762693001607843</v>
      </c>
      <c r="H286" s="140">
        <v>127008678.37274477</v>
      </c>
      <c r="I286" s="140">
        <v>3890835.5098388791</v>
      </c>
      <c r="J286" s="139">
        <v>45937</v>
      </c>
      <c r="K286" s="156">
        <v>9603.8623000000007</v>
      </c>
      <c r="L286" s="140" t="s">
        <v>201</v>
      </c>
      <c r="M286" s="129">
        <f t="shared" si="3"/>
        <v>2025</v>
      </c>
    </row>
    <row r="287" spans="2:13" x14ac:dyDescent="0.35">
      <c r="B287" s="139">
        <v>45965</v>
      </c>
      <c r="C287" s="129" t="s">
        <v>143</v>
      </c>
      <c r="D287" s="140">
        <v>2310725.9674399998</v>
      </c>
      <c r="E287" s="141">
        <v>85.298079000000001</v>
      </c>
      <c r="F287" s="140">
        <v>197100486.11804855</v>
      </c>
      <c r="G287" s="141">
        <v>83.551035000936963</v>
      </c>
      <c r="H287" s="140">
        <v>193063546.18315336</v>
      </c>
      <c r="I287" s="140">
        <v>4036939.9348951876</v>
      </c>
      <c r="J287" s="139">
        <v>45945</v>
      </c>
      <c r="K287" s="156">
        <v>9603.8623000000007</v>
      </c>
      <c r="L287" s="140" t="s">
        <v>201</v>
      </c>
      <c r="M287" s="129">
        <f t="shared" si="3"/>
        <v>2025</v>
      </c>
    </row>
    <row r="288" spans="2:13" x14ac:dyDescent="0.35">
      <c r="B288" s="139">
        <v>45968</v>
      </c>
      <c r="C288" s="129" t="s">
        <v>143</v>
      </c>
      <c r="D288" s="140">
        <v>2716141.7427599998</v>
      </c>
      <c r="E288" s="141">
        <v>85.492599999999996</v>
      </c>
      <c r="F288" s="140">
        <v>232210019.55708355</v>
      </c>
      <c r="G288" s="141">
        <v>83.551035000936963</v>
      </c>
      <c r="H288" s="140">
        <v>226936453.81684667</v>
      </c>
      <c r="I288" s="140">
        <v>5273565.7402368784</v>
      </c>
      <c r="J288" s="139">
        <v>45945</v>
      </c>
      <c r="K288" s="156">
        <v>9603.8623000000007</v>
      </c>
      <c r="L288" s="140" t="s">
        <v>201</v>
      </c>
      <c r="M288" s="129">
        <f t="shared" si="3"/>
        <v>2025</v>
      </c>
    </row>
    <row r="289" spans="2:13" x14ac:dyDescent="0.35">
      <c r="B289" s="139">
        <v>45968</v>
      </c>
      <c r="C289" s="129" t="s">
        <v>143</v>
      </c>
      <c r="D289" s="140">
        <v>20677695.852540001</v>
      </c>
      <c r="E289" s="141">
        <v>85.492599999999996</v>
      </c>
      <c r="F289" s="140">
        <v>1767789980.4428613</v>
      </c>
      <c r="G289" s="141">
        <v>84.187004000011939</v>
      </c>
      <c r="H289" s="140">
        <v>1740793263.4488153</v>
      </c>
      <c r="I289" s="140">
        <v>26996716.994045973</v>
      </c>
      <c r="J289" s="139">
        <v>45952</v>
      </c>
      <c r="K289" s="156">
        <v>9603.8623000000007</v>
      </c>
      <c r="L289" s="140" t="s">
        <v>201</v>
      </c>
      <c r="M289" s="129">
        <f t="shared" si="3"/>
        <v>2025</v>
      </c>
    </row>
    <row r="290" spans="2:13" x14ac:dyDescent="0.35">
      <c r="B290" s="139">
        <v>45968</v>
      </c>
      <c r="C290" s="129" t="s">
        <v>143</v>
      </c>
      <c r="D290" s="140">
        <v>4070527.7415999998</v>
      </c>
      <c r="E290" s="141">
        <v>85.492599999999996</v>
      </c>
      <c r="F290" s="140">
        <v>348000000.00151211</v>
      </c>
      <c r="G290" s="141">
        <v>84.187004000011939</v>
      </c>
      <c r="H290" s="140">
        <v>342685535.26423877</v>
      </c>
      <c r="I290" s="140">
        <v>5314464.7372733355</v>
      </c>
      <c r="J290" s="139">
        <v>45952</v>
      </c>
      <c r="K290" s="156">
        <v>9603.8623000000007</v>
      </c>
      <c r="L290" s="140" t="s">
        <v>201</v>
      </c>
      <c r="M290" s="129">
        <f t="shared" si="3"/>
        <v>2025</v>
      </c>
    </row>
    <row r="291" spans="2:13" x14ac:dyDescent="0.35">
      <c r="B291" s="139">
        <v>45972</v>
      </c>
      <c r="C291" s="129" t="s">
        <v>143</v>
      </c>
      <c r="D291" s="140">
        <v>3230220.1579</v>
      </c>
      <c r="E291" s="141">
        <v>85.752668999999997</v>
      </c>
      <c r="F291" s="140">
        <v>276999999.99752641</v>
      </c>
      <c r="G291" s="141">
        <v>84.187004000011939</v>
      </c>
      <c r="H291" s="140">
        <v>271942557.35404652</v>
      </c>
      <c r="I291" s="140">
        <v>5057442.6434798837</v>
      </c>
      <c r="J291" s="139">
        <v>45952</v>
      </c>
      <c r="K291" s="156">
        <v>9603.8623000000007</v>
      </c>
      <c r="L291" s="140" t="s">
        <v>201</v>
      </c>
      <c r="M291" s="129">
        <f t="shared" si="3"/>
        <v>2025</v>
      </c>
    </row>
    <row r="292" spans="2:13" x14ac:dyDescent="0.35">
      <c r="B292" s="139">
        <v>45973</v>
      </c>
      <c r="C292" s="129" t="s">
        <v>143</v>
      </c>
      <c r="D292" s="140">
        <v>4661163.9683999997</v>
      </c>
      <c r="E292" s="141">
        <v>85.815475000000006</v>
      </c>
      <c r="F292" s="140">
        <v>400000000.001131</v>
      </c>
      <c r="G292" s="141">
        <v>84.187004000011939</v>
      </c>
      <c r="H292" s="140">
        <v>392409429.65240228</v>
      </c>
      <c r="I292" s="140">
        <v>7590570.3487287164</v>
      </c>
      <c r="J292" s="139">
        <v>45952</v>
      </c>
      <c r="K292" s="156">
        <v>9603.8623000000007</v>
      </c>
      <c r="L292" s="140" t="s">
        <v>201</v>
      </c>
      <c r="M292" s="129">
        <f t="shared" si="3"/>
        <v>2025</v>
      </c>
    </row>
    <row r="293" spans="2:13" x14ac:dyDescent="0.35">
      <c r="B293" s="139">
        <v>45975</v>
      </c>
      <c r="C293" s="129" t="s">
        <v>143</v>
      </c>
      <c r="D293" s="140">
        <v>2036254.5937999999</v>
      </c>
      <c r="E293" s="141">
        <v>85.942102000000006</v>
      </c>
      <c r="F293" s="140">
        <v>174999999.99832818</v>
      </c>
      <c r="G293" s="141">
        <v>84.187004000011939</v>
      </c>
      <c r="H293" s="140">
        <v>171426173.63328329</v>
      </c>
      <c r="I293" s="140">
        <v>3573826.3650448918</v>
      </c>
      <c r="J293" s="139">
        <v>45952</v>
      </c>
      <c r="K293" s="156">
        <v>9603.8623000000007</v>
      </c>
      <c r="L293" s="140" t="s">
        <v>201</v>
      </c>
      <c r="M293" s="129">
        <f t="shared" si="3"/>
        <v>2025</v>
      </c>
    </row>
    <row r="294" spans="2:13" x14ac:dyDescent="0.35">
      <c r="B294" s="139">
        <v>45979</v>
      </c>
      <c r="C294" s="129" t="s">
        <v>143</v>
      </c>
      <c r="D294" s="140">
        <v>5710418.6846599998</v>
      </c>
      <c r="E294" s="141">
        <v>86.195916999999994</v>
      </c>
      <c r="F294" s="140">
        <v>492214774.97820246</v>
      </c>
      <c r="G294" s="141">
        <v>84.187004000011939</v>
      </c>
      <c r="H294" s="140">
        <v>480743040.64721429</v>
      </c>
      <c r="I294" s="140">
        <v>11471734.330988169</v>
      </c>
      <c r="J294" s="139">
        <v>45952</v>
      </c>
      <c r="K294" s="156">
        <v>9603.8623000000007</v>
      </c>
      <c r="L294" s="140" t="s">
        <v>201</v>
      </c>
      <c r="M294" s="129">
        <f t="shared" si="3"/>
        <v>2025</v>
      </c>
    </row>
    <row r="295" spans="2:13" x14ac:dyDescent="0.35">
      <c r="B295" s="139">
        <v>45979</v>
      </c>
      <c r="C295" s="129" t="s">
        <v>143</v>
      </c>
      <c r="D295" s="140">
        <v>2363183.4638</v>
      </c>
      <c r="E295" s="141">
        <v>86.195916999999994</v>
      </c>
      <c r="F295" s="140">
        <v>203696765.70147729</v>
      </c>
      <c r="G295" s="141">
        <v>84.631601000795726</v>
      </c>
      <c r="H295" s="140">
        <v>200000000</v>
      </c>
      <c r="I295" s="140">
        <v>3696765.7014772892</v>
      </c>
      <c r="J295" s="139">
        <v>45957</v>
      </c>
      <c r="K295" s="156">
        <v>9603.8623000000007</v>
      </c>
      <c r="L295" s="140" t="s">
        <v>201</v>
      </c>
      <c r="M295" s="129">
        <f t="shared" si="3"/>
        <v>2025</v>
      </c>
    </row>
    <row r="296" spans="2:13" x14ac:dyDescent="0.35">
      <c r="B296" s="139">
        <v>45979</v>
      </c>
      <c r="C296" s="129" t="s">
        <v>143</v>
      </c>
      <c r="D296" s="140">
        <v>47432.169240000003</v>
      </c>
      <c r="E296" s="141">
        <v>86.195916999999994</v>
      </c>
      <c r="F296" s="140">
        <v>4088459.3229409931</v>
      </c>
      <c r="G296" s="141">
        <v>85.232457999999994</v>
      </c>
      <c r="H296" s="140">
        <v>4042760.3725971919</v>
      </c>
      <c r="I296" s="140">
        <v>45698.950343801174</v>
      </c>
      <c r="J296" s="139">
        <v>45964</v>
      </c>
      <c r="K296" s="156">
        <v>9841.3580999999995</v>
      </c>
      <c r="L296" s="140" t="s">
        <v>201</v>
      </c>
      <c r="M296" s="129">
        <f t="shared" si="3"/>
        <v>2025</v>
      </c>
    </row>
    <row r="297" spans="2:13" x14ac:dyDescent="0.35">
      <c r="B297" s="139">
        <v>45980</v>
      </c>
      <c r="C297" s="129" t="s">
        <v>143</v>
      </c>
      <c r="D297" s="140">
        <v>1507153.2216</v>
      </c>
      <c r="E297" s="141">
        <v>86.255330999999998</v>
      </c>
      <c r="F297" s="140">
        <v>129999999.99682435</v>
      </c>
      <c r="G297" s="141">
        <v>85.232457999999994</v>
      </c>
      <c r="H297" s="140">
        <v>128458373.65958668</v>
      </c>
      <c r="I297" s="140">
        <v>1541626.337237671</v>
      </c>
      <c r="J297" s="139">
        <v>45964</v>
      </c>
      <c r="K297" s="156">
        <v>9841.3580999999995</v>
      </c>
      <c r="L297" s="140" t="s">
        <v>201</v>
      </c>
      <c r="M297" s="129">
        <f t="shared" si="3"/>
        <v>2025</v>
      </c>
    </row>
    <row r="298" spans="2:13" x14ac:dyDescent="0.35">
      <c r="B298" s="139">
        <v>45986</v>
      </c>
      <c r="C298" s="129" t="s">
        <v>143</v>
      </c>
      <c r="D298" s="140">
        <v>635036.61659999995</v>
      </c>
      <c r="E298" s="141">
        <v>86.609178999999997</v>
      </c>
      <c r="F298" s="140">
        <v>54999999.998663768</v>
      </c>
      <c r="G298" s="141">
        <v>85.232457999999994</v>
      </c>
      <c r="H298" s="140">
        <v>54125731.752821594</v>
      </c>
      <c r="I298" s="140">
        <v>874268.2458421737</v>
      </c>
      <c r="J298" s="139">
        <v>45964</v>
      </c>
      <c r="K298" s="156">
        <v>9841.3580999999995</v>
      </c>
      <c r="L298" s="140" t="s">
        <v>201</v>
      </c>
      <c r="M298" s="129">
        <f t="shared" si="3"/>
        <v>2025</v>
      </c>
    </row>
    <row r="299" spans="2:13" x14ac:dyDescent="0.35">
      <c r="B299" s="139">
        <v>45988</v>
      </c>
      <c r="C299" s="129" t="s">
        <v>143</v>
      </c>
      <c r="D299" s="140">
        <v>2444762.7007599999</v>
      </c>
      <c r="E299" s="141">
        <v>86.717425000001384</v>
      </c>
      <c r="F299" s="140">
        <v>212003526.14595613</v>
      </c>
      <c r="G299" s="141">
        <v>85.232457999999994</v>
      </c>
      <c r="H299" s="140">
        <v>208373134.21249324</v>
      </c>
      <c r="I299" s="140">
        <v>3630391.933462888</v>
      </c>
      <c r="J299" s="139">
        <v>45964</v>
      </c>
      <c r="K299" s="156">
        <v>9841.3580999999995</v>
      </c>
      <c r="L299" s="140" t="s">
        <v>201</v>
      </c>
      <c r="M299" s="129">
        <f t="shared" si="3"/>
        <v>2025</v>
      </c>
    </row>
    <row r="300" spans="2:13" x14ac:dyDescent="0.35">
      <c r="B300" s="139">
        <v>45988</v>
      </c>
      <c r="C300" s="129" t="s">
        <v>143</v>
      </c>
      <c r="D300" s="140">
        <v>1510613.049846</v>
      </c>
      <c r="E300" s="141">
        <v>86.717425000001384</v>
      </c>
      <c r="F300" s="140">
        <v>130996473.85404386</v>
      </c>
      <c r="G300" s="141">
        <v>85.363827999999998</v>
      </c>
      <c r="H300" s="140">
        <v>128951712.56160937</v>
      </c>
      <c r="I300" s="140">
        <v>2044761.2924344838</v>
      </c>
      <c r="J300" s="139">
        <v>45966</v>
      </c>
      <c r="K300" s="156">
        <v>9841.3580999999995</v>
      </c>
      <c r="L300" s="140" t="s">
        <v>201</v>
      </c>
      <c r="M300" s="129">
        <f t="shared" ref="M300:M316" si="4">+YEAR(J300)</f>
        <v>2025</v>
      </c>
    </row>
    <row r="301" spans="2:13" x14ac:dyDescent="0.35">
      <c r="B301" s="139">
        <v>45989</v>
      </c>
      <c r="C301" s="129" t="s">
        <v>143</v>
      </c>
      <c r="D301" s="140">
        <v>2284905.5859539998</v>
      </c>
      <c r="E301" s="141">
        <v>86.771065000006914</v>
      </c>
      <c r="F301" s="140">
        <v>198263691.11769339</v>
      </c>
      <c r="G301" s="141">
        <v>85.363827999999998</v>
      </c>
      <c r="H301" s="140">
        <v>195048287.43561643</v>
      </c>
      <c r="I301" s="140">
        <v>3215403.6820769608</v>
      </c>
      <c r="J301" s="139">
        <v>45966</v>
      </c>
      <c r="K301" s="156">
        <v>9841.3580999999995</v>
      </c>
      <c r="L301" s="140" t="s">
        <v>201</v>
      </c>
      <c r="M301" s="129">
        <f t="shared" si="4"/>
        <v>2025</v>
      </c>
    </row>
    <row r="302" spans="2:13" x14ac:dyDescent="0.35">
      <c r="B302" s="139">
        <v>45989</v>
      </c>
      <c r="C302" s="129" t="s">
        <v>143</v>
      </c>
      <c r="D302" s="140">
        <v>3765498.4283329998</v>
      </c>
      <c r="E302" s="141">
        <v>86.771065000006914</v>
      </c>
      <c r="F302" s="140">
        <v>326736308.88230658</v>
      </c>
      <c r="G302" s="141">
        <v>85.879433000000006</v>
      </c>
      <c r="H302" s="140">
        <v>323378869.98762918</v>
      </c>
      <c r="I302" s="140">
        <v>3357438.8946774006</v>
      </c>
      <c r="J302" s="139">
        <v>45974</v>
      </c>
      <c r="K302" s="156">
        <v>9841.3580999999995</v>
      </c>
      <c r="L302" s="140" t="s">
        <v>201</v>
      </c>
      <c r="M302" s="129">
        <f t="shared" si="4"/>
        <v>2025</v>
      </c>
    </row>
    <row r="303" spans="2:13" x14ac:dyDescent="0.35">
      <c r="B303" s="139">
        <v>45989</v>
      </c>
      <c r="C303" s="129" t="s">
        <v>143</v>
      </c>
      <c r="D303" s="140">
        <v>518606.05836700002</v>
      </c>
      <c r="E303" s="141">
        <v>86.771065000083397</v>
      </c>
      <c r="F303" s="140">
        <v>45000000</v>
      </c>
      <c r="G303" s="141">
        <v>85.879433000000006</v>
      </c>
      <c r="H303" s="140">
        <v>44537594.242922872</v>
      </c>
      <c r="I303" s="140">
        <v>462405.7570771277</v>
      </c>
      <c r="J303" s="139">
        <v>45974</v>
      </c>
      <c r="K303" s="156">
        <v>9841.3580999999995</v>
      </c>
      <c r="L303" s="140" t="s">
        <v>201</v>
      </c>
      <c r="M303" s="129">
        <f t="shared" si="4"/>
        <v>2025</v>
      </c>
    </row>
    <row r="304" spans="2:13" x14ac:dyDescent="0.35">
      <c r="B304" s="139">
        <v>45994</v>
      </c>
      <c r="C304" s="129" t="s">
        <v>143</v>
      </c>
      <c r="D304" s="140">
        <v>664693.90599999996</v>
      </c>
      <c r="E304" s="141">
        <v>87.011083000596855</v>
      </c>
      <c r="F304" s="140">
        <v>57835736.624956921</v>
      </c>
      <c r="G304" s="141">
        <v>85.879433000000006</v>
      </c>
      <c r="H304" s="140">
        <v>57083535.7658353</v>
      </c>
      <c r="I304" s="140">
        <v>752200.85912162066</v>
      </c>
      <c r="J304" s="139">
        <v>45974</v>
      </c>
      <c r="K304" s="156">
        <v>9841.3580999999995</v>
      </c>
      <c r="L304" s="140" t="s">
        <v>201</v>
      </c>
      <c r="M304" s="129">
        <f t="shared" si="4"/>
        <v>2025</v>
      </c>
    </row>
    <row r="305" spans="2:13" x14ac:dyDescent="0.35">
      <c r="B305" s="139">
        <v>45994</v>
      </c>
      <c r="C305" s="129" t="s">
        <v>143</v>
      </c>
      <c r="D305" s="140">
        <v>1495950.388</v>
      </c>
      <c r="E305" s="141">
        <v>87.011083000596855</v>
      </c>
      <c r="F305" s="140">
        <v>130164263.37504308</v>
      </c>
      <c r="G305" s="141">
        <v>86.663385000000005</v>
      </c>
      <c r="H305" s="140">
        <v>129644124.41614339</v>
      </c>
      <c r="I305" s="140">
        <v>520138.9588996917</v>
      </c>
      <c r="J305" s="139">
        <v>45987</v>
      </c>
      <c r="K305" s="156">
        <v>9841.3580999999995</v>
      </c>
      <c r="L305" s="140" t="s">
        <v>201</v>
      </c>
      <c r="M305" s="129">
        <f t="shared" si="4"/>
        <v>2025</v>
      </c>
    </row>
    <row r="306" spans="2:13" x14ac:dyDescent="0.35">
      <c r="B306" s="139">
        <v>45995</v>
      </c>
      <c r="C306" s="129" t="s">
        <v>143</v>
      </c>
      <c r="D306" s="140">
        <v>5054310.0548999999</v>
      </c>
      <c r="E306" s="141">
        <v>87.054413999282332</v>
      </c>
      <c r="F306" s="140">
        <v>440000000</v>
      </c>
      <c r="G306" s="141">
        <v>86.663385000000005</v>
      </c>
      <c r="H306" s="140">
        <v>438023618.19716984</v>
      </c>
      <c r="I306" s="140">
        <v>1976381.8028301597</v>
      </c>
      <c r="J306" s="139">
        <v>45987</v>
      </c>
      <c r="K306" s="156">
        <v>9841.3580999999995</v>
      </c>
      <c r="L306" s="140" t="s">
        <v>201</v>
      </c>
      <c r="M306" s="129">
        <f t="shared" si="4"/>
        <v>2025</v>
      </c>
    </row>
    <row r="307" spans="2:13" x14ac:dyDescent="0.35">
      <c r="B307" s="139">
        <v>46000</v>
      </c>
      <c r="C307" s="129" t="s">
        <v>143</v>
      </c>
      <c r="D307" s="140">
        <v>7332553.9134</v>
      </c>
      <c r="E307" s="141">
        <v>87.282004000000001</v>
      </c>
      <c r="F307" s="140">
        <v>639999999.99959445</v>
      </c>
      <c r="G307" s="141">
        <v>86.663385000000005</v>
      </c>
      <c r="H307" s="140">
        <v>635463942.83024085</v>
      </c>
      <c r="I307" s="140">
        <v>4536057.1693536043</v>
      </c>
      <c r="J307" s="139">
        <v>45987</v>
      </c>
      <c r="K307" s="156">
        <v>9841.3580999999995</v>
      </c>
      <c r="L307" s="140" t="s">
        <v>201</v>
      </c>
      <c r="M307" s="129">
        <f t="shared" si="4"/>
        <v>2025</v>
      </c>
    </row>
    <row r="308" spans="2:13" x14ac:dyDescent="0.35">
      <c r="B308" s="139">
        <v>46001</v>
      </c>
      <c r="C308" s="129" t="s">
        <v>143</v>
      </c>
      <c r="D308" s="140">
        <v>4466151.9277999997</v>
      </c>
      <c r="E308" s="141">
        <v>87.323496000000006</v>
      </c>
      <c r="F308" s="140">
        <v>390000000.0026356</v>
      </c>
      <c r="G308" s="141">
        <v>86.663385000000005</v>
      </c>
      <c r="H308" s="140">
        <v>387051843.9874236</v>
      </c>
      <c r="I308" s="140">
        <v>2948156.0152119994</v>
      </c>
      <c r="J308" s="139">
        <v>45987</v>
      </c>
      <c r="K308" s="156">
        <v>9841.3580999999995</v>
      </c>
      <c r="L308" s="140" t="s">
        <v>201</v>
      </c>
      <c r="M308" s="129">
        <f t="shared" si="4"/>
        <v>2025</v>
      </c>
    </row>
    <row r="309" spans="2:13" x14ac:dyDescent="0.35">
      <c r="B309" s="139">
        <v>46006</v>
      </c>
      <c r="C309" s="129" t="s">
        <v>143</v>
      </c>
      <c r="D309" s="140">
        <v>1188049.5015</v>
      </c>
      <c r="E309" s="141">
        <v>87.538439999999994</v>
      </c>
      <c r="F309" s="140">
        <v>104000000.00408766</v>
      </c>
      <c r="G309" s="141">
        <v>86.663385000000005</v>
      </c>
      <c r="H309" s="140">
        <v>102960391.34755258</v>
      </c>
      <c r="I309" s="140">
        <v>1039608.6565350741</v>
      </c>
      <c r="J309" s="139">
        <v>45987</v>
      </c>
      <c r="K309" s="156">
        <v>9841.3580999999995</v>
      </c>
      <c r="L309" s="140" t="s">
        <v>201</v>
      </c>
      <c r="M309" s="129">
        <f t="shared" si="4"/>
        <v>2025</v>
      </c>
    </row>
    <row r="310" spans="2:13" x14ac:dyDescent="0.35">
      <c r="B310" s="139">
        <v>46008</v>
      </c>
      <c r="C310" s="129" t="s">
        <v>143</v>
      </c>
      <c r="D310" s="140">
        <v>1335285.2387999999</v>
      </c>
      <c r="E310" s="141">
        <v>87.621728002584703</v>
      </c>
      <c r="F310" s="140">
        <v>116999999.99999996</v>
      </c>
      <c r="G310" s="141">
        <v>86.663385000000005</v>
      </c>
      <c r="H310" s="140">
        <v>115720338.73494133</v>
      </c>
      <c r="I310" s="140">
        <v>1279661.2650586218</v>
      </c>
      <c r="J310" s="139">
        <v>45987</v>
      </c>
      <c r="K310" s="156">
        <v>9841.3580999999995</v>
      </c>
      <c r="L310" s="140" t="s">
        <v>201</v>
      </c>
      <c r="M310" s="129">
        <f t="shared" si="4"/>
        <v>2025</v>
      </c>
    </row>
    <row r="311" spans="2:13" x14ac:dyDescent="0.35">
      <c r="B311" s="139">
        <v>46009</v>
      </c>
      <c r="C311" s="129" t="s">
        <v>143</v>
      </c>
      <c r="D311" s="140">
        <v>936217.07120000001</v>
      </c>
      <c r="E311" s="141">
        <v>87.663315999557597</v>
      </c>
      <c r="F311" s="140">
        <v>82071892.956785917</v>
      </c>
      <c r="G311" s="141">
        <v>86.663385000000005</v>
      </c>
      <c r="H311" s="140">
        <v>81135740.48497802</v>
      </c>
      <c r="I311" s="140">
        <v>936152.47180789709</v>
      </c>
      <c r="J311" s="139">
        <v>45987</v>
      </c>
      <c r="K311" s="156">
        <v>9841.3580999999995</v>
      </c>
      <c r="L311" s="140" t="s">
        <v>201</v>
      </c>
      <c r="M311" s="129">
        <f t="shared" si="4"/>
        <v>2025</v>
      </c>
    </row>
    <row r="312" spans="2:13" x14ac:dyDescent="0.35">
      <c r="B312" s="139">
        <v>46009</v>
      </c>
      <c r="C312" s="129" t="s">
        <v>143</v>
      </c>
      <c r="D312" s="140">
        <v>5942372.8284</v>
      </c>
      <c r="E312" s="141">
        <v>87.663315999557597</v>
      </c>
      <c r="F312" s="140">
        <v>520928107.04321402</v>
      </c>
      <c r="G312" s="141">
        <v>86.926999000291687</v>
      </c>
      <c r="H312" s="140">
        <v>516552636.91368729</v>
      </c>
      <c r="I312" s="140">
        <v>4375470.1295267344</v>
      </c>
      <c r="J312" s="139">
        <v>45992</v>
      </c>
      <c r="K312" s="156">
        <v>10121.371499999999</v>
      </c>
      <c r="L312" s="140" t="s">
        <v>201</v>
      </c>
      <c r="M312" s="129">
        <f t="shared" si="4"/>
        <v>2025</v>
      </c>
    </row>
    <row r="313" spans="2:13" x14ac:dyDescent="0.35">
      <c r="B313" s="139">
        <v>46013</v>
      </c>
      <c r="C313" s="129" t="s">
        <v>143</v>
      </c>
      <c r="D313" s="140">
        <v>1592685.4105</v>
      </c>
      <c r="E313" s="141">
        <v>87.834522000000007</v>
      </c>
      <c r="F313" s="140">
        <v>139892761.72764128</v>
      </c>
      <c r="G313" s="141">
        <v>86.926999000291687</v>
      </c>
      <c r="H313" s="140">
        <v>138447363.08631265</v>
      </c>
      <c r="I313" s="140">
        <v>1445398.6413286328</v>
      </c>
      <c r="J313" s="139">
        <v>45992</v>
      </c>
      <c r="K313" s="156">
        <v>10121.371499999999</v>
      </c>
      <c r="L313" s="140" t="s">
        <v>201</v>
      </c>
      <c r="M313" s="129">
        <f t="shared" si="4"/>
        <v>2025</v>
      </c>
    </row>
    <row r="314" spans="2:13" x14ac:dyDescent="0.35">
      <c r="B314" s="139">
        <v>46013</v>
      </c>
      <c r="C314" s="129" t="s">
        <v>143</v>
      </c>
      <c r="D314" s="140">
        <v>1185265.6096999999</v>
      </c>
      <c r="E314" s="141">
        <v>87.834522000000007</v>
      </c>
      <c r="F314" s="140">
        <v>104107238.27103807</v>
      </c>
      <c r="G314" s="141">
        <v>87.580055999999999</v>
      </c>
      <c r="H314" s="140">
        <v>103805628.47240013</v>
      </c>
      <c r="I314" s="140">
        <v>301609.79863794148</v>
      </c>
      <c r="J314" s="139">
        <v>46007</v>
      </c>
      <c r="K314" s="156">
        <v>10121.371499999999</v>
      </c>
      <c r="L314" s="140" t="s">
        <v>201</v>
      </c>
      <c r="M314" s="129">
        <f t="shared" si="4"/>
        <v>2025</v>
      </c>
    </row>
    <row r="315" spans="2:13" x14ac:dyDescent="0.35">
      <c r="B315" s="139">
        <v>46014</v>
      </c>
      <c r="C315" s="129" t="s">
        <v>143</v>
      </c>
      <c r="D315" s="140">
        <v>113795.2114</v>
      </c>
      <c r="E315" s="141">
        <v>87.877160004994721</v>
      </c>
      <c r="F315" s="140">
        <v>10000000</v>
      </c>
      <c r="G315" s="141">
        <v>87.580055999999999</v>
      </c>
      <c r="H315" s="140">
        <v>9966190.9869438391</v>
      </c>
      <c r="I315" s="140">
        <v>33809.013056160882</v>
      </c>
      <c r="J315" s="139">
        <v>46007</v>
      </c>
      <c r="K315" s="156">
        <v>10121.371499999999</v>
      </c>
      <c r="L315" s="140" t="s">
        <v>201</v>
      </c>
      <c r="M315" s="129">
        <f t="shared" si="4"/>
        <v>2025</v>
      </c>
    </row>
    <row r="316" spans="2:13" x14ac:dyDescent="0.35">
      <c r="M316" s="129">
        <f t="shared" si="4"/>
        <v>1900</v>
      </c>
    </row>
    <row r="317" spans="2:13" x14ac:dyDescent="0.35">
      <c r="D317" s="144" t="s">
        <v>186</v>
      </c>
      <c r="E317" s="140">
        <f>SUM(D108:D315)</f>
        <v>514843094.3441599</v>
      </c>
      <c r="K317" s="144" t="s">
        <v>187</v>
      </c>
      <c r="L317" s="140">
        <f>SUM(L108:L315)</f>
        <v>41907287.038305327</v>
      </c>
      <c r="M317" s="210" t="s">
        <v>222</v>
      </c>
    </row>
    <row r="318" spans="2:13" x14ac:dyDescent="0.35">
      <c r="D318" s="144" t="s">
        <v>188</v>
      </c>
      <c r="E318" s="151">
        <f>SUM(F108:F315)</f>
        <v>39750010000.002472</v>
      </c>
    </row>
    <row r="319" spans="2:13" x14ac:dyDescent="0.35">
      <c r="D319" s="144" t="s">
        <v>189</v>
      </c>
      <c r="E319" s="151">
        <f>SUM(H108:H315)</f>
        <v>38711538887.533363</v>
      </c>
    </row>
    <row r="320" spans="2:13" x14ac:dyDescent="0.35">
      <c r="D320" s="144" t="s">
        <v>190</v>
      </c>
      <c r="E320" s="151">
        <f>SUM(I108:I315)</f>
        <v>1038471112.4690943</v>
      </c>
    </row>
    <row r="323" spans="2:13" x14ac:dyDescent="0.35">
      <c r="B323" s="132" t="s">
        <v>175</v>
      </c>
      <c r="C323" s="132" t="s">
        <v>149</v>
      </c>
    </row>
    <row r="324" spans="2:13" x14ac:dyDescent="0.35">
      <c r="B324" s="134" t="s">
        <v>176</v>
      </c>
      <c r="C324" s="134" t="s">
        <v>126</v>
      </c>
      <c r="D324" s="134" t="s">
        <v>177</v>
      </c>
      <c r="E324" s="134" t="s">
        <v>178</v>
      </c>
      <c r="F324" s="134" t="s">
        <v>179</v>
      </c>
      <c r="G324" s="134" t="s">
        <v>180</v>
      </c>
      <c r="H324" s="134" t="s">
        <v>181</v>
      </c>
      <c r="I324" s="134" t="s">
        <v>182</v>
      </c>
      <c r="J324" s="134" t="s">
        <v>183</v>
      </c>
      <c r="K324" s="134" t="s">
        <v>184</v>
      </c>
      <c r="L324" s="134" t="s">
        <v>185</v>
      </c>
    </row>
    <row r="325" spans="2:13" x14ac:dyDescent="0.35">
      <c r="B325" s="139">
        <v>45994</v>
      </c>
      <c r="C325" s="129" t="s">
        <v>149</v>
      </c>
      <c r="D325" s="140">
        <v>651744.79399999999</v>
      </c>
      <c r="E325" s="141">
        <v>288.45646598291046</v>
      </c>
      <c r="F325" s="140">
        <v>187999999.99999997</v>
      </c>
      <c r="G325" s="141">
        <v>280.00647600377732</v>
      </c>
      <c r="H325" s="140">
        <v>182492763.0217478</v>
      </c>
      <c r="I325" s="140">
        <v>5507236.9782521725</v>
      </c>
      <c r="J325" s="139">
        <v>45972</v>
      </c>
      <c r="K325" s="156">
        <v>9841.3580999999995</v>
      </c>
      <c r="L325" s="140" t="s">
        <v>201</v>
      </c>
    </row>
    <row r="326" spans="2:13" x14ac:dyDescent="0.35">
      <c r="B326" s="139">
        <v>46002</v>
      </c>
      <c r="C326" s="129" t="s">
        <v>149</v>
      </c>
      <c r="D326" s="140">
        <v>1721240.3297999999</v>
      </c>
      <c r="E326" s="141">
        <v>290.48819700000001</v>
      </c>
      <c r="F326" s="140">
        <v>500000000.00728738</v>
      </c>
      <c r="G326" s="141">
        <v>280.00647600377732</v>
      </c>
      <c r="H326" s="140">
        <v>481958439.10287744</v>
      </c>
      <c r="I326" s="140">
        <v>18041560.904409945</v>
      </c>
      <c r="J326" s="139">
        <v>45972</v>
      </c>
      <c r="K326" s="156">
        <v>9841.3580999999995</v>
      </c>
      <c r="L326" s="140" t="s">
        <v>201</v>
      </c>
      <c r="M326" s="129">
        <f t="shared" ref="M326:M327" si="5">+YEAR(J326)</f>
        <v>2025</v>
      </c>
    </row>
    <row r="327" spans="2:13" x14ac:dyDescent="0.35">
      <c r="B327" s="139">
        <v>46009</v>
      </c>
      <c r="C327" s="129" t="s">
        <v>149</v>
      </c>
      <c r="D327" s="140">
        <v>3421341.9375999998</v>
      </c>
      <c r="E327" s="141">
        <v>292.28297499883314</v>
      </c>
      <c r="F327" s="140">
        <v>1000000000.0100001</v>
      </c>
      <c r="G327" s="141">
        <v>280.00647600377732</v>
      </c>
      <c r="H327" s="140">
        <v>957997899.1513114</v>
      </c>
      <c r="I327" s="140">
        <v>42002100.858688712</v>
      </c>
      <c r="J327" s="139">
        <v>45972</v>
      </c>
      <c r="K327" s="156">
        <v>9841.3580999999995</v>
      </c>
      <c r="L327" s="140" t="s">
        <v>201</v>
      </c>
      <c r="M327" s="129">
        <f t="shared" si="5"/>
        <v>2025</v>
      </c>
    </row>
    <row r="328" spans="2:13" x14ac:dyDescent="0.35">
      <c r="M328" s="129">
        <f>+YEAR(J328)</f>
        <v>1900</v>
      </c>
    </row>
    <row r="329" spans="2:13" x14ac:dyDescent="0.35">
      <c r="D329" s="144" t="s">
        <v>186</v>
      </c>
      <c r="E329" s="140">
        <f>SUM(D325:D327)</f>
        <v>5794327.0614</v>
      </c>
      <c r="K329" s="144" t="s">
        <v>187</v>
      </c>
      <c r="L329" s="140">
        <v>0</v>
      </c>
      <c r="M329" s="210" t="s">
        <v>222</v>
      </c>
    </row>
    <row r="330" spans="2:13" x14ac:dyDescent="0.35">
      <c r="D330" s="144" t="s">
        <v>188</v>
      </c>
      <c r="E330" s="151">
        <f>SUM(F325:F327)</f>
        <v>1688000000.0172875</v>
      </c>
    </row>
    <row r="331" spans="2:13" x14ac:dyDescent="0.35">
      <c r="D331" s="144" t="s">
        <v>189</v>
      </c>
      <c r="E331" s="151">
        <f>SUM(H325:H327)</f>
        <v>1622449101.2759366</v>
      </c>
    </row>
    <row r="332" spans="2:13" x14ac:dyDescent="0.35">
      <c r="D332" s="144" t="s">
        <v>190</v>
      </c>
      <c r="E332" s="151">
        <f>SUM(I325:I327)</f>
        <v>65550898.74135083</v>
      </c>
      <c r="G332" s="161" t="s">
        <v>191</v>
      </c>
      <c r="H332" s="138">
        <f>+SUMIF(M28:M327,"2024",H28:H327)</f>
        <v>6240408652.342783</v>
      </c>
      <c r="K332" s="149" t="s">
        <v>221</v>
      </c>
      <c r="L332" s="162">
        <f>+L329+L317+L100+L75</f>
        <v>80177954.433012918</v>
      </c>
    </row>
    <row r="333" spans="2:13" x14ac:dyDescent="0.35">
      <c r="G333" s="161" t="s">
        <v>192</v>
      </c>
      <c r="H333" s="163">
        <f>+'[6]GAN PY'!E61</f>
        <v>6240408652.342782</v>
      </c>
    </row>
    <row r="334" spans="2:13" x14ac:dyDescent="0.35">
      <c r="G334" s="161"/>
      <c r="H334" s="164">
        <f>+H332-H333</f>
        <v>0</v>
      </c>
    </row>
  </sheetData>
  <autoFilter ref="B27:M334" xr:uid="{AFC68FB9-73BC-4D4E-99B1-C3CD2E2C7D73}"/>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INDICE </vt:lpstr>
      <vt:lpstr>Instructivo</vt:lpstr>
      <vt:lpstr>GAN </vt:lpstr>
      <vt:lpstr>GAN - 2 </vt:lpstr>
      <vt:lpstr>1. PEPS T&amp;L DTT</vt:lpstr>
      <vt:lpstr> Resumen Tenencias DTT</vt:lpstr>
      <vt:lpstr>Resumen Ventas DTT</vt:lpstr>
      <vt:lpstr>'GAN '!Print_Area</vt:lpstr>
      <vt:lpstr>'GAN - 2 '!Print_Area</vt:lpstr>
      <vt:lpstr>'INDICE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Rombola, Augusto</dc:creator>
  <cp:lastModifiedBy>Varela, Juan Manuel</cp:lastModifiedBy>
  <dcterms:created xsi:type="dcterms:W3CDTF">2026-06-09T19:59:21Z</dcterms:created>
  <dcterms:modified xsi:type="dcterms:W3CDTF">2026-07-16T20:10:39Z</dcterms:modified>
</cp:coreProperties>
</file>